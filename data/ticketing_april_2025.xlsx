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si" sheetId="1" state="visible" r:id="rId1"/>
    <sheet xmlns:r="http://schemas.openxmlformats.org/officeDocument/2006/relationships" name="KPI Availability" sheetId="2" state="visible" r:id="rId2"/>
    <sheet xmlns:r="http://schemas.openxmlformats.org/officeDocument/2006/relationships" name="KPI Ticketing" sheetId="3" state="visible" r:id="rId3"/>
    <sheet xmlns:r="http://schemas.openxmlformats.org/officeDocument/2006/relationships" name="Daily" sheetId="4" state="visible" r:id="rId4"/>
    <sheet xmlns:r="http://schemas.openxmlformats.org/officeDocument/2006/relationships" name="MTD" sheetId="5" state="visible" r:id="rId5"/>
    <sheet xmlns:r="http://schemas.openxmlformats.org/officeDocument/2006/relationships" name="Rekap Tik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8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sz val="18"/>
    </font>
    <font/>
    <font>
      <b val="1"/>
      <color rgb="00800000"/>
      <sz val="12"/>
    </font>
    <font>
      <b val="1"/>
      <color rgb="00FFFFFF"/>
      <sz val="11"/>
    </font>
  </fonts>
  <fills count="37">
    <fill>
      <patternFill/>
    </fill>
    <fill>
      <patternFill patternType="gray125"/>
    </fill>
    <fill>
      <patternFill patternType="solid">
        <fgColor rgb="00E6B8B7"/>
        <bgColor rgb="00E6B8B7"/>
      </patternFill>
    </fill>
    <fill>
      <patternFill patternType="solid">
        <fgColor rgb="0092D050"/>
        <bgColor rgb="0092D050"/>
      </patternFill>
    </fill>
    <fill>
      <patternFill patternType="solid">
        <fgColor rgb="00ACB9CA"/>
        <bgColor rgb="00ACB9CA"/>
      </patternFill>
    </fill>
    <fill>
      <patternFill patternType="solid">
        <fgColor rgb="00FFFF00"/>
        <bgColor rgb="00FFFF00"/>
      </patternFill>
    </fill>
    <fill>
      <patternFill patternType="solid"/>
    </fill>
    <fill>
      <patternFill patternType="solid">
        <fgColor rgb="00BFBFBF"/>
        <bgColor rgb="00BFBFBF"/>
      </patternFill>
    </fill>
    <fill>
      <patternFill patternType="solid">
        <fgColor rgb="00757171"/>
        <bgColor rgb="00757171"/>
      </patternFill>
    </fill>
    <fill>
      <patternFill patternType="solid">
        <fgColor rgb="00BDD7EE"/>
        <bgColor rgb="00BDD7EE"/>
      </patternFill>
    </fill>
    <fill>
      <patternFill patternType="solid">
        <fgColor rgb="00C00000"/>
        <bgColor rgb="00C0000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  <fill>
      <patternFill patternType="solid">
        <fgColor rgb="00D8E4BC"/>
        <bgColor rgb="00D8E4BC"/>
      </patternFill>
    </fill>
    <fill>
      <patternFill patternType="solid">
        <fgColor rgb="0000B0F0"/>
        <bgColor rgb="0000B0F0"/>
      </patternFill>
    </fill>
    <fill>
      <patternFill patternType="solid">
        <fgColor rgb="00F8CBAD"/>
        <bgColor rgb="00F8CBAD"/>
      </patternFill>
    </fill>
    <fill>
      <patternFill patternType="solid">
        <fgColor rgb="00E14BB6"/>
        <bgColor rgb="00E14BB6"/>
      </patternFill>
    </fill>
    <fill>
      <patternFill patternType="solid">
        <fgColor rgb="00CCC0DA"/>
        <bgColor rgb="00CCC0DA"/>
      </patternFill>
    </fill>
    <fill>
      <patternFill patternType="solid">
        <fgColor rgb="00003399"/>
        <bgColor rgb="00003399"/>
      </patternFill>
    </fill>
    <fill>
      <patternFill patternType="solid">
        <fgColor rgb="00FDCFED"/>
        <bgColor rgb="00FDCFED"/>
      </patternFill>
    </fill>
    <fill>
      <patternFill patternType="solid">
        <fgColor rgb="00FB97D7"/>
        <bgColor rgb="00FB97D7"/>
      </patternFill>
    </fill>
    <fill>
      <patternFill patternType="solid">
        <fgColor rgb="0068EBEE"/>
        <bgColor rgb="0068EBEE"/>
      </patternFill>
    </fill>
    <fill>
      <patternFill patternType="solid">
        <fgColor rgb="00FABF8F"/>
        <bgColor rgb="00FABF8F"/>
      </patternFill>
    </fill>
    <fill>
      <patternFill patternType="solid">
        <fgColor rgb="00FFC50D"/>
        <bgColor rgb="00FFC50D"/>
      </patternFill>
    </fill>
    <fill>
      <patternFill patternType="solid">
        <fgColor rgb="0000A7E2"/>
        <bgColor rgb="0000A7E2"/>
      </patternFill>
    </fill>
    <fill>
      <patternFill patternType="solid">
        <fgColor rgb="004472C4"/>
        <bgColor rgb="004472C4"/>
      </patternFill>
    </fill>
    <fill>
      <patternFill patternType="solid">
        <fgColor rgb="0000B050"/>
        <bgColor rgb="0000B050"/>
      </patternFill>
    </fill>
    <fill>
      <patternFill patternType="solid">
        <fgColor rgb="00ED7D31"/>
        <bgColor rgb="00ED7D31"/>
      </patternFill>
    </fill>
    <fill>
      <patternFill patternType="solid">
        <fgColor rgb="00FF0000"/>
        <bgColor rgb="00FF0000"/>
      </patternFill>
    </fill>
    <fill>
      <patternFill patternType="solid">
        <fgColor rgb="00FFB9FF"/>
        <bgColor rgb="00FFB9FF"/>
      </patternFill>
    </fill>
    <fill>
      <patternFill patternType="solid">
        <fgColor rgb="00DA9694"/>
        <bgColor rgb="00DA9694"/>
      </patternFill>
    </fill>
    <fill>
      <patternFill patternType="solid">
        <fgColor rgb="00FFD44B"/>
        <bgColor rgb="00FFD44B"/>
      </patternFill>
    </fill>
    <fill>
      <patternFill patternType="solid">
        <fgColor rgb="00FCD5B4"/>
        <bgColor rgb="00FCD5B4"/>
      </patternFill>
    </fill>
    <fill>
      <patternFill patternType="solid">
        <fgColor rgb="00963634"/>
        <bgColor rgb="00963634"/>
      </patternFill>
    </fill>
    <fill>
      <patternFill patternType="solid">
        <fgColor rgb="00366092"/>
        <bgColor rgb="00366092"/>
      </patternFill>
    </fill>
    <fill>
      <patternFill patternType="solid">
        <fgColor rgb="009BBB59"/>
        <bgColor rgb="009BBB59"/>
      </patternFill>
    </fill>
    <fill>
      <patternFill patternType="solid">
        <fgColor rgb="00403151"/>
        <bgColor rgb="0040315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10" fontId="5" fillId="0" borderId="2"/>
  </cellStyleXfs>
  <cellXfs count="57">
    <xf numFmtId="0" fontId="0" fillId="0" borderId="0" pivotButton="0" quotePrefix="0" xfId="0"/>
    <xf numFmtId="0" fontId="2" fillId="25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2" fillId="28" borderId="0" applyAlignment="1" pivotButton="0" quotePrefix="0" xfId="0">
      <alignment horizontal="center" vertical="center"/>
    </xf>
    <xf numFmtId="10" fontId="6" fillId="29" borderId="0" applyAlignment="1" pivotButton="0" quotePrefix="0" xfId="0">
      <alignment horizontal="center" vertical="center"/>
    </xf>
    <xf numFmtId="2" fontId="6" fillId="2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8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3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21" borderId="0" applyAlignment="1" pivotButton="0" quotePrefix="0" xfId="0">
      <alignment horizontal="center" vertical="center" wrapText="1"/>
    </xf>
    <xf numFmtId="0" fontId="3" fillId="22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1" fillId="24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3" fillId="20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0" fontId="5" fillId="0" borderId="2" applyAlignment="1" pivotButton="0" quotePrefix="0" xfId="1">
      <alignment horizontal="center" vertical="center"/>
    </xf>
    <xf numFmtId="0" fontId="1" fillId="30" borderId="0" applyAlignment="1" pivotButton="0" quotePrefix="0" xfId="0">
      <alignment horizontal="center" vertical="center"/>
    </xf>
    <xf numFmtId="0" fontId="1" fillId="30" borderId="1" applyAlignment="1" pivotButton="0" quotePrefix="0" xfId="0">
      <alignment horizontal="center" vertical="center"/>
    </xf>
    <xf numFmtId="0" fontId="1" fillId="31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32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2" fontId="1" fillId="31" borderId="0" applyAlignment="1" pivotButton="0" quotePrefix="0" xfId="0">
      <alignment horizontal="center" vertical="center"/>
    </xf>
    <xf numFmtId="0" fontId="1" fillId="31" borderId="0" applyAlignment="1" pivotButton="0" quotePrefix="0" xfId="0">
      <alignment horizontal="center" vertical="center"/>
    </xf>
    <xf numFmtId="10" fontId="1" fillId="31" borderId="0" applyAlignment="1" pivotButton="0" quotePrefix="0" xfId="0">
      <alignment horizontal="center" vertical="center"/>
    </xf>
    <xf numFmtId="2" fontId="1" fillId="32" borderId="0" applyAlignment="1" pivotButton="0" quotePrefix="0" xfId="0">
      <alignment horizontal="center" vertical="center"/>
    </xf>
    <xf numFmtId="10" fontId="1" fillId="32" borderId="0" applyAlignment="1" pivotButton="0" quotePrefix="0" xfId="0">
      <alignment horizontal="center" vertical="center"/>
    </xf>
    <xf numFmtId="0" fontId="7" fillId="33" borderId="1" applyAlignment="1" pivotButton="0" quotePrefix="0" xfId="0">
      <alignment horizontal="center" vertical="center"/>
    </xf>
    <xf numFmtId="0" fontId="7" fillId="34" borderId="1" applyAlignment="1" pivotButton="0" quotePrefix="0" xfId="0">
      <alignment horizontal="center" vertical="center"/>
    </xf>
    <xf numFmtId="165" fontId="0" fillId="0" borderId="0" pivotButton="0" quotePrefix="0" xfId="0"/>
    <xf numFmtId="0" fontId="7" fillId="36" borderId="1" applyAlignment="1" pivotButton="0" quotePrefix="0" xfId="0">
      <alignment horizontal="center" vertical="center"/>
    </xf>
    <xf numFmtId="0" fontId="1" fillId="35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</cellXfs>
  <cellStyles count="2">
    <cellStyle name="Normal" xfId="0" builtinId="0" hidden="0"/>
    <cellStyle name="percentage_style" xfId="1" hidden="0"/>
  </cellStyles>
  <dxfs count="8">
    <dxf>
      <font>
        <color rgb="00FFFFFF"/>
      </font>
      <fill>
        <patternFill patternType="solid">
          <fgColor rgb="0000B050"/>
          <bgColor rgb="0000B050"/>
        </patternFill>
      </fill>
    </dxf>
    <dxf>
      <font>
        <color rgb="00000000"/>
      </font>
      <fill>
        <patternFill patternType="solid">
          <fgColor rgb="0092D050"/>
          <bgColor rgb="0092D050"/>
        </patternFill>
      </fill>
    </dxf>
    <dxf>
      <font>
        <color rgb="00000000"/>
      </font>
      <fill>
        <patternFill patternType="solid">
          <fgColor rgb="00ED7D31"/>
          <bgColor rgb="00ED7D31"/>
        </patternFill>
      </fill>
    </dxf>
    <dxf>
      <font>
        <color rgb="00FFFFFF"/>
      </font>
      <fill>
        <patternFill patternType="solid">
          <fgColor rgb="004472C4"/>
          <bgColor rgb="004472C4"/>
        </patternFill>
      </fill>
    </dxf>
    <dxf>
      <font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D1B2E8"/>
          <bgColor rgb="00D1B2E8"/>
        </patternFill>
      </fill>
    </dxf>
    <dxf>
      <fill>
        <patternFill patternType="solid">
          <fgColor rgb="00FF8F8F"/>
          <bgColor rgb="00FF8F8F"/>
        </patternFill>
      </fill>
    </dxf>
    <dxf>
      <fill>
        <patternFill patternType="solid">
          <fgColor rgb="00FFDA65"/>
          <bgColor rgb="00FFDA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BX4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5" max="5"/>
    <col width="10" customWidth="1" min="6" max="6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10" customWidth="1" min="46" max="46"/>
    <col width="8" customWidth="1" min="47" max="47"/>
    <col width="8" customWidth="1" min="48" max="48"/>
    <col width="8" customWidth="1" min="49" max="49"/>
    <col width="10" customWidth="1" min="50" max="50"/>
    <col width="8" customWidth="1" min="51" max="51"/>
    <col width="8" customWidth="1" min="52" max="52"/>
    <col width="9" customWidth="1" min="53" max="53"/>
    <col width="8" customWidth="1" min="54" max="54"/>
    <col width="10" customWidth="1" min="55" max="55"/>
    <col width="8" customWidth="1" min="56" max="56"/>
    <col width="8" customWidth="1" min="57" max="57"/>
    <col width="9" customWidth="1" min="58" max="58"/>
    <col width="8" customWidth="1" min="59" max="59"/>
    <col width="10" customWidth="1" min="60" max="60"/>
    <col width="8" customWidth="1" min="61" max="61"/>
    <col width="8" customWidth="1" min="62" max="62"/>
    <col width="9" customWidth="1" min="63" max="63"/>
    <col width="8" customWidth="1" min="64" max="64"/>
    <col width="8" customWidth="1" min="65" max="65"/>
    <col width="8" customWidth="1" min="66" max="66"/>
    <col width="9" customWidth="1" min="67" max="67"/>
    <col width="8" customWidth="1" min="68" max="68"/>
    <col width="8" customWidth="1" min="69" max="69"/>
    <col width="8" customWidth="1" min="70" max="70"/>
  </cols>
  <sheetData>
    <row r="1" ht="25" customHeight="1">
      <c r="A1" s="1" t="inlineStr">
        <is>
          <t>Istimewa</t>
        </is>
      </c>
      <c r="B1" s="2">
        <f>COUNTIF($E$10:$E$43,A1)</f>
        <v/>
      </c>
    </row>
    <row r="2" ht="25" customHeight="1">
      <c r="A2" s="3" t="inlineStr">
        <is>
          <t>Baik Sekali</t>
        </is>
      </c>
      <c r="B2" s="2">
        <f>COUNTIF($E$10:$E$43,A2)</f>
        <v/>
      </c>
    </row>
    <row r="3" ht="25" customHeight="1">
      <c r="A3" s="4" t="inlineStr">
        <is>
          <t>Baik</t>
        </is>
      </c>
      <c r="B3" s="2">
        <f>COUNTIF($E$10:$E$43,A3)</f>
        <v/>
      </c>
    </row>
    <row r="4" ht="25" customHeight="1">
      <c r="A4" s="5" t="inlineStr">
        <is>
          <t>Cukup</t>
        </is>
      </c>
      <c r="B4" s="2">
        <f>COUNTIF($E$10:$E$43,A4)</f>
        <v/>
      </c>
    </row>
    <row r="5" ht="25" customHeight="1">
      <c r="A5" s="6" t="inlineStr">
        <is>
          <t>Kurang</t>
        </is>
      </c>
      <c r="B5" s="2">
        <f>COUNTIF($E$10:$E$43,A5)</f>
        <v/>
      </c>
    </row>
    <row r="6">
      <c r="O6" s="7" t="n">
        <v>0.85</v>
      </c>
      <c r="P6" s="7" t="n">
        <v>0.357</v>
      </c>
      <c r="Q6" s="7" t="n">
        <v>0.2465</v>
      </c>
      <c r="R6" s="7" t="n">
        <v>0.2465</v>
      </c>
      <c r="S6" s="8" t="n">
        <v>4</v>
      </c>
      <c r="T6" s="8" t="n">
        <v>8</v>
      </c>
      <c r="U6" s="8" t="n">
        <v>10</v>
      </c>
      <c r="V6" s="8" t="n">
        <v>13</v>
      </c>
      <c r="AE6" s="7" t="n">
        <v>0.3</v>
      </c>
      <c r="AH6" s="7" t="n">
        <v>0.3</v>
      </c>
      <c r="AK6" s="7" t="n">
        <v>0.4</v>
      </c>
      <c r="AN6" s="7" t="n">
        <v>0.5</v>
      </c>
      <c r="AQ6" s="7" t="n">
        <v>0.95</v>
      </c>
      <c r="AT6" s="7" t="n">
        <v>0.3</v>
      </c>
      <c r="AW6" s="8" t="n">
        <v>2</v>
      </c>
      <c r="AX6" s="8" t="n">
        <v>4</v>
      </c>
      <c r="AY6" s="8" t="n">
        <v>15</v>
      </c>
      <c r="AZ6" s="8" t="n">
        <v>48</v>
      </c>
      <c r="BA6" s="8" t="n">
        <v>96</v>
      </c>
      <c r="BL6" s="7" t="n">
        <v>0.3</v>
      </c>
      <c r="BO6" s="7" t="n">
        <v>0.3</v>
      </c>
      <c r="BR6" s="7" t="n">
        <v>0.4</v>
      </c>
    </row>
    <row r="7">
      <c r="A7" s="9" t="inlineStr">
        <is>
          <t>Regional</t>
        </is>
      </c>
      <c r="B7" s="9" t="inlineStr">
        <is>
          <t>NOP</t>
        </is>
      </c>
      <c r="C7" s="10" t="inlineStr">
        <is>
          <t>Rank</t>
        </is>
      </c>
      <c r="D7" s="10" t="inlineStr">
        <is>
          <t>Total KPI</t>
        </is>
      </c>
      <c r="E7" s="10" t="inlineStr">
        <is>
          <t>Category</t>
        </is>
      </c>
      <c r="F7" s="11" t="inlineStr">
        <is>
          <t>Bonus</t>
        </is>
      </c>
      <c r="G7" s="12" t="inlineStr">
        <is>
          <t>KPI AVAIL</t>
        </is>
      </c>
      <c r="H7" s="13" t="inlineStr">
        <is>
          <t>AVAILABILITY</t>
        </is>
      </c>
      <c r="O7" s="14" t="inlineStr">
        <is>
          <t>KPI Ticket Handling</t>
        </is>
      </c>
      <c r="S7" s="15" t="inlineStr">
        <is>
          <t>INCIDENT HANDLING</t>
        </is>
      </c>
      <c r="AW7" s="16" t="inlineStr">
        <is>
          <t>EVENT HANDLING</t>
        </is>
      </c>
      <c r="BO7" s="17" t="n"/>
      <c r="BU7" s="18" t="inlineStr">
        <is>
          <t>Activity &amp; Alarm Handling</t>
        </is>
      </c>
    </row>
    <row r="8">
      <c r="H8" s="19" t="inlineStr">
        <is>
          <t>Class Diamond</t>
        </is>
      </c>
      <c r="I8" s="19" t="inlineStr">
        <is>
          <t>Class Platinum</t>
        </is>
      </c>
      <c r="J8" s="19" t="inlineStr">
        <is>
          <t>Class Gold</t>
        </is>
      </c>
      <c r="K8" s="19" t="inlineStr">
        <is>
          <t>Class Silver</t>
        </is>
      </c>
      <c r="L8" s="19" t="inlineStr">
        <is>
          <t>Class Bronze</t>
        </is>
      </c>
      <c r="M8" s="19" t="inlineStr">
        <is>
          <t>Achieved Target Availability</t>
        </is>
      </c>
      <c r="N8" s="20" t="inlineStr">
        <is>
          <t>Total Score KPI Availability</t>
        </is>
      </c>
      <c r="O8" s="14" t="inlineStr">
        <is>
          <t>Total</t>
        </is>
      </c>
      <c r="P8" s="14" t="inlineStr">
        <is>
          <t>KPI Incident</t>
        </is>
      </c>
      <c r="Q8" s="14" t="inlineStr">
        <is>
          <t>KPI Event</t>
        </is>
      </c>
      <c r="R8" s="14" t="inlineStr">
        <is>
          <t>KPI Act</t>
        </is>
      </c>
      <c r="S8" s="21" t="inlineStr">
        <is>
          <t>MTTR P90</t>
        </is>
      </c>
      <c r="W8" s="21" t="inlineStr">
        <is>
          <t>Skor</t>
        </is>
      </c>
      <c r="AA8" s="21" t="inlineStr">
        <is>
          <t>KPI</t>
        </is>
      </c>
      <c r="AE8" s="10" t="inlineStr">
        <is>
          <t>TO High Crit Maj</t>
        </is>
      </c>
      <c r="AF8" s="10" t="inlineStr">
        <is>
          <t>Skor</t>
        </is>
      </c>
      <c r="AG8" s="10" t="inlineStr">
        <is>
          <t>KPI</t>
        </is>
      </c>
      <c r="AH8" s="22" t="inlineStr">
        <is>
          <t>TO Low Min Low</t>
        </is>
      </c>
      <c r="AI8" s="22" t="inlineStr">
        <is>
          <t>Skor</t>
        </is>
      </c>
      <c r="AJ8" s="22" t="inlineStr">
        <is>
          <t>KPI</t>
        </is>
      </c>
      <c r="AK8" s="23" t="inlineStr">
        <is>
          <t>Visit</t>
        </is>
      </c>
      <c r="AL8" s="23" t="inlineStr">
        <is>
          <t>Skor</t>
        </is>
      </c>
      <c r="AM8" s="23" t="inlineStr">
        <is>
          <t>KPI</t>
        </is>
      </c>
      <c r="AN8" s="24" t="inlineStr">
        <is>
          <t>Top 5</t>
        </is>
      </c>
      <c r="AO8" s="24" t="inlineStr">
        <is>
          <t>Skor</t>
        </is>
      </c>
      <c r="AP8" s="24" t="inlineStr">
        <is>
          <t>KPI</t>
        </is>
      </c>
      <c r="AQ8" s="25" t="inlineStr">
        <is>
          <t>Closing</t>
        </is>
      </c>
      <c r="AR8" s="25" t="inlineStr">
        <is>
          <t>Skor</t>
        </is>
      </c>
      <c r="AS8" s="25" t="inlineStr">
        <is>
          <t>KPI</t>
        </is>
      </c>
      <c r="AT8" s="26" t="inlineStr">
        <is>
          <t>RCA Validation</t>
        </is>
      </c>
      <c r="AU8" s="26" t="inlineStr">
        <is>
          <t>Skor</t>
        </is>
      </c>
      <c r="AV8" s="26" t="inlineStr">
        <is>
          <t>KPI</t>
        </is>
      </c>
      <c r="AW8" s="27" t="inlineStr">
        <is>
          <t>MTTR P90</t>
        </is>
      </c>
      <c r="BB8" s="27" t="inlineStr">
        <is>
          <t>Skor</t>
        </is>
      </c>
      <c r="BG8" s="27" t="inlineStr">
        <is>
          <t>KPI</t>
        </is>
      </c>
      <c r="BI8" s="28" t="n"/>
      <c r="BJ8" s="28" t="n"/>
      <c r="BK8" s="28" t="n"/>
      <c r="BL8" s="29" t="inlineStr">
        <is>
          <t>TO High Crit Maj</t>
        </is>
      </c>
      <c r="BM8" s="29" t="inlineStr">
        <is>
          <t>Skor</t>
        </is>
      </c>
      <c r="BN8" s="29" t="inlineStr">
        <is>
          <t>KPI</t>
        </is>
      </c>
      <c r="BO8" s="30" t="inlineStr">
        <is>
          <t>TO Low Min Low</t>
        </is>
      </c>
      <c r="BP8" s="30" t="inlineStr">
        <is>
          <t>Skor</t>
        </is>
      </c>
      <c r="BQ8" s="30" t="inlineStr">
        <is>
          <t>KPI</t>
        </is>
      </c>
      <c r="BR8" s="31" t="inlineStr">
        <is>
          <t>Visit</t>
        </is>
      </c>
      <c r="BS8" s="14" t="inlineStr">
        <is>
          <t>Skor</t>
        </is>
      </c>
      <c r="BT8" s="14" t="inlineStr">
        <is>
          <t>KPI</t>
        </is>
      </c>
      <c r="BU8" s="32" t="inlineStr">
        <is>
          <t>KPI 4.1</t>
        </is>
      </c>
      <c r="BV8" s="32" t="inlineStr">
        <is>
          <t>KPI 4.2</t>
        </is>
      </c>
      <c r="BW8" s="32" t="inlineStr">
        <is>
          <t>KPI 5.1</t>
        </is>
      </c>
      <c r="BX8" s="32" t="inlineStr">
        <is>
          <t>KPI 5.2</t>
        </is>
      </c>
    </row>
    <row r="9">
      <c r="S9" s="33" t="inlineStr">
        <is>
          <t>Crit</t>
        </is>
      </c>
      <c r="T9" s="33" t="inlineStr">
        <is>
          <t>Maj</t>
        </is>
      </c>
      <c r="U9" s="33" t="inlineStr">
        <is>
          <t>Min</t>
        </is>
      </c>
      <c r="V9" s="33" t="inlineStr">
        <is>
          <t>Low</t>
        </is>
      </c>
      <c r="W9" s="33" t="inlineStr">
        <is>
          <t>Crit</t>
        </is>
      </c>
      <c r="X9" s="33" t="inlineStr">
        <is>
          <t>Maj</t>
        </is>
      </c>
      <c r="Y9" s="33" t="inlineStr">
        <is>
          <t>Min</t>
        </is>
      </c>
      <c r="Z9" s="33" t="inlineStr">
        <is>
          <t>Low</t>
        </is>
      </c>
      <c r="AA9" s="33" t="inlineStr">
        <is>
          <t>Crit</t>
        </is>
      </c>
      <c r="AB9" s="33" t="inlineStr">
        <is>
          <t>Maj</t>
        </is>
      </c>
      <c r="AC9" s="33" t="inlineStr">
        <is>
          <t>Min</t>
        </is>
      </c>
      <c r="AD9" s="33" t="inlineStr">
        <is>
          <t>Low</t>
        </is>
      </c>
      <c r="AT9" s="28" t="n"/>
      <c r="AU9" s="28" t="n"/>
      <c r="AV9" s="28" t="n"/>
      <c r="AW9" s="34" t="inlineStr">
        <is>
          <t>Crit</t>
        </is>
      </c>
      <c r="AX9" s="34" t="inlineStr">
        <is>
          <t>Maj</t>
        </is>
      </c>
      <c r="AY9" s="34" t="inlineStr">
        <is>
          <t>Min</t>
        </is>
      </c>
      <c r="AZ9" s="34" t="inlineStr">
        <is>
          <t>Low</t>
        </is>
      </c>
      <c r="BA9" s="34" t="inlineStr">
        <is>
          <t>Very Low</t>
        </is>
      </c>
      <c r="BB9" s="34" t="inlineStr">
        <is>
          <t>Crit</t>
        </is>
      </c>
      <c r="BC9" s="34" t="inlineStr">
        <is>
          <t>Maj</t>
        </is>
      </c>
      <c r="BD9" s="34" t="inlineStr">
        <is>
          <t>Min</t>
        </is>
      </c>
      <c r="BE9" s="34" t="inlineStr">
        <is>
          <t>Low</t>
        </is>
      </c>
      <c r="BF9" s="34" t="inlineStr">
        <is>
          <t>Very Low</t>
        </is>
      </c>
      <c r="BG9" s="34" t="inlineStr">
        <is>
          <t>Crit</t>
        </is>
      </c>
      <c r="BH9" s="34" t="inlineStr">
        <is>
          <t>Maj</t>
        </is>
      </c>
      <c r="BI9" s="35" t="inlineStr">
        <is>
          <t>Min</t>
        </is>
      </c>
      <c r="BJ9" s="35" t="inlineStr">
        <is>
          <t>Low</t>
        </is>
      </c>
      <c r="BK9" s="35" t="inlineStr">
        <is>
          <t>Very Low</t>
        </is>
      </c>
    </row>
    <row r="10">
      <c r="A10" t="inlineStr">
        <is>
          <t>R01_Sumbagut</t>
        </is>
      </c>
      <c r="B10" t="inlineStr">
        <is>
          <t>NOP ACEH</t>
        </is>
      </c>
      <c r="C10" s="36">
        <f>RANK(D10,$D$10:$D$43,0)</f>
        <v/>
      </c>
      <c r="D10" s="37">
        <f>(G10*0.35)+(O10*65%)</f>
        <v/>
      </c>
      <c r="E10" s="36">
        <f>IF(D10&gt;=0.95,"Istimewa",IF(D10&gt;0.9,"Baik Sekali",IF(D10&gt;0.85,"Baik",IF(D10&gt;0.8,"Cukup","Kurang"))))</f>
        <v/>
      </c>
      <c r="F10" s="37">
        <f>0.29*0.65</f>
        <v/>
      </c>
      <c r="G10" s="37">
        <f>N10</f>
        <v/>
      </c>
      <c r="H10" s="37">
        <f>VLOOKUP(B10,'KPI Availability'!B:O,14,)</f>
        <v/>
      </c>
      <c r="I10" s="37">
        <f>VLOOKUP(B10,'KPI Availability'!B:P,15,)</f>
        <v/>
      </c>
      <c r="J10" s="37">
        <f>VLOOKUP(B10,'KPI Availability'!B:Q,16,)</f>
        <v/>
      </c>
      <c r="K10" s="37">
        <f>VLOOKUP(B10,'KPI Availability'!B:R,17,)</f>
        <v/>
      </c>
      <c r="L10" s="37">
        <f>VLOOKUP(B10,'KPI Availability'!B:S,18,)</f>
        <v/>
      </c>
      <c r="M10" s="37">
        <f>VLOOKUP(B10,'KPI Availability'!B:T,19,)</f>
        <v/>
      </c>
      <c r="N10" s="37">
        <f>SUM(H10:M10)</f>
        <v/>
      </c>
      <c r="O10" s="37">
        <f>P10+Q10+R10</f>
        <v/>
      </c>
      <c r="P10" s="37">
        <f>SUM(AA10:AD10,AG10,AJ10,AM10,AP10,AS10,AV10)</f>
        <v/>
      </c>
      <c r="Q10" s="37">
        <f>SUM(BG10:BK10,BN10,BQ10,BT10)</f>
        <v/>
      </c>
      <c r="R10" s="37">
        <f>SUM(BU10:BX10)</f>
        <v/>
      </c>
      <c r="S10" s="38">
        <f>VLOOKUP(B10,'KPI Ticketing'!B:C,2,)</f>
        <v/>
      </c>
      <c r="T10" s="38">
        <f>VLOOKUP(B10,'KPI Ticketing'!B:D,3,)</f>
        <v/>
      </c>
      <c r="U10" s="38">
        <f>VLOOKUP(B10,'KPI Ticketing'!B:E,4,)</f>
        <v/>
      </c>
      <c r="V10" s="38">
        <f>VLOOKUP(B10,'KPI Ticketing'!B:F,5,)</f>
        <v/>
      </c>
      <c r="W10" s="37">
        <f>IF(S10&lt;=4,100%,IF(S10&lt;=6,70%,IF(S10&lt;=8,40%,10%)))</f>
        <v/>
      </c>
      <c r="X10" s="37">
        <f>IF(T10&lt;=8,100%,IF(T10&lt;=12,50%,25%))</f>
        <v/>
      </c>
      <c r="Y10" s="37">
        <f>IF(U10&lt;=10,100%,IF(U10&lt;=15,50%,25%))</f>
        <v/>
      </c>
      <c r="Z10" s="37">
        <f>IF(V10&lt;=13,100%,IF(V10&lt;=19,50%,25%))</f>
        <v/>
      </c>
      <c r="AA10" s="37">
        <f>W10*0.13</f>
        <v/>
      </c>
      <c r="AB10" s="37">
        <f>X10*0.06</f>
        <v/>
      </c>
      <c r="AC10" s="37">
        <f>Y10*0.04</f>
        <v/>
      </c>
      <c r="AD10" s="37">
        <f>Z10*0.02</f>
        <v/>
      </c>
      <c r="AE10" s="37">
        <f>VLOOKUP(B10,'KPI Ticketing'!B:N,13,)</f>
        <v/>
      </c>
      <c r="AF10" s="37">
        <f>IF(AE10&gt;=0.8,1,IF(AE10&gt;=0.7,0.9,IF(AE10&gt;=0.6,0.8,IF(AE10&gt;=0.5,0.7,IF(AE10&gt;=0.4,0.6,IF(AE10&gt;=0.3,0.5,IF(AE10&gt;=0.2,0.4,IF(AE10&gt;=0.1,0.3,0.2))))))))</f>
        <v/>
      </c>
      <c r="AG10" s="37">
        <f>AF10*0.03</f>
        <v/>
      </c>
      <c r="AH10" s="37">
        <f>VLOOKUP(B10,'KPI Ticketing'!B:R,17,)</f>
        <v/>
      </c>
      <c r="AI10" s="37">
        <f>IF(AH10&gt;=0.8,1,IF(AH10&gt;=0.7,0.9,IF(AH10&gt;=0.6,0.8,IF(AH10&gt;=0.5,0.7,IF(AH10&gt;=0.4,0.6,IF(AH10&gt;=0.3,0.5,IF(AH10&gt;=0.2,0.4,IF(AH10&gt;=0.1,0.3,0.2))))))))</f>
        <v/>
      </c>
      <c r="AJ10" s="37">
        <f>AI10*0.02</f>
        <v/>
      </c>
      <c r="AK10" s="37">
        <f>VLOOKUP(B10,'KPI Ticketing'!B:V,21,)</f>
        <v/>
      </c>
      <c r="AL10" s="37">
        <f>IF(AK10&gt;=0.9,1,IF(AK10&gt;=0.8,0.9,IF(AK10&gt;=0.7,0.8,IF(AK10&gt;=0.6,0.7,IF(AK10&gt;=0.5,0.6,IF(AK10&gt;=0.4,0.5,IF(AK10&gt;=0.3,0.4,IF(AK10&gt;=0.2,0.3,IF(AK10&gt;=0.1,0.2,0.1)))))))))</f>
        <v/>
      </c>
      <c r="AM10" s="37">
        <f>AL10*0.05</f>
        <v/>
      </c>
      <c r="AN10" s="37">
        <f>VLOOKUP(B10,'KPI Ticketing'!B:Z,25,)</f>
        <v/>
      </c>
      <c r="AO10" s="37">
        <f>IF(AN10&gt;=0.95,1,IF(AN10&gt;=0.9,0.9,IF(AN10&gt;=0.8,0.8,IF(AN10&gt;=0.7,0.7,IF(AN10&gt;=0.6,0.6,IF(AN10&gt;=0.5,0.5,IF(AN10&gt;=0.4,0.4,IF(AN10&gt;=0.3,0.3,IF(AN10&gt;=0.2,0.2,IF(AN10&gt;=0.1,0.1,0.05))))))))))</f>
        <v/>
      </c>
      <c r="AP10" s="37">
        <f>AO10*0.05</f>
        <v/>
      </c>
      <c r="AQ10" s="37">
        <f>VLOOKUP(B10,'KPI Ticketing'!B:AC,28,)</f>
        <v/>
      </c>
      <c r="AR10" s="37">
        <f>IF(AQ10&lt;0.95,0.5,1)</f>
        <v/>
      </c>
      <c r="AS10" s="37">
        <f>AR10*0.01</f>
        <v/>
      </c>
      <c r="AT10" s="37">
        <f>VLOOKUP(B10,'KPI Ticketing'!B:AG,32,)</f>
        <v/>
      </c>
      <c r="AU10" s="37">
        <f>IF(AT10&lt;0.3,0.5,1)</f>
        <v/>
      </c>
      <c r="AV10" s="37">
        <f>AU10*0.01</f>
        <v/>
      </c>
      <c r="AW10" s="38">
        <f>VLOOKUP(B10,'KPI Ticketing'!B:AH,33,)</f>
        <v/>
      </c>
      <c r="AX10" s="38">
        <f>VLOOKUP(B10,'KPI Ticketing'!B:AI,34,)</f>
        <v/>
      </c>
      <c r="AY10" s="38">
        <f>VLOOKUP(B10,'KPI Ticketing'!B:AJ,35,)</f>
        <v/>
      </c>
      <c r="AZ10" s="38">
        <f>VLOOKUP(B10,'KPI Ticketing'!B:AK,36,)</f>
        <v/>
      </c>
      <c r="BA10" s="38">
        <f>VLOOKUP(B10,'KPI Ticketing'!B:AL,37,)</f>
        <v/>
      </c>
      <c r="BB10" s="37">
        <f>IF(AW10&lt;=2,1,IF(AW10&lt;=3,0.7,IF(AW10&lt;=4,0.4,0.1)))</f>
        <v/>
      </c>
      <c r="BC10" s="37">
        <f>IF(AX10&lt;=4,1,IF(AX10&lt;=6,0.5,0.25))</f>
        <v/>
      </c>
      <c r="BD10" s="37">
        <f>IF(AY10&lt;=15,1,IF(AY10&lt;=22.5,0.5,0.25))</f>
        <v/>
      </c>
      <c r="BE10" s="37">
        <f>IF(AZ10&lt;=48,1,IF(AZ10&lt;=72,0.5,0.25))</f>
        <v/>
      </c>
      <c r="BF10" s="37">
        <f>IF(BA10=0, 0, IF(BA10&lt;=96, 1, IF(BA10&lt;=144, 0.5, 0.25)))</f>
        <v/>
      </c>
      <c r="BG10" s="37">
        <f>BB10*0.1</f>
        <v/>
      </c>
      <c r="BH10" s="37">
        <f>BC10*0.05</f>
        <v/>
      </c>
      <c r="BI10" s="37">
        <f>BD10*0.02</f>
        <v/>
      </c>
      <c r="BJ10" s="37">
        <f>BE10*0.01</f>
        <v/>
      </c>
      <c r="BK10" s="37">
        <f>BF10*0.01</f>
        <v/>
      </c>
      <c r="BL10" s="37">
        <f>VLOOKUP(B10,'KPI Ticketing'!B:AT,45,)</f>
        <v/>
      </c>
      <c r="BM10" s="37">
        <f>IF(BL10&gt;=0.8,1,IF(BL10&gt;=0.7,0.9,IF(BL10&gt;=0.6,0.8,IF(BL10&gt;=0.5,0.7,IF(BL10&gt;=0.4,0.6,IF(BL10&gt;=0.3,0.5,IF(BL10&gt;=0.2,0.4,IF(BL10&gt;=0.1,0.3,0.2))))))))</f>
        <v/>
      </c>
      <c r="BN10" s="37">
        <f>BM10*0.03</f>
        <v/>
      </c>
      <c r="BO10" s="37">
        <f>VLOOKUP(B10,'KPI Ticketing'!B:AX,49,)</f>
        <v/>
      </c>
      <c r="BP10" s="37">
        <f>IF(BO10&gt;=0.8,1,IF(BO10&gt;=0.7,0.9,IF(BO10&gt;=0.6,0.8,IF(BO10&gt;=0.5,0.7,IF(BO10&gt;=0.4,0.6,IF(BO10&gt;=0.3,0.5,IF(BO10&gt;=0.2,0.4,IF(BO10&gt;=0.1,0.3,0.2))))))))</f>
        <v/>
      </c>
      <c r="BQ10" s="37">
        <f>BP10*0.02</f>
        <v/>
      </c>
      <c r="BR10" s="37">
        <f>VLOOKUP(B10,'KPI Ticketing'!B:BB,53,)</f>
        <v/>
      </c>
      <c r="BS10" s="37">
        <f>IF(BR10&gt;=0.9,1,IF(BR10&gt;=0.8,0.9,IF(BR10&gt;=0.7,0.8,IF(BR10&gt;=0.6,0.7,IF(BR10&gt;=0.5,0.6,IF(BR10&gt;=0.4,0.5,IF(BR10&gt;=0.3,0.4,IF(BR10&gt;=0.2,0.3,IF(BR10&gt;=0.1,0.2,0.1)))))))))</f>
        <v/>
      </c>
      <c r="BT10" s="37">
        <f>BS10*0.05</f>
        <v/>
      </c>
      <c r="BU10" s="39" t="n">
        <v>0.08</v>
      </c>
      <c r="BV10" s="39" t="n">
        <v>0.06</v>
      </c>
      <c r="BW10" s="39" t="n">
        <v>0.09</v>
      </c>
      <c r="BX10" s="39" t="n">
        <v>0.06</v>
      </c>
    </row>
    <row r="11">
      <c r="A11" t="inlineStr">
        <is>
          <t>R01_Sumbagut</t>
        </is>
      </c>
      <c r="B11" t="inlineStr">
        <is>
          <t>NOP BINJAI</t>
        </is>
      </c>
      <c r="C11" s="36">
        <f>RANK(D11,$D$10:$D$43,0)</f>
        <v/>
      </c>
      <c r="D11" s="37">
        <f>(G11*0.35)+(O11*65%)</f>
        <v/>
      </c>
      <c r="E11" s="36">
        <f>IF(D11&gt;=0.95,"Istimewa",IF(D11&gt;0.9,"Baik Sekali",IF(D11&gt;0.85,"Baik",IF(D11&gt;0.8,"Cukup","Kurang"))))</f>
        <v/>
      </c>
      <c r="F11" s="37">
        <f>0.29*0.65</f>
        <v/>
      </c>
      <c r="G11" s="37">
        <f>N11</f>
        <v/>
      </c>
      <c r="H11" s="37">
        <f>VLOOKUP(B11,'KPI Availability'!B:O,14,)</f>
        <v/>
      </c>
      <c r="I11" s="37">
        <f>VLOOKUP(B11,'KPI Availability'!B:P,15,)</f>
        <v/>
      </c>
      <c r="J11" s="37">
        <f>VLOOKUP(B11,'KPI Availability'!B:Q,16,)</f>
        <v/>
      </c>
      <c r="K11" s="37">
        <f>VLOOKUP(B11,'KPI Availability'!B:R,17,)</f>
        <v/>
      </c>
      <c r="L11" s="37">
        <f>VLOOKUP(B11,'KPI Availability'!B:S,18,)</f>
        <v/>
      </c>
      <c r="M11" s="37">
        <f>VLOOKUP(B11,'KPI Availability'!B:T,19,)</f>
        <v/>
      </c>
      <c r="N11" s="37">
        <f>SUM(H11:M11)</f>
        <v/>
      </c>
      <c r="O11" s="37">
        <f>P11+Q11+R11</f>
        <v/>
      </c>
      <c r="P11" s="37">
        <f>SUM(AA11:AD11,AG11,AJ11,AM11,AP11,AS11,AV11)</f>
        <v/>
      </c>
      <c r="Q11" s="37">
        <f>SUM(BG11:BK11,BN11,BQ11,BT11)</f>
        <v/>
      </c>
      <c r="R11" s="37">
        <f>SUM(BU11:BX11)</f>
        <v/>
      </c>
      <c r="S11" s="38">
        <f>VLOOKUP(B11,'KPI Ticketing'!B:C,2,)</f>
        <v/>
      </c>
      <c r="T11" s="38">
        <f>VLOOKUP(B11,'KPI Ticketing'!B:D,3,)</f>
        <v/>
      </c>
      <c r="U11" s="38">
        <f>VLOOKUP(B11,'KPI Ticketing'!B:E,4,)</f>
        <v/>
      </c>
      <c r="V11" s="38">
        <f>VLOOKUP(B11,'KPI Ticketing'!B:F,5,)</f>
        <v/>
      </c>
      <c r="W11" s="37">
        <f>IF(S11&lt;=4,100%,IF(S11&lt;=6,70%,IF(S11&lt;=8,40%,10%)))</f>
        <v/>
      </c>
      <c r="X11" s="37">
        <f>IF(T11&lt;=8,100%,IF(T11&lt;=12,50%,25%))</f>
        <v/>
      </c>
      <c r="Y11" s="37">
        <f>IF(U11&lt;=10,100%,IF(U11&lt;=15,50%,25%))</f>
        <v/>
      </c>
      <c r="Z11" s="37">
        <f>IF(V11&lt;=13,100%,IF(V11&lt;=19,50%,25%))</f>
        <v/>
      </c>
      <c r="AA11" s="37">
        <f>W11*0.13</f>
        <v/>
      </c>
      <c r="AB11" s="37">
        <f>X11*0.06</f>
        <v/>
      </c>
      <c r="AC11" s="37">
        <f>Y11*0.04</f>
        <v/>
      </c>
      <c r="AD11" s="37">
        <f>Z11*0.02</f>
        <v/>
      </c>
      <c r="AE11" s="37">
        <f>VLOOKUP(B11,'KPI Ticketing'!B:N,13,)</f>
        <v/>
      </c>
      <c r="AF11" s="37">
        <f>IF(AE11&gt;=0.8,1,IF(AE11&gt;=0.7,0.9,IF(AE11&gt;=0.6,0.8,IF(AE11&gt;=0.5,0.7,IF(AE11&gt;=0.4,0.6,IF(AE11&gt;=0.3,0.5,IF(AE11&gt;=0.2,0.4,IF(AE11&gt;=0.1,0.3,0.2))))))))</f>
        <v/>
      </c>
      <c r="AG11" s="37">
        <f>AF11*0.03</f>
        <v/>
      </c>
      <c r="AH11" s="37">
        <f>VLOOKUP(B11,'KPI Ticketing'!B:R,17,)</f>
        <v/>
      </c>
      <c r="AI11" s="37">
        <f>IF(AH11&gt;=0.8,1,IF(AH11&gt;=0.7,0.9,IF(AH11&gt;=0.6,0.8,IF(AH11&gt;=0.5,0.7,IF(AH11&gt;=0.4,0.6,IF(AH11&gt;=0.3,0.5,IF(AH11&gt;=0.2,0.4,IF(AH11&gt;=0.1,0.3,0.2))))))))</f>
        <v/>
      </c>
      <c r="AJ11" s="37">
        <f>AI11*0.02</f>
        <v/>
      </c>
      <c r="AK11" s="37">
        <f>VLOOKUP(B11,'KPI Ticketing'!B:V,21,)</f>
        <v/>
      </c>
      <c r="AL11" s="37">
        <f>IF(AK11&gt;=0.9,1,IF(AK11&gt;=0.8,0.9,IF(AK11&gt;=0.7,0.8,IF(AK11&gt;=0.6,0.7,IF(AK11&gt;=0.5,0.6,IF(AK11&gt;=0.4,0.5,IF(AK11&gt;=0.3,0.4,IF(AK11&gt;=0.2,0.3,IF(AK11&gt;=0.1,0.2,0.1)))))))))</f>
        <v/>
      </c>
      <c r="AM11" s="37">
        <f>AL11*0.05</f>
        <v/>
      </c>
      <c r="AN11" s="37">
        <f>VLOOKUP(B11,'KPI Ticketing'!B:Z,25,)</f>
        <v/>
      </c>
      <c r="AO11" s="37">
        <f>IF(AN11&gt;=0.95,1,IF(AN11&gt;=0.9,0.9,IF(AN11&gt;=0.8,0.8,IF(AN11&gt;=0.7,0.7,IF(AN11&gt;=0.6,0.6,IF(AN11&gt;=0.5,0.5,IF(AN11&gt;=0.4,0.4,IF(AN11&gt;=0.3,0.3,IF(AN11&gt;=0.2,0.2,IF(AN11&gt;=0.1,0.1,0.05))))))))))</f>
        <v/>
      </c>
      <c r="AP11" s="37">
        <f>AO11*0.05</f>
        <v/>
      </c>
      <c r="AQ11" s="37">
        <f>VLOOKUP(B11,'KPI Ticketing'!B:AC,28,)</f>
        <v/>
      </c>
      <c r="AR11" s="37">
        <f>IF(AQ11&lt;0.95,0.5,1)</f>
        <v/>
      </c>
      <c r="AS11" s="37">
        <f>AR11*0.01</f>
        <v/>
      </c>
      <c r="AT11" s="37">
        <f>VLOOKUP(B11,'KPI Ticketing'!B:AG,32,)</f>
        <v/>
      </c>
      <c r="AU11" s="37">
        <f>IF(AT11&lt;0.3,0.5,1)</f>
        <v/>
      </c>
      <c r="AV11" s="37">
        <f>AU11*0.01</f>
        <v/>
      </c>
      <c r="AW11" s="38">
        <f>VLOOKUP(B11,'KPI Ticketing'!B:AH,33,)</f>
        <v/>
      </c>
      <c r="AX11" s="38">
        <f>VLOOKUP(B11,'KPI Ticketing'!B:AI,34,)</f>
        <v/>
      </c>
      <c r="AY11" s="38">
        <f>VLOOKUP(B11,'KPI Ticketing'!B:AJ,35,)</f>
        <v/>
      </c>
      <c r="AZ11" s="38">
        <f>VLOOKUP(B11,'KPI Ticketing'!B:AK,36,)</f>
        <v/>
      </c>
      <c r="BA11" s="38">
        <f>VLOOKUP(B11,'KPI Ticketing'!B:AL,37,)</f>
        <v/>
      </c>
      <c r="BB11" s="37">
        <f>IF(AW11&lt;=2,1,IF(AW11&lt;=3,0.7,IF(AW11&lt;=4,0.4,0.1)))</f>
        <v/>
      </c>
      <c r="BC11" s="37">
        <f>IF(AX11&lt;=4,1,IF(AX11&lt;=6,0.5,0.25))</f>
        <v/>
      </c>
      <c r="BD11" s="37">
        <f>IF(AY11&lt;=15,1,IF(AY11&lt;=22.5,0.5,0.25))</f>
        <v/>
      </c>
      <c r="BE11" s="37">
        <f>IF(AZ11&lt;=48,1,IF(AZ11&lt;=72,0.5,0.25))</f>
        <v/>
      </c>
      <c r="BF11" s="37">
        <f>IF(BA11=0, 0, IF(BA11&lt;=96, 1, IF(BA11&lt;=144, 0.5, 0.25)))</f>
        <v/>
      </c>
      <c r="BG11" s="37">
        <f>BB11*0.1</f>
        <v/>
      </c>
      <c r="BH11" s="37">
        <f>BC11*0.05</f>
        <v/>
      </c>
      <c r="BI11" s="37">
        <f>BD11*0.02</f>
        <v/>
      </c>
      <c r="BJ11" s="37">
        <f>BE11*0.01</f>
        <v/>
      </c>
      <c r="BK11" s="37">
        <f>BF11*0.01</f>
        <v/>
      </c>
      <c r="BL11" s="37">
        <f>VLOOKUP(B11,'KPI Ticketing'!B:AT,45,)</f>
        <v/>
      </c>
      <c r="BM11" s="37">
        <f>IF(BL11&gt;=0.8,1,IF(BL11&gt;=0.7,0.9,IF(BL11&gt;=0.6,0.8,IF(BL11&gt;=0.5,0.7,IF(BL11&gt;=0.4,0.6,IF(BL11&gt;=0.3,0.5,IF(BL11&gt;=0.2,0.4,IF(BL11&gt;=0.1,0.3,0.2))))))))</f>
        <v/>
      </c>
      <c r="BN11" s="37">
        <f>BM11*0.03</f>
        <v/>
      </c>
      <c r="BO11" s="37">
        <f>VLOOKUP(B11,'KPI Ticketing'!B:AX,49,)</f>
        <v/>
      </c>
      <c r="BP11" s="37">
        <f>IF(BO11&gt;=0.8,1,IF(BO11&gt;=0.7,0.9,IF(BO11&gt;=0.6,0.8,IF(BO11&gt;=0.5,0.7,IF(BO11&gt;=0.4,0.6,IF(BO11&gt;=0.3,0.5,IF(BO11&gt;=0.2,0.4,IF(BO11&gt;=0.1,0.3,0.2))))))))</f>
        <v/>
      </c>
      <c r="BQ11" s="37">
        <f>BP11*0.02</f>
        <v/>
      </c>
      <c r="BR11" s="37">
        <f>VLOOKUP(B11,'KPI Ticketing'!B:BB,53,)</f>
        <v/>
      </c>
      <c r="BS11" s="37">
        <f>IF(BR11&gt;=0.9,1,IF(BR11&gt;=0.8,0.9,IF(BR11&gt;=0.7,0.8,IF(BR11&gt;=0.6,0.7,IF(BR11&gt;=0.5,0.6,IF(BR11&gt;=0.4,0.5,IF(BR11&gt;=0.3,0.4,IF(BR11&gt;=0.2,0.3,IF(BR11&gt;=0.1,0.2,0.1)))))))))</f>
        <v/>
      </c>
      <c r="BT11" s="37">
        <f>BS11*0.05</f>
        <v/>
      </c>
      <c r="BU11" s="39" t="n">
        <v>0.08</v>
      </c>
      <c r="BV11" s="39" t="n">
        <v>0.06</v>
      </c>
      <c r="BW11" s="39" t="n">
        <v>0.09</v>
      </c>
      <c r="BX11" s="39" t="n">
        <v>0.06</v>
      </c>
    </row>
    <row r="12">
      <c r="A12" t="inlineStr">
        <is>
          <t>R01_Sumbagut</t>
        </is>
      </c>
      <c r="B12" t="inlineStr">
        <is>
          <t>NOP MEDAN</t>
        </is>
      </c>
      <c r="C12" s="36">
        <f>RANK(D12,$D$10:$D$43,0)</f>
        <v/>
      </c>
      <c r="D12" s="37">
        <f>(G12*0.35)+(O12*65%)</f>
        <v/>
      </c>
      <c r="E12" s="36">
        <f>IF(D12&gt;=0.95,"Istimewa",IF(D12&gt;0.9,"Baik Sekali",IF(D12&gt;0.85,"Baik",IF(D12&gt;0.8,"Cukup","Kurang"))))</f>
        <v/>
      </c>
      <c r="F12" s="37">
        <f>0.29*0.65</f>
        <v/>
      </c>
      <c r="G12" s="37">
        <f>N12</f>
        <v/>
      </c>
      <c r="H12" s="37">
        <f>VLOOKUP(B12,'KPI Availability'!B:O,14,)</f>
        <v/>
      </c>
      <c r="I12" s="37">
        <f>VLOOKUP(B12,'KPI Availability'!B:P,15,)</f>
        <v/>
      </c>
      <c r="J12" s="37">
        <f>VLOOKUP(B12,'KPI Availability'!B:Q,16,)</f>
        <v/>
      </c>
      <c r="K12" s="37">
        <f>VLOOKUP(B12,'KPI Availability'!B:R,17,)</f>
        <v/>
      </c>
      <c r="L12" s="37">
        <f>VLOOKUP(B12,'KPI Availability'!B:S,18,)</f>
        <v/>
      </c>
      <c r="M12" s="37">
        <f>VLOOKUP(B12,'KPI Availability'!B:T,19,)</f>
        <v/>
      </c>
      <c r="N12" s="37">
        <f>SUM(H12:M12)</f>
        <v/>
      </c>
      <c r="O12" s="37">
        <f>P12+Q12+R12</f>
        <v/>
      </c>
      <c r="P12" s="37">
        <f>SUM(AA12:AD12,AG12,AJ12,AM12,AP12,AS12,AV12)</f>
        <v/>
      </c>
      <c r="Q12" s="37">
        <f>SUM(BG12:BK12,BN12,BQ12,BT12)</f>
        <v/>
      </c>
      <c r="R12" s="37">
        <f>SUM(BU12:BX12)</f>
        <v/>
      </c>
      <c r="S12" s="38">
        <f>VLOOKUP(B12,'KPI Ticketing'!B:C,2,)</f>
        <v/>
      </c>
      <c r="T12" s="38">
        <f>VLOOKUP(B12,'KPI Ticketing'!B:D,3,)</f>
        <v/>
      </c>
      <c r="U12" s="38">
        <f>VLOOKUP(B12,'KPI Ticketing'!B:E,4,)</f>
        <v/>
      </c>
      <c r="V12" s="38">
        <f>VLOOKUP(B12,'KPI Ticketing'!B:F,5,)</f>
        <v/>
      </c>
      <c r="W12" s="37">
        <f>IF(S12&lt;=4,100%,IF(S12&lt;=6,70%,IF(S12&lt;=8,40%,10%)))</f>
        <v/>
      </c>
      <c r="X12" s="37">
        <f>IF(T12&lt;=8,100%,IF(T12&lt;=12,50%,25%))</f>
        <v/>
      </c>
      <c r="Y12" s="37">
        <f>IF(U12&lt;=10,100%,IF(U12&lt;=15,50%,25%))</f>
        <v/>
      </c>
      <c r="Z12" s="37">
        <f>IF(V12&lt;=13,100%,IF(V12&lt;=19,50%,25%))</f>
        <v/>
      </c>
      <c r="AA12" s="37">
        <f>W12*0.13</f>
        <v/>
      </c>
      <c r="AB12" s="37">
        <f>X12*0.06</f>
        <v/>
      </c>
      <c r="AC12" s="37">
        <f>Y12*0.04</f>
        <v/>
      </c>
      <c r="AD12" s="37">
        <f>Z12*0.02</f>
        <v/>
      </c>
      <c r="AE12" s="37">
        <f>VLOOKUP(B12,'KPI Ticketing'!B:N,13,)</f>
        <v/>
      </c>
      <c r="AF12" s="37">
        <f>IF(AE12&gt;=0.8,1,IF(AE12&gt;=0.7,0.9,IF(AE12&gt;=0.6,0.8,IF(AE12&gt;=0.5,0.7,IF(AE12&gt;=0.4,0.6,IF(AE12&gt;=0.3,0.5,IF(AE12&gt;=0.2,0.4,IF(AE12&gt;=0.1,0.3,0.2))))))))</f>
        <v/>
      </c>
      <c r="AG12" s="37">
        <f>AF12*0.03</f>
        <v/>
      </c>
      <c r="AH12" s="37">
        <f>VLOOKUP(B12,'KPI Ticketing'!B:R,17,)</f>
        <v/>
      </c>
      <c r="AI12" s="37">
        <f>IF(AH12&gt;=0.8,1,IF(AH12&gt;=0.7,0.9,IF(AH12&gt;=0.6,0.8,IF(AH12&gt;=0.5,0.7,IF(AH12&gt;=0.4,0.6,IF(AH12&gt;=0.3,0.5,IF(AH12&gt;=0.2,0.4,IF(AH12&gt;=0.1,0.3,0.2))))))))</f>
        <v/>
      </c>
      <c r="AJ12" s="37">
        <f>AI12*0.02</f>
        <v/>
      </c>
      <c r="AK12" s="37">
        <f>VLOOKUP(B12,'KPI Ticketing'!B:V,21,)</f>
        <v/>
      </c>
      <c r="AL12" s="37">
        <f>IF(AK12&gt;=0.9,1,IF(AK12&gt;=0.8,0.9,IF(AK12&gt;=0.7,0.8,IF(AK12&gt;=0.6,0.7,IF(AK12&gt;=0.5,0.6,IF(AK12&gt;=0.4,0.5,IF(AK12&gt;=0.3,0.4,IF(AK12&gt;=0.2,0.3,IF(AK12&gt;=0.1,0.2,0.1)))))))))</f>
        <v/>
      </c>
      <c r="AM12" s="37">
        <f>AL12*0.05</f>
        <v/>
      </c>
      <c r="AN12" s="37">
        <f>VLOOKUP(B12,'KPI Ticketing'!B:Z,25,)</f>
        <v/>
      </c>
      <c r="AO12" s="37">
        <f>IF(AN12&gt;=0.95,1,IF(AN12&gt;=0.9,0.9,IF(AN12&gt;=0.8,0.8,IF(AN12&gt;=0.7,0.7,IF(AN12&gt;=0.6,0.6,IF(AN12&gt;=0.5,0.5,IF(AN12&gt;=0.4,0.4,IF(AN12&gt;=0.3,0.3,IF(AN12&gt;=0.2,0.2,IF(AN12&gt;=0.1,0.1,0.05))))))))))</f>
        <v/>
      </c>
      <c r="AP12" s="37">
        <f>AO12*0.05</f>
        <v/>
      </c>
      <c r="AQ12" s="37">
        <f>VLOOKUP(B12,'KPI Ticketing'!B:AC,28,)</f>
        <v/>
      </c>
      <c r="AR12" s="37">
        <f>IF(AQ12&lt;0.95,0.5,1)</f>
        <v/>
      </c>
      <c r="AS12" s="37">
        <f>AR12*0.01</f>
        <v/>
      </c>
      <c r="AT12" s="37">
        <f>VLOOKUP(B12,'KPI Ticketing'!B:AG,32,)</f>
        <v/>
      </c>
      <c r="AU12" s="37">
        <f>IF(AT12&lt;0.3,0.5,1)</f>
        <v/>
      </c>
      <c r="AV12" s="37">
        <f>AU12*0.01</f>
        <v/>
      </c>
      <c r="AW12" s="38">
        <f>VLOOKUP(B12,'KPI Ticketing'!B:AH,33,)</f>
        <v/>
      </c>
      <c r="AX12" s="38">
        <f>VLOOKUP(B12,'KPI Ticketing'!B:AI,34,)</f>
        <v/>
      </c>
      <c r="AY12" s="38">
        <f>VLOOKUP(B12,'KPI Ticketing'!B:AJ,35,)</f>
        <v/>
      </c>
      <c r="AZ12" s="38">
        <f>VLOOKUP(B12,'KPI Ticketing'!B:AK,36,)</f>
        <v/>
      </c>
      <c r="BA12" s="38">
        <f>VLOOKUP(B12,'KPI Ticketing'!B:AL,37,)</f>
        <v/>
      </c>
      <c r="BB12" s="37">
        <f>IF(AW12&lt;=2,1,IF(AW12&lt;=3,0.7,IF(AW12&lt;=4,0.4,0.1)))</f>
        <v/>
      </c>
      <c r="BC12" s="37">
        <f>IF(AX12&lt;=4,1,IF(AX12&lt;=6,0.5,0.25))</f>
        <v/>
      </c>
      <c r="BD12" s="37">
        <f>IF(AY12&lt;=15,1,IF(AY12&lt;=22.5,0.5,0.25))</f>
        <v/>
      </c>
      <c r="BE12" s="37">
        <f>IF(AZ12&lt;=48,1,IF(AZ12&lt;=72,0.5,0.25))</f>
        <v/>
      </c>
      <c r="BF12" s="37">
        <f>IF(BA12=0, 0, IF(BA12&lt;=96, 1, IF(BA12&lt;=144, 0.5, 0.25)))</f>
        <v/>
      </c>
      <c r="BG12" s="37">
        <f>BB12*0.1</f>
        <v/>
      </c>
      <c r="BH12" s="37">
        <f>BC12*0.05</f>
        <v/>
      </c>
      <c r="BI12" s="37">
        <f>BD12*0.02</f>
        <v/>
      </c>
      <c r="BJ12" s="37">
        <f>BE12*0.01</f>
        <v/>
      </c>
      <c r="BK12" s="37">
        <f>BF12*0.01</f>
        <v/>
      </c>
      <c r="BL12" s="37">
        <f>VLOOKUP(B12,'KPI Ticketing'!B:AT,45,)</f>
        <v/>
      </c>
      <c r="BM12" s="37">
        <f>IF(BL12&gt;=0.8,1,IF(BL12&gt;=0.7,0.9,IF(BL12&gt;=0.6,0.8,IF(BL12&gt;=0.5,0.7,IF(BL12&gt;=0.4,0.6,IF(BL12&gt;=0.3,0.5,IF(BL12&gt;=0.2,0.4,IF(BL12&gt;=0.1,0.3,0.2))))))))</f>
        <v/>
      </c>
      <c r="BN12" s="37">
        <f>BM12*0.03</f>
        <v/>
      </c>
      <c r="BO12" s="37">
        <f>VLOOKUP(B12,'KPI Ticketing'!B:AX,49,)</f>
        <v/>
      </c>
      <c r="BP12" s="37">
        <f>IF(BO12&gt;=0.8,1,IF(BO12&gt;=0.7,0.9,IF(BO12&gt;=0.6,0.8,IF(BO12&gt;=0.5,0.7,IF(BO12&gt;=0.4,0.6,IF(BO12&gt;=0.3,0.5,IF(BO12&gt;=0.2,0.4,IF(BO12&gt;=0.1,0.3,0.2))))))))</f>
        <v/>
      </c>
      <c r="BQ12" s="37">
        <f>BP12*0.02</f>
        <v/>
      </c>
      <c r="BR12" s="37">
        <f>VLOOKUP(B12,'KPI Ticketing'!B:BB,53,)</f>
        <v/>
      </c>
      <c r="BS12" s="37">
        <f>IF(BR12&gt;=0.9,1,IF(BR12&gt;=0.8,0.9,IF(BR12&gt;=0.7,0.8,IF(BR12&gt;=0.6,0.7,IF(BR12&gt;=0.5,0.6,IF(BR12&gt;=0.4,0.5,IF(BR12&gt;=0.3,0.4,IF(BR12&gt;=0.2,0.3,IF(BR12&gt;=0.1,0.2,0.1)))))))))</f>
        <v/>
      </c>
      <c r="BT12" s="37">
        <f>BS12*0.05</f>
        <v/>
      </c>
      <c r="BU12" s="39" t="n">
        <v>0.08</v>
      </c>
      <c r="BV12" s="39" t="n">
        <v>0.06</v>
      </c>
      <c r="BW12" s="39" t="n">
        <v>0.09</v>
      </c>
      <c r="BX12" s="39" t="n">
        <v>0.06</v>
      </c>
    </row>
    <row r="13">
      <c r="A13" t="inlineStr">
        <is>
          <t>R01_Sumbagut</t>
        </is>
      </c>
      <c r="B13" t="inlineStr">
        <is>
          <t>NOP PADANG SIDEMPUAN</t>
        </is>
      </c>
      <c r="C13" s="36">
        <f>RANK(D13,$D$10:$D$43,0)</f>
        <v/>
      </c>
      <c r="D13" s="37">
        <f>(G13*0.35)+(O13*65%)</f>
        <v/>
      </c>
      <c r="E13" s="36">
        <f>IF(D13&gt;=0.95,"Istimewa",IF(D13&gt;0.9,"Baik Sekali",IF(D13&gt;0.85,"Baik",IF(D13&gt;0.8,"Cukup","Kurang"))))</f>
        <v/>
      </c>
      <c r="F13" s="37">
        <f>0.29*0.65</f>
        <v/>
      </c>
      <c r="G13" s="37">
        <f>N13</f>
        <v/>
      </c>
      <c r="H13" s="37">
        <f>VLOOKUP(B13,'KPI Availability'!B:O,14,)</f>
        <v/>
      </c>
      <c r="I13" s="37">
        <f>VLOOKUP(B13,'KPI Availability'!B:P,15,)</f>
        <v/>
      </c>
      <c r="J13" s="37">
        <f>VLOOKUP(B13,'KPI Availability'!B:Q,16,)</f>
        <v/>
      </c>
      <c r="K13" s="37">
        <f>VLOOKUP(B13,'KPI Availability'!B:R,17,)</f>
        <v/>
      </c>
      <c r="L13" s="37">
        <f>VLOOKUP(B13,'KPI Availability'!B:S,18,)</f>
        <v/>
      </c>
      <c r="M13" s="37">
        <f>VLOOKUP(B13,'KPI Availability'!B:T,19,)</f>
        <v/>
      </c>
      <c r="N13" s="37">
        <f>SUM(H13:M13)</f>
        <v/>
      </c>
      <c r="O13" s="37">
        <f>P13+Q13+R13</f>
        <v/>
      </c>
      <c r="P13" s="37">
        <f>SUM(AA13:AD13,AG13,AJ13,AM13,AP13,AS13,AV13)</f>
        <v/>
      </c>
      <c r="Q13" s="37">
        <f>SUM(BG13:BK13,BN13,BQ13,BT13)</f>
        <v/>
      </c>
      <c r="R13" s="37">
        <f>SUM(BU13:BX13)</f>
        <v/>
      </c>
      <c r="S13" s="38">
        <f>VLOOKUP(B13,'KPI Ticketing'!B:C,2,)</f>
        <v/>
      </c>
      <c r="T13" s="38">
        <f>VLOOKUP(B13,'KPI Ticketing'!B:D,3,)</f>
        <v/>
      </c>
      <c r="U13" s="38">
        <f>VLOOKUP(B13,'KPI Ticketing'!B:E,4,)</f>
        <v/>
      </c>
      <c r="V13" s="38">
        <f>VLOOKUP(B13,'KPI Ticketing'!B:F,5,)</f>
        <v/>
      </c>
      <c r="W13" s="37">
        <f>IF(S13&lt;=4,100%,IF(S13&lt;=6,70%,IF(S13&lt;=8,40%,10%)))</f>
        <v/>
      </c>
      <c r="X13" s="37">
        <f>IF(T13&lt;=8,100%,IF(T13&lt;=12,50%,25%))</f>
        <v/>
      </c>
      <c r="Y13" s="37">
        <f>IF(U13&lt;=10,100%,IF(U13&lt;=15,50%,25%))</f>
        <v/>
      </c>
      <c r="Z13" s="37">
        <f>IF(V13&lt;=13,100%,IF(V13&lt;=19,50%,25%))</f>
        <v/>
      </c>
      <c r="AA13" s="37">
        <f>W13*0.13</f>
        <v/>
      </c>
      <c r="AB13" s="37">
        <f>X13*0.06</f>
        <v/>
      </c>
      <c r="AC13" s="37">
        <f>Y13*0.04</f>
        <v/>
      </c>
      <c r="AD13" s="37">
        <f>Z13*0.02</f>
        <v/>
      </c>
      <c r="AE13" s="37">
        <f>VLOOKUP(B13,'KPI Ticketing'!B:N,13,)</f>
        <v/>
      </c>
      <c r="AF13" s="37">
        <f>IF(AE13&gt;=0.8,1,IF(AE13&gt;=0.7,0.9,IF(AE13&gt;=0.6,0.8,IF(AE13&gt;=0.5,0.7,IF(AE13&gt;=0.4,0.6,IF(AE13&gt;=0.3,0.5,IF(AE13&gt;=0.2,0.4,IF(AE13&gt;=0.1,0.3,0.2))))))))</f>
        <v/>
      </c>
      <c r="AG13" s="37">
        <f>AF13*0.03</f>
        <v/>
      </c>
      <c r="AH13" s="37">
        <f>VLOOKUP(B13,'KPI Ticketing'!B:R,17,)</f>
        <v/>
      </c>
      <c r="AI13" s="37">
        <f>IF(AH13&gt;=0.8,1,IF(AH13&gt;=0.7,0.9,IF(AH13&gt;=0.6,0.8,IF(AH13&gt;=0.5,0.7,IF(AH13&gt;=0.4,0.6,IF(AH13&gt;=0.3,0.5,IF(AH13&gt;=0.2,0.4,IF(AH13&gt;=0.1,0.3,0.2))))))))</f>
        <v/>
      </c>
      <c r="AJ13" s="37">
        <f>AI13*0.02</f>
        <v/>
      </c>
      <c r="AK13" s="37">
        <f>VLOOKUP(B13,'KPI Ticketing'!B:V,21,)</f>
        <v/>
      </c>
      <c r="AL13" s="37">
        <f>IF(AK13&gt;=0.9,1,IF(AK13&gt;=0.8,0.9,IF(AK13&gt;=0.7,0.8,IF(AK13&gt;=0.6,0.7,IF(AK13&gt;=0.5,0.6,IF(AK13&gt;=0.4,0.5,IF(AK13&gt;=0.3,0.4,IF(AK13&gt;=0.2,0.3,IF(AK13&gt;=0.1,0.2,0.1)))))))))</f>
        <v/>
      </c>
      <c r="AM13" s="37">
        <f>AL13*0.05</f>
        <v/>
      </c>
      <c r="AN13" s="37">
        <f>VLOOKUP(B13,'KPI Ticketing'!B:Z,25,)</f>
        <v/>
      </c>
      <c r="AO13" s="37">
        <f>IF(AN13&gt;=0.95,1,IF(AN13&gt;=0.9,0.9,IF(AN13&gt;=0.8,0.8,IF(AN13&gt;=0.7,0.7,IF(AN13&gt;=0.6,0.6,IF(AN13&gt;=0.5,0.5,IF(AN13&gt;=0.4,0.4,IF(AN13&gt;=0.3,0.3,IF(AN13&gt;=0.2,0.2,IF(AN13&gt;=0.1,0.1,0.05))))))))))</f>
        <v/>
      </c>
      <c r="AP13" s="37">
        <f>AO13*0.05</f>
        <v/>
      </c>
      <c r="AQ13" s="37">
        <f>VLOOKUP(B13,'KPI Ticketing'!B:AC,28,)</f>
        <v/>
      </c>
      <c r="AR13" s="37">
        <f>IF(AQ13&lt;0.95,0.5,1)</f>
        <v/>
      </c>
      <c r="AS13" s="37">
        <f>AR13*0.01</f>
        <v/>
      </c>
      <c r="AT13" s="37">
        <f>VLOOKUP(B13,'KPI Ticketing'!B:AG,32,)</f>
        <v/>
      </c>
      <c r="AU13" s="37">
        <f>IF(AT13&lt;0.3,0.5,1)</f>
        <v/>
      </c>
      <c r="AV13" s="37">
        <f>AU13*0.01</f>
        <v/>
      </c>
      <c r="AW13" s="38">
        <f>VLOOKUP(B13,'KPI Ticketing'!B:AH,33,)</f>
        <v/>
      </c>
      <c r="AX13" s="38">
        <f>VLOOKUP(B13,'KPI Ticketing'!B:AI,34,)</f>
        <v/>
      </c>
      <c r="AY13" s="38">
        <f>VLOOKUP(B13,'KPI Ticketing'!B:AJ,35,)</f>
        <v/>
      </c>
      <c r="AZ13" s="38">
        <f>VLOOKUP(B13,'KPI Ticketing'!B:AK,36,)</f>
        <v/>
      </c>
      <c r="BA13" s="38">
        <f>VLOOKUP(B13,'KPI Ticketing'!B:AL,37,)</f>
        <v/>
      </c>
      <c r="BB13" s="37">
        <f>IF(AW13&lt;=2,1,IF(AW13&lt;=3,0.7,IF(AW13&lt;=4,0.4,0.1)))</f>
        <v/>
      </c>
      <c r="BC13" s="37">
        <f>IF(AX13&lt;=4,1,IF(AX13&lt;=6,0.5,0.25))</f>
        <v/>
      </c>
      <c r="BD13" s="37">
        <f>IF(AY13&lt;=15,1,IF(AY13&lt;=22.5,0.5,0.25))</f>
        <v/>
      </c>
      <c r="BE13" s="37">
        <f>IF(AZ13&lt;=48,1,IF(AZ13&lt;=72,0.5,0.25))</f>
        <v/>
      </c>
      <c r="BF13" s="37">
        <f>IF(BA13=0, 0, IF(BA13&lt;=96, 1, IF(BA13&lt;=144, 0.5, 0.25)))</f>
        <v/>
      </c>
      <c r="BG13" s="37">
        <f>BB13*0.1</f>
        <v/>
      </c>
      <c r="BH13" s="37">
        <f>BC13*0.05</f>
        <v/>
      </c>
      <c r="BI13" s="37">
        <f>BD13*0.02</f>
        <v/>
      </c>
      <c r="BJ13" s="37">
        <f>BE13*0.01</f>
        <v/>
      </c>
      <c r="BK13" s="37">
        <f>BF13*0.01</f>
        <v/>
      </c>
      <c r="BL13" s="37">
        <f>VLOOKUP(B13,'KPI Ticketing'!B:AT,45,)</f>
        <v/>
      </c>
      <c r="BM13" s="37">
        <f>IF(BL13&gt;=0.8,1,IF(BL13&gt;=0.7,0.9,IF(BL13&gt;=0.6,0.8,IF(BL13&gt;=0.5,0.7,IF(BL13&gt;=0.4,0.6,IF(BL13&gt;=0.3,0.5,IF(BL13&gt;=0.2,0.4,IF(BL13&gt;=0.1,0.3,0.2))))))))</f>
        <v/>
      </c>
      <c r="BN13" s="37">
        <f>BM13*0.03</f>
        <v/>
      </c>
      <c r="BO13" s="37">
        <f>VLOOKUP(B13,'KPI Ticketing'!B:AX,49,)</f>
        <v/>
      </c>
      <c r="BP13" s="37">
        <f>IF(BO13&gt;=0.8,1,IF(BO13&gt;=0.7,0.9,IF(BO13&gt;=0.6,0.8,IF(BO13&gt;=0.5,0.7,IF(BO13&gt;=0.4,0.6,IF(BO13&gt;=0.3,0.5,IF(BO13&gt;=0.2,0.4,IF(BO13&gt;=0.1,0.3,0.2))))))))</f>
        <v/>
      </c>
      <c r="BQ13" s="37">
        <f>BP13*0.02</f>
        <v/>
      </c>
      <c r="BR13" s="37">
        <f>VLOOKUP(B13,'KPI Ticketing'!B:BB,53,)</f>
        <v/>
      </c>
      <c r="BS13" s="37">
        <f>IF(BR13&gt;=0.9,1,IF(BR13&gt;=0.8,0.9,IF(BR13&gt;=0.7,0.8,IF(BR13&gt;=0.6,0.7,IF(BR13&gt;=0.5,0.6,IF(BR13&gt;=0.4,0.5,IF(BR13&gt;=0.3,0.4,IF(BR13&gt;=0.2,0.3,IF(BR13&gt;=0.1,0.2,0.1)))))))))</f>
        <v/>
      </c>
      <c r="BT13" s="37">
        <f>BS13*0.05</f>
        <v/>
      </c>
      <c r="BU13" s="39" t="n">
        <v>0.08</v>
      </c>
      <c r="BV13" s="39" t="n">
        <v>0.06</v>
      </c>
      <c r="BW13" s="39" t="n">
        <v>0.09</v>
      </c>
      <c r="BX13" s="39" t="n">
        <v>0.06</v>
      </c>
    </row>
    <row r="14">
      <c r="A14" t="inlineStr">
        <is>
          <t>R01_Sumbagut</t>
        </is>
      </c>
      <c r="B14" t="inlineStr">
        <is>
          <t>NOP PEMATANG SIANTAR</t>
        </is>
      </c>
      <c r="C14" s="36">
        <f>RANK(D14,$D$10:$D$43,0)</f>
        <v/>
      </c>
      <c r="D14" s="37">
        <f>(G14*0.35)+(O14*65%)</f>
        <v/>
      </c>
      <c r="E14" s="36">
        <f>IF(D14&gt;=0.95,"Istimewa",IF(D14&gt;0.9,"Baik Sekali",IF(D14&gt;0.85,"Baik",IF(D14&gt;0.8,"Cukup","Kurang"))))</f>
        <v/>
      </c>
      <c r="F14" s="37">
        <f>0.29*0.65</f>
        <v/>
      </c>
      <c r="G14" s="37">
        <f>N14</f>
        <v/>
      </c>
      <c r="H14" s="37">
        <f>VLOOKUP(B14,'KPI Availability'!B:O,14,)</f>
        <v/>
      </c>
      <c r="I14" s="37">
        <f>VLOOKUP(B14,'KPI Availability'!B:P,15,)</f>
        <v/>
      </c>
      <c r="J14" s="37">
        <f>VLOOKUP(B14,'KPI Availability'!B:Q,16,)</f>
        <v/>
      </c>
      <c r="K14" s="37">
        <f>VLOOKUP(B14,'KPI Availability'!B:R,17,)</f>
        <v/>
      </c>
      <c r="L14" s="37">
        <f>VLOOKUP(B14,'KPI Availability'!B:S,18,)</f>
        <v/>
      </c>
      <c r="M14" s="37">
        <f>VLOOKUP(B14,'KPI Availability'!B:T,19,)</f>
        <v/>
      </c>
      <c r="N14" s="37">
        <f>SUM(H14:M14)</f>
        <v/>
      </c>
      <c r="O14" s="37">
        <f>P14+Q14+R14</f>
        <v/>
      </c>
      <c r="P14" s="37">
        <f>SUM(AA14:AD14,AG14,AJ14,AM14,AP14,AS14,AV14)</f>
        <v/>
      </c>
      <c r="Q14" s="37">
        <f>SUM(BG14:BK14,BN14,BQ14,BT14)</f>
        <v/>
      </c>
      <c r="R14" s="37">
        <f>SUM(BU14:BX14)</f>
        <v/>
      </c>
      <c r="S14" s="38">
        <f>VLOOKUP(B14,'KPI Ticketing'!B:C,2,)</f>
        <v/>
      </c>
      <c r="T14" s="38">
        <f>VLOOKUP(B14,'KPI Ticketing'!B:D,3,)</f>
        <v/>
      </c>
      <c r="U14" s="38">
        <f>VLOOKUP(B14,'KPI Ticketing'!B:E,4,)</f>
        <v/>
      </c>
      <c r="V14" s="38">
        <f>VLOOKUP(B14,'KPI Ticketing'!B:F,5,)</f>
        <v/>
      </c>
      <c r="W14" s="37">
        <f>IF(S14&lt;=4,100%,IF(S14&lt;=6,70%,IF(S14&lt;=8,40%,10%)))</f>
        <v/>
      </c>
      <c r="X14" s="37">
        <f>IF(T14&lt;=8,100%,IF(T14&lt;=12,50%,25%))</f>
        <v/>
      </c>
      <c r="Y14" s="37">
        <f>IF(U14&lt;=10,100%,IF(U14&lt;=15,50%,25%))</f>
        <v/>
      </c>
      <c r="Z14" s="37">
        <f>IF(V14&lt;=13,100%,IF(V14&lt;=19,50%,25%))</f>
        <v/>
      </c>
      <c r="AA14" s="37">
        <f>W14*0.13</f>
        <v/>
      </c>
      <c r="AB14" s="37">
        <f>X14*0.06</f>
        <v/>
      </c>
      <c r="AC14" s="37">
        <f>Y14*0.04</f>
        <v/>
      </c>
      <c r="AD14" s="37">
        <f>Z14*0.02</f>
        <v/>
      </c>
      <c r="AE14" s="37">
        <f>VLOOKUP(B14,'KPI Ticketing'!B:N,13,)</f>
        <v/>
      </c>
      <c r="AF14" s="37">
        <f>IF(AE14&gt;=0.8,1,IF(AE14&gt;=0.7,0.9,IF(AE14&gt;=0.6,0.8,IF(AE14&gt;=0.5,0.7,IF(AE14&gt;=0.4,0.6,IF(AE14&gt;=0.3,0.5,IF(AE14&gt;=0.2,0.4,IF(AE14&gt;=0.1,0.3,0.2))))))))</f>
        <v/>
      </c>
      <c r="AG14" s="37">
        <f>AF14*0.03</f>
        <v/>
      </c>
      <c r="AH14" s="37">
        <f>VLOOKUP(B14,'KPI Ticketing'!B:R,17,)</f>
        <v/>
      </c>
      <c r="AI14" s="37">
        <f>IF(AH14&gt;=0.8,1,IF(AH14&gt;=0.7,0.9,IF(AH14&gt;=0.6,0.8,IF(AH14&gt;=0.5,0.7,IF(AH14&gt;=0.4,0.6,IF(AH14&gt;=0.3,0.5,IF(AH14&gt;=0.2,0.4,IF(AH14&gt;=0.1,0.3,0.2))))))))</f>
        <v/>
      </c>
      <c r="AJ14" s="37">
        <f>AI14*0.02</f>
        <v/>
      </c>
      <c r="AK14" s="37">
        <f>VLOOKUP(B14,'KPI Ticketing'!B:V,21,)</f>
        <v/>
      </c>
      <c r="AL14" s="37">
        <f>IF(AK14&gt;=0.9,1,IF(AK14&gt;=0.8,0.9,IF(AK14&gt;=0.7,0.8,IF(AK14&gt;=0.6,0.7,IF(AK14&gt;=0.5,0.6,IF(AK14&gt;=0.4,0.5,IF(AK14&gt;=0.3,0.4,IF(AK14&gt;=0.2,0.3,IF(AK14&gt;=0.1,0.2,0.1)))))))))</f>
        <v/>
      </c>
      <c r="AM14" s="37">
        <f>AL14*0.05</f>
        <v/>
      </c>
      <c r="AN14" s="37">
        <f>VLOOKUP(B14,'KPI Ticketing'!B:Z,25,)</f>
        <v/>
      </c>
      <c r="AO14" s="37">
        <f>IF(AN14&gt;=0.95,1,IF(AN14&gt;=0.9,0.9,IF(AN14&gt;=0.8,0.8,IF(AN14&gt;=0.7,0.7,IF(AN14&gt;=0.6,0.6,IF(AN14&gt;=0.5,0.5,IF(AN14&gt;=0.4,0.4,IF(AN14&gt;=0.3,0.3,IF(AN14&gt;=0.2,0.2,IF(AN14&gt;=0.1,0.1,0.05))))))))))</f>
        <v/>
      </c>
      <c r="AP14" s="37">
        <f>AO14*0.05</f>
        <v/>
      </c>
      <c r="AQ14" s="37">
        <f>VLOOKUP(B14,'KPI Ticketing'!B:AC,28,)</f>
        <v/>
      </c>
      <c r="AR14" s="37">
        <f>IF(AQ14&lt;0.95,0.5,1)</f>
        <v/>
      </c>
      <c r="AS14" s="37">
        <f>AR14*0.01</f>
        <v/>
      </c>
      <c r="AT14" s="37">
        <f>VLOOKUP(B14,'KPI Ticketing'!B:AG,32,)</f>
        <v/>
      </c>
      <c r="AU14" s="37">
        <f>IF(AT14&lt;0.3,0.5,1)</f>
        <v/>
      </c>
      <c r="AV14" s="37">
        <f>AU14*0.01</f>
        <v/>
      </c>
      <c r="AW14" s="38">
        <f>VLOOKUP(B14,'KPI Ticketing'!B:AH,33,)</f>
        <v/>
      </c>
      <c r="AX14" s="38">
        <f>VLOOKUP(B14,'KPI Ticketing'!B:AI,34,)</f>
        <v/>
      </c>
      <c r="AY14" s="38">
        <f>VLOOKUP(B14,'KPI Ticketing'!B:AJ,35,)</f>
        <v/>
      </c>
      <c r="AZ14" s="38">
        <f>VLOOKUP(B14,'KPI Ticketing'!B:AK,36,)</f>
        <v/>
      </c>
      <c r="BA14" s="38">
        <f>VLOOKUP(B14,'KPI Ticketing'!B:AL,37,)</f>
        <v/>
      </c>
      <c r="BB14" s="37">
        <f>IF(AW14&lt;=2,1,IF(AW14&lt;=3,0.7,IF(AW14&lt;=4,0.4,0.1)))</f>
        <v/>
      </c>
      <c r="BC14" s="37">
        <f>IF(AX14&lt;=4,1,IF(AX14&lt;=6,0.5,0.25))</f>
        <v/>
      </c>
      <c r="BD14" s="37">
        <f>IF(AY14&lt;=15,1,IF(AY14&lt;=22.5,0.5,0.25))</f>
        <v/>
      </c>
      <c r="BE14" s="37">
        <f>IF(AZ14&lt;=48,1,IF(AZ14&lt;=72,0.5,0.25))</f>
        <v/>
      </c>
      <c r="BF14" s="37">
        <f>IF(BA14=0, 0, IF(BA14&lt;=96, 1, IF(BA14&lt;=144, 0.5, 0.25)))</f>
        <v/>
      </c>
      <c r="BG14" s="37">
        <f>BB14*0.1</f>
        <v/>
      </c>
      <c r="BH14" s="37">
        <f>BC14*0.05</f>
        <v/>
      </c>
      <c r="BI14" s="37">
        <f>BD14*0.02</f>
        <v/>
      </c>
      <c r="BJ14" s="37">
        <f>BE14*0.01</f>
        <v/>
      </c>
      <c r="BK14" s="37">
        <f>BF14*0.01</f>
        <v/>
      </c>
      <c r="BL14" s="37">
        <f>VLOOKUP(B14,'KPI Ticketing'!B:AT,45,)</f>
        <v/>
      </c>
      <c r="BM14" s="37">
        <f>IF(BL14&gt;=0.8,1,IF(BL14&gt;=0.7,0.9,IF(BL14&gt;=0.6,0.8,IF(BL14&gt;=0.5,0.7,IF(BL14&gt;=0.4,0.6,IF(BL14&gt;=0.3,0.5,IF(BL14&gt;=0.2,0.4,IF(BL14&gt;=0.1,0.3,0.2))))))))</f>
        <v/>
      </c>
      <c r="BN14" s="37">
        <f>BM14*0.03</f>
        <v/>
      </c>
      <c r="BO14" s="37">
        <f>VLOOKUP(B14,'KPI Ticketing'!B:AX,49,)</f>
        <v/>
      </c>
      <c r="BP14" s="37">
        <f>IF(BO14&gt;=0.8,1,IF(BO14&gt;=0.7,0.9,IF(BO14&gt;=0.6,0.8,IF(BO14&gt;=0.5,0.7,IF(BO14&gt;=0.4,0.6,IF(BO14&gt;=0.3,0.5,IF(BO14&gt;=0.2,0.4,IF(BO14&gt;=0.1,0.3,0.2))))))))</f>
        <v/>
      </c>
      <c r="BQ14" s="37">
        <f>BP14*0.02</f>
        <v/>
      </c>
      <c r="BR14" s="37">
        <f>VLOOKUP(B14,'KPI Ticketing'!B:BB,53,)</f>
        <v/>
      </c>
      <c r="BS14" s="37">
        <f>IF(BR14&gt;=0.9,1,IF(BR14&gt;=0.8,0.9,IF(BR14&gt;=0.7,0.8,IF(BR14&gt;=0.6,0.7,IF(BR14&gt;=0.5,0.6,IF(BR14&gt;=0.4,0.5,IF(BR14&gt;=0.3,0.4,IF(BR14&gt;=0.2,0.3,IF(BR14&gt;=0.1,0.2,0.1)))))))))</f>
        <v/>
      </c>
      <c r="BT14" s="37">
        <f>BS14*0.05</f>
        <v/>
      </c>
      <c r="BU14" s="39" t="n">
        <v>0.08</v>
      </c>
      <c r="BV14" s="39" t="n">
        <v>0.06</v>
      </c>
      <c r="BW14" s="39" t="n">
        <v>0.09</v>
      </c>
      <c r="BX14" s="39" t="n">
        <v>0.06</v>
      </c>
    </row>
    <row r="15">
      <c r="A15" t="inlineStr">
        <is>
          <t>R01_Sumbagut</t>
        </is>
      </c>
      <c r="B15" t="inlineStr">
        <is>
          <t>NOP RANTAU PRAPAT</t>
        </is>
      </c>
      <c r="C15" s="36">
        <f>RANK(D15,$D$10:$D$43,0)</f>
        <v/>
      </c>
      <c r="D15" s="37">
        <f>(G15*0.35)+(O15*65%)</f>
        <v/>
      </c>
      <c r="E15" s="36">
        <f>IF(D15&gt;=0.95,"Istimewa",IF(D15&gt;0.9,"Baik Sekali",IF(D15&gt;0.85,"Baik",IF(D15&gt;0.8,"Cukup","Kurang"))))</f>
        <v/>
      </c>
      <c r="F15" s="37">
        <f>0.29*0.65</f>
        <v/>
      </c>
      <c r="G15" s="37">
        <f>N15</f>
        <v/>
      </c>
      <c r="H15" s="37">
        <f>VLOOKUP(B15,'KPI Availability'!B:O,14,)</f>
        <v/>
      </c>
      <c r="I15" s="37">
        <f>VLOOKUP(B15,'KPI Availability'!B:P,15,)</f>
        <v/>
      </c>
      <c r="J15" s="37">
        <f>VLOOKUP(B15,'KPI Availability'!B:Q,16,)</f>
        <v/>
      </c>
      <c r="K15" s="37">
        <f>VLOOKUP(B15,'KPI Availability'!B:R,17,)</f>
        <v/>
      </c>
      <c r="L15" s="37">
        <f>VLOOKUP(B15,'KPI Availability'!B:S,18,)</f>
        <v/>
      </c>
      <c r="M15" s="37">
        <f>VLOOKUP(B15,'KPI Availability'!B:T,19,)</f>
        <v/>
      </c>
      <c r="N15" s="37">
        <f>SUM(H15:M15)</f>
        <v/>
      </c>
      <c r="O15" s="37">
        <f>P15+Q15+R15</f>
        <v/>
      </c>
      <c r="P15" s="37">
        <f>SUM(AA15:AD15,AG15,AJ15,AM15,AP15,AS15,AV15)</f>
        <v/>
      </c>
      <c r="Q15" s="37">
        <f>SUM(BG15:BK15,BN15,BQ15,BT15)</f>
        <v/>
      </c>
      <c r="R15" s="37">
        <f>SUM(BU15:BX15)</f>
        <v/>
      </c>
      <c r="S15" s="38">
        <f>VLOOKUP(B15,'KPI Ticketing'!B:C,2,)</f>
        <v/>
      </c>
      <c r="T15" s="38">
        <f>VLOOKUP(B15,'KPI Ticketing'!B:D,3,)</f>
        <v/>
      </c>
      <c r="U15" s="38">
        <f>VLOOKUP(B15,'KPI Ticketing'!B:E,4,)</f>
        <v/>
      </c>
      <c r="V15" s="38">
        <f>VLOOKUP(B15,'KPI Ticketing'!B:F,5,)</f>
        <v/>
      </c>
      <c r="W15" s="37">
        <f>IF(S15&lt;=4,100%,IF(S15&lt;=6,70%,IF(S15&lt;=8,40%,10%)))</f>
        <v/>
      </c>
      <c r="X15" s="37">
        <f>IF(T15&lt;=8,100%,IF(T15&lt;=12,50%,25%))</f>
        <v/>
      </c>
      <c r="Y15" s="37">
        <f>IF(U15&lt;=10,100%,IF(U15&lt;=15,50%,25%))</f>
        <v/>
      </c>
      <c r="Z15" s="37">
        <f>IF(V15&lt;=13,100%,IF(V15&lt;=19,50%,25%))</f>
        <v/>
      </c>
      <c r="AA15" s="37">
        <f>W15*0.13</f>
        <v/>
      </c>
      <c r="AB15" s="37">
        <f>X15*0.06</f>
        <v/>
      </c>
      <c r="AC15" s="37">
        <f>Y15*0.04</f>
        <v/>
      </c>
      <c r="AD15" s="37">
        <f>Z15*0.02</f>
        <v/>
      </c>
      <c r="AE15" s="37">
        <f>VLOOKUP(B15,'KPI Ticketing'!B:N,13,)</f>
        <v/>
      </c>
      <c r="AF15" s="37">
        <f>IF(AE15&gt;=0.8,1,IF(AE15&gt;=0.7,0.9,IF(AE15&gt;=0.6,0.8,IF(AE15&gt;=0.5,0.7,IF(AE15&gt;=0.4,0.6,IF(AE15&gt;=0.3,0.5,IF(AE15&gt;=0.2,0.4,IF(AE15&gt;=0.1,0.3,0.2))))))))</f>
        <v/>
      </c>
      <c r="AG15" s="37">
        <f>AF15*0.03</f>
        <v/>
      </c>
      <c r="AH15" s="37">
        <f>VLOOKUP(B15,'KPI Ticketing'!B:R,17,)</f>
        <v/>
      </c>
      <c r="AI15" s="37">
        <f>IF(AH15&gt;=0.8,1,IF(AH15&gt;=0.7,0.9,IF(AH15&gt;=0.6,0.8,IF(AH15&gt;=0.5,0.7,IF(AH15&gt;=0.4,0.6,IF(AH15&gt;=0.3,0.5,IF(AH15&gt;=0.2,0.4,IF(AH15&gt;=0.1,0.3,0.2))))))))</f>
        <v/>
      </c>
      <c r="AJ15" s="37">
        <f>AI15*0.02</f>
        <v/>
      </c>
      <c r="AK15" s="37">
        <f>VLOOKUP(B15,'KPI Ticketing'!B:V,21,)</f>
        <v/>
      </c>
      <c r="AL15" s="37">
        <f>IF(AK15&gt;=0.9,1,IF(AK15&gt;=0.8,0.9,IF(AK15&gt;=0.7,0.8,IF(AK15&gt;=0.6,0.7,IF(AK15&gt;=0.5,0.6,IF(AK15&gt;=0.4,0.5,IF(AK15&gt;=0.3,0.4,IF(AK15&gt;=0.2,0.3,IF(AK15&gt;=0.1,0.2,0.1)))))))))</f>
        <v/>
      </c>
      <c r="AM15" s="37">
        <f>AL15*0.05</f>
        <v/>
      </c>
      <c r="AN15" s="37">
        <f>VLOOKUP(B15,'KPI Ticketing'!B:Z,25,)</f>
        <v/>
      </c>
      <c r="AO15" s="37">
        <f>IF(AN15&gt;=0.95,1,IF(AN15&gt;=0.9,0.9,IF(AN15&gt;=0.8,0.8,IF(AN15&gt;=0.7,0.7,IF(AN15&gt;=0.6,0.6,IF(AN15&gt;=0.5,0.5,IF(AN15&gt;=0.4,0.4,IF(AN15&gt;=0.3,0.3,IF(AN15&gt;=0.2,0.2,IF(AN15&gt;=0.1,0.1,0.05))))))))))</f>
        <v/>
      </c>
      <c r="AP15" s="37">
        <f>AO15*0.05</f>
        <v/>
      </c>
      <c r="AQ15" s="37">
        <f>VLOOKUP(B15,'KPI Ticketing'!B:AC,28,)</f>
        <v/>
      </c>
      <c r="AR15" s="37">
        <f>IF(AQ15&lt;0.95,0.5,1)</f>
        <v/>
      </c>
      <c r="AS15" s="37">
        <f>AR15*0.01</f>
        <v/>
      </c>
      <c r="AT15" s="37">
        <f>VLOOKUP(B15,'KPI Ticketing'!B:AG,32,)</f>
        <v/>
      </c>
      <c r="AU15" s="37">
        <f>IF(AT15&lt;0.3,0.5,1)</f>
        <v/>
      </c>
      <c r="AV15" s="37">
        <f>AU15*0.01</f>
        <v/>
      </c>
      <c r="AW15" s="38">
        <f>VLOOKUP(B15,'KPI Ticketing'!B:AH,33,)</f>
        <v/>
      </c>
      <c r="AX15" s="38">
        <f>VLOOKUP(B15,'KPI Ticketing'!B:AI,34,)</f>
        <v/>
      </c>
      <c r="AY15" s="38">
        <f>VLOOKUP(B15,'KPI Ticketing'!B:AJ,35,)</f>
        <v/>
      </c>
      <c r="AZ15" s="38">
        <f>VLOOKUP(B15,'KPI Ticketing'!B:AK,36,)</f>
        <v/>
      </c>
      <c r="BA15" s="38">
        <f>VLOOKUP(B15,'KPI Ticketing'!B:AL,37,)</f>
        <v/>
      </c>
      <c r="BB15" s="37">
        <f>IF(AW15&lt;=2,1,IF(AW15&lt;=3,0.7,IF(AW15&lt;=4,0.4,0.1)))</f>
        <v/>
      </c>
      <c r="BC15" s="37">
        <f>IF(AX15&lt;=4,1,IF(AX15&lt;=6,0.5,0.25))</f>
        <v/>
      </c>
      <c r="BD15" s="37">
        <f>IF(AY15&lt;=15,1,IF(AY15&lt;=22.5,0.5,0.25))</f>
        <v/>
      </c>
      <c r="BE15" s="37">
        <f>IF(AZ15&lt;=48,1,IF(AZ15&lt;=72,0.5,0.25))</f>
        <v/>
      </c>
      <c r="BF15" s="37">
        <f>IF(BA15=0, 0, IF(BA15&lt;=96, 1, IF(BA15&lt;=144, 0.5, 0.25)))</f>
        <v/>
      </c>
      <c r="BG15" s="37">
        <f>BB15*0.1</f>
        <v/>
      </c>
      <c r="BH15" s="37">
        <f>BC15*0.05</f>
        <v/>
      </c>
      <c r="BI15" s="37">
        <f>BD15*0.02</f>
        <v/>
      </c>
      <c r="BJ15" s="37">
        <f>BE15*0.01</f>
        <v/>
      </c>
      <c r="BK15" s="37">
        <f>BF15*0.01</f>
        <v/>
      </c>
      <c r="BL15" s="37">
        <f>VLOOKUP(B15,'KPI Ticketing'!B:AT,45,)</f>
        <v/>
      </c>
      <c r="BM15" s="37">
        <f>IF(BL15&gt;=0.8,1,IF(BL15&gt;=0.7,0.9,IF(BL15&gt;=0.6,0.8,IF(BL15&gt;=0.5,0.7,IF(BL15&gt;=0.4,0.6,IF(BL15&gt;=0.3,0.5,IF(BL15&gt;=0.2,0.4,IF(BL15&gt;=0.1,0.3,0.2))))))))</f>
        <v/>
      </c>
      <c r="BN15" s="37">
        <f>BM15*0.03</f>
        <v/>
      </c>
      <c r="BO15" s="37">
        <f>VLOOKUP(B15,'KPI Ticketing'!B:AX,49,)</f>
        <v/>
      </c>
      <c r="BP15" s="37">
        <f>IF(BO15&gt;=0.8,1,IF(BO15&gt;=0.7,0.9,IF(BO15&gt;=0.6,0.8,IF(BO15&gt;=0.5,0.7,IF(BO15&gt;=0.4,0.6,IF(BO15&gt;=0.3,0.5,IF(BO15&gt;=0.2,0.4,IF(BO15&gt;=0.1,0.3,0.2))))))))</f>
        <v/>
      </c>
      <c r="BQ15" s="37">
        <f>BP15*0.02</f>
        <v/>
      </c>
      <c r="BR15" s="37">
        <f>VLOOKUP(B15,'KPI Ticketing'!B:BB,53,)</f>
        <v/>
      </c>
      <c r="BS15" s="37">
        <f>IF(BR15&gt;=0.9,1,IF(BR15&gt;=0.8,0.9,IF(BR15&gt;=0.7,0.8,IF(BR15&gt;=0.6,0.7,IF(BR15&gt;=0.5,0.6,IF(BR15&gt;=0.4,0.5,IF(BR15&gt;=0.3,0.4,IF(BR15&gt;=0.2,0.3,IF(BR15&gt;=0.1,0.2,0.1)))))))))</f>
        <v/>
      </c>
      <c r="BT15" s="37">
        <f>BS15*0.05</f>
        <v/>
      </c>
      <c r="BU15" s="39" t="n">
        <v>0.08</v>
      </c>
      <c r="BV15" s="39" t="n">
        <v>0.06</v>
      </c>
      <c r="BW15" s="39" t="n">
        <v>0.09</v>
      </c>
      <c r="BX15" s="39" t="n">
        <v>0.06</v>
      </c>
    </row>
    <row r="16">
      <c r="A16" t="inlineStr">
        <is>
          <t>R10_Sumbagteng</t>
        </is>
      </c>
      <c r="B16" t="inlineStr">
        <is>
          <t>NOP BATAM</t>
        </is>
      </c>
      <c r="C16" s="36">
        <f>RANK(D16,$D$10:$D$43,0)</f>
        <v/>
      </c>
      <c r="D16" s="37">
        <f>(G16*0.35)+(O16*65%)</f>
        <v/>
      </c>
      <c r="E16" s="36">
        <f>IF(D16&gt;=0.95,"Istimewa",IF(D16&gt;0.9,"Baik Sekali",IF(D16&gt;0.85,"Baik",IF(D16&gt;0.8,"Cukup","Kurang"))))</f>
        <v/>
      </c>
      <c r="F16" s="37">
        <f>0.29*0.65</f>
        <v/>
      </c>
      <c r="G16" s="37">
        <f>N16</f>
        <v/>
      </c>
      <c r="H16" s="37">
        <f>VLOOKUP(B16,'KPI Availability'!B:O,14,)</f>
        <v/>
      </c>
      <c r="I16" s="37">
        <f>VLOOKUP(B16,'KPI Availability'!B:P,15,)</f>
        <v/>
      </c>
      <c r="J16" s="37">
        <f>VLOOKUP(B16,'KPI Availability'!B:Q,16,)</f>
        <v/>
      </c>
      <c r="K16" s="37">
        <f>VLOOKUP(B16,'KPI Availability'!B:R,17,)</f>
        <v/>
      </c>
      <c r="L16" s="37">
        <f>VLOOKUP(B16,'KPI Availability'!B:S,18,)</f>
        <v/>
      </c>
      <c r="M16" s="37">
        <f>VLOOKUP(B16,'KPI Availability'!B:T,19,)</f>
        <v/>
      </c>
      <c r="N16" s="37">
        <f>SUM(H16:M16)</f>
        <v/>
      </c>
      <c r="O16" s="37">
        <f>P16+Q16+R16</f>
        <v/>
      </c>
      <c r="P16" s="37">
        <f>SUM(AA16:AD16,AG16,AJ16,AM16,AP16,AS16,AV16)</f>
        <v/>
      </c>
      <c r="Q16" s="37">
        <f>SUM(BG16:BK16,BN16,BQ16,BT16)</f>
        <v/>
      </c>
      <c r="R16" s="37">
        <f>SUM(BU16:BX16)</f>
        <v/>
      </c>
      <c r="S16" s="38">
        <f>VLOOKUP(B16,'KPI Ticketing'!B:C,2,)</f>
        <v/>
      </c>
      <c r="T16" s="38">
        <f>VLOOKUP(B16,'KPI Ticketing'!B:D,3,)</f>
        <v/>
      </c>
      <c r="U16" s="38">
        <f>VLOOKUP(B16,'KPI Ticketing'!B:E,4,)</f>
        <v/>
      </c>
      <c r="V16" s="38">
        <f>VLOOKUP(B16,'KPI Ticketing'!B:F,5,)</f>
        <v/>
      </c>
      <c r="W16" s="37">
        <f>IF(S16&lt;=4,100%,IF(S16&lt;=6,70%,IF(S16&lt;=8,40%,10%)))</f>
        <v/>
      </c>
      <c r="X16" s="37">
        <f>IF(T16&lt;=8,100%,IF(T16&lt;=12,50%,25%))</f>
        <v/>
      </c>
      <c r="Y16" s="37">
        <f>IF(U16&lt;=10,100%,IF(U16&lt;=15,50%,25%))</f>
        <v/>
      </c>
      <c r="Z16" s="37">
        <f>IF(V16&lt;=13,100%,IF(V16&lt;=19,50%,25%))</f>
        <v/>
      </c>
      <c r="AA16" s="37">
        <f>W16*0.13</f>
        <v/>
      </c>
      <c r="AB16" s="37">
        <f>X16*0.06</f>
        <v/>
      </c>
      <c r="AC16" s="37">
        <f>Y16*0.04</f>
        <v/>
      </c>
      <c r="AD16" s="37">
        <f>Z16*0.02</f>
        <v/>
      </c>
      <c r="AE16" s="37">
        <f>VLOOKUP(B16,'KPI Ticketing'!B:N,13,)</f>
        <v/>
      </c>
      <c r="AF16" s="37">
        <f>IF(AE16&gt;=0.8,1,IF(AE16&gt;=0.7,0.9,IF(AE16&gt;=0.6,0.8,IF(AE16&gt;=0.5,0.7,IF(AE16&gt;=0.4,0.6,IF(AE16&gt;=0.3,0.5,IF(AE16&gt;=0.2,0.4,IF(AE16&gt;=0.1,0.3,0.2))))))))</f>
        <v/>
      </c>
      <c r="AG16" s="37">
        <f>AF16*0.03</f>
        <v/>
      </c>
      <c r="AH16" s="37">
        <f>VLOOKUP(B16,'KPI Ticketing'!B:R,17,)</f>
        <v/>
      </c>
      <c r="AI16" s="37">
        <f>IF(AH16&gt;=0.8,1,IF(AH16&gt;=0.7,0.9,IF(AH16&gt;=0.6,0.8,IF(AH16&gt;=0.5,0.7,IF(AH16&gt;=0.4,0.6,IF(AH16&gt;=0.3,0.5,IF(AH16&gt;=0.2,0.4,IF(AH16&gt;=0.1,0.3,0.2))))))))</f>
        <v/>
      </c>
      <c r="AJ16" s="37">
        <f>AI16*0.02</f>
        <v/>
      </c>
      <c r="AK16" s="37">
        <f>VLOOKUP(B16,'KPI Ticketing'!B:V,21,)</f>
        <v/>
      </c>
      <c r="AL16" s="37">
        <f>IF(AK16&gt;=0.9,1,IF(AK16&gt;=0.8,0.9,IF(AK16&gt;=0.7,0.8,IF(AK16&gt;=0.6,0.7,IF(AK16&gt;=0.5,0.6,IF(AK16&gt;=0.4,0.5,IF(AK16&gt;=0.3,0.4,IF(AK16&gt;=0.2,0.3,IF(AK16&gt;=0.1,0.2,0.1)))))))))</f>
        <v/>
      </c>
      <c r="AM16" s="37">
        <f>AL16*0.05</f>
        <v/>
      </c>
      <c r="AN16" s="37">
        <f>VLOOKUP(B16,'KPI Ticketing'!B:Z,25,)</f>
        <v/>
      </c>
      <c r="AO16" s="37">
        <f>IF(AN16&gt;=0.95,1,IF(AN16&gt;=0.9,0.9,IF(AN16&gt;=0.8,0.8,IF(AN16&gt;=0.7,0.7,IF(AN16&gt;=0.6,0.6,IF(AN16&gt;=0.5,0.5,IF(AN16&gt;=0.4,0.4,IF(AN16&gt;=0.3,0.3,IF(AN16&gt;=0.2,0.2,IF(AN16&gt;=0.1,0.1,0.05))))))))))</f>
        <v/>
      </c>
      <c r="AP16" s="37">
        <f>AO16*0.05</f>
        <v/>
      </c>
      <c r="AQ16" s="37">
        <f>VLOOKUP(B16,'KPI Ticketing'!B:AC,28,)</f>
        <v/>
      </c>
      <c r="AR16" s="37">
        <f>IF(AQ16&lt;0.95,0.5,1)</f>
        <v/>
      </c>
      <c r="AS16" s="37">
        <f>AR16*0.01</f>
        <v/>
      </c>
      <c r="AT16" s="37">
        <f>VLOOKUP(B16,'KPI Ticketing'!B:AG,32,)</f>
        <v/>
      </c>
      <c r="AU16" s="37">
        <f>IF(AT16&lt;0.3,0.5,1)</f>
        <v/>
      </c>
      <c r="AV16" s="37">
        <f>AU16*0.01</f>
        <v/>
      </c>
      <c r="AW16" s="38">
        <f>VLOOKUP(B16,'KPI Ticketing'!B:AH,33,)</f>
        <v/>
      </c>
      <c r="AX16" s="38">
        <f>VLOOKUP(B16,'KPI Ticketing'!B:AI,34,)</f>
        <v/>
      </c>
      <c r="AY16" s="38">
        <f>VLOOKUP(B16,'KPI Ticketing'!B:AJ,35,)</f>
        <v/>
      </c>
      <c r="AZ16" s="38">
        <f>VLOOKUP(B16,'KPI Ticketing'!B:AK,36,)</f>
        <v/>
      </c>
      <c r="BA16" s="38">
        <f>VLOOKUP(B16,'KPI Ticketing'!B:AL,37,)</f>
        <v/>
      </c>
      <c r="BB16" s="37">
        <f>IF(AW16&lt;=2,1,IF(AW16&lt;=3,0.7,IF(AW16&lt;=4,0.4,0.1)))</f>
        <v/>
      </c>
      <c r="BC16" s="37">
        <f>IF(AX16&lt;=4,1,IF(AX16&lt;=6,0.5,0.25))</f>
        <v/>
      </c>
      <c r="BD16" s="37">
        <f>IF(AY16&lt;=15,1,IF(AY16&lt;=22.5,0.5,0.25))</f>
        <v/>
      </c>
      <c r="BE16" s="37">
        <f>IF(AZ16&lt;=48,1,IF(AZ16&lt;=72,0.5,0.25))</f>
        <v/>
      </c>
      <c r="BF16" s="37">
        <f>IF(BA16=0, 0, IF(BA16&lt;=96, 1, IF(BA16&lt;=144, 0.5, 0.25)))</f>
        <v/>
      </c>
      <c r="BG16" s="37">
        <f>BB16*0.1</f>
        <v/>
      </c>
      <c r="BH16" s="37">
        <f>BC16*0.05</f>
        <v/>
      </c>
      <c r="BI16" s="37">
        <f>BD16*0.02</f>
        <v/>
      </c>
      <c r="BJ16" s="37">
        <f>BE16*0.01</f>
        <v/>
      </c>
      <c r="BK16" s="37">
        <f>BF16*0.01</f>
        <v/>
      </c>
      <c r="BL16" s="37">
        <f>VLOOKUP(B16,'KPI Ticketing'!B:AT,45,)</f>
        <v/>
      </c>
      <c r="BM16" s="37">
        <f>IF(BL16&gt;=0.8,1,IF(BL16&gt;=0.7,0.9,IF(BL16&gt;=0.6,0.8,IF(BL16&gt;=0.5,0.7,IF(BL16&gt;=0.4,0.6,IF(BL16&gt;=0.3,0.5,IF(BL16&gt;=0.2,0.4,IF(BL16&gt;=0.1,0.3,0.2))))))))</f>
        <v/>
      </c>
      <c r="BN16" s="37">
        <f>BM16*0.03</f>
        <v/>
      </c>
      <c r="BO16" s="37">
        <f>VLOOKUP(B16,'KPI Ticketing'!B:AX,49,)</f>
        <v/>
      </c>
      <c r="BP16" s="37">
        <f>IF(BO16&gt;=0.8,1,IF(BO16&gt;=0.7,0.9,IF(BO16&gt;=0.6,0.8,IF(BO16&gt;=0.5,0.7,IF(BO16&gt;=0.4,0.6,IF(BO16&gt;=0.3,0.5,IF(BO16&gt;=0.2,0.4,IF(BO16&gt;=0.1,0.3,0.2))))))))</f>
        <v/>
      </c>
      <c r="BQ16" s="37">
        <f>BP16*0.02</f>
        <v/>
      </c>
      <c r="BR16" s="37">
        <f>VLOOKUP(B16,'KPI Ticketing'!B:BB,53,)</f>
        <v/>
      </c>
      <c r="BS16" s="37">
        <f>IF(BR16&gt;=0.9,1,IF(BR16&gt;=0.8,0.9,IF(BR16&gt;=0.7,0.8,IF(BR16&gt;=0.6,0.7,IF(BR16&gt;=0.5,0.6,IF(BR16&gt;=0.4,0.5,IF(BR16&gt;=0.3,0.4,IF(BR16&gt;=0.2,0.3,IF(BR16&gt;=0.1,0.2,0.1)))))))))</f>
        <v/>
      </c>
      <c r="BT16" s="37">
        <f>BS16*0.05</f>
        <v/>
      </c>
      <c r="BU16" s="39" t="n">
        <v>0.08</v>
      </c>
      <c r="BV16" s="39" t="n">
        <v>0.06</v>
      </c>
      <c r="BW16" s="39" t="n">
        <v>0.09</v>
      </c>
      <c r="BX16" s="39" t="n">
        <v>0.06</v>
      </c>
    </row>
    <row r="17">
      <c r="A17" t="inlineStr">
        <is>
          <t>R10_Sumbagteng</t>
        </is>
      </c>
      <c r="B17" t="inlineStr">
        <is>
          <t>NOP BUKITTINGGI</t>
        </is>
      </c>
      <c r="C17" s="36">
        <f>RANK(D17,$D$10:$D$43,0)</f>
        <v/>
      </c>
      <c r="D17" s="37">
        <f>(G17*0.35)+(O17*65%)</f>
        <v/>
      </c>
      <c r="E17" s="36">
        <f>IF(D17&gt;=0.95,"Istimewa",IF(D17&gt;0.9,"Baik Sekali",IF(D17&gt;0.85,"Baik",IF(D17&gt;0.8,"Cukup","Kurang"))))</f>
        <v/>
      </c>
      <c r="F17" s="37">
        <f>0.29*0.65</f>
        <v/>
      </c>
      <c r="G17" s="37">
        <f>N17</f>
        <v/>
      </c>
      <c r="H17" s="37">
        <f>VLOOKUP(B17,'KPI Availability'!B:O,14,)</f>
        <v/>
      </c>
      <c r="I17" s="37">
        <f>VLOOKUP(B17,'KPI Availability'!B:P,15,)</f>
        <v/>
      </c>
      <c r="J17" s="37">
        <f>VLOOKUP(B17,'KPI Availability'!B:Q,16,)</f>
        <v/>
      </c>
      <c r="K17" s="37">
        <f>VLOOKUP(B17,'KPI Availability'!B:R,17,)</f>
        <v/>
      </c>
      <c r="L17" s="37">
        <f>VLOOKUP(B17,'KPI Availability'!B:S,18,)</f>
        <v/>
      </c>
      <c r="M17" s="37">
        <f>VLOOKUP(B17,'KPI Availability'!B:T,19,)</f>
        <v/>
      </c>
      <c r="N17" s="37">
        <f>SUM(H17:M17)</f>
        <v/>
      </c>
      <c r="O17" s="37">
        <f>P17+Q17+R17</f>
        <v/>
      </c>
      <c r="P17" s="37">
        <f>SUM(AA17:AD17,AG17,AJ17,AM17,AP17,AS17,AV17)</f>
        <v/>
      </c>
      <c r="Q17" s="37">
        <f>SUM(BG17:BK17,BN17,BQ17,BT17)</f>
        <v/>
      </c>
      <c r="R17" s="37">
        <f>SUM(BU17:BX17)</f>
        <v/>
      </c>
      <c r="S17" s="38">
        <f>VLOOKUP(B17,'KPI Ticketing'!B:C,2,)</f>
        <v/>
      </c>
      <c r="T17" s="38">
        <f>VLOOKUP(B17,'KPI Ticketing'!B:D,3,)</f>
        <v/>
      </c>
      <c r="U17" s="38">
        <f>VLOOKUP(B17,'KPI Ticketing'!B:E,4,)</f>
        <v/>
      </c>
      <c r="V17" s="38">
        <f>VLOOKUP(B17,'KPI Ticketing'!B:F,5,)</f>
        <v/>
      </c>
      <c r="W17" s="37">
        <f>IF(S17&lt;=4,100%,IF(S17&lt;=6,70%,IF(S17&lt;=8,40%,10%)))</f>
        <v/>
      </c>
      <c r="X17" s="37">
        <f>IF(T17&lt;=8,100%,IF(T17&lt;=12,50%,25%))</f>
        <v/>
      </c>
      <c r="Y17" s="37">
        <f>IF(U17&lt;=10,100%,IF(U17&lt;=15,50%,25%))</f>
        <v/>
      </c>
      <c r="Z17" s="37">
        <f>IF(V17&lt;=13,100%,IF(V17&lt;=19,50%,25%))</f>
        <v/>
      </c>
      <c r="AA17" s="37">
        <f>W17*0.13</f>
        <v/>
      </c>
      <c r="AB17" s="37">
        <f>X17*0.06</f>
        <v/>
      </c>
      <c r="AC17" s="37">
        <f>Y17*0.04</f>
        <v/>
      </c>
      <c r="AD17" s="37">
        <f>Z17*0.02</f>
        <v/>
      </c>
      <c r="AE17" s="37">
        <f>VLOOKUP(B17,'KPI Ticketing'!B:N,13,)</f>
        <v/>
      </c>
      <c r="AF17" s="37">
        <f>IF(AE17&gt;=0.8,1,IF(AE17&gt;=0.7,0.9,IF(AE17&gt;=0.6,0.8,IF(AE17&gt;=0.5,0.7,IF(AE17&gt;=0.4,0.6,IF(AE17&gt;=0.3,0.5,IF(AE17&gt;=0.2,0.4,IF(AE17&gt;=0.1,0.3,0.2))))))))</f>
        <v/>
      </c>
      <c r="AG17" s="37">
        <f>AF17*0.03</f>
        <v/>
      </c>
      <c r="AH17" s="37">
        <f>VLOOKUP(B17,'KPI Ticketing'!B:R,17,)</f>
        <v/>
      </c>
      <c r="AI17" s="37">
        <f>IF(AH17&gt;=0.8,1,IF(AH17&gt;=0.7,0.9,IF(AH17&gt;=0.6,0.8,IF(AH17&gt;=0.5,0.7,IF(AH17&gt;=0.4,0.6,IF(AH17&gt;=0.3,0.5,IF(AH17&gt;=0.2,0.4,IF(AH17&gt;=0.1,0.3,0.2))))))))</f>
        <v/>
      </c>
      <c r="AJ17" s="37">
        <f>AI17*0.02</f>
        <v/>
      </c>
      <c r="AK17" s="37">
        <f>VLOOKUP(B17,'KPI Ticketing'!B:V,21,)</f>
        <v/>
      </c>
      <c r="AL17" s="37">
        <f>IF(AK17&gt;=0.9,1,IF(AK17&gt;=0.8,0.9,IF(AK17&gt;=0.7,0.8,IF(AK17&gt;=0.6,0.7,IF(AK17&gt;=0.5,0.6,IF(AK17&gt;=0.4,0.5,IF(AK17&gt;=0.3,0.4,IF(AK17&gt;=0.2,0.3,IF(AK17&gt;=0.1,0.2,0.1)))))))))</f>
        <v/>
      </c>
      <c r="AM17" s="37">
        <f>AL17*0.05</f>
        <v/>
      </c>
      <c r="AN17" s="37">
        <f>VLOOKUP(B17,'KPI Ticketing'!B:Z,25,)</f>
        <v/>
      </c>
      <c r="AO17" s="37">
        <f>IF(AN17&gt;=0.95,1,IF(AN17&gt;=0.9,0.9,IF(AN17&gt;=0.8,0.8,IF(AN17&gt;=0.7,0.7,IF(AN17&gt;=0.6,0.6,IF(AN17&gt;=0.5,0.5,IF(AN17&gt;=0.4,0.4,IF(AN17&gt;=0.3,0.3,IF(AN17&gt;=0.2,0.2,IF(AN17&gt;=0.1,0.1,0.05))))))))))</f>
        <v/>
      </c>
      <c r="AP17" s="37">
        <f>AO17*0.05</f>
        <v/>
      </c>
      <c r="AQ17" s="37">
        <f>VLOOKUP(B17,'KPI Ticketing'!B:AC,28,)</f>
        <v/>
      </c>
      <c r="AR17" s="37">
        <f>IF(AQ17&lt;0.95,0.5,1)</f>
        <v/>
      </c>
      <c r="AS17" s="37">
        <f>AR17*0.01</f>
        <v/>
      </c>
      <c r="AT17" s="37">
        <f>VLOOKUP(B17,'KPI Ticketing'!B:AG,32,)</f>
        <v/>
      </c>
      <c r="AU17" s="37">
        <f>IF(AT17&lt;0.3,0.5,1)</f>
        <v/>
      </c>
      <c r="AV17" s="37">
        <f>AU17*0.01</f>
        <v/>
      </c>
      <c r="AW17" s="38">
        <f>VLOOKUP(B17,'KPI Ticketing'!B:AH,33,)</f>
        <v/>
      </c>
      <c r="AX17" s="38">
        <f>VLOOKUP(B17,'KPI Ticketing'!B:AI,34,)</f>
        <v/>
      </c>
      <c r="AY17" s="38">
        <f>VLOOKUP(B17,'KPI Ticketing'!B:AJ,35,)</f>
        <v/>
      </c>
      <c r="AZ17" s="38">
        <f>VLOOKUP(B17,'KPI Ticketing'!B:AK,36,)</f>
        <v/>
      </c>
      <c r="BA17" s="38">
        <f>VLOOKUP(B17,'KPI Ticketing'!B:AL,37,)</f>
        <v/>
      </c>
      <c r="BB17" s="37">
        <f>IF(AW17&lt;=2,1,IF(AW17&lt;=3,0.7,IF(AW17&lt;=4,0.4,0.1)))</f>
        <v/>
      </c>
      <c r="BC17" s="37">
        <f>IF(AX17&lt;=4,1,IF(AX17&lt;=6,0.5,0.25))</f>
        <v/>
      </c>
      <c r="BD17" s="37">
        <f>IF(AY17&lt;=15,1,IF(AY17&lt;=22.5,0.5,0.25))</f>
        <v/>
      </c>
      <c r="BE17" s="37">
        <f>IF(AZ17&lt;=48,1,IF(AZ17&lt;=72,0.5,0.25))</f>
        <v/>
      </c>
      <c r="BF17" s="37">
        <f>IF(BA17=0, 0, IF(BA17&lt;=96, 1, IF(BA17&lt;=144, 0.5, 0.25)))</f>
        <v/>
      </c>
      <c r="BG17" s="37">
        <f>BB17*0.1</f>
        <v/>
      </c>
      <c r="BH17" s="37">
        <f>BC17*0.05</f>
        <v/>
      </c>
      <c r="BI17" s="37">
        <f>BD17*0.02</f>
        <v/>
      </c>
      <c r="BJ17" s="37">
        <f>BE17*0.01</f>
        <v/>
      </c>
      <c r="BK17" s="37">
        <f>BF17*0.01</f>
        <v/>
      </c>
      <c r="BL17" s="37">
        <f>VLOOKUP(B17,'KPI Ticketing'!B:AT,45,)</f>
        <v/>
      </c>
      <c r="BM17" s="37">
        <f>IF(BL17&gt;=0.8,1,IF(BL17&gt;=0.7,0.9,IF(BL17&gt;=0.6,0.8,IF(BL17&gt;=0.5,0.7,IF(BL17&gt;=0.4,0.6,IF(BL17&gt;=0.3,0.5,IF(BL17&gt;=0.2,0.4,IF(BL17&gt;=0.1,0.3,0.2))))))))</f>
        <v/>
      </c>
      <c r="BN17" s="37">
        <f>BM17*0.03</f>
        <v/>
      </c>
      <c r="BO17" s="37">
        <f>VLOOKUP(B17,'KPI Ticketing'!B:AX,49,)</f>
        <v/>
      </c>
      <c r="BP17" s="37">
        <f>IF(BO17&gt;=0.8,1,IF(BO17&gt;=0.7,0.9,IF(BO17&gt;=0.6,0.8,IF(BO17&gt;=0.5,0.7,IF(BO17&gt;=0.4,0.6,IF(BO17&gt;=0.3,0.5,IF(BO17&gt;=0.2,0.4,IF(BO17&gt;=0.1,0.3,0.2))))))))</f>
        <v/>
      </c>
      <c r="BQ17" s="37">
        <f>BP17*0.02</f>
        <v/>
      </c>
      <c r="BR17" s="37">
        <f>VLOOKUP(B17,'KPI Ticketing'!B:BB,53,)</f>
        <v/>
      </c>
      <c r="BS17" s="37">
        <f>IF(BR17&gt;=0.9,1,IF(BR17&gt;=0.8,0.9,IF(BR17&gt;=0.7,0.8,IF(BR17&gt;=0.6,0.7,IF(BR17&gt;=0.5,0.6,IF(BR17&gt;=0.4,0.5,IF(BR17&gt;=0.3,0.4,IF(BR17&gt;=0.2,0.3,IF(BR17&gt;=0.1,0.2,0.1)))))))))</f>
        <v/>
      </c>
      <c r="BT17" s="37">
        <f>BS17*0.05</f>
        <v/>
      </c>
      <c r="BU17" s="39" t="n">
        <v>0.08</v>
      </c>
      <c r="BV17" s="39" t="n">
        <v>0.06</v>
      </c>
      <c r="BW17" s="39" t="n">
        <v>0.09</v>
      </c>
      <c r="BX17" s="39" t="n">
        <v>0.06</v>
      </c>
    </row>
    <row r="18">
      <c r="A18" t="inlineStr">
        <is>
          <t>R10_Sumbagteng</t>
        </is>
      </c>
      <c r="B18" t="inlineStr">
        <is>
          <t>NOP DUMAI</t>
        </is>
      </c>
      <c r="C18" s="36">
        <f>RANK(D18,$D$10:$D$43,0)</f>
        <v/>
      </c>
      <c r="D18" s="37">
        <f>(G18*0.35)+(O18*65%)</f>
        <v/>
      </c>
      <c r="E18" s="36">
        <f>IF(D18&gt;=0.95,"Istimewa",IF(D18&gt;0.9,"Baik Sekali",IF(D18&gt;0.85,"Baik",IF(D18&gt;0.8,"Cukup","Kurang"))))</f>
        <v/>
      </c>
      <c r="F18" s="37">
        <f>0.29*0.65</f>
        <v/>
      </c>
      <c r="G18" s="37">
        <f>N18</f>
        <v/>
      </c>
      <c r="H18" s="37">
        <f>VLOOKUP(B18,'KPI Availability'!B:O,14,)</f>
        <v/>
      </c>
      <c r="I18" s="37">
        <f>VLOOKUP(B18,'KPI Availability'!B:P,15,)</f>
        <v/>
      </c>
      <c r="J18" s="37">
        <f>VLOOKUP(B18,'KPI Availability'!B:Q,16,)</f>
        <v/>
      </c>
      <c r="K18" s="37">
        <f>VLOOKUP(B18,'KPI Availability'!B:R,17,)</f>
        <v/>
      </c>
      <c r="L18" s="37">
        <f>VLOOKUP(B18,'KPI Availability'!B:S,18,)</f>
        <v/>
      </c>
      <c r="M18" s="37">
        <f>VLOOKUP(B18,'KPI Availability'!B:T,19,)</f>
        <v/>
      </c>
      <c r="N18" s="37">
        <f>SUM(H18:M18)</f>
        <v/>
      </c>
      <c r="O18" s="37">
        <f>P18+Q18+R18</f>
        <v/>
      </c>
      <c r="P18" s="37">
        <f>SUM(AA18:AD18,AG18,AJ18,AM18,AP18,AS18,AV18)</f>
        <v/>
      </c>
      <c r="Q18" s="37">
        <f>SUM(BG18:BK18,BN18,BQ18,BT18)</f>
        <v/>
      </c>
      <c r="R18" s="37">
        <f>SUM(BU18:BX18)</f>
        <v/>
      </c>
      <c r="S18" s="38">
        <f>VLOOKUP(B18,'KPI Ticketing'!B:C,2,)</f>
        <v/>
      </c>
      <c r="T18" s="38">
        <f>VLOOKUP(B18,'KPI Ticketing'!B:D,3,)</f>
        <v/>
      </c>
      <c r="U18" s="38">
        <f>VLOOKUP(B18,'KPI Ticketing'!B:E,4,)</f>
        <v/>
      </c>
      <c r="V18" s="38">
        <f>VLOOKUP(B18,'KPI Ticketing'!B:F,5,)</f>
        <v/>
      </c>
      <c r="W18" s="37">
        <f>IF(S18&lt;=4,100%,IF(S18&lt;=6,70%,IF(S18&lt;=8,40%,10%)))</f>
        <v/>
      </c>
      <c r="X18" s="37">
        <f>IF(T18&lt;=8,100%,IF(T18&lt;=12,50%,25%))</f>
        <v/>
      </c>
      <c r="Y18" s="37">
        <f>IF(U18&lt;=10,100%,IF(U18&lt;=15,50%,25%))</f>
        <v/>
      </c>
      <c r="Z18" s="37">
        <f>IF(V18&lt;=13,100%,IF(V18&lt;=19,50%,25%))</f>
        <v/>
      </c>
      <c r="AA18" s="37">
        <f>W18*0.13</f>
        <v/>
      </c>
      <c r="AB18" s="37">
        <f>X18*0.06</f>
        <v/>
      </c>
      <c r="AC18" s="37">
        <f>Y18*0.04</f>
        <v/>
      </c>
      <c r="AD18" s="37">
        <f>Z18*0.02</f>
        <v/>
      </c>
      <c r="AE18" s="37">
        <f>VLOOKUP(B18,'KPI Ticketing'!B:N,13,)</f>
        <v/>
      </c>
      <c r="AF18" s="37">
        <f>IF(AE18&gt;=0.8,1,IF(AE18&gt;=0.7,0.9,IF(AE18&gt;=0.6,0.8,IF(AE18&gt;=0.5,0.7,IF(AE18&gt;=0.4,0.6,IF(AE18&gt;=0.3,0.5,IF(AE18&gt;=0.2,0.4,IF(AE18&gt;=0.1,0.3,0.2))))))))</f>
        <v/>
      </c>
      <c r="AG18" s="37">
        <f>AF18*0.03</f>
        <v/>
      </c>
      <c r="AH18" s="37">
        <f>VLOOKUP(B18,'KPI Ticketing'!B:R,17,)</f>
        <v/>
      </c>
      <c r="AI18" s="37">
        <f>IF(AH18&gt;=0.8,1,IF(AH18&gt;=0.7,0.9,IF(AH18&gt;=0.6,0.8,IF(AH18&gt;=0.5,0.7,IF(AH18&gt;=0.4,0.6,IF(AH18&gt;=0.3,0.5,IF(AH18&gt;=0.2,0.4,IF(AH18&gt;=0.1,0.3,0.2))))))))</f>
        <v/>
      </c>
      <c r="AJ18" s="37">
        <f>AI18*0.02</f>
        <v/>
      </c>
      <c r="AK18" s="37">
        <f>VLOOKUP(B18,'KPI Ticketing'!B:V,21,)</f>
        <v/>
      </c>
      <c r="AL18" s="37">
        <f>IF(AK18&gt;=0.9,1,IF(AK18&gt;=0.8,0.9,IF(AK18&gt;=0.7,0.8,IF(AK18&gt;=0.6,0.7,IF(AK18&gt;=0.5,0.6,IF(AK18&gt;=0.4,0.5,IF(AK18&gt;=0.3,0.4,IF(AK18&gt;=0.2,0.3,IF(AK18&gt;=0.1,0.2,0.1)))))))))</f>
        <v/>
      </c>
      <c r="AM18" s="37">
        <f>AL18*0.05</f>
        <v/>
      </c>
      <c r="AN18" s="37">
        <f>VLOOKUP(B18,'KPI Ticketing'!B:Z,25,)</f>
        <v/>
      </c>
      <c r="AO18" s="37">
        <f>IF(AN18&gt;=0.95,1,IF(AN18&gt;=0.9,0.9,IF(AN18&gt;=0.8,0.8,IF(AN18&gt;=0.7,0.7,IF(AN18&gt;=0.6,0.6,IF(AN18&gt;=0.5,0.5,IF(AN18&gt;=0.4,0.4,IF(AN18&gt;=0.3,0.3,IF(AN18&gt;=0.2,0.2,IF(AN18&gt;=0.1,0.1,0.05))))))))))</f>
        <v/>
      </c>
      <c r="AP18" s="37">
        <f>AO18*0.05</f>
        <v/>
      </c>
      <c r="AQ18" s="37">
        <f>VLOOKUP(B18,'KPI Ticketing'!B:AC,28,)</f>
        <v/>
      </c>
      <c r="AR18" s="37">
        <f>IF(AQ18&lt;0.95,0.5,1)</f>
        <v/>
      </c>
      <c r="AS18" s="37">
        <f>AR18*0.01</f>
        <v/>
      </c>
      <c r="AT18" s="37">
        <f>VLOOKUP(B18,'KPI Ticketing'!B:AG,32,)</f>
        <v/>
      </c>
      <c r="AU18" s="37">
        <f>IF(AT18&lt;0.3,0.5,1)</f>
        <v/>
      </c>
      <c r="AV18" s="37">
        <f>AU18*0.01</f>
        <v/>
      </c>
      <c r="AW18" s="38">
        <f>VLOOKUP(B18,'KPI Ticketing'!B:AH,33,)</f>
        <v/>
      </c>
      <c r="AX18" s="38">
        <f>VLOOKUP(B18,'KPI Ticketing'!B:AI,34,)</f>
        <v/>
      </c>
      <c r="AY18" s="38">
        <f>VLOOKUP(B18,'KPI Ticketing'!B:AJ,35,)</f>
        <v/>
      </c>
      <c r="AZ18" s="38">
        <f>VLOOKUP(B18,'KPI Ticketing'!B:AK,36,)</f>
        <v/>
      </c>
      <c r="BA18" s="38">
        <f>VLOOKUP(B18,'KPI Ticketing'!B:AL,37,)</f>
        <v/>
      </c>
      <c r="BB18" s="37">
        <f>IF(AW18&lt;=2,1,IF(AW18&lt;=3,0.7,IF(AW18&lt;=4,0.4,0.1)))</f>
        <v/>
      </c>
      <c r="BC18" s="37">
        <f>IF(AX18&lt;=4,1,IF(AX18&lt;=6,0.5,0.25))</f>
        <v/>
      </c>
      <c r="BD18" s="37">
        <f>IF(AY18&lt;=15,1,IF(AY18&lt;=22.5,0.5,0.25))</f>
        <v/>
      </c>
      <c r="BE18" s="37">
        <f>IF(AZ18&lt;=48,1,IF(AZ18&lt;=72,0.5,0.25))</f>
        <v/>
      </c>
      <c r="BF18" s="37">
        <f>IF(BA18=0, 0, IF(BA18&lt;=96, 1, IF(BA18&lt;=144, 0.5, 0.25)))</f>
        <v/>
      </c>
      <c r="BG18" s="37">
        <f>BB18*0.1</f>
        <v/>
      </c>
      <c r="BH18" s="37">
        <f>BC18*0.05</f>
        <v/>
      </c>
      <c r="BI18" s="37">
        <f>BD18*0.02</f>
        <v/>
      </c>
      <c r="BJ18" s="37">
        <f>BE18*0.01</f>
        <v/>
      </c>
      <c r="BK18" s="37">
        <f>BF18*0.01</f>
        <v/>
      </c>
      <c r="BL18" s="37">
        <f>VLOOKUP(B18,'KPI Ticketing'!B:AT,45,)</f>
        <v/>
      </c>
      <c r="BM18" s="37">
        <f>IF(BL18&gt;=0.8,1,IF(BL18&gt;=0.7,0.9,IF(BL18&gt;=0.6,0.8,IF(BL18&gt;=0.5,0.7,IF(BL18&gt;=0.4,0.6,IF(BL18&gt;=0.3,0.5,IF(BL18&gt;=0.2,0.4,IF(BL18&gt;=0.1,0.3,0.2))))))))</f>
        <v/>
      </c>
      <c r="BN18" s="37">
        <f>BM18*0.03</f>
        <v/>
      </c>
      <c r="BO18" s="37">
        <f>VLOOKUP(B18,'KPI Ticketing'!B:AX,49,)</f>
        <v/>
      </c>
      <c r="BP18" s="37">
        <f>IF(BO18&gt;=0.8,1,IF(BO18&gt;=0.7,0.9,IF(BO18&gt;=0.6,0.8,IF(BO18&gt;=0.5,0.7,IF(BO18&gt;=0.4,0.6,IF(BO18&gt;=0.3,0.5,IF(BO18&gt;=0.2,0.4,IF(BO18&gt;=0.1,0.3,0.2))))))))</f>
        <v/>
      </c>
      <c r="BQ18" s="37">
        <f>BP18*0.02</f>
        <v/>
      </c>
      <c r="BR18" s="37">
        <f>VLOOKUP(B18,'KPI Ticketing'!B:BB,53,)</f>
        <v/>
      </c>
      <c r="BS18" s="37">
        <f>IF(BR18&gt;=0.9,1,IF(BR18&gt;=0.8,0.9,IF(BR18&gt;=0.7,0.8,IF(BR18&gt;=0.6,0.7,IF(BR18&gt;=0.5,0.6,IF(BR18&gt;=0.4,0.5,IF(BR18&gt;=0.3,0.4,IF(BR18&gt;=0.2,0.3,IF(BR18&gt;=0.1,0.2,0.1)))))))))</f>
        <v/>
      </c>
      <c r="BT18" s="37">
        <f>BS18*0.05</f>
        <v/>
      </c>
      <c r="BU18" s="39" t="n">
        <v>0.08</v>
      </c>
      <c r="BV18" s="39" t="n">
        <v>0.06</v>
      </c>
      <c r="BW18" s="39" t="n">
        <v>0.09</v>
      </c>
      <c r="BX18" s="39" t="n">
        <v>0.06</v>
      </c>
    </row>
    <row r="19">
      <c r="A19" t="inlineStr">
        <is>
          <t>R10_Sumbagteng</t>
        </is>
      </c>
      <c r="B19" t="inlineStr">
        <is>
          <t>NOP PADANG</t>
        </is>
      </c>
      <c r="C19" s="36">
        <f>RANK(D19,$D$10:$D$43,0)</f>
        <v/>
      </c>
      <c r="D19" s="37">
        <f>(G19*0.35)+(O19*65%)</f>
        <v/>
      </c>
      <c r="E19" s="36">
        <f>IF(D19&gt;=0.95,"Istimewa",IF(D19&gt;0.9,"Baik Sekali",IF(D19&gt;0.85,"Baik",IF(D19&gt;0.8,"Cukup","Kurang"))))</f>
        <v/>
      </c>
      <c r="F19" s="37">
        <f>0.29*0.65</f>
        <v/>
      </c>
      <c r="G19" s="37">
        <f>N19</f>
        <v/>
      </c>
      <c r="H19" s="37">
        <f>VLOOKUP(B19,'KPI Availability'!B:O,14,)</f>
        <v/>
      </c>
      <c r="I19" s="37">
        <f>VLOOKUP(B19,'KPI Availability'!B:P,15,)</f>
        <v/>
      </c>
      <c r="J19" s="37">
        <f>VLOOKUP(B19,'KPI Availability'!B:Q,16,)</f>
        <v/>
      </c>
      <c r="K19" s="37">
        <f>VLOOKUP(B19,'KPI Availability'!B:R,17,)</f>
        <v/>
      </c>
      <c r="L19" s="37">
        <f>VLOOKUP(B19,'KPI Availability'!B:S,18,)</f>
        <v/>
      </c>
      <c r="M19" s="37">
        <f>VLOOKUP(B19,'KPI Availability'!B:T,19,)</f>
        <v/>
      </c>
      <c r="N19" s="37">
        <f>SUM(H19:M19)</f>
        <v/>
      </c>
      <c r="O19" s="37">
        <f>P19+Q19+R19</f>
        <v/>
      </c>
      <c r="P19" s="37">
        <f>SUM(AA19:AD19,AG19,AJ19,AM19,AP19,AS19,AV19)</f>
        <v/>
      </c>
      <c r="Q19" s="37">
        <f>SUM(BG19:BK19,BN19,BQ19,BT19)</f>
        <v/>
      </c>
      <c r="R19" s="37">
        <f>SUM(BU19:BX19)</f>
        <v/>
      </c>
      <c r="S19" s="38">
        <f>VLOOKUP(B19,'KPI Ticketing'!B:C,2,)</f>
        <v/>
      </c>
      <c r="T19" s="38">
        <f>VLOOKUP(B19,'KPI Ticketing'!B:D,3,)</f>
        <v/>
      </c>
      <c r="U19" s="38">
        <f>VLOOKUP(B19,'KPI Ticketing'!B:E,4,)</f>
        <v/>
      </c>
      <c r="V19" s="38">
        <f>VLOOKUP(B19,'KPI Ticketing'!B:F,5,)</f>
        <v/>
      </c>
      <c r="W19" s="37">
        <f>IF(S19&lt;=4,100%,IF(S19&lt;=6,70%,IF(S19&lt;=8,40%,10%)))</f>
        <v/>
      </c>
      <c r="X19" s="37">
        <f>IF(T19&lt;=8,100%,IF(T19&lt;=12,50%,25%))</f>
        <v/>
      </c>
      <c r="Y19" s="37">
        <f>IF(U19&lt;=10,100%,IF(U19&lt;=15,50%,25%))</f>
        <v/>
      </c>
      <c r="Z19" s="37">
        <f>IF(V19&lt;=13,100%,IF(V19&lt;=19,50%,25%))</f>
        <v/>
      </c>
      <c r="AA19" s="37">
        <f>W19*0.13</f>
        <v/>
      </c>
      <c r="AB19" s="37">
        <f>X19*0.06</f>
        <v/>
      </c>
      <c r="AC19" s="37">
        <f>Y19*0.04</f>
        <v/>
      </c>
      <c r="AD19" s="37">
        <f>Z19*0.02</f>
        <v/>
      </c>
      <c r="AE19" s="37">
        <f>VLOOKUP(B19,'KPI Ticketing'!B:N,13,)</f>
        <v/>
      </c>
      <c r="AF19" s="37">
        <f>IF(AE19&gt;=0.8,1,IF(AE19&gt;=0.7,0.9,IF(AE19&gt;=0.6,0.8,IF(AE19&gt;=0.5,0.7,IF(AE19&gt;=0.4,0.6,IF(AE19&gt;=0.3,0.5,IF(AE19&gt;=0.2,0.4,IF(AE19&gt;=0.1,0.3,0.2))))))))</f>
        <v/>
      </c>
      <c r="AG19" s="37">
        <f>AF19*0.03</f>
        <v/>
      </c>
      <c r="AH19" s="37">
        <f>VLOOKUP(B19,'KPI Ticketing'!B:R,17,)</f>
        <v/>
      </c>
      <c r="AI19" s="37">
        <f>IF(AH19&gt;=0.8,1,IF(AH19&gt;=0.7,0.9,IF(AH19&gt;=0.6,0.8,IF(AH19&gt;=0.5,0.7,IF(AH19&gt;=0.4,0.6,IF(AH19&gt;=0.3,0.5,IF(AH19&gt;=0.2,0.4,IF(AH19&gt;=0.1,0.3,0.2))))))))</f>
        <v/>
      </c>
      <c r="AJ19" s="37">
        <f>AI19*0.02</f>
        <v/>
      </c>
      <c r="AK19" s="37">
        <f>VLOOKUP(B19,'KPI Ticketing'!B:V,21,)</f>
        <v/>
      </c>
      <c r="AL19" s="37">
        <f>IF(AK19&gt;=0.9,1,IF(AK19&gt;=0.8,0.9,IF(AK19&gt;=0.7,0.8,IF(AK19&gt;=0.6,0.7,IF(AK19&gt;=0.5,0.6,IF(AK19&gt;=0.4,0.5,IF(AK19&gt;=0.3,0.4,IF(AK19&gt;=0.2,0.3,IF(AK19&gt;=0.1,0.2,0.1)))))))))</f>
        <v/>
      </c>
      <c r="AM19" s="37">
        <f>AL19*0.05</f>
        <v/>
      </c>
      <c r="AN19" s="37">
        <f>VLOOKUP(B19,'KPI Ticketing'!B:Z,25,)</f>
        <v/>
      </c>
      <c r="AO19" s="37">
        <f>IF(AN19&gt;=0.95,1,IF(AN19&gt;=0.9,0.9,IF(AN19&gt;=0.8,0.8,IF(AN19&gt;=0.7,0.7,IF(AN19&gt;=0.6,0.6,IF(AN19&gt;=0.5,0.5,IF(AN19&gt;=0.4,0.4,IF(AN19&gt;=0.3,0.3,IF(AN19&gt;=0.2,0.2,IF(AN19&gt;=0.1,0.1,0.05))))))))))</f>
        <v/>
      </c>
      <c r="AP19" s="37">
        <f>AO19*0.05</f>
        <v/>
      </c>
      <c r="AQ19" s="37">
        <f>VLOOKUP(B19,'KPI Ticketing'!B:AC,28,)</f>
        <v/>
      </c>
      <c r="AR19" s="37">
        <f>IF(AQ19&lt;0.95,0.5,1)</f>
        <v/>
      </c>
      <c r="AS19" s="37">
        <f>AR19*0.01</f>
        <v/>
      </c>
      <c r="AT19" s="37">
        <f>VLOOKUP(B19,'KPI Ticketing'!B:AG,32,)</f>
        <v/>
      </c>
      <c r="AU19" s="37">
        <f>IF(AT19&lt;0.3,0.5,1)</f>
        <v/>
      </c>
      <c r="AV19" s="37">
        <f>AU19*0.01</f>
        <v/>
      </c>
      <c r="AW19" s="38">
        <f>VLOOKUP(B19,'KPI Ticketing'!B:AH,33,)</f>
        <v/>
      </c>
      <c r="AX19" s="38">
        <f>VLOOKUP(B19,'KPI Ticketing'!B:AI,34,)</f>
        <v/>
      </c>
      <c r="AY19" s="38">
        <f>VLOOKUP(B19,'KPI Ticketing'!B:AJ,35,)</f>
        <v/>
      </c>
      <c r="AZ19" s="38">
        <f>VLOOKUP(B19,'KPI Ticketing'!B:AK,36,)</f>
        <v/>
      </c>
      <c r="BA19" s="38">
        <f>VLOOKUP(B19,'KPI Ticketing'!B:AL,37,)</f>
        <v/>
      </c>
      <c r="BB19" s="37">
        <f>IF(AW19&lt;=2,1,IF(AW19&lt;=3,0.7,IF(AW19&lt;=4,0.4,0.1)))</f>
        <v/>
      </c>
      <c r="BC19" s="37">
        <f>IF(AX19&lt;=4,1,IF(AX19&lt;=6,0.5,0.25))</f>
        <v/>
      </c>
      <c r="BD19" s="37">
        <f>IF(AY19&lt;=15,1,IF(AY19&lt;=22.5,0.5,0.25))</f>
        <v/>
      </c>
      <c r="BE19" s="37">
        <f>IF(AZ19&lt;=48,1,IF(AZ19&lt;=72,0.5,0.25))</f>
        <v/>
      </c>
      <c r="BF19" s="37">
        <f>IF(BA19=0, 0, IF(BA19&lt;=96, 1, IF(BA19&lt;=144, 0.5, 0.25)))</f>
        <v/>
      </c>
      <c r="BG19" s="37">
        <f>BB19*0.1</f>
        <v/>
      </c>
      <c r="BH19" s="37">
        <f>BC19*0.05</f>
        <v/>
      </c>
      <c r="BI19" s="37">
        <f>BD19*0.02</f>
        <v/>
      </c>
      <c r="BJ19" s="37">
        <f>BE19*0.01</f>
        <v/>
      </c>
      <c r="BK19" s="37">
        <f>BF19*0.01</f>
        <v/>
      </c>
      <c r="BL19" s="37">
        <f>VLOOKUP(B19,'KPI Ticketing'!B:AT,45,)</f>
        <v/>
      </c>
      <c r="BM19" s="37">
        <f>IF(BL19&gt;=0.8,1,IF(BL19&gt;=0.7,0.9,IF(BL19&gt;=0.6,0.8,IF(BL19&gt;=0.5,0.7,IF(BL19&gt;=0.4,0.6,IF(BL19&gt;=0.3,0.5,IF(BL19&gt;=0.2,0.4,IF(BL19&gt;=0.1,0.3,0.2))))))))</f>
        <v/>
      </c>
      <c r="BN19" s="37">
        <f>BM19*0.03</f>
        <v/>
      </c>
      <c r="BO19" s="37">
        <f>VLOOKUP(B19,'KPI Ticketing'!B:AX,49,)</f>
        <v/>
      </c>
      <c r="BP19" s="37">
        <f>IF(BO19&gt;=0.8,1,IF(BO19&gt;=0.7,0.9,IF(BO19&gt;=0.6,0.8,IF(BO19&gt;=0.5,0.7,IF(BO19&gt;=0.4,0.6,IF(BO19&gt;=0.3,0.5,IF(BO19&gt;=0.2,0.4,IF(BO19&gt;=0.1,0.3,0.2))))))))</f>
        <v/>
      </c>
      <c r="BQ19" s="37">
        <f>BP19*0.02</f>
        <v/>
      </c>
      <c r="BR19" s="37">
        <f>VLOOKUP(B19,'KPI Ticketing'!B:BB,53,)</f>
        <v/>
      </c>
      <c r="BS19" s="37">
        <f>IF(BR19&gt;=0.9,1,IF(BR19&gt;=0.8,0.9,IF(BR19&gt;=0.7,0.8,IF(BR19&gt;=0.6,0.7,IF(BR19&gt;=0.5,0.6,IF(BR19&gt;=0.4,0.5,IF(BR19&gt;=0.3,0.4,IF(BR19&gt;=0.2,0.3,IF(BR19&gt;=0.1,0.2,0.1)))))))))</f>
        <v/>
      </c>
      <c r="BT19" s="37">
        <f>BS19*0.05</f>
        <v/>
      </c>
      <c r="BU19" s="39" t="n">
        <v>0.08</v>
      </c>
      <c r="BV19" s="39" t="n">
        <v>0.06</v>
      </c>
      <c r="BW19" s="39" t="n">
        <v>0.09</v>
      </c>
      <c r="BX19" s="39" t="n">
        <v>0.06</v>
      </c>
    </row>
    <row r="20">
      <c r="A20" t="inlineStr">
        <is>
          <t>R10_Sumbagteng</t>
        </is>
      </c>
      <c r="B20" t="inlineStr">
        <is>
          <t>NOP PEKANBARU</t>
        </is>
      </c>
      <c r="C20" s="36">
        <f>RANK(D20,$D$10:$D$43,0)</f>
        <v/>
      </c>
      <c r="D20" s="37">
        <f>(G20*0.35)+(O20*65%)</f>
        <v/>
      </c>
      <c r="E20" s="36">
        <f>IF(D20&gt;=0.95,"Istimewa",IF(D20&gt;0.9,"Baik Sekali",IF(D20&gt;0.85,"Baik",IF(D20&gt;0.8,"Cukup","Kurang"))))</f>
        <v/>
      </c>
      <c r="F20" s="37">
        <f>0.29*0.65</f>
        <v/>
      </c>
      <c r="G20" s="37">
        <f>N20</f>
        <v/>
      </c>
      <c r="H20" s="37">
        <f>VLOOKUP(B20,'KPI Availability'!B:O,14,)</f>
        <v/>
      </c>
      <c r="I20" s="37">
        <f>VLOOKUP(B20,'KPI Availability'!B:P,15,)</f>
        <v/>
      </c>
      <c r="J20" s="37">
        <f>VLOOKUP(B20,'KPI Availability'!B:Q,16,)</f>
        <v/>
      </c>
      <c r="K20" s="37">
        <f>VLOOKUP(B20,'KPI Availability'!B:R,17,)</f>
        <v/>
      </c>
      <c r="L20" s="37">
        <f>VLOOKUP(B20,'KPI Availability'!B:S,18,)</f>
        <v/>
      </c>
      <c r="M20" s="37">
        <f>VLOOKUP(B20,'KPI Availability'!B:T,19,)</f>
        <v/>
      </c>
      <c r="N20" s="37">
        <f>SUM(H20:M20)</f>
        <v/>
      </c>
      <c r="O20" s="37">
        <f>P20+Q20+R20</f>
        <v/>
      </c>
      <c r="P20" s="37">
        <f>SUM(AA20:AD20,AG20,AJ20,AM20,AP20,AS20,AV20)</f>
        <v/>
      </c>
      <c r="Q20" s="37">
        <f>SUM(BG20:BK20,BN20,BQ20,BT20)</f>
        <v/>
      </c>
      <c r="R20" s="37">
        <f>SUM(BU20:BX20)</f>
        <v/>
      </c>
      <c r="S20" s="38">
        <f>VLOOKUP(B20,'KPI Ticketing'!B:C,2,)</f>
        <v/>
      </c>
      <c r="T20" s="38">
        <f>VLOOKUP(B20,'KPI Ticketing'!B:D,3,)</f>
        <v/>
      </c>
      <c r="U20" s="38">
        <f>VLOOKUP(B20,'KPI Ticketing'!B:E,4,)</f>
        <v/>
      </c>
      <c r="V20" s="38">
        <f>VLOOKUP(B20,'KPI Ticketing'!B:F,5,)</f>
        <v/>
      </c>
      <c r="W20" s="37">
        <f>IF(S20&lt;=4,100%,IF(S20&lt;=6,70%,IF(S20&lt;=8,40%,10%)))</f>
        <v/>
      </c>
      <c r="X20" s="37">
        <f>IF(T20&lt;=8,100%,IF(T20&lt;=12,50%,25%))</f>
        <v/>
      </c>
      <c r="Y20" s="37">
        <f>IF(U20&lt;=10,100%,IF(U20&lt;=15,50%,25%))</f>
        <v/>
      </c>
      <c r="Z20" s="37">
        <f>IF(V20&lt;=13,100%,IF(V20&lt;=19,50%,25%))</f>
        <v/>
      </c>
      <c r="AA20" s="37">
        <f>W20*0.13</f>
        <v/>
      </c>
      <c r="AB20" s="37">
        <f>X20*0.06</f>
        <v/>
      </c>
      <c r="AC20" s="37">
        <f>Y20*0.04</f>
        <v/>
      </c>
      <c r="AD20" s="37">
        <f>Z20*0.02</f>
        <v/>
      </c>
      <c r="AE20" s="37">
        <f>VLOOKUP(B20,'KPI Ticketing'!B:N,13,)</f>
        <v/>
      </c>
      <c r="AF20" s="37">
        <f>IF(AE20&gt;=0.8,1,IF(AE20&gt;=0.7,0.9,IF(AE20&gt;=0.6,0.8,IF(AE20&gt;=0.5,0.7,IF(AE20&gt;=0.4,0.6,IF(AE20&gt;=0.3,0.5,IF(AE20&gt;=0.2,0.4,IF(AE20&gt;=0.1,0.3,0.2))))))))</f>
        <v/>
      </c>
      <c r="AG20" s="37">
        <f>AF20*0.03</f>
        <v/>
      </c>
      <c r="AH20" s="37">
        <f>VLOOKUP(B20,'KPI Ticketing'!B:R,17,)</f>
        <v/>
      </c>
      <c r="AI20" s="37">
        <f>IF(AH20&gt;=0.8,1,IF(AH20&gt;=0.7,0.9,IF(AH20&gt;=0.6,0.8,IF(AH20&gt;=0.5,0.7,IF(AH20&gt;=0.4,0.6,IF(AH20&gt;=0.3,0.5,IF(AH20&gt;=0.2,0.4,IF(AH20&gt;=0.1,0.3,0.2))))))))</f>
        <v/>
      </c>
      <c r="AJ20" s="37">
        <f>AI20*0.02</f>
        <v/>
      </c>
      <c r="AK20" s="37">
        <f>VLOOKUP(B20,'KPI Ticketing'!B:V,21,)</f>
        <v/>
      </c>
      <c r="AL20" s="37">
        <f>IF(AK20&gt;=0.9,1,IF(AK20&gt;=0.8,0.9,IF(AK20&gt;=0.7,0.8,IF(AK20&gt;=0.6,0.7,IF(AK20&gt;=0.5,0.6,IF(AK20&gt;=0.4,0.5,IF(AK20&gt;=0.3,0.4,IF(AK20&gt;=0.2,0.3,IF(AK20&gt;=0.1,0.2,0.1)))))))))</f>
        <v/>
      </c>
      <c r="AM20" s="37">
        <f>AL20*0.05</f>
        <v/>
      </c>
      <c r="AN20" s="37">
        <f>VLOOKUP(B20,'KPI Ticketing'!B:Z,25,)</f>
        <v/>
      </c>
      <c r="AO20" s="37">
        <f>IF(AN20&gt;=0.95,1,IF(AN20&gt;=0.9,0.9,IF(AN20&gt;=0.8,0.8,IF(AN20&gt;=0.7,0.7,IF(AN20&gt;=0.6,0.6,IF(AN20&gt;=0.5,0.5,IF(AN20&gt;=0.4,0.4,IF(AN20&gt;=0.3,0.3,IF(AN20&gt;=0.2,0.2,IF(AN20&gt;=0.1,0.1,0.05))))))))))</f>
        <v/>
      </c>
      <c r="AP20" s="37">
        <f>AO20*0.05</f>
        <v/>
      </c>
      <c r="AQ20" s="37">
        <f>VLOOKUP(B20,'KPI Ticketing'!B:AC,28,)</f>
        <v/>
      </c>
      <c r="AR20" s="37">
        <f>IF(AQ20&lt;0.95,0.5,1)</f>
        <v/>
      </c>
      <c r="AS20" s="37">
        <f>AR20*0.01</f>
        <v/>
      </c>
      <c r="AT20" s="37">
        <f>VLOOKUP(B20,'KPI Ticketing'!B:AG,32,)</f>
        <v/>
      </c>
      <c r="AU20" s="37">
        <f>IF(AT20&lt;0.3,0.5,1)</f>
        <v/>
      </c>
      <c r="AV20" s="37">
        <f>AU20*0.01</f>
        <v/>
      </c>
      <c r="AW20" s="38">
        <f>VLOOKUP(B20,'KPI Ticketing'!B:AH,33,)</f>
        <v/>
      </c>
      <c r="AX20" s="38">
        <f>VLOOKUP(B20,'KPI Ticketing'!B:AI,34,)</f>
        <v/>
      </c>
      <c r="AY20" s="38">
        <f>VLOOKUP(B20,'KPI Ticketing'!B:AJ,35,)</f>
        <v/>
      </c>
      <c r="AZ20" s="38">
        <f>VLOOKUP(B20,'KPI Ticketing'!B:AK,36,)</f>
        <v/>
      </c>
      <c r="BA20" s="38">
        <f>VLOOKUP(B20,'KPI Ticketing'!B:AL,37,)</f>
        <v/>
      </c>
      <c r="BB20" s="37">
        <f>IF(AW20&lt;=2,1,IF(AW20&lt;=3,0.7,IF(AW20&lt;=4,0.4,0.1)))</f>
        <v/>
      </c>
      <c r="BC20" s="37">
        <f>IF(AX20&lt;=4,1,IF(AX20&lt;=6,0.5,0.25))</f>
        <v/>
      </c>
      <c r="BD20" s="37">
        <f>IF(AY20&lt;=15,1,IF(AY20&lt;=22.5,0.5,0.25))</f>
        <v/>
      </c>
      <c r="BE20" s="37">
        <f>IF(AZ20&lt;=48,1,IF(AZ20&lt;=72,0.5,0.25))</f>
        <v/>
      </c>
      <c r="BF20" s="37">
        <f>IF(BA20=0, 0, IF(BA20&lt;=96, 1, IF(BA20&lt;=144, 0.5, 0.25)))</f>
        <v/>
      </c>
      <c r="BG20" s="37">
        <f>BB20*0.1</f>
        <v/>
      </c>
      <c r="BH20" s="37">
        <f>BC20*0.05</f>
        <v/>
      </c>
      <c r="BI20" s="37">
        <f>BD20*0.02</f>
        <v/>
      </c>
      <c r="BJ20" s="37">
        <f>BE20*0.01</f>
        <v/>
      </c>
      <c r="BK20" s="37">
        <f>BF20*0.01</f>
        <v/>
      </c>
      <c r="BL20" s="37">
        <f>VLOOKUP(B20,'KPI Ticketing'!B:AT,45,)</f>
        <v/>
      </c>
      <c r="BM20" s="37">
        <f>IF(BL20&gt;=0.8,1,IF(BL20&gt;=0.7,0.9,IF(BL20&gt;=0.6,0.8,IF(BL20&gt;=0.5,0.7,IF(BL20&gt;=0.4,0.6,IF(BL20&gt;=0.3,0.5,IF(BL20&gt;=0.2,0.4,IF(BL20&gt;=0.1,0.3,0.2))))))))</f>
        <v/>
      </c>
      <c r="BN20" s="37">
        <f>BM20*0.03</f>
        <v/>
      </c>
      <c r="BO20" s="37">
        <f>VLOOKUP(B20,'KPI Ticketing'!B:AX,49,)</f>
        <v/>
      </c>
      <c r="BP20" s="37">
        <f>IF(BO20&gt;=0.8,1,IF(BO20&gt;=0.7,0.9,IF(BO20&gt;=0.6,0.8,IF(BO20&gt;=0.5,0.7,IF(BO20&gt;=0.4,0.6,IF(BO20&gt;=0.3,0.5,IF(BO20&gt;=0.2,0.4,IF(BO20&gt;=0.1,0.3,0.2))))))))</f>
        <v/>
      </c>
      <c r="BQ20" s="37">
        <f>BP20*0.02</f>
        <v/>
      </c>
      <c r="BR20" s="37">
        <f>VLOOKUP(B20,'KPI Ticketing'!B:BB,53,)</f>
        <v/>
      </c>
      <c r="BS20" s="37">
        <f>IF(BR20&gt;=0.9,1,IF(BR20&gt;=0.8,0.9,IF(BR20&gt;=0.7,0.8,IF(BR20&gt;=0.6,0.7,IF(BR20&gt;=0.5,0.6,IF(BR20&gt;=0.4,0.5,IF(BR20&gt;=0.3,0.4,IF(BR20&gt;=0.2,0.3,IF(BR20&gt;=0.1,0.2,0.1)))))))))</f>
        <v/>
      </c>
      <c r="BT20" s="37">
        <f>BS20*0.05</f>
        <v/>
      </c>
      <c r="BU20" s="39" t="n">
        <v>0.08</v>
      </c>
      <c r="BV20" s="39" t="n">
        <v>0.06</v>
      </c>
      <c r="BW20" s="39" t="n">
        <v>0.09</v>
      </c>
      <c r="BX20" s="39" t="n">
        <v>0.06</v>
      </c>
    </row>
    <row r="21">
      <c r="A21" t="inlineStr">
        <is>
          <t>R02_Sumbagsel</t>
        </is>
      </c>
      <c r="B21" t="inlineStr">
        <is>
          <t>NOP BENGKULU</t>
        </is>
      </c>
      <c r="C21" s="36">
        <f>RANK(D21,$D$10:$D$43,0)</f>
        <v/>
      </c>
      <c r="D21" s="37">
        <f>(G21*0.35)+(O21*65%)</f>
        <v/>
      </c>
      <c r="E21" s="36">
        <f>IF(D21&gt;=0.95,"Istimewa",IF(D21&gt;0.9,"Baik Sekali",IF(D21&gt;0.85,"Baik",IF(D21&gt;0.8,"Cukup","Kurang"))))</f>
        <v/>
      </c>
      <c r="F21" s="37">
        <f>0.29*0.65</f>
        <v/>
      </c>
      <c r="G21" s="37">
        <f>N21</f>
        <v/>
      </c>
      <c r="H21" s="37">
        <f>VLOOKUP(B21,'KPI Availability'!B:O,14,)</f>
        <v/>
      </c>
      <c r="I21" s="37">
        <f>VLOOKUP(B21,'KPI Availability'!B:P,15,)</f>
        <v/>
      </c>
      <c r="J21" s="37">
        <f>VLOOKUP(B21,'KPI Availability'!B:Q,16,)</f>
        <v/>
      </c>
      <c r="K21" s="37">
        <f>VLOOKUP(B21,'KPI Availability'!B:R,17,)</f>
        <v/>
      </c>
      <c r="L21" s="37">
        <f>VLOOKUP(B21,'KPI Availability'!B:S,18,)</f>
        <v/>
      </c>
      <c r="M21" s="37">
        <f>VLOOKUP(B21,'KPI Availability'!B:T,19,)</f>
        <v/>
      </c>
      <c r="N21" s="37">
        <f>SUM(H21:M21)</f>
        <v/>
      </c>
      <c r="O21" s="37">
        <f>P21+Q21+R21</f>
        <v/>
      </c>
      <c r="P21" s="37">
        <f>SUM(AA21:AD21,AG21,AJ21,AM21,AP21,AS21,AV21)</f>
        <v/>
      </c>
      <c r="Q21" s="37">
        <f>SUM(BG21:BK21,BN21,BQ21,BT21)</f>
        <v/>
      </c>
      <c r="R21" s="37">
        <f>SUM(BU21:BX21)</f>
        <v/>
      </c>
      <c r="S21" s="38">
        <f>VLOOKUP(B21,'KPI Ticketing'!B:C,2,)</f>
        <v/>
      </c>
      <c r="T21" s="38">
        <f>VLOOKUP(B21,'KPI Ticketing'!B:D,3,)</f>
        <v/>
      </c>
      <c r="U21" s="38">
        <f>VLOOKUP(B21,'KPI Ticketing'!B:E,4,)</f>
        <v/>
      </c>
      <c r="V21" s="38">
        <f>VLOOKUP(B21,'KPI Ticketing'!B:F,5,)</f>
        <v/>
      </c>
      <c r="W21" s="37">
        <f>IF(S21&lt;=4,100%,IF(S21&lt;=6,70%,IF(S21&lt;=8,40%,10%)))</f>
        <v/>
      </c>
      <c r="X21" s="37">
        <f>IF(T21&lt;=8,100%,IF(T21&lt;=12,50%,25%))</f>
        <v/>
      </c>
      <c r="Y21" s="37">
        <f>IF(U21&lt;=10,100%,IF(U21&lt;=15,50%,25%))</f>
        <v/>
      </c>
      <c r="Z21" s="37">
        <f>IF(V21&lt;=13,100%,IF(V21&lt;=19,50%,25%))</f>
        <v/>
      </c>
      <c r="AA21" s="37">
        <f>W21*0.13</f>
        <v/>
      </c>
      <c r="AB21" s="37">
        <f>X21*0.06</f>
        <v/>
      </c>
      <c r="AC21" s="37">
        <f>Y21*0.04</f>
        <v/>
      </c>
      <c r="AD21" s="37">
        <f>Z21*0.02</f>
        <v/>
      </c>
      <c r="AE21" s="37">
        <f>VLOOKUP(B21,'KPI Ticketing'!B:N,13,)</f>
        <v/>
      </c>
      <c r="AF21" s="37">
        <f>IF(AE21&gt;=0.8,1,IF(AE21&gt;=0.7,0.9,IF(AE21&gt;=0.6,0.8,IF(AE21&gt;=0.5,0.7,IF(AE21&gt;=0.4,0.6,IF(AE21&gt;=0.3,0.5,IF(AE21&gt;=0.2,0.4,IF(AE21&gt;=0.1,0.3,0.2))))))))</f>
        <v/>
      </c>
      <c r="AG21" s="37">
        <f>AF21*0.03</f>
        <v/>
      </c>
      <c r="AH21" s="37">
        <f>VLOOKUP(B21,'KPI Ticketing'!B:R,17,)</f>
        <v/>
      </c>
      <c r="AI21" s="37">
        <f>IF(AH21&gt;=0.8,1,IF(AH21&gt;=0.7,0.9,IF(AH21&gt;=0.6,0.8,IF(AH21&gt;=0.5,0.7,IF(AH21&gt;=0.4,0.6,IF(AH21&gt;=0.3,0.5,IF(AH21&gt;=0.2,0.4,IF(AH21&gt;=0.1,0.3,0.2))))))))</f>
        <v/>
      </c>
      <c r="AJ21" s="37">
        <f>AI21*0.02</f>
        <v/>
      </c>
      <c r="AK21" s="37">
        <f>VLOOKUP(B21,'KPI Ticketing'!B:V,21,)</f>
        <v/>
      </c>
      <c r="AL21" s="37">
        <f>IF(AK21&gt;=0.9,1,IF(AK21&gt;=0.8,0.9,IF(AK21&gt;=0.7,0.8,IF(AK21&gt;=0.6,0.7,IF(AK21&gt;=0.5,0.6,IF(AK21&gt;=0.4,0.5,IF(AK21&gt;=0.3,0.4,IF(AK21&gt;=0.2,0.3,IF(AK21&gt;=0.1,0.2,0.1)))))))))</f>
        <v/>
      </c>
      <c r="AM21" s="37">
        <f>AL21*0.05</f>
        <v/>
      </c>
      <c r="AN21" s="37">
        <f>VLOOKUP(B21,'KPI Ticketing'!B:Z,25,)</f>
        <v/>
      </c>
      <c r="AO21" s="37">
        <f>IF(AN21&gt;=0.95,1,IF(AN21&gt;=0.9,0.9,IF(AN21&gt;=0.8,0.8,IF(AN21&gt;=0.7,0.7,IF(AN21&gt;=0.6,0.6,IF(AN21&gt;=0.5,0.5,IF(AN21&gt;=0.4,0.4,IF(AN21&gt;=0.3,0.3,IF(AN21&gt;=0.2,0.2,IF(AN21&gt;=0.1,0.1,0.05))))))))))</f>
        <v/>
      </c>
      <c r="AP21" s="37">
        <f>AO21*0.05</f>
        <v/>
      </c>
      <c r="AQ21" s="37">
        <f>VLOOKUP(B21,'KPI Ticketing'!B:AC,28,)</f>
        <v/>
      </c>
      <c r="AR21" s="37">
        <f>IF(AQ21&lt;0.95,0.5,1)</f>
        <v/>
      </c>
      <c r="AS21" s="37">
        <f>AR21*0.01</f>
        <v/>
      </c>
      <c r="AT21" s="37">
        <f>VLOOKUP(B21,'KPI Ticketing'!B:AG,32,)</f>
        <v/>
      </c>
      <c r="AU21" s="37">
        <f>IF(AT21&lt;0.3,0.5,1)</f>
        <v/>
      </c>
      <c r="AV21" s="37">
        <f>AU21*0.01</f>
        <v/>
      </c>
      <c r="AW21" s="38">
        <f>VLOOKUP(B21,'KPI Ticketing'!B:AH,33,)</f>
        <v/>
      </c>
      <c r="AX21" s="38">
        <f>VLOOKUP(B21,'KPI Ticketing'!B:AI,34,)</f>
        <v/>
      </c>
      <c r="AY21" s="38">
        <f>VLOOKUP(B21,'KPI Ticketing'!B:AJ,35,)</f>
        <v/>
      </c>
      <c r="AZ21" s="38">
        <f>VLOOKUP(B21,'KPI Ticketing'!B:AK,36,)</f>
        <v/>
      </c>
      <c r="BA21" s="38">
        <f>VLOOKUP(B21,'KPI Ticketing'!B:AL,37,)</f>
        <v/>
      </c>
      <c r="BB21" s="37">
        <f>IF(AW21&lt;=2,1,IF(AW21&lt;=3,0.7,IF(AW21&lt;=4,0.4,0.1)))</f>
        <v/>
      </c>
      <c r="BC21" s="37">
        <f>IF(AX21&lt;=4,1,IF(AX21&lt;=6,0.5,0.25))</f>
        <v/>
      </c>
      <c r="BD21" s="37">
        <f>IF(AY21&lt;=15,1,IF(AY21&lt;=22.5,0.5,0.25))</f>
        <v/>
      </c>
      <c r="BE21" s="37">
        <f>IF(AZ21&lt;=48,1,IF(AZ21&lt;=72,0.5,0.25))</f>
        <v/>
      </c>
      <c r="BF21" s="37">
        <f>IF(BA21=0, 0, IF(BA21&lt;=96, 1, IF(BA21&lt;=144, 0.5, 0.25)))</f>
        <v/>
      </c>
      <c r="BG21" s="37">
        <f>BB21*0.1</f>
        <v/>
      </c>
      <c r="BH21" s="37">
        <f>BC21*0.05</f>
        <v/>
      </c>
      <c r="BI21" s="37">
        <f>BD21*0.02</f>
        <v/>
      </c>
      <c r="BJ21" s="37">
        <f>BE21*0.01</f>
        <v/>
      </c>
      <c r="BK21" s="37">
        <f>BF21*0.01</f>
        <v/>
      </c>
      <c r="BL21" s="37">
        <f>VLOOKUP(B21,'KPI Ticketing'!B:AT,45,)</f>
        <v/>
      </c>
      <c r="BM21" s="37">
        <f>IF(BL21&gt;=0.8,1,IF(BL21&gt;=0.7,0.9,IF(BL21&gt;=0.6,0.8,IF(BL21&gt;=0.5,0.7,IF(BL21&gt;=0.4,0.6,IF(BL21&gt;=0.3,0.5,IF(BL21&gt;=0.2,0.4,IF(BL21&gt;=0.1,0.3,0.2))))))))</f>
        <v/>
      </c>
      <c r="BN21" s="37">
        <f>BM21*0.03</f>
        <v/>
      </c>
      <c r="BO21" s="37">
        <f>VLOOKUP(B21,'KPI Ticketing'!B:AX,49,)</f>
        <v/>
      </c>
      <c r="BP21" s="37">
        <f>IF(BO21&gt;=0.8,1,IF(BO21&gt;=0.7,0.9,IF(BO21&gt;=0.6,0.8,IF(BO21&gt;=0.5,0.7,IF(BO21&gt;=0.4,0.6,IF(BO21&gt;=0.3,0.5,IF(BO21&gt;=0.2,0.4,IF(BO21&gt;=0.1,0.3,0.2))))))))</f>
        <v/>
      </c>
      <c r="BQ21" s="37">
        <f>BP21*0.02</f>
        <v/>
      </c>
      <c r="BR21" s="37">
        <f>VLOOKUP(B21,'KPI Ticketing'!B:BB,53,)</f>
        <v/>
      </c>
      <c r="BS21" s="37">
        <f>IF(BR21&gt;=0.9,1,IF(BR21&gt;=0.8,0.9,IF(BR21&gt;=0.7,0.8,IF(BR21&gt;=0.6,0.7,IF(BR21&gt;=0.5,0.6,IF(BR21&gt;=0.4,0.5,IF(BR21&gt;=0.3,0.4,IF(BR21&gt;=0.2,0.3,IF(BR21&gt;=0.1,0.2,0.1)))))))))</f>
        <v/>
      </c>
      <c r="BT21" s="37">
        <f>BS21*0.05</f>
        <v/>
      </c>
      <c r="BU21" s="39" t="n">
        <v>0.08</v>
      </c>
      <c r="BV21" s="39" t="n">
        <v>0.06</v>
      </c>
      <c r="BW21" s="39" t="n">
        <v>0.09</v>
      </c>
      <c r="BX21" s="39" t="n">
        <v>0.06</v>
      </c>
    </row>
    <row r="22">
      <c r="A22" t="inlineStr">
        <is>
          <t>R02_Sumbagsel</t>
        </is>
      </c>
      <c r="B22" t="inlineStr">
        <is>
          <t>NOP JAMBI</t>
        </is>
      </c>
      <c r="C22" s="36">
        <f>RANK(D22,$D$10:$D$43,0)</f>
        <v/>
      </c>
      <c r="D22" s="37">
        <f>(G22*0.35)+(O22*65%)</f>
        <v/>
      </c>
      <c r="E22" s="36">
        <f>IF(D22&gt;=0.95,"Istimewa",IF(D22&gt;0.9,"Baik Sekali",IF(D22&gt;0.85,"Baik",IF(D22&gt;0.8,"Cukup","Kurang"))))</f>
        <v/>
      </c>
      <c r="F22" s="37">
        <f>0.29*0.65</f>
        <v/>
      </c>
      <c r="G22" s="37">
        <f>N22</f>
        <v/>
      </c>
      <c r="H22" s="37">
        <f>VLOOKUP(B22,'KPI Availability'!B:O,14,)</f>
        <v/>
      </c>
      <c r="I22" s="37">
        <f>VLOOKUP(B22,'KPI Availability'!B:P,15,)</f>
        <v/>
      </c>
      <c r="J22" s="37">
        <f>VLOOKUP(B22,'KPI Availability'!B:Q,16,)</f>
        <v/>
      </c>
      <c r="K22" s="37">
        <f>VLOOKUP(B22,'KPI Availability'!B:R,17,)</f>
        <v/>
      </c>
      <c r="L22" s="37">
        <f>VLOOKUP(B22,'KPI Availability'!B:S,18,)</f>
        <v/>
      </c>
      <c r="M22" s="37">
        <f>VLOOKUP(B22,'KPI Availability'!B:T,19,)</f>
        <v/>
      </c>
      <c r="N22" s="37">
        <f>SUM(H22:M22)</f>
        <v/>
      </c>
      <c r="O22" s="37">
        <f>P22+Q22+R22</f>
        <v/>
      </c>
      <c r="P22" s="37">
        <f>SUM(AA22:AD22,AG22,AJ22,AM22,AP22,AS22,AV22)</f>
        <v/>
      </c>
      <c r="Q22" s="37">
        <f>SUM(BG22:BK22,BN22,BQ22,BT22)</f>
        <v/>
      </c>
      <c r="R22" s="37">
        <f>SUM(BU22:BX22)</f>
        <v/>
      </c>
      <c r="S22" s="38">
        <f>VLOOKUP(B22,'KPI Ticketing'!B:C,2,)</f>
        <v/>
      </c>
      <c r="T22" s="38">
        <f>VLOOKUP(B22,'KPI Ticketing'!B:D,3,)</f>
        <v/>
      </c>
      <c r="U22" s="38">
        <f>VLOOKUP(B22,'KPI Ticketing'!B:E,4,)</f>
        <v/>
      </c>
      <c r="V22" s="38">
        <f>VLOOKUP(B22,'KPI Ticketing'!B:F,5,)</f>
        <v/>
      </c>
      <c r="W22" s="37">
        <f>IF(S22&lt;=4,100%,IF(S22&lt;=6,70%,IF(S22&lt;=8,40%,10%)))</f>
        <v/>
      </c>
      <c r="X22" s="37">
        <f>IF(T22&lt;=8,100%,IF(T22&lt;=12,50%,25%))</f>
        <v/>
      </c>
      <c r="Y22" s="37">
        <f>IF(U22&lt;=10,100%,IF(U22&lt;=15,50%,25%))</f>
        <v/>
      </c>
      <c r="Z22" s="37">
        <f>IF(V22&lt;=13,100%,IF(V22&lt;=19,50%,25%))</f>
        <v/>
      </c>
      <c r="AA22" s="37">
        <f>W22*0.13</f>
        <v/>
      </c>
      <c r="AB22" s="37">
        <f>X22*0.06</f>
        <v/>
      </c>
      <c r="AC22" s="37">
        <f>Y22*0.04</f>
        <v/>
      </c>
      <c r="AD22" s="37">
        <f>Z22*0.02</f>
        <v/>
      </c>
      <c r="AE22" s="37">
        <f>VLOOKUP(B22,'KPI Ticketing'!B:N,13,)</f>
        <v/>
      </c>
      <c r="AF22" s="37">
        <f>IF(AE22&gt;=0.8,1,IF(AE22&gt;=0.7,0.9,IF(AE22&gt;=0.6,0.8,IF(AE22&gt;=0.5,0.7,IF(AE22&gt;=0.4,0.6,IF(AE22&gt;=0.3,0.5,IF(AE22&gt;=0.2,0.4,IF(AE22&gt;=0.1,0.3,0.2))))))))</f>
        <v/>
      </c>
      <c r="AG22" s="37">
        <f>AF22*0.03</f>
        <v/>
      </c>
      <c r="AH22" s="37">
        <f>VLOOKUP(B22,'KPI Ticketing'!B:R,17,)</f>
        <v/>
      </c>
      <c r="AI22" s="37">
        <f>IF(AH22&gt;=0.8,1,IF(AH22&gt;=0.7,0.9,IF(AH22&gt;=0.6,0.8,IF(AH22&gt;=0.5,0.7,IF(AH22&gt;=0.4,0.6,IF(AH22&gt;=0.3,0.5,IF(AH22&gt;=0.2,0.4,IF(AH22&gt;=0.1,0.3,0.2))))))))</f>
        <v/>
      </c>
      <c r="AJ22" s="37">
        <f>AI22*0.02</f>
        <v/>
      </c>
      <c r="AK22" s="37">
        <f>VLOOKUP(B22,'KPI Ticketing'!B:V,21,)</f>
        <v/>
      </c>
      <c r="AL22" s="37">
        <f>IF(AK22&gt;=0.9,1,IF(AK22&gt;=0.8,0.9,IF(AK22&gt;=0.7,0.8,IF(AK22&gt;=0.6,0.7,IF(AK22&gt;=0.5,0.6,IF(AK22&gt;=0.4,0.5,IF(AK22&gt;=0.3,0.4,IF(AK22&gt;=0.2,0.3,IF(AK22&gt;=0.1,0.2,0.1)))))))))</f>
        <v/>
      </c>
      <c r="AM22" s="37">
        <f>AL22*0.05</f>
        <v/>
      </c>
      <c r="AN22" s="37">
        <f>VLOOKUP(B22,'KPI Ticketing'!B:Z,25,)</f>
        <v/>
      </c>
      <c r="AO22" s="37">
        <f>IF(AN22&gt;=0.95,1,IF(AN22&gt;=0.9,0.9,IF(AN22&gt;=0.8,0.8,IF(AN22&gt;=0.7,0.7,IF(AN22&gt;=0.6,0.6,IF(AN22&gt;=0.5,0.5,IF(AN22&gt;=0.4,0.4,IF(AN22&gt;=0.3,0.3,IF(AN22&gt;=0.2,0.2,IF(AN22&gt;=0.1,0.1,0.05))))))))))</f>
        <v/>
      </c>
      <c r="AP22" s="37">
        <f>AO22*0.05</f>
        <v/>
      </c>
      <c r="AQ22" s="37">
        <f>VLOOKUP(B22,'KPI Ticketing'!B:AC,28,)</f>
        <v/>
      </c>
      <c r="AR22" s="37">
        <f>IF(AQ22&lt;0.95,0.5,1)</f>
        <v/>
      </c>
      <c r="AS22" s="37">
        <f>AR22*0.01</f>
        <v/>
      </c>
      <c r="AT22" s="37">
        <f>VLOOKUP(B22,'KPI Ticketing'!B:AG,32,)</f>
        <v/>
      </c>
      <c r="AU22" s="37">
        <f>IF(AT22&lt;0.3,0.5,1)</f>
        <v/>
      </c>
      <c r="AV22" s="37">
        <f>AU22*0.01</f>
        <v/>
      </c>
      <c r="AW22" s="38">
        <f>VLOOKUP(B22,'KPI Ticketing'!B:AH,33,)</f>
        <v/>
      </c>
      <c r="AX22" s="38">
        <f>VLOOKUP(B22,'KPI Ticketing'!B:AI,34,)</f>
        <v/>
      </c>
      <c r="AY22" s="38">
        <f>VLOOKUP(B22,'KPI Ticketing'!B:AJ,35,)</f>
        <v/>
      </c>
      <c r="AZ22" s="38">
        <f>VLOOKUP(B22,'KPI Ticketing'!B:AK,36,)</f>
        <v/>
      </c>
      <c r="BA22" s="38">
        <f>VLOOKUP(B22,'KPI Ticketing'!B:AL,37,)</f>
        <v/>
      </c>
      <c r="BB22" s="37">
        <f>IF(AW22&lt;=2,1,IF(AW22&lt;=3,0.7,IF(AW22&lt;=4,0.4,0.1)))</f>
        <v/>
      </c>
      <c r="BC22" s="37">
        <f>IF(AX22&lt;=4,1,IF(AX22&lt;=6,0.5,0.25))</f>
        <v/>
      </c>
      <c r="BD22" s="37">
        <f>IF(AY22&lt;=15,1,IF(AY22&lt;=22.5,0.5,0.25))</f>
        <v/>
      </c>
      <c r="BE22" s="37">
        <f>IF(AZ22&lt;=48,1,IF(AZ22&lt;=72,0.5,0.25))</f>
        <v/>
      </c>
      <c r="BF22" s="37">
        <f>IF(BA22=0, 0, IF(BA22&lt;=96, 1, IF(BA22&lt;=144, 0.5, 0.25)))</f>
        <v/>
      </c>
      <c r="BG22" s="37">
        <f>BB22*0.1</f>
        <v/>
      </c>
      <c r="BH22" s="37">
        <f>BC22*0.05</f>
        <v/>
      </c>
      <c r="BI22" s="37">
        <f>BD22*0.02</f>
        <v/>
      </c>
      <c r="BJ22" s="37">
        <f>BE22*0.01</f>
        <v/>
      </c>
      <c r="BK22" s="37">
        <f>BF22*0.01</f>
        <v/>
      </c>
      <c r="BL22" s="37">
        <f>VLOOKUP(B22,'KPI Ticketing'!B:AT,45,)</f>
        <v/>
      </c>
      <c r="BM22" s="37">
        <f>IF(BL22&gt;=0.8,1,IF(BL22&gt;=0.7,0.9,IF(BL22&gt;=0.6,0.8,IF(BL22&gt;=0.5,0.7,IF(BL22&gt;=0.4,0.6,IF(BL22&gt;=0.3,0.5,IF(BL22&gt;=0.2,0.4,IF(BL22&gt;=0.1,0.3,0.2))))))))</f>
        <v/>
      </c>
      <c r="BN22" s="37">
        <f>BM22*0.03</f>
        <v/>
      </c>
      <c r="BO22" s="37">
        <f>VLOOKUP(B22,'KPI Ticketing'!B:AX,49,)</f>
        <v/>
      </c>
      <c r="BP22" s="37">
        <f>IF(BO22&gt;=0.8,1,IF(BO22&gt;=0.7,0.9,IF(BO22&gt;=0.6,0.8,IF(BO22&gt;=0.5,0.7,IF(BO22&gt;=0.4,0.6,IF(BO22&gt;=0.3,0.5,IF(BO22&gt;=0.2,0.4,IF(BO22&gt;=0.1,0.3,0.2))))))))</f>
        <v/>
      </c>
      <c r="BQ22" s="37">
        <f>BP22*0.02</f>
        <v/>
      </c>
      <c r="BR22" s="37">
        <f>VLOOKUP(B22,'KPI Ticketing'!B:BB,53,)</f>
        <v/>
      </c>
      <c r="BS22" s="37">
        <f>IF(BR22&gt;=0.9,1,IF(BR22&gt;=0.8,0.9,IF(BR22&gt;=0.7,0.8,IF(BR22&gt;=0.6,0.7,IF(BR22&gt;=0.5,0.6,IF(BR22&gt;=0.4,0.5,IF(BR22&gt;=0.3,0.4,IF(BR22&gt;=0.2,0.3,IF(BR22&gt;=0.1,0.2,0.1)))))))))</f>
        <v/>
      </c>
      <c r="BT22" s="37">
        <f>BS22*0.05</f>
        <v/>
      </c>
      <c r="BU22" s="39" t="n">
        <v>0.08</v>
      </c>
      <c r="BV22" s="39" t="n">
        <v>0.06</v>
      </c>
      <c r="BW22" s="39" t="n">
        <v>0.09</v>
      </c>
      <c r="BX22" s="39" t="n">
        <v>0.06</v>
      </c>
    </row>
    <row r="23">
      <c r="A23" t="inlineStr">
        <is>
          <t>R02_Sumbagsel</t>
        </is>
      </c>
      <c r="B23" t="inlineStr">
        <is>
          <t>NOP LAMPUNG</t>
        </is>
      </c>
      <c r="C23" s="36">
        <f>RANK(D23,$D$10:$D$43,0)</f>
        <v/>
      </c>
      <c r="D23" s="37">
        <f>(G23*0.35)+(O23*65%)</f>
        <v/>
      </c>
      <c r="E23" s="36">
        <f>IF(D23&gt;=0.95,"Istimewa",IF(D23&gt;0.9,"Baik Sekali",IF(D23&gt;0.85,"Baik",IF(D23&gt;0.8,"Cukup","Kurang"))))</f>
        <v/>
      </c>
      <c r="F23" s="37">
        <f>0.29*0.65</f>
        <v/>
      </c>
      <c r="G23" s="37">
        <f>N23</f>
        <v/>
      </c>
      <c r="H23" s="37">
        <f>VLOOKUP(B23,'KPI Availability'!B:O,14,)</f>
        <v/>
      </c>
      <c r="I23" s="37">
        <f>VLOOKUP(B23,'KPI Availability'!B:P,15,)</f>
        <v/>
      </c>
      <c r="J23" s="37">
        <f>VLOOKUP(B23,'KPI Availability'!B:Q,16,)</f>
        <v/>
      </c>
      <c r="K23" s="37">
        <f>VLOOKUP(B23,'KPI Availability'!B:R,17,)</f>
        <v/>
      </c>
      <c r="L23" s="37">
        <f>VLOOKUP(B23,'KPI Availability'!B:S,18,)</f>
        <v/>
      </c>
      <c r="M23" s="37">
        <f>VLOOKUP(B23,'KPI Availability'!B:T,19,)</f>
        <v/>
      </c>
      <c r="N23" s="37">
        <f>SUM(H23:M23)</f>
        <v/>
      </c>
      <c r="O23" s="37">
        <f>P23+Q23+R23</f>
        <v/>
      </c>
      <c r="P23" s="37">
        <f>SUM(AA23:AD23,AG23,AJ23,AM23,AP23,AS23,AV23)</f>
        <v/>
      </c>
      <c r="Q23" s="37">
        <f>SUM(BG23:BK23,BN23,BQ23,BT23)</f>
        <v/>
      </c>
      <c r="R23" s="37">
        <f>SUM(BU23:BX23)</f>
        <v/>
      </c>
      <c r="S23" s="38">
        <f>VLOOKUP(B23,'KPI Ticketing'!B:C,2,)</f>
        <v/>
      </c>
      <c r="T23" s="38">
        <f>VLOOKUP(B23,'KPI Ticketing'!B:D,3,)</f>
        <v/>
      </c>
      <c r="U23" s="38">
        <f>VLOOKUP(B23,'KPI Ticketing'!B:E,4,)</f>
        <v/>
      </c>
      <c r="V23" s="38">
        <f>VLOOKUP(B23,'KPI Ticketing'!B:F,5,)</f>
        <v/>
      </c>
      <c r="W23" s="37">
        <f>IF(S23&lt;=4,100%,IF(S23&lt;=6,70%,IF(S23&lt;=8,40%,10%)))</f>
        <v/>
      </c>
      <c r="X23" s="37">
        <f>IF(T23&lt;=8,100%,IF(T23&lt;=12,50%,25%))</f>
        <v/>
      </c>
      <c r="Y23" s="37">
        <f>IF(U23&lt;=10,100%,IF(U23&lt;=15,50%,25%))</f>
        <v/>
      </c>
      <c r="Z23" s="37">
        <f>IF(V23&lt;=13,100%,IF(V23&lt;=19,50%,25%))</f>
        <v/>
      </c>
      <c r="AA23" s="37">
        <f>W23*0.13</f>
        <v/>
      </c>
      <c r="AB23" s="37">
        <f>X23*0.06</f>
        <v/>
      </c>
      <c r="AC23" s="37">
        <f>Y23*0.04</f>
        <v/>
      </c>
      <c r="AD23" s="37">
        <f>Z23*0.02</f>
        <v/>
      </c>
      <c r="AE23" s="37">
        <f>VLOOKUP(B23,'KPI Ticketing'!B:N,13,)</f>
        <v/>
      </c>
      <c r="AF23" s="37">
        <f>IF(AE23&gt;=0.8,1,IF(AE23&gt;=0.7,0.9,IF(AE23&gt;=0.6,0.8,IF(AE23&gt;=0.5,0.7,IF(AE23&gt;=0.4,0.6,IF(AE23&gt;=0.3,0.5,IF(AE23&gt;=0.2,0.4,IF(AE23&gt;=0.1,0.3,0.2))))))))</f>
        <v/>
      </c>
      <c r="AG23" s="37">
        <f>AF23*0.03</f>
        <v/>
      </c>
      <c r="AH23" s="37">
        <f>VLOOKUP(B23,'KPI Ticketing'!B:R,17,)</f>
        <v/>
      </c>
      <c r="AI23" s="37">
        <f>IF(AH23&gt;=0.8,1,IF(AH23&gt;=0.7,0.9,IF(AH23&gt;=0.6,0.8,IF(AH23&gt;=0.5,0.7,IF(AH23&gt;=0.4,0.6,IF(AH23&gt;=0.3,0.5,IF(AH23&gt;=0.2,0.4,IF(AH23&gt;=0.1,0.3,0.2))))))))</f>
        <v/>
      </c>
      <c r="AJ23" s="37">
        <f>AI23*0.02</f>
        <v/>
      </c>
      <c r="AK23" s="37">
        <f>VLOOKUP(B23,'KPI Ticketing'!B:V,21,)</f>
        <v/>
      </c>
      <c r="AL23" s="37">
        <f>IF(AK23&gt;=0.9,1,IF(AK23&gt;=0.8,0.9,IF(AK23&gt;=0.7,0.8,IF(AK23&gt;=0.6,0.7,IF(AK23&gt;=0.5,0.6,IF(AK23&gt;=0.4,0.5,IF(AK23&gt;=0.3,0.4,IF(AK23&gt;=0.2,0.3,IF(AK23&gt;=0.1,0.2,0.1)))))))))</f>
        <v/>
      </c>
      <c r="AM23" s="37">
        <f>AL23*0.05</f>
        <v/>
      </c>
      <c r="AN23" s="37">
        <f>VLOOKUP(B23,'KPI Ticketing'!B:Z,25,)</f>
        <v/>
      </c>
      <c r="AO23" s="37">
        <f>IF(AN23&gt;=0.95,1,IF(AN23&gt;=0.9,0.9,IF(AN23&gt;=0.8,0.8,IF(AN23&gt;=0.7,0.7,IF(AN23&gt;=0.6,0.6,IF(AN23&gt;=0.5,0.5,IF(AN23&gt;=0.4,0.4,IF(AN23&gt;=0.3,0.3,IF(AN23&gt;=0.2,0.2,IF(AN23&gt;=0.1,0.1,0.05))))))))))</f>
        <v/>
      </c>
      <c r="AP23" s="37">
        <f>AO23*0.05</f>
        <v/>
      </c>
      <c r="AQ23" s="37">
        <f>VLOOKUP(B23,'KPI Ticketing'!B:AC,28,)</f>
        <v/>
      </c>
      <c r="AR23" s="37">
        <f>IF(AQ23&lt;0.95,0.5,1)</f>
        <v/>
      </c>
      <c r="AS23" s="37">
        <f>AR23*0.01</f>
        <v/>
      </c>
      <c r="AT23" s="37">
        <f>VLOOKUP(B23,'KPI Ticketing'!B:AG,32,)</f>
        <v/>
      </c>
      <c r="AU23" s="37">
        <f>IF(AT23&lt;0.3,0.5,1)</f>
        <v/>
      </c>
      <c r="AV23" s="37">
        <f>AU23*0.01</f>
        <v/>
      </c>
      <c r="AW23" s="38">
        <f>VLOOKUP(B23,'KPI Ticketing'!B:AH,33,)</f>
        <v/>
      </c>
      <c r="AX23" s="38">
        <f>VLOOKUP(B23,'KPI Ticketing'!B:AI,34,)</f>
        <v/>
      </c>
      <c r="AY23" s="38">
        <f>VLOOKUP(B23,'KPI Ticketing'!B:AJ,35,)</f>
        <v/>
      </c>
      <c r="AZ23" s="38">
        <f>VLOOKUP(B23,'KPI Ticketing'!B:AK,36,)</f>
        <v/>
      </c>
      <c r="BA23" s="38">
        <f>VLOOKUP(B23,'KPI Ticketing'!B:AL,37,)</f>
        <v/>
      </c>
      <c r="BB23" s="37">
        <f>IF(AW23&lt;=2,1,IF(AW23&lt;=3,0.7,IF(AW23&lt;=4,0.4,0.1)))</f>
        <v/>
      </c>
      <c r="BC23" s="37">
        <f>IF(AX23&lt;=4,1,IF(AX23&lt;=6,0.5,0.25))</f>
        <v/>
      </c>
      <c r="BD23" s="37">
        <f>IF(AY23&lt;=15,1,IF(AY23&lt;=22.5,0.5,0.25))</f>
        <v/>
      </c>
      <c r="BE23" s="37">
        <f>IF(AZ23&lt;=48,1,IF(AZ23&lt;=72,0.5,0.25))</f>
        <v/>
      </c>
      <c r="BF23" s="37">
        <f>IF(BA23=0, 0, IF(BA23&lt;=96, 1, IF(BA23&lt;=144, 0.5, 0.25)))</f>
        <v/>
      </c>
      <c r="BG23" s="37">
        <f>BB23*0.1</f>
        <v/>
      </c>
      <c r="BH23" s="37">
        <f>BC23*0.05</f>
        <v/>
      </c>
      <c r="BI23" s="37">
        <f>BD23*0.02</f>
        <v/>
      </c>
      <c r="BJ23" s="37">
        <f>BE23*0.01</f>
        <v/>
      </c>
      <c r="BK23" s="37">
        <f>BF23*0.01</f>
        <v/>
      </c>
      <c r="BL23" s="37">
        <f>VLOOKUP(B23,'KPI Ticketing'!B:AT,45,)</f>
        <v/>
      </c>
      <c r="BM23" s="37">
        <f>IF(BL23&gt;=0.8,1,IF(BL23&gt;=0.7,0.9,IF(BL23&gt;=0.6,0.8,IF(BL23&gt;=0.5,0.7,IF(BL23&gt;=0.4,0.6,IF(BL23&gt;=0.3,0.5,IF(BL23&gt;=0.2,0.4,IF(BL23&gt;=0.1,0.3,0.2))))))))</f>
        <v/>
      </c>
      <c r="BN23" s="37">
        <f>BM23*0.03</f>
        <v/>
      </c>
      <c r="BO23" s="37">
        <f>VLOOKUP(B23,'KPI Ticketing'!B:AX,49,)</f>
        <v/>
      </c>
      <c r="BP23" s="37">
        <f>IF(BO23&gt;=0.8,1,IF(BO23&gt;=0.7,0.9,IF(BO23&gt;=0.6,0.8,IF(BO23&gt;=0.5,0.7,IF(BO23&gt;=0.4,0.6,IF(BO23&gt;=0.3,0.5,IF(BO23&gt;=0.2,0.4,IF(BO23&gt;=0.1,0.3,0.2))))))))</f>
        <v/>
      </c>
      <c r="BQ23" s="37">
        <f>BP23*0.02</f>
        <v/>
      </c>
      <c r="BR23" s="37">
        <f>VLOOKUP(B23,'KPI Ticketing'!B:BB,53,)</f>
        <v/>
      </c>
      <c r="BS23" s="37">
        <f>IF(BR23&gt;=0.9,1,IF(BR23&gt;=0.8,0.9,IF(BR23&gt;=0.7,0.8,IF(BR23&gt;=0.6,0.7,IF(BR23&gt;=0.5,0.6,IF(BR23&gt;=0.4,0.5,IF(BR23&gt;=0.3,0.4,IF(BR23&gt;=0.2,0.3,IF(BR23&gt;=0.1,0.2,0.1)))))))))</f>
        <v/>
      </c>
      <c r="BT23" s="37">
        <f>BS23*0.05</f>
        <v/>
      </c>
      <c r="BU23" s="39" t="n">
        <v>0.08</v>
      </c>
      <c r="BV23" s="39" t="n">
        <v>0.06</v>
      </c>
      <c r="BW23" s="39" t="n">
        <v>0.09</v>
      </c>
      <c r="BX23" s="39" t="n">
        <v>0.06</v>
      </c>
    </row>
    <row r="24">
      <c r="A24" t="inlineStr">
        <is>
          <t>R02_Sumbagsel</t>
        </is>
      </c>
      <c r="B24" t="inlineStr">
        <is>
          <t>NOP MUARA ENIM</t>
        </is>
      </c>
      <c r="C24" s="36">
        <f>RANK(D24,$D$10:$D$43,0)</f>
        <v/>
      </c>
      <c r="D24" s="37">
        <f>(G24*0.35)+(O24*65%)</f>
        <v/>
      </c>
      <c r="E24" s="36">
        <f>IF(D24&gt;=0.95,"Istimewa",IF(D24&gt;0.9,"Baik Sekali",IF(D24&gt;0.85,"Baik",IF(D24&gt;0.8,"Cukup","Kurang"))))</f>
        <v/>
      </c>
      <c r="F24" s="37">
        <f>0.29*0.65</f>
        <v/>
      </c>
      <c r="G24" s="37">
        <f>N24</f>
        <v/>
      </c>
      <c r="H24" s="37">
        <f>VLOOKUP(B24,'KPI Availability'!B:O,14,)</f>
        <v/>
      </c>
      <c r="I24" s="37">
        <f>VLOOKUP(B24,'KPI Availability'!B:P,15,)</f>
        <v/>
      </c>
      <c r="J24" s="37">
        <f>VLOOKUP(B24,'KPI Availability'!B:Q,16,)</f>
        <v/>
      </c>
      <c r="K24" s="37">
        <f>VLOOKUP(B24,'KPI Availability'!B:R,17,)</f>
        <v/>
      </c>
      <c r="L24" s="37">
        <f>VLOOKUP(B24,'KPI Availability'!B:S,18,)</f>
        <v/>
      </c>
      <c r="M24" s="37">
        <f>VLOOKUP(B24,'KPI Availability'!B:T,19,)</f>
        <v/>
      </c>
      <c r="N24" s="37">
        <f>SUM(H24:M24)</f>
        <v/>
      </c>
      <c r="O24" s="37">
        <f>P24+Q24+R24</f>
        <v/>
      </c>
      <c r="P24" s="37">
        <f>SUM(AA24:AD24,AG24,AJ24,AM24,AP24,AS24,AV24)</f>
        <v/>
      </c>
      <c r="Q24" s="37">
        <f>SUM(BG24:BK24,BN24,BQ24,BT24)</f>
        <v/>
      </c>
      <c r="R24" s="37">
        <f>SUM(BU24:BX24)</f>
        <v/>
      </c>
      <c r="S24" s="38">
        <f>VLOOKUP(B24,'KPI Ticketing'!B:C,2,)</f>
        <v/>
      </c>
      <c r="T24" s="38">
        <f>VLOOKUP(B24,'KPI Ticketing'!B:D,3,)</f>
        <v/>
      </c>
      <c r="U24" s="38">
        <f>VLOOKUP(B24,'KPI Ticketing'!B:E,4,)</f>
        <v/>
      </c>
      <c r="V24" s="38">
        <f>VLOOKUP(B24,'KPI Ticketing'!B:F,5,)</f>
        <v/>
      </c>
      <c r="W24" s="37">
        <f>IF(S24&lt;=4,100%,IF(S24&lt;=6,70%,IF(S24&lt;=8,40%,10%)))</f>
        <v/>
      </c>
      <c r="X24" s="37">
        <f>IF(T24&lt;=8,100%,IF(T24&lt;=12,50%,25%))</f>
        <v/>
      </c>
      <c r="Y24" s="37">
        <f>IF(U24&lt;=10,100%,IF(U24&lt;=15,50%,25%))</f>
        <v/>
      </c>
      <c r="Z24" s="37">
        <f>IF(V24&lt;=13,100%,IF(V24&lt;=19,50%,25%))</f>
        <v/>
      </c>
      <c r="AA24" s="37">
        <f>W24*0.13</f>
        <v/>
      </c>
      <c r="AB24" s="37">
        <f>X24*0.06</f>
        <v/>
      </c>
      <c r="AC24" s="37">
        <f>Y24*0.04</f>
        <v/>
      </c>
      <c r="AD24" s="37">
        <f>Z24*0.02</f>
        <v/>
      </c>
      <c r="AE24" s="37">
        <f>VLOOKUP(B24,'KPI Ticketing'!B:N,13,)</f>
        <v/>
      </c>
      <c r="AF24" s="37">
        <f>IF(AE24&gt;=0.8,1,IF(AE24&gt;=0.7,0.9,IF(AE24&gt;=0.6,0.8,IF(AE24&gt;=0.5,0.7,IF(AE24&gt;=0.4,0.6,IF(AE24&gt;=0.3,0.5,IF(AE24&gt;=0.2,0.4,IF(AE24&gt;=0.1,0.3,0.2))))))))</f>
        <v/>
      </c>
      <c r="AG24" s="37">
        <f>AF24*0.03</f>
        <v/>
      </c>
      <c r="AH24" s="37">
        <f>VLOOKUP(B24,'KPI Ticketing'!B:R,17,)</f>
        <v/>
      </c>
      <c r="AI24" s="37">
        <f>IF(AH24&gt;=0.8,1,IF(AH24&gt;=0.7,0.9,IF(AH24&gt;=0.6,0.8,IF(AH24&gt;=0.5,0.7,IF(AH24&gt;=0.4,0.6,IF(AH24&gt;=0.3,0.5,IF(AH24&gt;=0.2,0.4,IF(AH24&gt;=0.1,0.3,0.2))))))))</f>
        <v/>
      </c>
      <c r="AJ24" s="37">
        <f>AI24*0.02</f>
        <v/>
      </c>
      <c r="AK24" s="37">
        <f>VLOOKUP(B24,'KPI Ticketing'!B:V,21,)</f>
        <v/>
      </c>
      <c r="AL24" s="37">
        <f>IF(AK24&gt;=0.9,1,IF(AK24&gt;=0.8,0.9,IF(AK24&gt;=0.7,0.8,IF(AK24&gt;=0.6,0.7,IF(AK24&gt;=0.5,0.6,IF(AK24&gt;=0.4,0.5,IF(AK24&gt;=0.3,0.4,IF(AK24&gt;=0.2,0.3,IF(AK24&gt;=0.1,0.2,0.1)))))))))</f>
        <v/>
      </c>
      <c r="AM24" s="37">
        <f>AL24*0.05</f>
        <v/>
      </c>
      <c r="AN24" s="37">
        <f>VLOOKUP(B24,'KPI Ticketing'!B:Z,25,)</f>
        <v/>
      </c>
      <c r="AO24" s="37">
        <f>IF(AN24&gt;=0.95,1,IF(AN24&gt;=0.9,0.9,IF(AN24&gt;=0.8,0.8,IF(AN24&gt;=0.7,0.7,IF(AN24&gt;=0.6,0.6,IF(AN24&gt;=0.5,0.5,IF(AN24&gt;=0.4,0.4,IF(AN24&gt;=0.3,0.3,IF(AN24&gt;=0.2,0.2,IF(AN24&gt;=0.1,0.1,0.05))))))))))</f>
        <v/>
      </c>
      <c r="AP24" s="37">
        <f>AO24*0.05</f>
        <v/>
      </c>
      <c r="AQ24" s="37">
        <f>VLOOKUP(B24,'KPI Ticketing'!B:AC,28,)</f>
        <v/>
      </c>
      <c r="AR24" s="37">
        <f>IF(AQ24&lt;0.95,0.5,1)</f>
        <v/>
      </c>
      <c r="AS24" s="37">
        <f>AR24*0.01</f>
        <v/>
      </c>
      <c r="AT24" s="37">
        <f>VLOOKUP(B24,'KPI Ticketing'!B:AG,32,)</f>
        <v/>
      </c>
      <c r="AU24" s="37">
        <f>IF(AT24&lt;0.3,0.5,1)</f>
        <v/>
      </c>
      <c r="AV24" s="37">
        <f>AU24*0.01</f>
        <v/>
      </c>
      <c r="AW24" s="38">
        <f>VLOOKUP(B24,'KPI Ticketing'!B:AH,33,)</f>
        <v/>
      </c>
      <c r="AX24" s="38">
        <f>VLOOKUP(B24,'KPI Ticketing'!B:AI,34,)</f>
        <v/>
      </c>
      <c r="AY24" s="38">
        <f>VLOOKUP(B24,'KPI Ticketing'!B:AJ,35,)</f>
        <v/>
      </c>
      <c r="AZ24" s="38">
        <f>VLOOKUP(B24,'KPI Ticketing'!B:AK,36,)</f>
        <v/>
      </c>
      <c r="BA24" s="38">
        <f>VLOOKUP(B24,'KPI Ticketing'!B:AL,37,)</f>
        <v/>
      </c>
      <c r="BB24" s="37">
        <f>IF(AW24&lt;=2,1,IF(AW24&lt;=3,0.7,IF(AW24&lt;=4,0.4,0.1)))</f>
        <v/>
      </c>
      <c r="BC24" s="37">
        <f>IF(AX24&lt;=4,1,IF(AX24&lt;=6,0.5,0.25))</f>
        <v/>
      </c>
      <c r="BD24" s="37">
        <f>IF(AY24&lt;=15,1,IF(AY24&lt;=22.5,0.5,0.25))</f>
        <v/>
      </c>
      <c r="BE24" s="37">
        <f>IF(AZ24&lt;=48,1,IF(AZ24&lt;=72,0.5,0.25))</f>
        <v/>
      </c>
      <c r="BF24" s="37">
        <f>IF(BA24=0, 0, IF(BA24&lt;=96, 1, IF(BA24&lt;=144, 0.5, 0.25)))</f>
        <v/>
      </c>
      <c r="BG24" s="37">
        <f>BB24*0.1</f>
        <v/>
      </c>
      <c r="BH24" s="37">
        <f>BC24*0.05</f>
        <v/>
      </c>
      <c r="BI24" s="37">
        <f>BD24*0.02</f>
        <v/>
      </c>
      <c r="BJ24" s="37">
        <f>BE24*0.01</f>
        <v/>
      </c>
      <c r="BK24" s="37">
        <f>BF24*0.01</f>
        <v/>
      </c>
      <c r="BL24" s="37">
        <f>VLOOKUP(B24,'KPI Ticketing'!B:AT,45,)</f>
        <v/>
      </c>
      <c r="BM24" s="37">
        <f>IF(BL24&gt;=0.8,1,IF(BL24&gt;=0.7,0.9,IF(BL24&gt;=0.6,0.8,IF(BL24&gt;=0.5,0.7,IF(BL24&gt;=0.4,0.6,IF(BL24&gt;=0.3,0.5,IF(BL24&gt;=0.2,0.4,IF(BL24&gt;=0.1,0.3,0.2))))))))</f>
        <v/>
      </c>
      <c r="BN24" s="37">
        <f>BM24*0.03</f>
        <v/>
      </c>
      <c r="BO24" s="37">
        <f>VLOOKUP(B24,'KPI Ticketing'!B:AX,49,)</f>
        <v/>
      </c>
      <c r="BP24" s="37">
        <f>IF(BO24&gt;=0.8,1,IF(BO24&gt;=0.7,0.9,IF(BO24&gt;=0.6,0.8,IF(BO24&gt;=0.5,0.7,IF(BO24&gt;=0.4,0.6,IF(BO24&gt;=0.3,0.5,IF(BO24&gt;=0.2,0.4,IF(BO24&gt;=0.1,0.3,0.2))))))))</f>
        <v/>
      </c>
      <c r="BQ24" s="37">
        <f>BP24*0.02</f>
        <v/>
      </c>
      <c r="BR24" s="37">
        <f>VLOOKUP(B24,'KPI Ticketing'!B:BB,53,)</f>
        <v/>
      </c>
      <c r="BS24" s="37">
        <f>IF(BR24&gt;=0.9,1,IF(BR24&gt;=0.8,0.9,IF(BR24&gt;=0.7,0.8,IF(BR24&gt;=0.6,0.7,IF(BR24&gt;=0.5,0.6,IF(BR24&gt;=0.4,0.5,IF(BR24&gt;=0.3,0.4,IF(BR24&gt;=0.2,0.3,IF(BR24&gt;=0.1,0.2,0.1)))))))))</f>
        <v/>
      </c>
      <c r="BT24" s="37">
        <f>BS24*0.05</f>
        <v/>
      </c>
      <c r="BU24" s="39" t="n">
        <v>0.08</v>
      </c>
      <c r="BV24" s="39" t="n">
        <v>0.06</v>
      </c>
      <c r="BW24" s="39" t="n">
        <v>0.09</v>
      </c>
      <c r="BX24" s="39" t="n">
        <v>0.06</v>
      </c>
    </row>
    <row r="25">
      <c r="A25" t="inlineStr">
        <is>
          <t>R02_Sumbagsel</t>
        </is>
      </c>
      <c r="B25" t="inlineStr">
        <is>
          <t>NOP PALEMBANG</t>
        </is>
      </c>
      <c r="C25" s="36">
        <f>RANK(D25,$D$10:$D$43,0)</f>
        <v/>
      </c>
      <c r="D25" s="37">
        <f>(G25*0.35)+(O25*65%)</f>
        <v/>
      </c>
      <c r="E25" s="36">
        <f>IF(D25&gt;=0.95,"Istimewa",IF(D25&gt;0.9,"Baik Sekali",IF(D25&gt;0.85,"Baik",IF(D25&gt;0.8,"Cukup","Kurang"))))</f>
        <v/>
      </c>
      <c r="F25" s="37">
        <f>0.29*0.65</f>
        <v/>
      </c>
      <c r="G25" s="37">
        <f>N25</f>
        <v/>
      </c>
      <c r="H25" s="37">
        <f>VLOOKUP(B25,'KPI Availability'!B:O,14,)</f>
        <v/>
      </c>
      <c r="I25" s="37">
        <f>VLOOKUP(B25,'KPI Availability'!B:P,15,)</f>
        <v/>
      </c>
      <c r="J25" s="37">
        <f>VLOOKUP(B25,'KPI Availability'!B:Q,16,)</f>
        <v/>
      </c>
      <c r="K25" s="37">
        <f>VLOOKUP(B25,'KPI Availability'!B:R,17,)</f>
        <v/>
      </c>
      <c r="L25" s="37">
        <f>VLOOKUP(B25,'KPI Availability'!B:S,18,)</f>
        <v/>
      </c>
      <c r="M25" s="37">
        <f>VLOOKUP(B25,'KPI Availability'!B:T,19,)</f>
        <v/>
      </c>
      <c r="N25" s="37">
        <f>SUM(H25:M25)</f>
        <v/>
      </c>
      <c r="O25" s="37">
        <f>P25+Q25+R25</f>
        <v/>
      </c>
      <c r="P25" s="37">
        <f>SUM(AA25:AD25,AG25,AJ25,AM25,AP25,AS25,AV25)</f>
        <v/>
      </c>
      <c r="Q25" s="37">
        <f>SUM(BG25:BK25,BN25,BQ25,BT25)</f>
        <v/>
      </c>
      <c r="R25" s="37">
        <f>SUM(BU25:BX25)</f>
        <v/>
      </c>
      <c r="S25" s="38">
        <f>VLOOKUP(B25,'KPI Ticketing'!B:C,2,)</f>
        <v/>
      </c>
      <c r="T25" s="38">
        <f>VLOOKUP(B25,'KPI Ticketing'!B:D,3,)</f>
        <v/>
      </c>
      <c r="U25" s="38">
        <f>VLOOKUP(B25,'KPI Ticketing'!B:E,4,)</f>
        <v/>
      </c>
      <c r="V25" s="38">
        <f>VLOOKUP(B25,'KPI Ticketing'!B:F,5,)</f>
        <v/>
      </c>
      <c r="W25" s="37">
        <f>IF(S25&lt;=4,100%,IF(S25&lt;=6,70%,IF(S25&lt;=8,40%,10%)))</f>
        <v/>
      </c>
      <c r="X25" s="37">
        <f>IF(T25&lt;=8,100%,IF(T25&lt;=12,50%,25%))</f>
        <v/>
      </c>
      <c r="Y25" s="37">
        <f>IF(U25&lt;=10,100%,IF(U25&lt;=15,50%,25%))</f>
        <v/>
      </c>
      <c r="Z25" s="37">
        <f>IF(V25&lt;=13,100%,IF(V25&lt;=19,50%,25%))</f>
        <v/>
      </c>
      <c r="AA25" s="37">
        <f>W25*0.13</f>
        <v/>
      </c>
      <c r="AB25" s="37">
        <f>X25*0.06</f>
        <v/>
      </c>
      <c r="AC25" s="37">
        <f>Y25*0.04</f>
        <v/>
      </c>
      <c r="AD25" s="37">
        <f>Z25*0.02</f>
        <v/>
      </c>
      <c r="AE25" s="37">
        <f>VLOOKUP(B25,'KPI Ticketing'!B:N,13,)</f>
        <v/>
      </c>
      <c r="AF25" s="37">
        <f>IF(AE25&gt;=0.8,1,IF(AE25&gt;=0.7,0.9,IF(AE25&gt;=0.6,0.8,IF(AE25&gt;=0.5,0.7,IF(AE25&gt;=0.4,0.6,IF(AE25&gt;=0.3,0.5,IF(AE25&gt;=0.2,0.4,IF(AE25&gt;=0.1,0.3,0.2))))))))</f>
        <v/>
      </c>
      <c r="AG25" s="37">
        <f>AF25*0.03</f>
        <v/>
      </c>
      <c r="AH25" s="37">
        <f>VLOOKUP(B25,'KPI Ticketing'!B:R,17,)</f>
        <v/>
      </c>
      <c r="AI25" s="37">
        <f>IF(AH25&gt;=0.8,1,IF(AH25&gt;=0.7,0.9,IF(AH25&gt;=0.6,0.8,IF(AH25&gt;=0.5,0.7,IF(AH25&gt;=0.4,0.6,IF(AH25&gt;=0.3,0.5,IF(AH25&gt;=0.2,0.4,IF(AH25&gt;=0.1,0.3,0.2))))))))</f>
        <v/>
      </c>
      <c r="AJ25" s="37">
        <f>AI25*0.02</f>
        <v/>
      </c>
      <c r="AK25" s="37">
        <f>VLOOKUP(B25,'KPI Ticketing'!B:V,21,)</f>
        <v/>
      </c>
      <c r="AL25" s="37">
        <f>IF(AK25&gt;=0.9,1,IF(AK25&gt;=0.8,0.9,IF(AK25&gt;=0.7,0.8,IF(AK25&gt;=0.6,0.7,IF(AK25&gt;=0.5,0.6,IF(AK25&gt;=0.4,0.5,IF(AK25&gt;=0.3,0.4,IF(AK25&gt;=0.2,0.3,IF(AK25&gt;=0.1,0.2,0.1)))))))))</f>
        <v/>
      </c>
      <c r="AM25" s="37">
        <f>AL25*0.05</f>
        <v/>
      </c>
      <c r="AN25" s="37">
        <f>VLOOKUP(B25,'KPI Ticketing'!B:Z,25,)</f>
        <v/>
      </c>
      <c r="AO25" s="37">
        <f>IF(AN25&gt;=0.95,1,IF(AN25&gt;=0.9,0.9,IF(AN25&gt;=0.8,0.8,IF(AN25&gt;=0.7,0.7,IF(AN25&gt;=0.6,0.6,IF(AN25&gt;=0.5,0.5,IF(AN25&gt;=0.4,0.4,IF(AN25&gt;=0.3,0.3,IF(AN25&gt;=0.2,0.2,IF(AN25&gt;=0.1,0.1,0.05))))))))))</f>
        <v/>
      </c>
      <c r="AP25" s="37">
        <f>AO25*0.05</f>
        <v/>
      </c>
      <c r="AQ25" s="37">
        <f>VLOOKUP(B25,'KPI Ticketing'!B:AC,28,)</f>
        <v/>
      </c>
      <c r="AR25" s="37">
        <f>IF(AQ25&lt;0.95,0.5,1)</f>
        <v/>
      </c>
      <c r="AS25" s="37">
        <f>AR25*0.01</f>
        <v/>
      </c>
      <c r="AT25" s="37">
        <f>VLOOKUP(B25,'KPI Ticketing'!B:AG,32,)</f>
        <v/>
      </c>
      <c r="AU25" s="37">
        <f>IF(AT25&lt;0.3,0.5,1)</f>
        <v/>
      </c>
      <c r="AV25" s="37">
        <f>AU25*0.01</f>
        <v/>
      </c>
      <c r="AW25" s="38">
        <f>VLOOKUP(B25,'KPI Ticketing'!B:AH,33,)</f>
        <v/>
      </c>
      <c r="AX25" s="38">
        <f>VLOOKUP(B25,'KPI Ticketing'!B:AI,34,)</f>
        <v/>
      </c>
      <c r="AY25" s="38">
        <f>VLOOKUP(B25,'KPI Ticketing'!B:AJ,35,)</f>
        <v/>
      </c>
      <c r="AZ25" s="38">
        <f>VLOOKUP(B25,'KPI Ticketing'!B:AK,36,)</f>
        <v/>
      </c>
      <c r="BA25" s="38">
        <f>VLOOKUP(B25,'KPI Ticketing'!B:AL,37,)</f>
        <v/>
      </c>
      <c r="BB25" s="37">
        <f>IF(AW25&lt;=2,1,IF(AW25&lt;=3,0.7,IF(AW25&lt;=4,0.4,0.1)))</f>
        <v/>
      </c>
      <c r="BC25" s="37">
        <f>IF(AX25&lt;=4,1,IF(AX25&lt;=6,0.5,0.25))</f>
        <v/>
      </c>
      <c r="BD25" s="37">
        <f>IF(AY25&lt;=15,1,IF(AY25&lt;=22.5,0.5,0.25))</f>
        <v/>
      </c>
      <c r="BE25" s="37">
        <f>IF(AZ25&lt;=48,1,IF(AZ25&lt;=72,0.5,0.25))</f>
        <v/>
      </c>
      <c r="BF25" s="37">
        <f>IF(BA25=0, 0, IF(BA25&lt;=96, 1, IF(BA25&lt;=144, 0.5, 0.25)))</f>
        <v/>
      </c>
      <c r="BG25" s="37">
        <f>BB25*0.1</f>
        <v/>
      </c>
      <c r="BH25" s="37">
        <f>BC25*0.05</f>
        <v/>
      </c>
      <c r="BI25" s="37">
        <f>BD25*0.02</f>
        <v/>
      </c>
      <c r="BJ25" s="37">
        <f>BE25*0.01</f>
        <v/>
      </c>
      <c r="BK25" s="37">
        <f>BF25*0.01</f>
        <v/>
      </c>
      <c r="BL25" s="37">
        <f>VLOOKUP(B25,'KPI Ticketing'!B:AT,45,)</f>
        <v/>
      </c>
      <c r="BM25" s="37">
        <f>IF(BL25&gt;=0.8,1,IF(BL25&gt;=0.7,0.9,IF(BL25&gt;=0.6,0.8,IF(BL25&gt;=0.5,0.7,IF(BL25&gt;=0.4,0.6,IF(BL25&gt;=0.3,0.5,IF(BL25&gt;=0.2,0.4,IF(BL25&gt;=0.1,0.3,0.2))))))))</f>
        <v/>
      </c>
      <c r="BN25" s="37">
        <f>BM25*0.03</f>
        <v/>
      </c>
      <c r="BO25" s="37">
        <f>VLOOKUP(B25,'KPI Ticketing'!B:AX,49,)</f>
        <v/>
      </c>
      <c r="BP25" s="37">
        <f>IF(BO25&gt;=0.8,1,IF(BO25&gt;=0.7,0.9,IF(BO25&gt;=0.6,0.8,IF(BO25&gt;=0.5,0.7,IF(BO25&gt;=0.4,0.6,IF(BO25&gt;=0.3,0.5,IF(BO25&gt;=0.2,0.4,IF(BO25&gt;=0.1,0.3,0.2))))))))</f>
        <v/>
      </c>
      <c r="BQ25" s="37">
        <f>BP25*0.02</f>
        <v/>
      </c>
      <c r="BR25" s="37">
        <f>VLOOKUP(B25,'KPI Ticketing'!B:BB,53,)</f>
        <v/>
      </c>
      <c r="BS25" s="37">
        <f>IF(BR25&gt;=0.9,1,IF(BR25&gt;=0.8,0.9,IF(BR25&gt;=0.7,0.8,IF(BR25&gt;=0.6,0.7,IF(BR25&gt;=0.5,0.6,IF(BR25&gt;=0.4,0.5,IF(BR25&gt;=0.3,0.4,IF(BR25&gt;=0.2,0.3,IF(BR25&gt;=0.1,0.2,0.1)))))))))</f>
        <v/>
      </c>
      <c r="BT25" s="37">
        <f>BS25*0.05</f>
        <v/>
      </c>
      <c r="BU25" s="39" t="n">
        <v>0.08</v>
      </c>
      <c r="BV25" s="39" t="n">
        <v>0.06</v>
      </c>
      <c r="BW25" s="39" t="n">
        <v>0.09</v>
      </c>
      <c r="BX25" s="39" t="n">
        <v>0.06</v>
      </c>
    </row>
    <row r="26">
      <c r="A26" t="inlineStr">
        <is>
          <t>R02_Sumbagsel</t>
        </is>
      </c>
      <c r="B26" t="inlineStr">
        <is>
          <t>NOP PANGKAL PINANG</t>
        </is>
      </c>
      <c r="C26" s="36">
        <f>RANK(D26,$D$10:$D$43,0)</f>
        <v/>
      </c>
      <c r="D26" s="37">
        <f>(G26*0.35)+(O26*65%)</f>
        <v/>
      </c>
      <c r="E26" s="36">
        <f>IF(D26&gt;=0.95,"Istimewa",IF(D26&gt;0.9,"Baik Sekali",IF(D26&gt;0.85,"Baik",IF(D26&gt;0.8,"Cukup","Kurang"))))</f>
        <v/>
      </c>
      <c r="F26" s="37">
        <f>0.29*0.65</f>
        <v/>
      </c>
      <c r="G26" s="37">
        <f>N26</f>
        <v/>
      </c>
      <c r="H26" s="37">
        <f>VLOOKUP(B26,'KPI Availability'!B:O,14,)</f>
        <v/>
      </c>
      <c r="I26" s="37">
        <f>VLOOKUP(B26,'KPI Availability'!B:P,15,)</f>
        <v/>
      </c>
      <c r="J26" s="37">
        <f>VLOOKUP(B26,'KPI Availability'!B:Q,16,)</f>
        <v/>
      </c>
      <c r="K26" s="37">
        <f>VLOOKUP(B26,'KPI Availability'!B:R,17,)</f>
        <v/>
      </c>
      <c r="L26" s="37">
        <f>VLOOKUP(B26,'KPI Availability'!B:S,18,)</f>
        <v/>
      </c>
      <c r="M26" s="37">
        <f>VLOOKUP(B26,'KPI Availability'!B:T,19,)</f>
        <v/>
      </c>
      <c r="N26" s="37">
        <f>SUM(H26:M26)</f>
        <v/>
      </c>
      <c r="O26" s="37">
        <f>P26+Q26+R26</f>
        <v/>
      </c>
      <c r="P26" s="37">
        <f>SUM(AA26:AD26,AG26,AJ26,AM26,AP26,AS26,AV26)</f>
        <v/>
      </c>
      <c r="Q26" s="37">
        <f>SUM(BG26:BK26,BN26,BQ26,BT26)</f>
        <v/>
      </c>
      <c r="R26" s="37">
        <f>SUM(BU26:BX26)</f>
        <v/>
      </c>
      <c r="S26" s="38">
        <f>VLOOKUP(B26,'KPI Ticketing'!B:C,2,)</f>
        <v/>
      </c>
      <c r="T26" s="38">
        <f>VLOOKUP(B26,'KPI Ticketing'!B:D,3,)</f>
        <v/>
      </c>
      <c r="U26" s="38">
        <f>VLOOKUP(B26,'KPI Ticketing'!B:E,4,)</f>
        <v/>
      </c>
      <c r="V26" s="38">
        <f>VLOOKUP(B26,'KPI Ticketing'!B:F,5,)</f>
        <v/>
      </c>
      <c r="W26" s="37">
        <f>IF(S26&lt;=4,100%,IF(S26&lt;=6,70%,IF(S26&lt;=8,40%,10%)))</f>
        <v/>
      </c>
      <c r="X26" s="37">
        <f>IF(T26&lt;=8,100%,IF(T26&lt;=12,50%,25%))</f>
        <v/>
      </c>
      <c r="Y26" s="37">
        <f>IF(U26&lt;=10,100%,IF(U26&lt;=15,50%,25%))</f>
        <v/>
      </c>
      <c r="Z26" s="37">
        <f>IF(V26&lt;=13,100%,IF(V26&lt;=19,50%,25%))</f>
        <v/>
      </c>
      <c r="AA26" s="37">
        <f>W26*0.13</f>
        <v/>
      </c>
      <c r="AB26" s="37">
        <f>X26*0.06</f>
        <v/>
      </c>
      <c r="AC26" s="37">
        <f>Y26*0.04</f>
        <v/>
      </c>
      <c r="AD26" s="37">
        <f>Z26*0.02</f>
        <v/>
      </c>
      <c r="AE26" s="37">
        <f>VLOOKUP(B26,'KPI Ticketing'!B:N,13,)</f>
        <v/>
      </c>
      <c r="AF26" s="37">
        <f>IF(AE26&gt;=0.8,1,IF(AE26&gt;=0.7,0.9,IF(AE26&gt;=0.6,0.8,IF(AE26&gt;=0.5,0.7,IF(AE26&gt;=0.4,0.6,IF(AE26&gt;=0.3,0.5,IF(AE26&gt;=0.2,0.4,IF(AE26&gt;=0.1,0.3,0.2))))))))</f>
        <v/>
      </c>
      <c r="AG26" s="37">
        <f>AF26*0.03</f>
        <v/>
      </c>
      <c r="AH26" s="37">
        <f>VLOOKUP(B26,'KPI Ticketing'!B:R,17,)</f>
        <v/>
      </c>
      <c r="AI26" s="37">
        <f>IF(AH26&gt;=0.8,1,IF(AH26&gt;=0.7,0.9,IF(AH26&gt;=0.6,0.8,IF(AH26&gt;=0.5,0.7,IF(AH26&gt;=0.4,0.6,IF(AH26&gt;=0.3,0.5,IF(AH26&gt;=0.2,0.4,IF(AH26&gt;=0.1,0.3,0.2))))))))</f>
        <v/>
      </c>
      <c r="AJ26" s="37">
        <f>AI26*0.02</f>
        <v/>
      </c>
      <c r="AK26" s="37">
        <f>VLOOKUP(B26,'KPI Ticketing'!B:V,21,)</f>
        <v/>
      </c>
      <c r="AL26" s="37">
        <f>IF(AK26&gt;=0.9,1,IF(AK26&gt;=0.8,0.9,IF(AK26&gt;=0.7,0.8,IF(AK26&gt;=0.6,0.7,IF(AK26&gt;=0.5,0.6,IF(AK26&gt;=0.4,0.5,IF(AK26&gt;=0.3,0.4,IF(AK26&gt;=0.2,0.3,IF(AK26&gt;=0.1,0.2,0.1)))))))))</f>
        <v/>
      </c>
      <c r="AM26" s="37">
        <f>AL26*0.05</f>
        <v/>
      </c>
      <c r="AN26" s="37">
        <f>VLOOKUP(B26,'KPI Ticketing'!B:Z,25,)</f>
        <v/>
      </c>
      <c r="AO26" s="37">
        <f>IF(AN26&gt;=0.95,1,IF(AN26&gt;=0.9,0.9,IF(AN26&gt;=0.8,0.8,IF(AN26&gt;=0.7,0.7,IF(AN26&gt;=0.6,0.6,IF(AN26&gt;=0.5,0.5,IF(AN26&gt;=0.4,0.4,IF(AN26&gt;=0.3,0.3,IF(AN26&gt;=0.2,0.2,IF(AN26&gt;=0.1,0.1,0.05))))))))))</f>
        <v/>
      </c>
      <c r="AP26" s="37">
        <f>AO26*0.05</f>
        <v/>
      </c>
      <c r="AQ26" s="37">
        <f>VLOOKUP(B26,'KPI Ticketing'!B:AC,28,)</f>
        <v/>
      </c>
      <c r="AR26" s="37">
        <f>IF(AQ26&lt;0.95,0.5,1)</f>
        <v/>
      </c>
      <c r="AS26" s="37">
        <f>AR26*0.01</f>
        <v/>
      </c>
      <c r="AT26" s="37">
        <f>VLOOKUP(B26,'KPI Ticketing'!B:AG,32,)</f>
        <v/>
      </c>
      <c r="AU26" s="37">
        <f>IF(AT26&lt;0.3,0.5,1)</f>
        <v/>
      </c>
      <c r="AV26" s="37">
        <f>AU26*0.01</f>
        <v/>
      </c>
      <c r="AW26" s="38">
        <f>VLOOKUP(B26,'KPI Ticketing'!B:AH,33,)</f>
        <v/>
      </c>
      <c r="AX26" s="38">
        <f>VLOOKUP(B26,'KPI Ticketing'!B:AI,34,)</f>
        <v/>
      </c>
      <c r="AY26" s="38">
        <f>VLOOKUP(B26,'KPI Ticketing'!B:AJ,35,)</f>
        <v/>
      </c>
      <c r="AZ26" s="38">
        <f>VLOOKUP(B26,'KPI Ticketing'!B:AK,36,)</f>
        <v/>
      </c>
      <c r="BA26" s="38">
        <f>VLOOKUP(B26,'KPI Ticketing'!B:AL,37,)</f>
        <v/>
      </c>
      <c r="BB26" s="37">
        <f>IF(AW26&lt;=2,1,IF(AW26&lt;=3,0.7,IF(AW26&lt;=4,0.4,0.1)))</f>
        <v/>
      </c>
      <c r="BC26" s="37">
        <f>IF(AX26&lt;=4,1,IF(AX26&lt;=6,0.5,0.25))</f>
        <v/>
      </c>
      <c r="BD26" s="37">
        <f>IF(AY26&lt;=15,1,IF(AY26&lt;=22.5,0.5,0.25))</f>
        <v/>
      </c>
      <c r="BE26" s="37">
        <f>IF(AZ26&lt;=48,1,IF(AZ26&lt;=72,0.5,0.25))</f>
        <v/>
      </c>
      <c r="BF26" s="37">
        <f>IF(BA26=0, 0, IF(BA26&lt;=96, 1, IF(BA26&lt;=144, 0.5, 0.25)))</f>
        <v/>
      </c>
      <c r="BG26" s="37">
        <f>BB26*0.1</f>
        <v/>
      </c>
      <c r="BH26" s="37">
        <f>BC26*0.05</f>
        <v/>
      </c>
      <c r="BI26" s="37">
        <f>BD26*0.02</f>
        <v/>
      </c>
      <c r="BJ26" s="37">
        <f>BE26*0.01</f>
        <v/>
      </c>
      <c r="BK26" s="37">
        <f>BF26*0.01</f>
        <v/>
      </c>
      <c r="BL26" s="37">
        <f>VLOOKUP(B26,'KPI Ticketing'!B:AT,45,)</f>
        <v/>
      </c>
      <c r="BM26" s="37">
        <f>IF(BL26&gt;=0.8,1,IF(BL26&gt;=0.7,0.9,IF(BL26&gt;=0.6,0.8,IF(BL26&gt;=0.5,0.7,IF(BL26&gt;=0.4,0.6,IF(BL26&gt;=0.3,0.5,IF(BL26&gt;=0.2,0.4,IF(BL26&gt;=0.1,0.3,0.2))))))))</f>
        <v/>
      </c>
      <c r="BN26" s="37">
        <f>BM26*0.03</f>
        <v/>
      </c>
      <c r="BO26" s="37">
        <f>VLOOKUP(B26,'KPI Ticketing'!B:AX,49,)</f>
        <v/>
      </c>
      <c r="BP26" s="37">
        <f>IF(BO26&gt;=0.8,1,IF(BO26&gt;=0.7,0.9,IF(BO26&gt;=0.6,0.8,IF(BO26&gt;=0.5,0.7,IF(BO26&gt;=0.4,0.6,IF(BO26&gt;=0.3,0.5,IF(BO26&gt;=0.2,0.4,IF(BO26&gt;=0.1,0.3,0.2))))))))</f>
        <v/>
      </c>
      <c r="BQ26" s="37">
        <f>BP26*0.02</f>
        <v/>
      </c>
      <c r="BR26" s="37">
        <f>VLOOKUP(B26,'KPI Ticketing'!B:BB,53,)</f>
        <v/>
      </c>
      <c r="BS26" s="37">
        <f>IF(BR26&gt;=0.9,1,IF(BR26&gt;=0.8,0.9,IF(BR26&gt;=0.7,0.8,IF(BR26&gt;=0.6,0.7,IF(BR26&gt;=0.5,0.6,IF(BR26&gt;=0.4,0.5,IF(BR26&gt;=0.3,0.4,IF(BR26&gt;=0.2,0.3,IF(BR26&gt;=0.1,0.2,0.1)))))))))</f>
        <v/>
      </c>
      <c r="BT26" s="37">
        <f>BS26*0.05</f>
        <v/>
      </c>
      <c r="BU26" s="39" t="n">
        <v>0.08</v>
      </c>
      <c r="BV26" s="39" t="n">
        <v>0.06</v>
      </c>
      <c r="BW26" s="39" t="n">
        <v>0.09</v>
      </c>
      <c r="BX26" s="39" t="n">
        <v>0.06</v>
      </c>
    </row>
    <row r="27">
      <c r="A27" t="inlineStr">
        <is>
          <t>R05_Jawa Tengah DIY</t>
        </is>
      </c>
      <c r="B27" t="inlineStr">
        <is>
          <t>NOP MAGELANG</t>
        </is>
      </c>
      <c r="C27" s="36">
        <f>RANK(D27,$D$10:$D$43,0)</f>
        <v/>
      </c>
      <c r="D27" s="37">
        <f>(G27*0.35)+(O27*65%)</f>
        <v/>
      </c>
      <c r="E27" s="36">
        <f>IF(D27&gt;=0.95,"Istimewa",IF(D27&gt;0.9,"Baik Sekali",IF(D27&gt;0.85,"Baik",IF(D27&gt;0.8,"Cukup","Kurang"))))</f>
        <v/>
      </c>
      <c r="F27" s="37">
        <f>0.29*0.65</f>
        <v/>
      </c>
      <c r="G27" s="37">
        <f>N27</f>
        <v/>
      </c>
      <c r="H27" s="37">
        <f>VLOOKUP(B27,'KPI Availability'!B:O,14,)</f>
        <v/>
      </c>
      <c r="I27" s="37">
        <f>VLOOKUP(B27,'KPI Availability'!B:P,15,)</f>
        <v/>
      </c>
      <c r="J27" s="37">
        <f>VLOOKUP(B27,'KPI Availability'!B:Q,16,)</f>
        <v/>
      </c>
      <c r="K27" s="37">
        <f>VLOOKUP(B27,'KPI Availability'!B:R,17,)</f>
        <v/>
      </c>
      <c r="L27" s="37">
        <f>VLOOKUP(B27,'KPI Availability'!B:S,18,)</f>
        <v/>
      </c>
      <c r="M27" s="37">
        <f>VLOOKUP(B27,'KPI Availability'!B:T,19,)</f>
        <v/>
      </c>
      <c r="N27" s="37">
        <f>SUM(H27:M27)</f>
        <v/>
      </c>
      <c r="O27" s="37">
        <f>P27+Q27+R27</f>
        <v/>
      </c>
      <c r="P27" s="37">
        <f>SUM(AA27:AD27,AG27,AJ27,AM27,AP27,AS27,AV27)</f>
        <v/>
      </c>
      <c r="Q27" s="37">
        <f>SUM(BG27:BK27,BN27,BQ27,BT27)</f>
        <v/>
      </c>
      <c r="R27" s="37">
        <f>SUM(BU27:BX27)</f>
        <v/>
      </c>
      <c r="S27" s="38">
        <f>VLOOKUP(B27,'KPI Ticketing'!B:C,2,)</f>
        <v/>
      </c>
      <c r="T27" s="38">
        <f>VLOOKUP(B27,'KPI Ticketing'!B:D,3,)</f>
        <v/>
      </c>
      <c r="U27" s="38">
        <f>VLOOKUP(B27,'KPI Ticketing'!B:E,4,)</f>
        <v/>
      </c>
      <c r="V27" s="38">
        <f>VLOOKUP(B27,'KPI Ticketing'!B:F,5,)</f>
        <v/>
      </c>
      <c r="W27" s="37">
        <f>IF(S27&lt;=4,100%,IF(S27&lt;=6,70%,IF(S27&lt;=8,40%,10%)))</f>
        <v/>
      </c>
      <c r="X27" s="37">
        <f>IF(T27&lt;=8,100%,IF(T27&lt;=12,50%,25%))</f>
        <v/>
      </c>
      <c r="Y27" s="37">
        <f>IF(U27&lt;=10,100%,IF(U27&lt;=15,50%,25%))</f>
        <v/>
      </c>
      <c r="Z27" s="37">
        <f>IF(V27&lt;=13,100%,IF(V27&lt;=19,50%,25%))</f>
        <v/>
      </c>
      <c r="AA27" s="37">
        <f>W27*0.13</f>
        <v/>
      </c>
      <c r="AB27" s="37">
        <f>X27*0.06</f>
        <v/>
      </c>
      <c r="AC27" s="37">
        <f>Y27*0.04</f>
        <v/>
      </c>
      <c r="AD27" s="37">
        <f>Z27*0.02</f>
        <v/>
      </c>
      <c r="AE27" s="37">
        <f>VLOOKUP(B27,'KPI Ticketing'!B:N,13,)</f>
        <v/>
      </c>
      <c r="AF27" s="37">
        <f>IF(AE27&gt;=0.8,1,IF(AE27&gt;=0.7,0.9,IF(AE27&gt;=0.6,0.8,IF(AE27&gt;=0.5,0.7,IF(AE27&gt;=0.4,0.6,IF(AE27&gt;=0.3,0.5,IF(AE27&gt;=0.2,0.4,IF(AE27&gt;=0.1,0.3,0.2))))))))</f>
        <v/>
      </c>
      <c r="AG27" s="37">
        <f>AF27*0.03</f>
        <v/>
      </c>
      <c r="AH27" s="37">
        <f>VLOOKUP(B27,'KPI Ticketing'!B:R,17,)</f>
        <v/>
      </c>
      <c r="AI27" s="37">
        <f>IF(AH27&gt;=0.8,1,IF(AH27&gt;=0.7,0.9,IF(AH27&gt;=0.6,0.8,IF(AH27&gt;=0.5,0.7,IF(AH27&gt;=0.4,0.6,IF(AH27&gt;=0.3,0.5,IF(AH27&gt;=0.2,0.4,IF(AH27&gt;=0.1,0.3,0.2))))))))</f>
        <v/>
      </c>
      <c r="AJ27" s="37">
        <f>AI27*0.02</f>
        <v/>
      </c>
      <c r="AK27" s="37">
        <f>VLOOKUP(B27,'KPI Ticketing'!B:V,21,)</f>
        <v/>
      </c>
      <c r="AL27" s="37">
        <f>IF(AK27&gt;=0.9,1,IF(AK27&gt;=0.8,0.9,IF(AK27&gt;=0.7,0.8,IF(AK27&gt;=0.6,0.7,IF(AK27&gt;=0.5,0.6,IF(AK27&gt;=0.4,0.5,IF(AK27&gt;=0.3,0.4,IF(AK27&gt;=0.2,0.3,IF(AK27&gt;=0.1,0.2,0.1)))))))))</f>
        <v/>
      </c>
      <c r="AM27" s="37">
        <f>AL27*0.05</f>
        <v/>
      </c>
      <c r="AN27" s="37">
        <f>VLOOKUP(B27,'KPI Ticketing'!B:Z,25,)</f>
        <v/>
      </c>
      <c r="AO27" s="37">
        <f>IF(AN27&gt;=0.95,1,IF(AN27&gt;=0.9,0.9,IF(AN27&gt;=0.8,0.8,IF(AN27&gt;=0.7,0.7,IF(AN27&gt;=0.6,0.6,IF(AN27&gt;=0.5,0.5,IF(AN27&gt;=0.4,0.4,IF(AN27&gt;=0.3,0.3,IF(AN27&gt;=0.2,0.2,IF(AN27&gt;=0.1,0.1,0.05))))))))))</f>
        <v/>
      </c>
      <c r="AP27" s="37">
        <f>AO27*0.05</f>
        <v/>
      </c>
      <c r="AQ27" s="37">
        <f>VLOOKUP(B27,'KPI Ticketing'!B:AC,28,)</f>
        <v/>
      </c>
      <c r="AR27" s="37">
        <f>IF(AQ27&lt;0.95,0.5,1)</f>
        <v/>
      </c>
      <c r="AS27" s="37">
        <f>AR27*0.01</f>
        <v/>
      </c>
      <c r="AT27" s="37">
        <f>VLOOKUP(B27,'KPI Ticketing'!B:AG,32,)</f>
        <v/>
      </c>
      <c r="AU27" s="37">
        <f>IF(AT27&lt;0.3,0.5,1)</f>
        <v/>
      </c>
      <c r="AV27" s="37">
        <f>AU27*0.01</f>
        <v/>
      </c>
      <c r="AW27" s="38">
        <f>VLOOKUP(B27,'KPI Ticketing'!B:AH,33,)</f>
        <v/>
      </c>
      <c r="AX27" s="38">
        <f>VLOOKUP(B27,'KPI Ticketing'!B:AI,34,)</f>
        <v/>
      </c>
      <c r="AY27" s="38">
        <f>VLOOKUP(B27,'KPI Ticketing'!B:AJ,35,)</f>
        <v/>
      </c>
      <c r="AZ27" s="38">
        <f>VLOOKUP(B27,'KPI Ticketing'!B:AK,36,)</f>
        <v/>
      </c>
      <c r="BA27" s="38">
        <f>VLOOKUP(B27,'KPI Ticketing'!B:AL,37,)</f>
        <v/>
      </c>
      <c r="BB27" s="37">
        <f>IF(AW27&lt;=2,1,IF(AW27&lt;=3,0.7,IF(AW27&lt;=4,0.4,0.1)))</f>
        <v/>
      </c>
      <c r="BC27" s="37">
        <f>IF(AX27&lt;=4,1,IF(AX27&lt;=6,0.5,0.25))</f>
        <v/>
      </c>
      <c r="BD27" s="37">
        <f>IF(AY27&lt;=15,1,IF(AY27&lt;=22.5,0.5,0.25))</f>
        <v/>
      </c>
      <c r="BE27" s="37">
        <f>IF(AZ27&lt;=48,1,IF(AZ27&lt;=72,0.5,0.25))</f>
        <v/>
      </c>
      <c r="BF27" s="37">
        <f>IF(BA27=0, 0, IF(BA27&lt;=96, 1, IF(BA27&lt;=144, 0.5, 0.25)))</f>
        <v/>
      </c>
      <c r="BG27" s="37">
        <f>BB27*0.1</f>
        <v/>
      </c>
      <c r="BH27" s="37">
        <f>BC27*0.05</f>
        <v/>
      </c>
      <c r="BI27" s="37">
        <f>BD27*0.02</f>
        <v/>
      </c>
      <c r="BJ27" s="37">
        <f>BE27*0.01</f>
        <v/>
      </c>
      <c r="BK27" s="37">
        <f>BF27*0.01</f>
        <v/>
      </c>
      <c r="BL27" s="37">
        <f>VLOOKUP(B27,'KPI Ticketing'!B:AT,45,)</f>
        <v/>
      </c>
      <c r="BM27" s="37">
        <f>IF(BL27&gt;=0.8,1,IF(BL27&gt;=0.7,0.9,IF(BL27&gt;=0.6,0.8,IF(BL27&gt;=0.5,0.7,IF(BL27&gt;=0.4,0.6,IF(BL27&gt;=0.3,0.5,IF(BL27&gt;=0.2,0.4,IF(BL27&gt;=0.1,0.3,0.2))))))))</f>
        <v/>
      </c>
      <c r="BN27" s="37">
        <f>BM27*0.03</f>
        <v/>
      </c>
      <c r="BO27" s="37">
        <f>VLOOKUP(B27,'KPI Ticketing'!B:AX,49,)</f>
        <v/>
      </c>
      <c r="BP27" s="37">
        <f>IF(BO27&gt;=0.8,1,IF(BO27&gt;=0.7,0.9,IF(BO27&gt;=0.6,0.8,IF(BO27&gt;=0.5,0.7,IF(BO27&gt;=0.4,0.6,IF(BO27&gt;=0.3,0.5,IF(BO27&gt;=0.2,0.4,IF(BO27&gt;=0.1,0.3,0.2))))))))</f>
        <v/>
      </c>
      <c r="BQ27" s="37">
        <f>BP27*0.02</f>
        <v/>
      </c>
      <c r="BR27" s="37">
        <f>VLOOKUP(B27,'KPI Ticketing'!B:BB,53,)</f>
        <v/>
      </c>
      <c r="BS27" s="37">
        <f>IF(BR27&gt;=0.9,1,IF(BR27&gt;=0.8,0.9,IF(BR27&gt;=0.7,0.8,IF(BR27&gt;=0.6,0.7,IF(BR27&gt;=0.5,0.6,IF(BR27&gt;=0.4,0.5,IF(BR27&gt;=0.3,0.4,IF(BR27&gt;=0.2,0.3,IF(BR27&gt;=0.1,0.2,0.1)))))))))</f>
        <v/>
      </c>
      <c r="BT27" s="37">
        <f>BS27*0.05</f>
        <v/>
      </c>
      <c r="BU27" s="39" t="n">
        <v>0.08</v>
      </c>
      <c r="BV27" s="39" t="n">
        <v>0.06</v>
      </c>
      <c r="BW27" s="39" t="n">
        <v>0.09</v>
      </c>
      <c r="BX27" s="39" t="n">
        <v>0.06</v>
      </c>
    </row>
    <row r="28">
      <c r="A28" t="inlineStr">
        <is>
          <t>R05_Jawa Tengah DIY</t>
        </is>
      </c>
      <c r="B28" t="inlineStr">
        <is>
          <t>NOP PEKALONGAN</t>
        </is>
      </c>
      <c r="C28" s="36">
        <f>RANK(D28,$D$10:$D$43,0)</f>
        <v/>
      </c>
      <c r="D28" s="37">
        <f>(G28*0.35)+(O28*65%)</f>
        <v/>
      </c>
      <c r="E28" s="36">
        <f>IF(D28&gt;=0.95,"Istimewa",IF(D28&gt;0.9,"Baik Sekali",IF(D28&gt;0.85,"Baik",IF(D28&gt;0.8,"Cukup","Kurang"))))</f>
        <v/>
      </c>
      <c r="F28" s="37">
        <f>0.29*0.65</f>
        <v/>
      </c>
      <c r="G28" s="37">
        <f>N28</f>
        <v/>
      </c>
      <c r="H28" s="37">
        <f>VLOOKUP(B28,'KPI Availability'!B:O,14,)</f>
        <v/>
      </c>
      <c r="I28" s="37">
        <f>VLOOKUP(B28,'KPI Availability'!B:P,15,)</f>
        <v/>
      </c>
      <c r="J28" s="37">
        <f>VLOOKUP(B28,'KPI Availability'!B:Q,16,)</f>
        <v/>
      </c>
      <c r="K28" s="37">
        <f>VLOOKUP(B28,'KPI Availability'!B:R,17,)</f>
        <v/>
      </c>
      <c r="L28" s="37">
        <f>VLOOKUP(B28,'KPI Availability'!B:S,18,)</f>
        <v/>
      </c>
      <c r="M28" s="37">
        <f>VLOOKUP(B28,'KPI Availability'!B:T,19,)</f>
        <v/>
      </c>
      <c r="N28" s="37">
        <f>SUM(H28:M28)</f>
        <v/>
      </c>
      <c r="O28" s="37">
        <f>P28+Q28+R28</f>
        <v/>
      </c>
      <c r="P28" s="37">
        <f>SUM(AA28:AD28,AG28,AJ28,AM28,AP28,AS28,AV28)</f>
        <v/>
      </c>
      <c r="Q28" s="37">
        <f>SUM(BG28:BK28,BN28,BQ28,BT28)</f>
        <v/>
      </c>
      <c r="R28" s="37">
        <f>SUM(BU28:BX28)</f>
        <v/>
      </c>
      <c r="S28" s="38">
        <f>VLOOKUP(B28,'KPI Ticketing'!B:C,2,)</f>
        <v/>
      </c>
      <c r="T28" s="38">
        <f>VLOOKUP(B28,'KPI Ticketing'!B:D,3,)</f>
        <v/>
      </c>
      <c r="U28" s="38">
        <f>VLOOKUP(B28,'KPI Ticketing'!B:E,4,)</f>
        <v/>
      </c>
      <c r="V28" s="38">
        <f>VLOOKUP(B28,'KPI Ticketing'!B:F,5,)</f>
        <v/>
      </c>
      <c r="W28" s="37">
        <f>IF(S28&lt;=4,100%,IF(S28&lt;=6,70%,IF(S28&lt;=8,40%,10%)))</f>
        <v/>
      </c>
      <c r="X28" s="37">
        <f>IF(T28&lt;=8,100%,IF(T28&lt;=12,50%,25%))</f>
        <v/>
      </c>
      <c r="Y28" s="37">
        <f>IF(U28&lt;=10,100%,IF(U28&lt;=15,50%,25%))</f>
        <v/>
      </c>
      <c r="Z28" s="37">
        <f>IF(V28&lt;=13,100%,IF(V28&lt;=19,50%,25%))</f>
        <v/>
      </c>
      <c r="AA28" s="37">
        <f>W28*0.13</f>
        <v/>
      </c>
      <c r="AB28" s="37">
        <f>X28*0.06</f>
        <v/>
      </c>
      <c r="AC28" s="37">
        <f>Y28*0.04</f>
        <v/>
      </c>
      <c r="AD28" s="37">
        <f>Z28*0.02</f>
        <v/>
      </c>
      <c r="AE28" s="37">
        <f>VLOOKUP(B28,'KPI Ticketing'!B:N,13,)</f>
        <v/>
      </c>
      <c r="AF28" s="37">
        <f>IF(AE28&gt;=0.8,1,IF(AE28&gt;=0.7,0.9,IF(AE28&gt;=0.6,0.8,IF(AE28&gt;=0.5,0.7,IF(AE28&gt;=0.4,0.6,IF(AE28&gt;=0.3,0.5,IF(AE28&gt;=0.2,0.4,IF(AE28&gt;=0.1,0.3,0.2))))))))</f>
        <v/>
      </c>
      <c r="AG28" s="37">
        <f>AF28*0.03</f>
        <v/>
      </c>
      <c r="AH28" s="37">
        <f>VLOOKUP(B28,'KPI Ticketing'!B:R,17,)</f>
        <v/>
      </c>
      <c r="AI28" s="37">
        <f>IF(AH28&gt;=0.8,1,IF(AH28&gt;=0.7,0.9,IF(AH28&gt;=0.6,0.8,IF(AH28&gt;=0.5,0.7,IF(AH28&gt;=0.4,0.6,IF(AH28&gt;=0.3,0.5,IF(AH28&gt;=0.2,0.4,IF(AH28&gt;=0.1,0.3,0.2))))))))</f>
        <v/>
      </c>
      <c r="AJ28" s="37">
        <f>AI28*0.02</f>
        <v/>
      </c>
      <c r="AK28" s="37">
        <f>VLOOKUP(B28,'KPI Ticketing'!B:V,21,)</f>
        <v/>
      </c>
      <c r="AL28" s="37">
        <f>IF(AK28&gt;=0.9,1,IF(AK28&gt;=0.8,0.9,IF(AK28&gt;=0.7,0.8,IF(AK28&gt;=0.6,0.7,IF(AK28&gt;=0.5,0.6,IF(AK28&gt;=0.4,0.5,IF(AK28&gt;=0.3,0.4,IF(AK28&gt;=0.2,0.3,IF(AK28&gt;=0.1,0.2,0.1)))))))))</f>
        <v/>
      </c>
      <c r="AM28" s="37">
        <f>AL28*0.05</f>
        <v/>
      </c>
      <c r="AN28" s="37">
        <f>VLOOKUP(B28,'KPI Ticketing'!B:Z,25,)</f>
        <v/>
      </c>
      <c r="AO28" s="37">
        <f>IF(AN28&gt;=0.95,1,IF(AN28&gt;=0.9,0.9,IF(AN28&gt;=0.8,0.8,IF(AN28&gt;=0.7,0.7,IF(AN28&gt;=0.6,0.6,IF(AN28&gt;=0.5,0.5,IF(AN28&gt;=0.4,0.4,IF(AN28&gt;=0.3,0.3,IF(AN28&gt;=0.2,0.2,IF(AN28&gt;=0.1,0.1,0.05))))))))))</f>
        <v/>
      </c>
      <c r="AP28" s="37">
        <f>AO28*0.05</f>
        <v/>
      </c>
      <c r="AQ28" s="37">
        <f>VLOOKUP(B28,'KPI Ticketing'!B:AC,28,)</f>
        <v/>
      </c>
      <c r="AR28" s="37">
        <f>IF(AQ28&lt;0.95,0.5,1)</f>
        <v/>
      </c>
      <c r="AS28" s="37">
        <f>AR28*0.01</f>
        <v/>
      </c>
      <c r="AT28" s="37">
        <f>VLOOKUP(B28,'KPI Ticketing'!B:AG,32,)</f>
        <v/>
      </c>
      <c r="AU28" s="37">
        <f>IF(AT28&lt;0.3,0.5,1)</f>
        <v/>
      </c>
      <c r="AV28" s="37">
        <f>AU28*0.01</f>
        <v/>
      </c>
      <c r="AW28" s="38">
        <f>VLOOKUP(B28,'KPI Ticketing'!B:AH,33,)</f>
        <v/>
      </c>
      <c r="AX28" s="38">
        <f>VLOOKUP(B28,'KPI Ticketing'!B:AI,34,)</f>
        <v/>
      </c>
      <c r="AY28" s="38">
        <f>VLOOKUP(B28,'KPI Ticketing'!B:AJ,35,)</f>
        <v/>
      </c>
      <c r="AZ28" s="38">
        <f>VLOOKUP(B28,'KPI Ticketing'!B:AK,36,)</f>
        <v/>
      </c>
      <c r="BA28" s="38">
        <f>VLOOKUP(B28,'KPI Ticketing'!B:AL,37,)</f>
        <v/>
      </c>
      <c r="BB28" s="37">
        <f>IF(AW28&lt;=2,1,IF(AW28&lt;=3,0.7,IF(AW28&lt;=4,0.4,0.1)))</f>
        <v/>
      </c>
      <c r="BC28" s="37">
        <f>IF(AX28&lt;=4,1,IF(AX28&lt;=6,0.5,0.25))</f>
        <v/>
      </c>
      <c r="BD28" s="37">
        <f>IF(AY28&lt;=15,1,IF(AY28&lt;=22.5,0.5,0.25))</f>
        <v/>
      </c>
      <c r="BE28" s="37">
        <f>IF(AZ28&lt;=48,1,IF(AZ28&lt;=72,0.5,0.25))</f>
        <v/>
      </c>
      <c r="BF28" s="37">
        <f>IF(BA28=0, 0, IF(BA28&lt;=96, 1, IF(BA28&lt;=144, 0.5, 0.25)))</f>
        <v/>
      </c>
      <c r="BG28" s="37">
        <f>BB28*0.1</f>
        <v/>
      </c>
      <c r="BH28" s="37">
        <f>BC28*0.05</f>
        <v/>
      </c>
      <c r="BI28" s="37">
        <f>BD28*0.02</f>
        <v/>
      </c>
      <c r="BJ28" s="37">
        <f>BE28*0.01</f>
        <v/>
      </c>
      <c r="BK28" s="37">
        <f>BF28*0.01</f>
        <v/>
      </c>
      <c r="BL28" s="37">
        <f>VLOOKUP(B28,'KPI Ticketing'!B:AT,45,)</f>
        <v/>
      </c>
      <c r="BM28" s="37">
        <f>IF(BL28&gt;=0.8,1,IF(BL28&gt;=0.7,0.9,IF(BL28&gt;=0.6,0.8,IF(BL28&gt;=0.5,0.7,IF(BL28&gt;=0.4,0.6,IF(BL28&gt;=0.3,0.5,IF(BL28&gt;=0.2,0.4,IF(BL28&gt;=0.1,0.3,0.2))))))))</f>
        <v/>
      </c>
      <c r="BN28" s="37">
        <f>BM28*0.03</f>
        <v/>
      </c>
      <c r="BO28" s="37">
        <f>VLOOKUP(B28,'KPI Ticketing'!B:AX,49,)</f>
        <v/>
      </c>
      <c r="BP28" s="37">
        <f>IF(BO28&gt;=0.8,1,IF(BO28&gt;=0.7,0.9,IF(BO28&gt;=0.6,0.8,IF(BO28&gt;=0.5,0.7,IF(BO28&gt;=0.4,0.6,IF(BO28&gt;=0.3,0.5,IF(BO28&gt;=0.2,0.4,IF(BO28&gt;=0.1,0.3,0.2))))))))</f>
        <v/>
      </c>
      <c r="BQ28" s="37">
        <f>BP28*0.02</f>
        <v/>
      </c>
      <c r="BR28" s="37">
        <f>VLOOKUP(B28,'KPI Ticketing'!B:BB,53,)</f>
        <v/>
      </c>
      <c r="BS28" s="37">
        <f>IF(BR28&gt;=0.9,1,IF(BR28&gt;=0.8,0.9,IF(BR28&gt;=0.7,0.8,IF(BR28&gt;=0.6,0.7,IF(BR28&gt;=0.5,0.6,IF(BR28&gt;=0.4,0.5,IF(BR28&gt;=0.3,0.4,IF(BR28&gt;=0.2,0.3,IF(BR28&gt;=0.1,0.2,0.1)))))))))</f>
        <v/>
      </c>
      <c r="BT28" s="37">
        <f>BS28*0.05</f>
        <v/>
      </c>
      <c r="BU28" s="39" t="n">
        <v>0.08</v>
      </c>
      <c r="BV28" s="39" t="n">
        <v>0.06</v>
      </c>
      <c r="BW28" s="39" t="n">
        <v>0.09</v>
      </c>
      <c r="BX28" s="39" t="n">
        <v>0.06</v>
      </c>
    </row>
    <row r="29">
      <c r="A29" t="inlineStr">
        <is>
          <t>R05_Jawa Tengah DIY</t>
        </is>
      </c>
      <c r="B29" t="inlineStr">
        <is>
          <t>NOP PURWOKERTO</t>
        </is>
      </c>
      <c r="C29" s="36">
        <f>RANK(D29,$D$10:$D$43,0)</f>
        <v/>
      </c>
      <c r="D29" s="37">
        <f>(G29*0.35)+(O29*65%)</f>
        <v/>
      </c>
      <c r="E29" s="36">
        <f>IF(D29&gt;=0.95,"Istimewa",IF(D29&gt;0.9,"Baik Sekali",IF(D29&gt;0.85,"Baik",IF(D29&gt;0.8,"Cukup","Kurang"))))</f>
        <v/>
      </c>
      <c r="F29" s="37">
        <f>0.29*0.65</f>
        <v/>
      </c>
      <c r="G29" s="37">
        <f>N29</f>
        <v/>
      </c>
      <c r="H29" s="37">
        <f>VLOOKUP(B29,'KPI Availability'!B:O,14,)</f>
        <v/>
      </c>
      <c r="I29" s="37">
        <f>VLOOKUP(B29,'KPI Availability'!B:P,15,)</f>
        <v/>
      </c>
      <c r="J29" s="37">
        <f>VLOOKUP(B29,'KPI Availability'!B:Q,16,)</f>
        <v/>
      </c>
      <c r="K29" s="37">
        <f>VLOOKUP(B29,'KPI Availability'!B:R,17,)</f>
        <v/>
      </c>
      <c r="L29" s="37">
        <f>VLOOKUP(B29,'KPI Availability'!B:S,18,)</f>
        <v/>
      </c>
      <c r="M29" s="37">
        <f>VLOOKUP(B29,'KPI Availability'!B:T,19,)</f>
        <v/>
      </c>
      <c r="N29" s="37">
        <f>SUM(H29:M29)</f>
        <v/>
      </c>
      <c r="O29" s="37">
        <f>P29+Q29+R29</f>
        <v/>
      </c>
      <c r="P29" s="37">
        <f>SUM(AA29:AD29,AG29,AJ29,AM29,AP29,AS29,AV29)</f>
        <v/>
      </c>
      <c r="Q29" s="37">
        <f>SUM(BG29:BK29,BN29,BQ29,BT29)</f>
        <v/>
      </c>
      <c r="R29" s="37">
        <f>SUM(BU29:BX29)</f>
        <v/>
      </c>
      <c r="S29" s="38">
        <f>VLOOKUP(B29,'KPI Ticketing'!B:C,2,)</f>
        <v/>
      </c>
      <c r="T29" s="38">
        <f>VLOOKUP(B29,'KPI Ticketing'!B:D,3,)</f>
        <v/>
      </c>
      <c r="U29" s="38">
        <f>VLOOKUP(B29,'KPI Ticketing'!B:E,4,)</f>
        <v/>
      </c>
      <c r="V29" s="38">
        <f>VLOOKUP(B29,'KPI Ticketing'!B:F,5,)</f>
        <v/>
      </c>
      <c r="W29" s="37">
        <f>IF(S29&lt;=4,100%,IF(S29&lt;=6,70%,IF(S29&lt;=8,40%,10%)))</f>
        <v/>
      </c>
      <c r="X29" s="37">
        <f>IF(T29&lt;=8,100%,IF(T29&lt;=12,50%,25%))</f>
        <v/>
      </c>
      <c r="Y29" s="37">
        <f>IF(U29&lt;=10,100%,IF(U29&lt;=15,50%,25%))</f>
        <v/>
      </c>
      <c r="Z29" s="37">
        <f>IF(V29&lt;=13,100%,IF(V29&lt;=19,50%,25%))</f>
        <v/>
      </c>
      <c r="AA29" s="37">
        <f>W29*0.13</f>
        <v/>
      </c>
      <c r="AB29" s="37">
        <f>X29*0.06</f>
        <v/>
      </c>
      <c r="AC29" s="37">
        <f>Y29*0.04</f>
        <v/>
      </c>
      <c r="AD29" s="37">
        <f>Z29*0.02</f>
        <v/>
      </c>
      <c r="AE29" s="37">
        <f>VLOOKUP(B29,'KPI Ticketing'!B:N,13,)</f>
        <v/>
      </c>
      <c r="AF29" s="37">
        <f>IF(AE29&gt;=0.8,1,IF(AE29&gt;=0.7,0.9,IF(AE29&gt;=0.6,0.8,IF(AE29&gt;=0.5,0.7,IF(AE29&gt;=0.4,0.6,IF(AE29&gt;=0.3,0.5,IF(AE29&gt;=0.2,0.4,IF(AE29&gt;=0.1,0.3,0.2))))))))</f>
        <v/>
      </c>
      <c r="AG29" s="37">
        <f>AF29*0.03</f>
        <v/>
      </c>
      <c r="AH29" s="37">
        <f>VLOOKUP(B29,'KPI Ticketing'!B:R,17,)</f>
        <v/>
      </c>
      <c r="AI29" s="37">
        <f>IF(AH29&gt;=0.8,1,IF(AH29&gt;=0.7,0.9,IF(AH29&gt;=0.6,0.8,IF(AH29&gt;=0.5,0.7,IF(AH29&gt;=0.4,0.6,IF(AH29&gt;=0.3,0.5,IF(AH29&gt;=0.2,0.4,IF(AH29&gt;=0.1,0.3,0.2))))))))</f>
        <v/>
      </c>
      <c r="AJ29" s="37">
        <f>AI29*0.02</f>
        <v/>
      </c>
      <c r="AK29" s="37">
        <f>VLOOKUP(B29,'KPI Ticketing'!B:V,21,)</f>
        <v/>
      </c>
      <c r="AL29" s="37">
        <f>IF(AK29&gt;=0.9,1,IF(AK29&gt;=0.8,0.9,IF(AK29&gt;=0.7,0.8,IF(AK29&gt;=0.6,0.7,IF(AK29&gt;=0.5,0.6,IF(AK29&gt;=0.4,0.5,IF(AK29&gt;=0.3,0.4,IF(AK29&gt;=0.2,0.3,IF(AK29&gt;=0.1,0.2,0.1)))))))))</f>
        <v/>
      </c>
      <c r="AM29" s="37">
        <f>AL29*0.05</f>
        <v/>
      </c>
      <c r="AN29" s="37">
        <f>VLOOKUP(B29,'KPI Ticketing'!B:Z,25,)</f>
        <v/>
      </c>
      <c r="AO29" s="37">
        <f>IF(AN29&gt;=0.95,1,IF(AN29&gt;=0.9,0.9,IF(AN29&gt;=0.8,0.8,IF(AN29&gt;=0.7,0.7,IF(AN29&gt;=0.6,0.6,IF(AN29&gt;=0.5,0.5,IF(AN29&gt;=0.4,0.4,IF(AN29&gt;=0.3,0.3,IF(AN29&gt;=0.2,0.2,IF(AN29&gt;=0.1,0.1,0.05))))))))))</f>
        <v/>
      </c>
      <c r="AP29" s="37">
        <f>AO29*0.05</f>
        <v/>
      </c>
      <c r="AQ29" s="37">
        <f>VLOOKUP(B29,'KPI Ticketing'!B:AC,28,)</f>
        <v/>
      </c>
      <c r="AR29" s="37">
        <f>IF(AQ29&lt;0.95,0.5,1)</f>
        <v/>
      </c>
      <c r="AS29" s="37">
        <f>AR29*0.01</f>
        <v/>
      </c>
      <c r="AT29" s="37">
        <f>VLOOKUP(B29,'KPI Ticketing'!B:AG,32,)</f>
        <v/>
      </c>
      <c r="AU29" s="37">
        <f>IF(AT29&lt;0.3,0.5,1)</f>
        <v/>
      </c>
      <c r="AV29" s="37">
        <f>AU29*0.01</f>
        <v/>
      </c>
      <c r="AW29" s="38">
        <f>VLOOKUP(B29,'KPI Ticketing'!B:AH,33,)</f>
        <v/>
      </c>
      <c r="AX29" s="38">
        <f>VLOOKUP(B29,'KPI Ticketing'!B:AI,34,)</f>
        <v/>
      </c>
      <c r="AY29" s="38">
        <f>VLOOKUP(B29,'KPI Ticketing'!B:AJ,35,)</f>
        <v/>
      </c>
      <c r="AZ29" s="38">
        <f>VLOOKUP(B29,'KPI Ticketing'!B:AK,36,)</f>
        <v/>
      </c>
      <c r="BA29" s="38">
        <f>VLOOKUP(B29,'KPI Ticketing'!B:AL,37,)</f>
        <v/>
      </c>
      <c r="BB29" s="37">
        <f>IF(AW29&lt;=2,1,IF(AW29&lt;=3,0.7,IF(AW29&lt;=4,0.4,0.1)))</f>
        <v/>
      </c>
      <c r="BC29" s="37">
        <f>IF(AX29&lt;=4,1,IF(AX29&lt;=6,0.5,0.25))</f>
        <v/>
      </c>
      <c r="BD29" s="37">
        <f>IF(AY29&lt;=15,1,IF(AY29&lt;=22.5,0.5,0.25))</f>
        <v/>
      </c>
      <c r="BE29" s="37">
        <f>IF(AZ29&lt;=48,1,IF(AZ29&lt;=72,0.5,0.25))</f>
        <v/>
      </c>
      <c r="BF29" s="37">
        <f>IF(BA29=0, 0, IF(BA29&lt;=96, 1, IF(BA29&lt;=144, 0.5, 0.25)))</f>
        <v/>
      </c>
      <c r="BG29" s="37">
        <f>BB29*0.1</f>
        <v/>
      </c>
      <c r="BH29" s="37">
        <f>BC29*0.05</f>
        <v/>
      </c>
      <c r="BI29" s="37">
        <f>BD29*0.02</f>
        <v/>
      </c>
      <c r="BJ29" s="37">
        <f>BE29*0.01</f>
        <v/>
      </c>
      <c r="BK29" s="37">
        <f>BF29*0.01</f>
        <v/>
      </c>
      <c r="BL29" s="37">
        <f>VLOOKUP(B29,'KPI Ticketing'!B:AT,45,)</f>
        <v/>
      </c>
      <c r="BM29" s="37">
        <f>IF(BL29&gt;=0.8,1,IF(BL29&gt;=0.7,0.9,IF(BL29&gt;=0.6,0.8,IF(BL29&gt;=0.5,0.7,IF(BL29&gt;=0.4,0.6,IF(BL29&gt;=0.3,0.5,IF(BL29&gt;=0.2,0.4,IF(BL29&gt;=0.1,0.3,0.2))))))))</f>
        <v/>
      </c>
      <c r="BN29" s="37">
        <f>BM29*0.03</f>
        <v/>
      </c>
      <c r="BO29" s="37">
        <f>VLOOKUP(B29,'KPI Ticketing'!B:AX,49,)</f>
        <v/>
      </c>
      <c r="BP29" s="37">
        <f>IF(BO29&gt;=0.8,1,IF(BO29&gt;=0.7,0.9,IF(BO29&gt;=0.6,0.8,IF(BO29&gt;=0.5,0.7,IF(BO29&gt;=0.4,0.6,IF(BO29&gt;=0.3,0.5,IF(BO29&gt;=0.2,0.4,IF(BO29&gt;=0.1,0.3,0.2))))))))</f>
        <v/>
      </c>
      <c r="BQ29" s="37">
        <f>BP29*0.02</f>
        <v/>
      </c>
      <c r="BR29" s="37">
        <f>VLOOKUP(B29,'KPI Ticketing'!B:BB,53,)</f>
        <v/>
      </c>
      <c r="BS29" s="37">
        <f>IF(BR29&gt;=0.9,1,IF(BR29&gt;=0.8,0.9,IF(BR29&gt;=0.7,0.8,IF(BR29&gt;=0.6,0.7,IF(BR29&gt;=0.5,0.6,IF(BR29&gt;=0.4,0.5,IF(BR29&gt;=0.3,0.4,IF(BR29&gt;=0.2,0.3,IF(BR29&gt;=0.1,0.2,0.1)))))))))</f>
        <v/>
      </c>
      <c r="BT29" s="37">
        <f>BS29*0.05</f>
        <v/>
      </c>
      <c r="BU29" s="39" t="n">
        <v>0.08</v>
      </c>
      <c r="BV29" s="39" t="n">
        <v>0.06</v>
      </c>
      <c r="BW29" s="39" t="n">
        <v>0.09</v>
      </c>
      <c r="BX29" s="39" t="n">
        <v>0.06</v>
      </c>
    </row>
    <row r="30">
      <c r="A30" t="inlineStr">
        <is>
          <t>R05_Jawa Tengah DIY</t>
        </is>
      </c>
      <c r="B30" t="inlineStr">
        <is>
          <t>NOP SEMARANG</t>
        </is>
      </c>
      <c r="C30" s="36">
        <f>RANK(D30,$D$10:$D$43,0)</f>
        <v/>
      </c>
      <c r="D30" s="37">
        <f>(G30*0.35)+(O30*65%)</f>
        <v/>
      </c>
      <c r="E30" s="36">
        <f>IF(D30&gt;=0.95,"Istimewa",IF(D30&gt;0.9,"Baik Sekali",IF(D30&gt;0.85,"Baik",IF(D30&gt;0.8,"Cukup","Kurang"))))</f>
        <v/>
      </c>
      <c r="F30" s="37">
        <f>0.29*0.65</f>
        <v/>
      </c>
      <c r="G30" s="37">
        <f>N30</f>
        <v/>
      </c>
      <c r="H30" s="37">
        <f>VLOOKUP(B30,'KPI Availability'!B:O,14,)</f>
        <v/>
      </c>
      <c r="I30" s="37">
        <f>VLOOKUP(B30,'KPI Availability'!B:P,15,)</f>
        <v/>
      </c>
      <c r="J30" s="37">
        <f>VLOOKUP(B30,'KPI Availability'!B:Q,16,)</f>
        <v/>
      </c>
      <c r="K30" s="37">
        <f>VLOOKUP(B30,'KPI Availability'!B:R,17,)</f>
        <v/>
      </c>
      <c r="L30" s="37">
        <f>VLOOKUP(B30,'KPI Availability'!B:S,18,)</f>
        <v/>
      </c>
      <c r="M30" s="37">
        <f>VLOOKUP(B30,'KPI Availability'!B:T,19,)</f>
        <v/>
      </c>
      <c r="N30" s="37">
        <f>SUM(H30:M30)</f>
        <v/>
      </c>
      <c r="O30" s="37">
        <f>P30+Q30+R30</f>
        <v/>
      </c>
      <c r="P30" s="37">
        <f>SUM(AA30:AD30,AG30,AJ30,AM30,AP30,AS30,AV30)</f>
        <v/>
      </c>
      <c r="Q30" s="37">
        <f>SUM(BG30:BK30,BN30,BQ30,BT30)</f>
        <v/>
      </c>
      <c r="R30" s="37">
        <f>SUM(BU30:BX30)</f>
        <v/>
      </c>
      <c r="S30" s="38">
        <f>VLOOKUP(B30,'KPI Ticketing'!B:C,2,)</f>
        <v/>
      </c>
      <c r="T30" s="38">
        <f>VLOOKUP(B30,'KPI Ticketing'!B:D,3,)</f>
        <v/>
      </c>
      <c r="U30" s="38">
        <f>VLOOKUP(B30,'KPI Ticketing'!B:E,4,)</f>
        <v/>
      </c>
      <c r="V30" s="38">
        <f>VLOOKUP(B30,'KPI Ticketing'!B:F,5,)</f>
        <v/>
      </c>
      <c r="W30" s="37">
        <f>IF(S30&lt;=4,100%,IF(S30&lt;=6,70%,IF(S30&lt;=8,40%,10%)))</f>
        <v/>
      </c>
      <c r="X30" s="37">
        <f>IF(T30&lt;=8,100%,IF(T30&lt;=12,50%,25%))</f>
        <v/>
      </c>
      <c r="Y30" s="37">
        <f>IF(U30&lt;=10,100%,IF(U30&lt;=15,50%,25%))</f>
        <v/>
      </c>
      <c r="Z30" s="37">
        <f>IF(V30&lt;=13,100%,IF(V30&lt;=19,50%,25%))</f>
        <v/>
      </c>
      <c r="AA30" s="37">
        <f>W30*0.13</f>
        <v/>
      </c>
      <c r="AB30" s="37">
        <f>X30*0.06</f>
        <v/>
      </c>
      <c r="AC30" s="37">
        <f>Y30*0.04</f>
        <v/>
      </c>
      <c r="AD30" s="37">
        <f>Z30*0.02</f>
        <v/>
      </c>
      <c r="AE30" s="37">
        <f>VLOOKUP(B30,'KPI Ticketing'!B:N,13,)</f>
        <v/>
      </c>
      <c r="AF30" s="37">
        <f>IF(AE30&gt;=0.8,1,IF(AE30&gt;=0.7,0.9,IF(AE30&gt;=0.6,0.8,IF(AE30&gt;=0.5,0.7,IF(AE30&gt;=0.4,0.6,IF(AE30&gt;=0.3,0.5,IF(AE30&gt;=0.2,0.4,IF(AE30&gt;=0.1,0.3,0.2))))))))</f>
        <v/>
      </c>
      <c r="AG30" s="37">
        <f>AF30*0.03</f>
        <v/>
      </c>
      <c r="AH30" s="37">
        <f>VLOOKUP(B30,'KPI Ticketing'!B:R,17,)</f>
        <v/>
      </c>
      <c r="AI30" s="37">
        <f>IF(AH30&gt;=0.8,1,IF(AH30&gt;=0.7,0.9,IF(AH30&gt;=0.6,0.8,IF(AH30&gt;=0.5,0.7,IF(AH30&gt;=0.4,0.6,IF(AH30&gt;=0.3,0.5,IF(AH30&gt;=0.2,0.4,IF(AH30&gt;=0.1,0.3,0.2))))))))</f>
        <v/>
      </c>
      <c r="AJ30" s="37">
        <f>AI30*0.02</f>
        <v/>
      </c>
      <c r="AK30" s="37">
        <f>VLOOKUP(B30,'KPI Ticketing'!B:V,21,)</f>
        <v/>
      </c>
      <c r="AL30" s="37">
        <f>IF(AK30&gt;=0.9,1,IF(AK30&gt;=0.8,0.9,IF(AK30&gt;=0.7,0.8,IF(AK30&gt;=0.6,0.7,IF(AK30&gt;=0.5,0.6,IF(AK30&gt;=0.4,0.5,IF(AK30&gt;=0.3,0.4,IF(AK30&gt;=0.2,0.3,IF(AK30&gt;=0.1,0.2,0.1)))))))))</f>
        <v/>
      </c>
      <c r="AM30" s="37">
        <f>AL30*0.05</f>
        <v/>
      </c>
      <c r="AN30" s="37">
        <f>VLOOKUP(B30,'KPI Ticketing'!B:Z,25,)</f>
        <v/>
      </c>
      <c r="AO30" s="37">
        <f>IF(AN30&gt;=0.95,1,IF(AN30&gt;=0.9,0.9,IF(AN30&gt;=0.8,0.8,IF(AN30&gt;=0.7,0.7,IF(AN30&gt;=0.6,0.6,IF(AN30&gt;=0.5,0.5,IF(AN30&gt;=0.4,0.4,IF(AN30&gt;=0.3,0.3,IF(AN30&gt;=0.2,0.2,IF(AN30&gt;=0.1,0.1,0.05))))))))))</f>
        <v/>
      </c>
      <c r="AP30" s="37">
        <f>AO30*0.05</f>
        <v/>
      </c>
      <c r="AQ30" s="37">
        <f>VLOOKUP(B30,'KPI Ticketing'!B:AC,28,)</f>
        <v/>
      </c>
      <c r="AR30" s="37">
        <f>IF(AQ30&lt;0.95,0.5,1)</f>
        <v/>
      </c>
      <c r="AS30" s="37">
        <f>AR30*0.01</f>
        <v/>
      </c>
      <c r="AT30" s="37">
        <f>VLOOKUP(B30,'KPI Ticketing'!B:AG,32,)</f>
        <v/>
      </c>
      <c r="AU30" s="37">
        <f>IF(AT30&lt;0.3,0.5,1)</f>
        <v/>
      </c>
      <c r="AV30" s="37">
        <f>AU30*0.01</f>
        <v/>
      </c>
      <c r="AW30" s="38">
        <f>VLOOKUP(B30,'KPI Ticketing'!B:AH,33,)</f>
        <v/>
      </c>
      <c r="AX30" s="38">
        <f>VLOOKUP(B30,'KPI Ticketing'!B:AI,34,)</f>
        <v/>
      </c>
      <c r="AY30" s="38">
        <f>VLOOKUP(B30,'KPI Ticketing'!B:AJ,35,)</f>
        <v/>
      </c>
      <c r="AZ30" s="38">
        <f>VLOOKUP(B30,'KPI Ticketing'!B:AK,36,)</f>
        <v/>
      </c>
      <c r="BA30" s="38">
        <f>VLOOKUP(B30,'KPI Ticketing'!B:AL,37,)</f>
        <v/>
      </c>
      <c r="BB30" s="37">
        <f>IF(AW30&lt;=2,1,IF(AW30&lt;=3,0.7,IF(AW30&lt;=4,0.4,0.1)))</f>
        <v/>
      </c>
      <c r="BC30" s="37">
        <f>IF(AX30&lt;=4,1,IF(AX30&lt;=6,0.5,0.25))</f>
        <v/>
      </c>
      <c r="BD30" s="37">
        <f>IF(AY30&lt;=15,1,IF(AY30&lt;=22.5,0.5,0.25))</f>
        <v/>
      </c>
      <c r="BE30" s="37">
        <f>IF(AZ30&lt;=48,1,IF(AZ30&lt;=72,0.5,0.25))</f>
        <v/>
      </c>
      <c r="BF30" s="37">
        <f>IF(BA30=0, 0, IF(BA30&lt;=96, 1, IF(BA30&lt;=144, 0.5, 0.25)))</f>
        <v/>
      </c>
      <c r="BG30" s="37">
        <f>BB30*0.1</f>
        <v/>
      </c>
      <c r="BH30" s="37">
        <f>BC30*0.05</f>
        <v/>
      </c>
      <c r="BI30" s="37">
        <f>BD30*0.02</f>
        <v/>
      </c>
      <c r="BJ30" s="37">
        <f>BE30*0.01</f>
        <v/>
      </c>
      <c r="BK30" s="37">
        <f>BF30*0.01</f>
        <v/>
      </c>
      <c r="BL30" s="37">
        <f>VLOOKUP(B30,'KPI Ticketing'!B:AT,45,)</f>
        <v/>
      </c>
      <c r="BM30" s="37">
        <f>IF(BL30&gt;=0.8,1,IF(BL30&gt;=0.7,0.9,IF(BL30&gt;=0.6,0.8,IF(BL30&gt;=0.5,0.7,IF(BL30&gt;=0.4,0.6,IF(BL30&gt;=0.3,0.5,IF(BL30&gt;=0.2,0.4,IF(BL30&gt;=0.1,0.3,0.2))))))))</f>
        <v/>
      </c>
      <c r="BN30" s="37">
        <f>BM30*0.03</f>
        <v/>
      </c>
      <c r="BO30" s="37">
        <f>VLOOKUP(B30,'KPI Ticketing'!B:AX,49,)</f>
        <v/>
      </c>
      <c r="BP30" s="37">
        <f>IF(BO30&gt;=0.8,1,IF(BO30&gt;=0.7,0.9,IF(BO30&gt;=0.6,0.8,IF(BO30&gt;=0.5,0.7,IF(BO30&gt;=0.4,0.6,IF(BO30&gt;=0.3,0.5,IF(BO30&gt;=0.2,0.4,IF(BO30&gt;=0.1,0.3,0.2))))))))</f>
        <v/>
      </c>
      <c r="BQ30" s="37">
        <f>BP30*0.02</f>
        <v/>
      </c>
      <c r="BR30" s="37">
        <f>VLOOKUP(B30,'KPI Ticketing'!B:BB,53,)</f>
        <v/>
      </c>
      <c r="BS30" s="37">
        <f>IF(BR30&gt;=0.9,1,IF(BR30&gt;=0.8,0.9,IF(BR30&gt;=0.7,0.8,IF(BR30&gt;=0.6,0.7,IF(BR30&gt;=0.5,0.6,IF(BR30&gt;=0.4,0.5,IF(BR30&gt;=0.3,0.4,IF(BR30&gt;=0.2,0.3,IF(BR30&gt;=0.1,0.2,0.1)))))))))</f>
        <v/>
      </c>
      <c r="BT30" s="37">
        <f>BS30*0.05</f>
        <v/>
      </c>
      <c r="BU30" s="39" t="n">
        <v>0.08</v>
      </c>
      <c r="BV30" s="39" t="n">
        <v>0.06</v>
      </c>
      <c r="BW30" s="39" t="n">
        <v>0.09</v>
      </c>
      <c r="BX30" s="39" t="n">
        <v>0.06</v>
      </c>
    </row>
    <row r="31">
      <c r="A31" t="inlineStr">
        <is>
          <t>R05_Jawa Tengah DIY</t>
        </is>
      </c>
      <c r="B31" t="inlineStr">
        <is>
          <t>NOP SURAKARTA</t>
        </is>
      </c>
      <c r="C31" s="36">
        <f>RANK(D31,$D$10:$D$43,0)</f>
        <v/>
      </c>
      <c r="D31" s="37">
        <f>(G31*0.35)+(O31*65%)</f>
        <v/>
      </c>
      <c r="E31" s="36">
        <f>IF(D31&gt;=0.95,"Istimewa",IF(D31&gt;0.9,"Baik Sekali",IF(D31&gt;0.85,"Baik",IF(D31&gt;0.8,"Cukup","Kurang"))))</f>
        <v/>
      </c>
      <c r="F31" s="37">
        <f>0.29*0.65</f>
        <v/>
      </c>
      <c r="G31" s="37">
        <f>N31</f>
        <v/>
      </c>
      <c r="H31" s="37">
        <f>VLOOKUP(B31,'KPI Availability'!B:O,14,)</f>
        <v/>
      </c>
      <c r="I31" s="37">
        <f>VLOOKUP(B31,'KPI Availability'!B:P,15,)</f>
        <v/>
      </c>
      <c r="J31" s="37">
        <f>VLOOKUP(B31,'KPI Availability'!B:Q,16,)</f>
        <v/>
      </c>
      <c r="K31" s="37">
        <f>VLOOKUP(B31,'KPI Availability'!B:R,17,)</f>
        <v/>
      </c>
      <c r="L31" s="37">
        <f>VLOOKUP(B31,'KPI Availability'!B:S,18,)</f>
        <v/>
      </c>
      <c r="M31" s="37">
        <f>VLOOKUP(B31,'KPI Availability'!B:T,19,)</f>
        <v/>
      </c>
      <c r="N31" s="37">
        <f>SUM(H31:M31)</f>
        <v/>
      </c>
      <c r="O31" s="37">
        <f>P31+Q31+R31</f>
        <v/>
      </c>
      <c r="P31" s="37">
        <f>SUM(AA31:AD31,AG31,AJ31,AM31,AP31,AS31,AV31)</f>
        <v/>
      </c>
      <c r="Q31" s="37">
        <f>SUM(BG31:BK31,BN31,BQ31,BT31)</f>
        <v/>
      </c>
      <c r="R31" s="37">
        <f>SUM(BU31:BX31)</f>
        <v/>
      </c>
      <c r="S31" s="38">
        <f>VLOOKUP(B31,'KPI Ticketing'!B:C,2,)</f>
        <v/>
      </c>
      <c r="T31" s="38">
        <f>VLOOKUP(B31,'KPI Ticketing'!B:D,3,)</f>
        <v/>
      </c>
      <c r="U31" s="38">
        <f>VLOOKUP(B31,'KPI Ticketing'!B:E,4,)</f>
        <v/>
      </c>
      <c r="V31" s="38">
        <f>VLOOKUP(B31,'KPI Ticketing'!B:F,5,)</f>
        <v/>
      </c>
      <c r="W31" s="37">
        <f>IF(S31&lt;=4,100%,IF(S31&lt;=6,70%,IF(S31&lt;=8,40%,10%)))</f>
        <v/>
      </c>
      <c r="X31" s="37">
        <f>IF(T31&lt;=8,100%,IF(T31&lt;=12,50%,25%))</f>
        <v/>
      </c>
      <c r="Y31" s="37">
        <f>IF(U31&lt;=10,100%,IF(U31&lt;=15,50%,25%))</f>
        <v/>
      </c>
      <c r="Z31" s="37">
        <f>IF(V31&lt;=13,100%,IF(V31&lt;=19,50%,25%))</f>
        <v/>
      </c>
      <c r="AA31" s="37">
        <f>W31*0.13</f>
        <v/>
      </c>
      <c r="AB31" s="37">
        <f>X31*0.06</f>
        <v/>
      </c>
      <c r="AC31" s="37">
        <f>Y31*0.04</f>
        <v/>
      </c>
      <c r="AD31" s="37">
        <f>Z31*0.02</f>
        <v/>
      </c>
      <c r="AE31" s="37">
        <f>VLOOKUP(B31,'KPI Ticketing'!B:N,13,)</f>
        <v/>
      </c>
      <c r="AF31" s="37">
        <f>IF(AE31&gt;=0.8,1,IF(AE31&gt;=0.7,0.9,IF(AE31&gt;=0.6,0.8,IF(AE31&gt;=0.5,0.7,IF(AE31&gt;=0.4,0.6,IF(AE31&gt;=0.3,0.5,IF(AE31&gt;=0.2,0.4,IF(AE31&gt;=0.1,0.3,0.2))))))))</f>
        <v/>
      </c>
      <c r="AG31" s="37">
        <f>AF31*0.03</f>
        <v/>
      </c>
      <c r="AH31" s="37">
        <f>VLOOKUP(B31,'KPI Ticketing'!B:R,17,)</f>
        <v/>
      </c>
      <c r="AI31" s="37">
        <f>IF(AH31&gt;=0.8,1,IF(AH31&gt;=0.7,0.9,IF(AH31&gt;=0.6,0.8,IF(AH31&gt;=0.5,0.7,IF(AH31&gt;=0.4,0.6,IF(AH31&gt;=0.3,0.5,IF(AH31&gt;=0.2,0.4,IF(AH31&gt;=0.1,0.3,0.2))))))))</f>
        <v/>
      </c>
      <c r="AJ31" s="37">
        <f>AI31*0.02</f>
        <v/>
      </c>
      <c r="AK31" s="37">
        <f>VLOOKUP(B31,'KPI Ticketing'!B:V,21,)</f>
        <v/>
      </c>
      <c r="AL31" s="37">
        <f>IF(AK31&gt;=0.9,1,IF(AK31&gt;=0.8,0.9,IF(AK31&gt;=0.7,0.8,IF(AK31&gt;=0.6,0.7,IF(AK31&gt;=0.5,0.6,IF(AK31&gt;=0.4,0.5,IF(AK31&gt;=0.3,0.4,IF(AK31&gt;=0.2,0.3,IF(AK31&gt;=0.1,0.2,0.1)))))))))</f>
        <v/>
      </c>
      <c r="AM31" s="37">
        <f>AL31*0.05</f>
        <v/>
      </c>
      <c r="AN31" s="37">
        <f>VLOOKUP(B31,'KPI Ticketing'!B:Z,25,)</f>
        <v/>
      </c>
      <c r="AO31" s="37">
        <f>IF(AN31&gt;=0.95,1,IF(AN31&gt;=0.9,0.9,IF(AN31&gt;=0.8,0.8,IF(AN31&gt;=0.7,0.7,IF(AN31&gt;=0.6,0.6,IF(AN31&gt;=0.5,0.5,IF(AN31&gt;=0.4,0.4,IF(AN31&gt;=0.3,0.3,IF(AN31&gt;=0.2,0.2,IF(AN31&gt;=0.1,0.1,0.05))))))))))</f>
        <v/>
      </c>
      <c r="AP31" s="37">
        <f>AO31*0.05</f>
        <v/>
      </c>
      <c r="AQ31" s="37">
        <f>VLOOKUP(B31,'KPI Ticketing'!B:AC,28,)</f>
        <v/>
      </c>
      <c r="AR31" s="37">
        <f>IF(AQ31&lt;0.95,0.5,1)</f>
        <v/>
      </c>
      <c r="AS31" s="37">
        <f>AR31*0.01</f>
        <v/>
      </c>
      <c r="AT31" s="37">
        <f>VLOOKUP(B31,'KPI Ticketing'!B:AG,32,)</f>
        <v/>
      </c>
      <c r="AU31" s="37">
        <f>IF(AT31&lt;0.3,0.5,1)</f>
        <v/>
      </c>
      <c r="AV31" s="37">
        <f>AU31*0.01</f>
        <v/>
      </c>
      <c r="AW31" s="38">
        <f>VLOOKUP(B31,'KPI Ticketing'!B:AH,33,)</f>
        <v/>
      </c>
      <c r="AX31" s="38">
        <f>VLOOKUP(B31,'KPI Ticketing'!B:AI,34,)</f>
        <v/>
      </c>
      <c r="AY31" s="38">
        <f>VLOOKUP(B31,'KPI Ticketing'!B:AJ,35,)</f>
        <v/>
      </c>
      <c r="AZ31" s="38">
        <f>VLOOKUP(B31,'KPI Ticketing'!B:AK,36,)</f>
        <v/>
      </c>
      <c r="BA31" s="38">
        <f>VLOOKUP(B31,'KPI Ticketing'!B:AL,37,)</f>
        <v/>
      </c>
      <c r="BB31" s="37">
        <f>IF(AW31&lt;=2,1,IF(AW31&lt;=3,0.7,IF(AW31&lt;=4,0.4,0.1)))</f>
        <v/>
      </c>
      <c r="BC31" s="37">
        <f>IF(AX31&lt;=4,1,IF(AX31&lt;=6,0.5,0.25))</f>
        <v/>
      </c>
      <c r="BD31" s="37">
        <f>IF(AY31&lt;=15,1,IF(AY31&lt;=22.5,0.5,0.25))</f>
        <v/>
      </c>
      <c r="BE31" s="37">
        <f>IF(AZ31&lt;=48,1,IF(AZ31&lt;=72,0.5,0.25))</f>
        <v/>
      </c>
      <c r="BF31" s="37">
        <f>IF(BA31=0, 0, IF(BA31&lt;=96, 1, IF(BA31&lt;=144, 0.5, 0.25)))</f>
        <v/>
      </c>
      <c r="BG31" s="37">
        <f>BB31*0.1</f>
        <v/>
      </c>
      <c r="BH31" s="37">
        <f>BC31*0.05</f>
        <v/>
      </c>
      <c r="BI31" s="37">
        <f>BD31*0.02</f>
        <v/>
      </c>
      <c r="BJ31" s="37">
        <f>BE31*0.01</f>
        <v/>
      </c>
      <c r="BK31" s="37">
        <f>BF31*0.01</f>
        <v/>
      </c>
      <c r="BL31" s="37">
        <f>VLOOKUP(B31,'KPI Ticketing'!B:AT,45,)</f>
        <v/>
      </c>
      <c r="BM31" s="37">
        <f>IF(BL31&gt;=0.8,1,IF(BL31&gt;=0.7,0.9,IF(BL31&gt;=0.6,0.8,IF(BL31&gt;=0.5,0.7,IF(BL31&gt;=0.4,0.6,IF(BL31&gt;=0.3,0.5,IF(BL31&gt;=0.2,0.4,IF(BL31&gt;=0.1,0.3,0.2))))))))</f>
        <v/>
      </c>
      <c r="BN31" s="37">
        <f>BM31*0.03</f>
        <v/>
      </c>
      <c r="BO31" s="37">
        <f>VLOOKUP(B31,'KPI Ticketing'!B:AX,49,)</f>
        <v/>
      </c>
      <c r="BP31" s="37">
        <f>IF(BO31&gt;=0.8,1,IF(BO31&gt;=0.7,0.9,IF(BO31&gt;=0.6,0.8,IF(BO31&gt;=0.5,0.7,IF(BO31&gt;=0.4,0.6,IF(BO31&gt;=0.3,0.5,IF(BO31&gt;=0.2,0.4,IF(BO31&gt;=0.1,0.3,0.2))))))))</f>
        <v/>
      </c>
      <c r="BQ31" s="37">
        <f>BP31*0.02</f>
        <v/>
      </c>
      <c r="BR31" s="37">
        <f>VLOOKUP(B31,'KPI Ticketing'!B:BB,53,)</f>
        <v/>
      </c>
      <c r="BS31" s="37">
        <f>IF(BR31&gt;=0.9,1,IF(BR31&gt;=0.8,0.9,IF(BR31&gt;=0.7,0.8,IF(BR31&gt;=0.6,0.7,IF(BR31&gt;=0.5,0.6,IF(BR31&gt;=0.4,0.5,IF(BR31&gt;=0.3,0.4,IF(BR31&gt;=0.2,0.3,IF(BR31&gt;=0.1,0.2,0.1)))))))))</f>
        <v/>
      </c>
      <c r="BT31" s="37">
        <f>BS31*0.05</f>
        <v/>
      </c>
      <c r="BU31" s="39" t="n">
        <v>0.08</v>
      </c>
      <c r="BV31" s="39" t="n">
        <v>0.06</v>
      </c>
      <c r="BW31" s="39" t="n">
        <v>0.09</v>
      </c>
      <c r="BX31" s="39" t="n">
        <v>0.06</v>
      </c>
    </row>
    <row r="32">
      <c r="A32" t="inlineStr">
        <is>
          <t>R05_Jawa Tengah DIY</t>
        </is>
      </c>
      <c r="B32" t="inlineStr">
        <is>
          <t>NOP YOGYAKARTA</t>
        </is>
      </c>
      <c r="C32" s="36">
        <f>RANK(D32,$D$10:$D$43,0)</f>
        <v/>
      </c>
      <c r="D32" s="37">
        <f>(G32*0.35)+(O32*65%)</f>
        <v/>
      </c>
      <c r="E32" s="36">
        <f>IF(D32&gt;=0.95,"Istimewa",IF(D32&gt;0.9,"Baik Sekali",IF(D32&gt;0.85,"Baik",IF(D32&gt;0.8,"Cukup","Kurang"))))</f>
        <v/>
      </c>
      <c r="F32" s="37">
        <f>0.29*0.65</f>
        <v/>
      </c>
      <c r="G32" s="37">
        <f>N32</f>
        <v/>
      </c>
      <c r="H32" s="37">
        <f>VLOOKUP(B32,'KPI Availability'!B:O,14,)</f>
        <v/>
      </c>
      <c r="I32" s="37">
        <f>VLOOKUP(B32,'KPI Availability'!B:P,15,)</f>
        <v/>
      </c>
      <c r="J32" s="37">
        <f>VLOOKUP(B32,'KPI Availability'!B:Q,16,)</f>
        <v/>
      </c>
      <c r="K32" s="37">
        <f>VLOOKUP(B32,'KPI Availability'!B:R,17,)</f>
        <v/>
      </c>
      <c r="L32" s="37">
        <f>VLOOKUP(B32,'KPI Availability'!B:S,18,)</f>
        <v/>
      </c>
      <c r="M32" s="37">
        <f>VLOOKUP(B32,'KPI Availability'!B:T,19,)</f>
        <v/>
      </c>
      <c r="N32" s="37">
        <f>SUM(H32:M32)</f>
        <v/>
      </c>
      <c r="O32" s="37">
        <f>P32+Q32+R32</f>
        <v/>
      </c>
      <c r="P32" s="37">
        <f>SUM(AA32:AD32,AG32,AJ32,AM32,AP32,AS32,AV32)</f>
        <v/>
      </c>
      <c r="Q32" s="37">
        <f>SUM(BG32:BK32,BN32,BQ32,BT32)</f>
        <v/>
      </c>
      <c r="R32" s="37">
        <f>SUM(BU32:BX32)</f>
        <v/>
      </c>
      <c r="S32" s="38">
        <f>VLOOKUP(B32,'KPI Ticketing'!B:C,2,)</f>
        <v/>
      </c>
      <c r="T32" s="38">
        <f>VLOOKUP(B32,'KPI Ticketing'!B:D,3,)</f>
        <v/>
      </c>
      <c r="U32" s="38">
        <f>VLOOKUP(B32,'KPI Ticketing'!B:E,4,)</f>
        <v/>
      </c>
      <c r="V32" s="38">
        <f>VLOOKUP(B32,'KPI Ticketing'!B:F,5,)</f>
        <v/>
      </c>
      <c r="W32" s="37">
        <f>IF(S32&lt;=4,100%,IF(S32&lt;=6,70%,IF(S32&lt;=8,40%,10%)))</f>
        <v/>
      </c>
      <c r="X32" s="37">
        <f>IF(T32&lt;=8,100%,IF(T32&lt;=12,50%,25%))</f>
        <v/>
      </c>
      <c r="Y32" s="37">
        <f>IF(U32&lt;=10,100%,IF(U32&lt;=15,50%,25%))</f>
        <v/>
      </c>
      <c r="Z32" s="37">
        <f>IF(V32&lt;=13,100%,IF(V32&lt;=19,50%,25%))</f>
        <v/>
      </c>
      <c r="AA32" s="37">
        <f>W32*0.13</f>
        <v/>
      </c>
      <c r="AB32" s="37">
        <f>X32*0.06</f>
        <v/>
      </c>
      <c r="AC32" s="37">
        <f>Y32*0.04</f>
        <v/>
      </c>
      <c r="AD32" s="37">
        <f>Z32*0.02</f>
        <v/>
      </c>
      <c r="AE32" s="37">
        <f>VLOOKUP(B32,'KPI Ticketing'!B:N,13,)</f>
        <v/>
      </c>
      <c r="AF32" s="37">
        <f>IF(AE32&gt;=0.8,1,IF(AE32&gt;=0.7,0.9,IF(AE32&gt;=0.6,0.8,IF(AE32&gt;=0.5,0.7,IF(AE32&gt;=0.4,0.6,IF(AE32&gt;=0.3,0.5,IF(AE32&gt;=0.2,0.4,IF(AE32&gt;=0.1,0.3,0.2))))))))</f>
        <v/>
      </c>
      <c r="AG32" s="37">
        <f>AF32*0.03</f>
        <v/>
      </c>
      <c r="AH32" s="37">
        <f>VLOOKUP(B32,'KPI Ticketing'!B:R,17,)</f>
        <v/>
      </c>
      <c r="AI32" s="37">
        <f>IF(AH32&gt;=0.8,1,IF(AH32&gt;=0.7,0.9,IF(AH32&gt;=0.6,0.8,IF(AH32&gt;=0.5,0.7,IF(AH32&gt;=0.4,0.6,IF(AH32&gt;=0.3,0.5,IF(AH32&gt;=0.2,0.4,IF(AH32&gt;=0.1,0.3,0.2))))))))</f>
        <v/>
      </c>
      <c r="AJ32" s="37">
        <f>AI32*0.02</f>
        <v/>
      </c>
      <c r="AK32" s="37">
        <f>VLOOKUP(B32,'KPI Ticketing'!B:V,21,)</f>
        <v/>
      </c>
      <c r="AL32" s="37">
        <f>IF(AK32&gt;=0.9,1,IF(AK32&gt;=0.8,0.9,IF(AK32&gt;=0.7,0.8,IF(AK32&gt;=0.6,0.7,IF(AK32&gt;=0.5,0.6,IF(AK32&gt;=0.4,0.5,IF(AK32&gt;=0.3,0.4,IF(AK32&gt;=0.2,0.3,IF(AK32&gt;=0.1,0.2,0.1)))))))))</f>
        <v/>
      </c>
      <c r="AM32" s="37">
        <f>AL32*0.05</f>
        <v/>
      </c>
      <c r="AN32" s="37">
        <f>VLOOKUP(B32,'KPI Ticketing'!B:Z,25,)</f>
        <v/>
      </c>
      <c r="AO32" s="37">
        <f>IF(AN32&gt;=0.95,1,IF(AN32&gt;=0.9,0.9,IF(AN32&gt;=0.8,0.8,IF(AN32&gt;=0.7,0.7,IF(AN32&gt;=0.6,0.6,IF(AN32&gt;=0.5,0.5,IF(AN32&gt;=0.4,0.4,IF(AN32&gt;=0.3,0.3,IF(AN32&gt;=0.2,0.2,IF(AN32&gt;=0.1,0.1,0.05))))))))))</f>
        <v/>
      </c>
      <c r="AP32" s="37">
        <f>AO32*0.05</f>
        <v/>
      </c>
      <c r="AQ32" s="37">
        <f>VLOOKUP(B32,'KPI Ticketing'!B:AC,28,)</f>
        <v/>
      </c>
      <c r="AR32" s="37">
        <f>IF(AQ32&lt;0.95,0.5,1)</f>
        <v/>
      </c>
      <c r="AS32" s="37">
        <f>AR32*0.01</f>
        <v/>
      </c>
      <c r="AT32" s="37">
        <f>VLOOKUP(B32,'KPI Ticketing'!B:AG,32,)</f>
        <v/>
      </c>
      <c r="AU32" s="37">
        <f>IF(AT32&lt;0.3,0.5,1)</f>
        <v/>
      </c>
      <c r="AV32" s="37">
        <f>AU32*0.01</f>
        <v/>
      </c>
      <c r="AW32" s="38">
        <f>VLOOKUP(B32,'KPI Ticketing'!B:AH,33,)</f>
        <v/>
      </c>
      <c r="AX32" s="38">
        <f>VLOOKUP(B32,'KPI Ticketing'!B:AI,34,)</f>
        <v/>
      </c>
      <c r="AY32" s="38">
        <f>VLOOKUP(B32,'KPI Ticketing'!B:AJ,35,)</f>
        <v/>
      </c>
      <c r="AZ32" s="38">
        <f>VLOOKUP(B32,'KPI Ticketing'!B:AK,36,)</f>
        <v/>
      </c>
      <c r="BA32" s="38">
        <f>VLOOKUP(B32,'KPI Ticketing'!B:AL,37,)</f>
        <v/>
      </c>
      <c r="BB32" s="37">
        <f>IF(AW32&lt;=2,1,IF(AW32&lt;=3,0.7,IF(AW32&lt;=4,0.4,0.1)))</f>
        <v/>
      </c>
      <c r="BC32" s="37">
        <f>IF(AX32&lt;=4,1,IF(AX32&lt;=6,0.5,0.25))</f>
        <v/>
      </c>
      <c r="BD32" s="37">
        <f>IF(AY32&lt;=15,1,IF(AY32&lt;=22.5,0.5,0.25))</f>
        <v/>
      </c>
      <c r="BE32" s="37">
        <f>IF(AZ32&lt;=48,1,IF(AZ32&lt;=72,0.5,0.25))</f>
        <v/>
      </c>
      <c r="BF32" s="37">
        <f>IF(BA32=0, 0, IF(BA32&lt;=96, 1, IF(BA32&lt;=144, 0.5, 0.25)))</f>
        <v/>
      </c>
      <c r="BG32" s="37">
        <f>BB32*0.1</f>
        <v/>
      </c>
      <c r="BH32" s="37">
        <f>BC32*0.05</f>
        <v/>
      </c>
      <c r="BI32" s="37">
        <f>BD32*0.02</f>
        <v/>
      </c>
      <c r="BJ32" s="37">
        <f>BE32*0.01</f>
        <v/>
      </c>
      <c r="BK32" s="37">
        <f>BF32*0.01</f>
        <v/>
      </c>
      <c r="BL32" s="37">
        <f>VLOOKUP(B32,'KPI Ticketing'!B:AT,45,)</f>
        <v/>
      </c>
      <c r="BM32" s="37">
        <f>IF(BL32&gt;=0.8,1,IF(BL32&gt;=0.7,0.9,IF(BL32&gt;=0.6,0.8,IF(BL32&gt;=0.5,0.7,IF(BL32&gt;=0.4,0.6,IF(BL32&gt;=0.3,0.5,IF(BL32&gt;=0.2,0.4,IF(BL32&gt;=0.1,0.3,0.2))))))))</f>
        <v/>
      </c>
      <c r="BN32" s="37">
        <f>BM32*0.03</f>
        <v/>
      </c>
      <c r="BO32" s="37">
        <f>VLOOKUP(B32,'KPI Ticketing'!B:AX,49,)</f>
        <v/>
      </c>
      <c r="BP32" s="37">
        <f>IF(BO32&gt;=0.8,1,IF(BO32&gt;=0.7,0.9,IF(BO32&gt;=0.6,0.8,IF(BO32&gt;=0.5,0.7,IF(BO32&gt;=0.4,0.6,IF(BO32&gt;=0.3,0.5,IF(BO32&gt;=0.2,0.4,IF(BO32&gt;=0.1,0.3,0.2))))))))</f>
        <v/>
      </c>
      <c r="BQ32" s="37">
        <f>BP32*0.02</f>
        <v/>
      </c>
      <c r="BR32" s="37">
        <f>VLOOKUP(B32,'KPI Ticketing'!B:BB,53,)</f>
        <v/>
      </c>
      <c r="BS32" s="37">
        <f>IF(BR32&gt;=0.9,1,IF(BR32&gt;=0.8,0.9,IF(BR32&gt;=0.7,0.8,IF(BR32&gt;=0.6,0.7,IF(BR32&gt;=0.5,0.6,IF(BR32&gt;=0.4,0.5,IF(BR32&gt;=0.3,0.4,IF(BR32&gt;=0.2,0.3,IF(BR32&gt;=0.1,0.2,0.1)))))))))</f>
        <v/>
      </c>
      <c r="BT32" s="37">
        <f>BS32*0.05</f>
        <v/>
      </c>
      <c r="BU32" s="39" t="n">
        <v>0.08</v>
      </c>
      <c r="BV32" s="39" t="n">
        <v>0.06</v>
      </c>
      <c r="BW32" s="39" t="n">
        <v>0.09</v>
      </c>
      <c r="BX32" s="39" t="n">
        <v>0.06</v>
      </c>
    </row>
    <row r="33">
      <c r="A33" t="inlineStr">
        <is>
          <t>R06_Jawa Timur</t>
        </is>
      </c>
      <c r="B33" t="inlineStr">
        <is>
          <t>NOP JEMBER</t>
        </is>
      </c>
      <c r="C33" s="36">
        <f>RANK(D33,$D$10:$D$43,0)</f>
        <v/>
      </c>
      <c r="D33" s="37">
        <f>(G33*0.35)+(O33*65%)</f>
        <v/>
      </c>
      <c r="E33" s="36">
        <f>IF(D33&gt;=0.95,"Istimewa",IF(D33&gt;0.9,"Baik Sekali",IF(D33&gt;0.85,"Baik",IF(D33&gt;0.8,"Cukup","Kurang"))))</f>
        <v/>
      </c>
      <c r="F33" s="37">
        <f>0.29*0.65</f>
        <v/>
      </c>
      <c r="G33" s="37">
        <f>N33</f>
        <v/>
      </c>
      <c r="H33" s="37">
        <f>VLOOKUP(B33,'KPI Availability'!B:O,14,)</f>
        <v/>
      </c>
      <c r="I33" s="37">
        <f>VLOOKUP(B33,'KPI Availability'!B:P,15,)</f>
        <v/>
      </c>
      <c r="J33" s="37">
        <f>VLOOKUP(B33,'KPI Availability'!B:Q,16,)</f>
        <v/>
      </c>
      <c r="K33" s="37">
        <f>VLOOKUP(B33,'KPI Availability'!B:R,17,)</f>
        <v/>
      </c>
      <c r="L33" s="37">
        <f>VLOOKUP(B33,'KPI Availability'!B:S,18,)</f>
        <v/>
      </c>
      <c r="M33" s="37">
        <f>VLOOKUP(B33,'KPI Availability'!B:T,19,)</f>
        <v/>
      </c>
      <c r="N33" s="37">
        <f>SUM(H33:M33)</f>
        <v/>
      </c>
      <c r="O33" s="37">
        <f>P33+Q33+R33</f>
        <v/>
      </c>
      <c r="P33" s="37">
        <f>SUM(AA33:AD33,AG33,AJ33,AM33,AP33,AS33,AV33)</f>
        <v/>
      </c>
      <c r="Q33" s="37">
        <f>SUM(BG33:BK33,BN33,BQ33,BT33)</f>
        <v/>
      </c>
      <c r="R33" s="37">
        <f>SUM(BU33:BX33)</f>
        <v/>
      </c>
      <c r="S33" s="38">
        <f>VLOOKUP(B33,'KPI Ticketing'!B:C,2,)</f>
        <v/>
      </c>
      <c r="T33" s="38">
        <f>VLOOKUP(B33,'KPI Ticketing'!B:D,3,)</f>
        <v/>
      </c>
      <c r="U33" s="38">
        <f>VLOOKUP(B33,'KPI Ticketing'!B:E,4,)</f>
        <v/>
      </c>
      <c r="V33" s="38">
        <f>VLOOKUP(B33,'KPI Ticketing'!B:F,5,)</f>
        <v/>
      </c>
      <c r="W33" s="37">
        <f>IF(S33&lt;=4,100%,IF(S33&lt;=6,70%,IF(S33&lt;=8,40%,10%)))</f>
        <v/>
      </c>
      <c r="X33" s="37">
        <f>IF(T33&lt;=8,100%,IF(T33&lt;=12,50%,25%))</f>
        <v/>
      </c>
      <c r="Y33" s="37">
        <f>IF(U33&lt;=10,100%,IF(U33&lt;=15,50%,25%))</f>
        <v/>
      </c>
      <c r="Z33" s="37">
        <f>IF(V33&lt;=13,100%,IF(V33&lt;=19,50%,25%))</f>
        <v/>
      </c>
      <c r="AA33" s="37">
        <f>W33*0.13</f>
        <v/>
      </c>
      <c r="AB33" s="37">
        <f>X33*0.06</f>
        <v/>
      </c>
      <c r="AC33" s="37">
        <f>Y33*0.04</f>
        <v/>
      </c>
      <c r="AD33" s="37">
        <f>Z33*0.02</f>
        <v/>
      </c>
      <c r="AE33" s="37">
        <f>VLOOKUP(B33,'KPI Ticketing'!B:N,13,)</f>
        <v/>
      </c>
      <c r="AF33" s="37">
        <f>IF(AE33&gt;=0.8,1,IF(AE33&gt;=0.7,0.9,IF(AE33&gt;=0.6,0.8,IF(AE33&gt;=0.5,0.7,IF(AE33&gt;=0.4,0.6,IF(AE33&gt;=0.3,0.5,IF(AE33&gt;=0.2,0.4,IF(AE33&gt;=0.1,0.3,0.2))))))))</f>
        <v/>
      </c>
      <c r="AG33" s="37">
        <f>AF33*0.03</f>
        <v/>
      </c>
      <c r="AH33" s="37">
        <f>VLOOKUP(B33,'KPI Ticketing'!B:R,17,)</f>
        <v/>
      </c>
      <c r="AI33" s="37">
        <f>IF(AH33&gt;=0.8,1,IF(AH33&gt;=0.7,0.9,IF(AH33&gt;=0.6,0.8,IF(AH33&gt;=0.5,0.7,IF(AH33&gt;=0.4,0.6,IF(AH33&gt;=0.3,0.5,IF(AH33&gt;=0.2,0.4,IF(AH33&gt;=0.1,0.3,0.2))))))))</f>
        <v/>
      </c>
      <c r="AJ33" s="37">
        <f>AI33*0.02</f>
        <v/>
      </c>
      <c r="AK33" s="37">
        <f>VLOOKUP(B33,'KPI Ticketing'!B:V,21,)</f>
        <v/>
      </c>
      <c r="AL33" s="37">
        <f>IF(AK33&gt;=0.9,1,IF(AK33&gt;=0.8,0.9,IF(AK33&gt;=0.7,0.8,IF(AK33&gt;=0.6,0.7,IF(AK33&gt;=0.5,0.6,IF(AK33&gt;=0.4,0.5,IF(AK33&gt;=0.3,0.4,IF(AK33&gt;=0.2,0.3,IF(AK33&gt;=0.1,0.2,0.1)))))))))</f>
        <v/>
      </c>
      <c r="AM33" s="37">
        <f>AL33*0.05</f>
        <v/>
      </c>
      <c r="AN33" s="37">
        <f>VLOOKUP(B33,'KPI Ticketing'!B:Z,25,)</f>
        <v/>
      </c>
      <c r="AO33" s="37">
        <f>IF(AN33&gt;=0.95,1,IF(AN33&gt;=0.9,0.9,IF(AN33&gt;=0.8,0.8,IF(AN33&gt;=0.7,0.7,IF(AN33&gt;=0.6,0.6,IF(AN33&gt;=0.5,0.5,IF(AN33&gt;=0.4,0.4,IF(AN33&gt;=0.3,0.3,IF(AN33&gt;=0.2,0.2,IF(AN33&gt;=0.1,0.1,0.05))))))))))</f>
        <v/>
      </c>
      <c r="AP33" s="37">
        <f>AO33*0.05</f>
        <v/>
      </c>
      <c r="AQ33" s="37">
        <f>VLOOKUP(B33,'KPI Ticketing'!B:AC,28,)</f>
        <v/>
      </c>
      <c r="AR33" s="37">
        <f>IF(AQ33&lt;0.95,0.5,1)</f>
        <v/>
      </c>
      <c r="AS33" s="37">
        <f>AR33*0.01</f>
        <v/>
      </c>
      <c r="AT33" s="37">
        <f>VLOOKUP(B33,'KPI Ticketing'!B:AG,32,)</f>
        <v/>
      </c>
      <c r="AU33" s="37">
        <f>IF(AT33&lt;0.3,0.5,1)</f>
        <v/>
      </c>
      <c r="AV33" s="37">
        <f>AU33*0.01</f>
        <v/>
      </c>
      <c r="AW33" s="38">
        <f>VLOOKUP(B33,'KPI Ticketing'!B:AH,33,)</f>
        <v/>
      </c>
      <c r="AX33" s="38">
        <f>VLOOKUP(B33,'KPI Ticketing'!B:AI,34,)</f>
        <v/>
      </c>
      <c r="AY33" s="38">
        <f>VLOOKUP(B33,'KPI Ticketing'!B:AJ,35,)</f>
        <v/>
      </c>
      <c r="AZ33" s="38">
        <f>VLOOKUP(B33,'KPI Ticketing'!B:AK,36,)</f>
        <v/>
      </c>
      <c r="BA33" s="38">
        <f>VLOOKUP(B33,'KPI Ticketing'!B:AL,37,)</f>
        <v/>
      </c>
      <c r="BB33" s="37">
        <f>IF(AW33&lt;=2,1,IF(AW33&lt;=3,0.7,IF(AW33&lt;=4,0.4,0.1)))</f>
        <v/>
      </c>
      <c r="BC33" s="37">
        <f>IF(AX33&lt;=4,1,IF(AX33&lt;=6,0.5,0.25))</f>
        <v/>
      </c>
      <c r="BD33" s="37">
        <f>IF(AY33&lt;=15,1,IF(AY33&lt;=22.5,0.5,0.25))</f>
        <v/>
      </c>
      <c r="BE33" s="37">
        <f>IF(AZ33&lt;=48,1,IF(AZ33&lt;=72,0.5,0.25))</f>
        <v/>
      </c>
      <c r="BF33" s="37">
        <f>IF(BA33=0, 0, IF(BA33&lt;=96, 1, IF(BA33&lt;=144, 0.5, 0.25)))</f>
        <v/>
      </c>
      <c r="BG33" s="37">
        <f>BB33*0.1</f>
        <v/>
      </c>
      <c r="BH33" s="37">
        <f>BC33*0.05</f>
        <v/>
      </c>
      <c r="BI33" s="37">
        <f>BD33*0.02</f>
        <v/>
      </c>
      <c r="BJ33" s="37">
        <f>BE33*0.01</f>
        <v/>
      </c>
      <c r="BK33" s="37">
        <f>BF33*0.01</f>
        <v/>
      </c>
      <c r="BL33" s="37">
        <f>VLOOKUP(B33,'KPI Ticketing'!B:AT,45,)</f>
        <v/>
      </c>
      <c r="BM33" s="37">
        <f>IF(BL33&gt;=0.8,1,IF(BL33&gt;=0.7,0.9,IF(BL33&gt;=0.6,0.8,IF(BL33&gt;=0.5,0.7,IF(BL33&gt;=0.4,0.6,IF(BL33&gt;=0.3,0.5,IF(BL33&gt;=0.2,0.4,IF(BL33&gt;=0.1,0.3,0.2))))))))</f>
        <v/>
      </c>
      <c r="BN33" s="37">
        <f>BM33*0.03</f>
        <v/>
      </c>
      <c r="BO33" s="37">
        <f>VLOOKUP(B33,'KPI Ticketing'!B:AX,49,)</f>
        <v/>
      </c>
      <c r="BP33" s="37">
        <f>IF(BO33&gt;=0.8,1,IF(BO33&gt;=0.7,0.9,IF(BO33&gt;=0.6,0.8,IF(BO33&gt;=0.5,0.7,IF(BO33&gt;=0.4,0.6,IF(BO33&gt;=0.3,0.5,IF(BO33&gt;=0.2,0.4,IF(BO33&gt;=0.1,0.3,0.2))))))))</f>
        <v/>
      </c>
      <c r="BQ33" s="37">
        <f>BP33*0.02</f>
        <v/>
      </c>
      <c r="BR33" s="37">
        <f>VLOOKUP(B33,'KPI Ticketing'!B:BB,53,)</f>
        <v/>
      </c>
      <c r="BS33" s="37">
        <f>IF(BR33&gt;=0.9,1,IF(BR33&gt;=0.8,0.9,IF(BR33&gt;=0.7,0.8,IF(BR33&gt;=0.6,0.7,IF(BR33&gt;=0.5,0.6,IF(BR33&gt;=0.4,0.5,IF(BR33&gt;=0.3,0.4,IF(BR33&gt;=0.2,0.3,IF(BR33&gt;=0.1,0.2,0.1)))))))))</f>
        <v/>
      </c>
      <c r="BT33" s="37">
        <f>BS33*0.05</f>
        <v/>
      </c>
      <c r="BU33" s="39" t="n">
        <v>0.08</v>
      </c>
      <c r="BV33" s="39" t="n">
        <v>0.06</v>
      </c>
      <c r="BW33" s="39" t="n">
        <v>0.09</v>
      </c>
      <c r="BX33" s="39" t="n">
        <v>0.06</v>
      </c>
    </row>
    <row r="34">
      <c r="A34" t="inlineStr">
        <is>
          <t>R06_Jawa Timur</t>
        </is>
      </c>
      <c r="B34" t="inlineStr">
        <is>
          <t>NOP KEDIRI</t>
        </is>
      </c>
      <c r="C34" s="36">
        <f>RANK(D34,$D$10:$D$43,0)</f>
        <v/>
      </c>
      <c r="D34" s="37">
        <f>(G34*0.35)+(O34*65%)</f>
        <v/>
      </c>
      <c r="E34" s="36">
        <f>IF(D34&gt;=0.95,"Istimewa",IF(D34&gt;0.9,"Baik Sekali",IF(D34&gt;0.85,"Baik",IF(D34&gt;0.8,"Cukup","Kurang"))))</f>
        <v/>
      </c>
      <c r="F34" s="37">
        <f>0.29*0.65</f>
        <v/>
      </c>
      <c r="G34" s="37">
        <f>N34</f>
        <v/>
      </c>
      <c r="H34" s="37">
        <f>VLOOKUP(B34,'KPI Availability'!B:O,14,)</f>
        <v/>
      </c>
      <c r="I34" s="37">
        <f>VLOOKUP(B34,'KPI Availability'!B:P,15,)</f>
        <v/>
      </c>
      <c r="J34" s="37">
        <f>VLOOKUP(B34,'KPI Availability'!B:Q,16,)</f>
        <v/>
      </c>
      <c r="K34" s="37">
        <f>VLOOKUP(B34,'KPI Availability'!B:R,17,)</f>
        <v/>
      </c>
      <c r="L34" s="37">
        <f>VLOOKUP(B34,'KPI Availability'!B:S,18,)</f>
        <v/>
      </c>
      <c r="M34" s="37">
        <f>VLOOKUP(B34,'KPI Availability'!B:T,19,)</f>
        <v/>
      </c>
      <c r="N34" s="37">
        <f>SUM(H34:M34)</f>
        <v/>
      </c>
      <c r="O34" s="37">
        <f>P34+Q34+R34</f>
        <v/>
      </c>
      <c r="P34" s="37">
        <f>SUM(AA34:AD34,AG34,AJ34,AM34,AP34,AS34,AV34)</f>
        <v/>
      </c>
      <c r="Q34" s="37">
        <f>SUM(BG34:BK34,BN34,BQ34,BT34)</f>
        <v/>
      </c>
      <c r="R34" s="37">
        <f>SUM(BU34:BX34)</f>
        <v/>
      </c>
      <c r="S34" s="38">
        <f>VLOOKUP(B34,'KPI Ticketing'!B:C,2,)</f>
        <v/>
      </c>
      <c r="T34" s="38">
        <f>VLOOKUP(B34,'KPI Ticketing'!B:D,3,)</f>
        <v/>
      </c>
      <c r="U34" s="38">
        <f>VLOOKUP(B34,'KPI Ticketing'!B:E,4,)</f>
        <v/>
      </c>
      <c r="V34" s="38">
        <f>VLOOKUP(B34,'KPI Ticketing'!B:F,5,)</f>
        <v/>
      </c>
      <c r="W34" s="37">
        <f>IF(S34&lt;=4,100%,IF(S34&lt;=6,70%,IF(S34&lt;=8,40%,10%)))</f>
        <v/>
      </c>
      <c r="X34" s="37">
        <f>IF(T34&lt;=8,100%,IF(T34&lt;=12,50%,25%))</f>
        <v/>
      </c>
      <c r="Y34" s="37">
        <f>IF(U34&lt;=10,100%,IF(U34&lt;=15,50%,25%))</f>
        <v/>
      </c>
      <c r="Z34" s="37">
        <f>IF(V34&lt;=13,100%,IF(V34&lt;=19,50%,25%))</f>
        <v/>
      </c>
      <c r="AA34" s="37">
        <f>W34*0.13</f>
        <v/>
      </c>
      <c r="AB34" s="37">
        <f>X34*0.06</f>
        <v/>
      </c>
      <c r="AC34" s="37">
        <f>Y34*0.04</f>
        <v/>
      </c>
      <c r="AD34" s="37">
        <f>Z34*0.02</f>
        <v/>
      </c>
      <c r="AE34" s="37">
        <f>VLOOKUP(B34,'KPI Ticketing'!B:N,13,)</f>
        <v/>
      </c>
      <c r="AF34" s="37">
        <f>IF(AE34&gt;=0.8,1,IF(AE34&gt;=0.7,0.9,IF(AE34&gt;=0.6,0.8,IF(AE34&gt;=0.5,0.7,IF(AE34&gt;=0.4,0.6,IF(AE34&gt;=0.3,0.5,IF(AE34&gt;=0.2,0.4,IF(AE34&gt;=0.1,0.3,0.2))))))))</f>
        <v/>
      </c>
      <c r="AG34" s="37">
        <f>AF34*0.03</f>
        <v/>
      </c>
      <c r="AH34" s="37">
        <f>VLOOKUP(B34,'KPI Ticketing'!B:R,17,)</f>
        <v/>
      </c>
      <c r="AI34" s="37">
        <f>IF(AH34&gt;=0.8,1,IF(AH34&gt;=0.7,0.9,IF(AH34&gt;=0.6,0.8,IF(AH34&gt;=0.5,0.7,IF(AH34&gt;=0.4,0.6,IF(AH34&gt;=0.3,0.5,IF(AH34&gt;=0.2,0.4,IF(AH34&gt;=0.1,0.3,0.2))))))))</f>
        <v/>
      </c>
      <c r="AJ34" s="37">
        <f>AI34*0.02</f>
        <v/>
      </c>
      <c r="AK34" s="37">
        <f>VLOOKUP(B34,'KPI Ticketing'!B:V,21,)</f>
        <v/>
      </c>
      <c r="AL34" s="37">
        <f>IF(AK34&gt;=0.9,1,IF(AK34&gt;=0.8,0.9,IF(AK34&gt;=0.7,0.8,IF(AK34&gt;=0.6,0.7,IF(AK34&gt;=0.5,0.6,IF(AK34&gt;=0.4,0.5,IF(AK34&gt;=0.3,0.4,IF(AK34&gt;=0.2,0.3,IF(AK34&gt;=0.1,0.2,0.1)))))))))</f>
        <v/>
      </c>
      <c r="AM34" s="37">
        <f>AL34*0.05</f>
        <v/>
      </c>
      <c r="AN34" s="37">
        <f>VLOOKUP(B34,'KPI Ticketing'!B:Z,25,)</f>
        <v/>
      </c>
      <c r="AO34" s="37">
        <f>IF(AN34&gt;=0.95,1,IF(AN34&gt;=0.9,0.9,IF(AN34&gt;=0.8,0.8,IF(AN34&gt;=0.7,0.7,IF(AN34&gt;=0.6,0.6,IF(AN34&gt;=0.5,0.5,IF(AN34&gt;=0.4,0.4,IF(AN34&gt;=0.3,0.3,IF(AN34&gt;=0.2,0.2,IF(AN34&gt;=0.1,0.1,0.05))))))))))</f>
        <v/>
      </c>
      <c r="AP34" s="37">
        <f>AO34*0.05</f>
        <v/>
      </c>
      <c r="AQ34" s="37">
        <f>VLOOKUP(B34,'KPI Ticketing'!B:AC,28,)</f>
        <v/>
      </c>
      <c r="AR34" s="37">
        <f>IF(AQ34&lt;0.95,0.5,1)</f>
        <v/>
      </c>
      <c r="AS34" s="37">
        <f>AR34*0.01</f>
        <v/>
      </c>
      <c r="AT34" s="37">
        <f>VLOOKUP(B34,'KPI Ticketing'!B:AG,32,)</f>
        <v/>
      </c>
      <c r="AU34" s="37">
        <f>IF(AT34&lt;0.3,0.5,1)</f>
        <v/>
      </c>
      <c r="AV34" s="37">
        <f>AU34*0.01</f>
        <v/>
      </c>
      <c r="AW34" s="38">
        <f>VLOOKUP(B34,'KPI Ticketing'!B:AH,33,)</f>
        <v/>
      </c>
      <c r="AX34" s="38">
        <f>VLOOKUP(B34,'KPI Ticketing'!B:AI,34,)</f>
        <v/>
      </c>
      <c r="AY34" s="38">
        <f>VLOOKUP(B34,'KPI Ticketing'!B:AJ,35,)</f>
        <v/>
      </c>
      <c r="AZ34" s="38">
        <f>VLOOKUP(B34,'KPI Ticketing'!B:AK,36,)</f>
        <v/>
      </c>
      <c r="BA34" s="38">
        <f>VLOOKUP(B34,'KPI Ticketing'!B:AL,37,)</f>
        <v/>
      </c>
      <c r="BB34" s="37">
        <f>IF(AW34&lt;=2,1,IF(AW34&lt;=3,0.7,IF(AW34&lt;=4,0.4,0.1)))</f>
        <v/>
      </c>
      <c r="BC34" s="37">
        <f>IF(AX34&lt;=4,1,IF(AX34&lt;=6,0.5,0.25))</f>
        <v/>
      </c>
      <c r="BD34" s="37">
        <f>IF(AY34&lt;=15,1,IF(AY34&lt;=22.5,0.5,0.25))</f>
        <v/>
      </c>
      <c r="BE34" s="37">
        <f>IF(AZ34&lt;=48,1,IF(AZ34&lt;=72,0.5,0.25))</f>
        <v/>
      </c>
      <c r="BF34" s="37">
        <f>IF(BA34=0, 0, IF(BA34&lt;=96, 1, IF(BA34&lt;=144, 0.5, 0.25)))</f>
        <v/>
      </c>
      <c r="BG34" s="37">
        <f>BB34*0.1</f>
        <v/>
      </c>
      <c r="BH34" s="37">
        <f>BC34*0.05</f>
        <v/>
      </c>
      <c r="BI34" s="37">
        <f>BD34*0.02</f>
        <v/>
      </c>
      <c r="BJ34" s="37">
        <f>BE34*0.01</f>
        <v/>
      </c>
      <c r="BK34" s="37">
        <f>BF34*0.01</f>
        <v/>
      </c>
      <c r="BL34" s="37">
        <f>VLOOKUP(B34,'KPI Ticketing'!B:AT,45,)</f>
        <v/>
      </c>
      <c r="BM34" s="37">
        <f>IF(BL34&gt;=0.8,1,IF(BL34&gt;=0.7,0.9,IF(BL34&gt;=0.6,0.8,IF(BL34&gt;=0.5,0.7,IF(BL34&gt;=0.4,0.6,IF(BL34&gt;=0.3,0.5,IF(BL34&gt;=0.2,0.4,IF(BL34&gt;=0.1,0.3,0.2))))))))</f>
        <v/>
      </c>
      <c r="BN34" s="37">
        <f>BM34*0.03</f>
        <v/>
      </c>
      <c r="BO34" s="37">
        <f>VLOOKUP(B34,'KPI Ticketing'!B:AX,49,)</f>
        <v/>
      </c>
      <c r="BP34" s="37">
        <f>IF(BO34&gt;=0.8,1,IF(BO34&gt;=0.7,0.9,IF(BO34&gt;=0.6,0.8,IF(BO34&gt;=0.5,0.7,IF(BO34&gt;=0.4,0.6,IF(BO34&gt;=0.3,0.5,IF(BO34&gt;=0.2,0.4,IF(BO34&gt;=0.1,0.3,0.2))))))))</f>
        <v/>
      </c>
      <c r="BQ34" s="37">
        <f>BP34*0.02</f>
        <v/>
      </c>
      <c r="BR34" s="37">
        <f>VLOOKUP(B34,'KPI Ticketing'!B:BB,53,)</f>
        <v/>
      </c>
      <c r="BS34" s="37">
        <f>IF(BR34&gt;=0.9,1,IF(BR34&gt;=0.8,0.9,IF(BR34&gt;=0.7,0.8,IF(BR34&gt;=0.6,0.7,IF(BR34&gt;=0.5,0.6,IF(BR34&gt;=0.4,0.5,IF(BR34&gt;=0.3,0.4,IF(BR34&gt;=0.2,0.3,IF(BR34&gt;=0.1,0.2,0.1)))))))))</f>
        <v/>
      </c>
      <c r="BT34" s="37">
        <f>BS34*0.05</f>
        <v/>
      </c>
      <c r="BU34" s="39" t="n">
        <v>0.08</v>
      </c>
      <c r="BV34" s="39" t="n">
        <v>0.06</v>
      </c>
      <c r="BW34" s="39" t="n">
        <v>0.09</v>
      </c>
      <c r="BX34" s="39" t="n">
        <v>0.06</v>
      </c>
    </row>
    <row r="35">
      <c r="A35" t="inlineStr">
        <is>
          <t>R06_Jawa Timur</t>
        </is>
      </c>
      <c r="B35" t="inlineStr">
        <is>
          <t>NOP LAMONGAN</t>
        </is>
      </c>
      <c r="C35" s="36">
        <f>RANK(D35,$D$10:$D$43,0)</f>
        <v/>
      </c>
      <c r="D35" s="37">
        <f>(G35*0.35)+(O35*65%)</f>
        <v/>
      </c>
      <c r="E35" s="36">
        <f>IF(D35&gt;=0.95,"Istimewa",IF(D35&gt;0.9,"Baik Sekali",IF(D35&gt;0.85,"Baik",IF(D35&gt;0.8,"Cukup","Kurang"))))</f>
        <v/>
      </c>
      <c r="F35" s="37">
        <f>0.29*0.65</f>
        <v/>
      </c>
      <c r="G35" s="37">
        <f>N35</f>
        <v/>
      </c>
      <c r="H35" s="37">
        <f>VLOOKUP(B35,'KPI Availability'!B:O,14,)</f>
        <v/>
      </c>
      <c r="I35" s="37">
        <f>VLOOKUP(B35,'KPI Availability'!B:P,15,)</f>
        <v/>
      </c>
      <c r="J35" s="37">
        <f>VLOOKUP(B35,'KPI Availability'!B:Q,16,)</f>
        <v/>
      </c>
      <c r="K35" s="37">
        <f>VLOOKUP(B35,'KPI Availability'!B:R,17,)</f>
        <v/>
      </c>
      <c r="L35" s="37">
        <f>VLOOKUP(B35,'KPI Availability'!B:S,18,)</f>
        <v/>
      </c>
      <c r="M35" s="37">
        <f>VLOOKUP(B35,'KPI Availability'!B:T,19,)</f>
        <v/>
      </c>
      <c r="N35" s="37">
        <f>SUM(H35:M35)</f>
        <v/>
      </c>
      <c r="O35" s="37">
        <f>P35+Q35+R35</f>
        <v/>
      </c>
      <c r="P35" s="37">
        <f>SUM(AA35:AD35,AG35,AJ35,AM35,AP35,AS35,AV35)</f>
        <v/>
      </c>
      <c r="Q35" s="37">
        <f>SUM(BG35:BK35,BN35,BQ35,BT35)</f>
        <v/>
      </c>
      <c r="R35" s="37">
        <f>SUM(BU35:BX35)</f>
        <v/>
      </c>
      <c r="S35" s="38">
        <f>VLOOKUP(B35,'KPI Ticketing'!B:C,2,)</f>
        <v/>
      </c>
      <c r="T35" s="38">
        <f>VLOOKUP(B35,'KPI Ticketing'!B:D,3,)</f>
        <v/>
      </c>
      <c r="U35" s="38">
        <f>VLOOKUP(B35,'KPI Ticketing'!B:E,4,)</f>
        <v/>
      </c>
      <c r="V35" s="38">
        <f>VLOOKUP(B35,'KPI Ticketing'!B:F,5,)</f>
        <v/>
      </c>
      <c r="W35" s="37">
        <f>IF(S35&lt;=4,100%,IF(S35&lt;=6,70%,IF(S35&lt;=8,40%,10%)))</f>
        <v/>
      </c>
      <c r="X35" s="37">
        <f>IF(T35&lt;=8,100%,IF(T35&lt;=12,50%,25%))</f>
        <v/>
      </c>
      <c r="Y35" s="37">
        <f>IF(U35&lt;=10,100%,IF(U35&lt;=15,50%,25%))</f>
        <v/>
      </c>
      <c r="Z35" s="37">
        <f>IF(V35&lt;=13,100%,IF(V35&lt;=19,50%,25%))</f>
        <v/>
      </c>
      <c r="AA35" s="37">
        <f>W35*0.13</f>
        <v/>
      </c>
      <c r="AB35" s="37">
        <f>X35*0.06</f>
        <v/>
      </c>
      <c r="AC35" s="37">
        <f>Y35*0.04</f>
        <v/>
      </c>
      <c r="AD35" s="37">
        <f>Z35*0.02</f>
        <v/>
      </c>
      <c r="AE35" s="37">
        <f>VLOOKUP(B35,'KPI Ticketing'!B:N,13,)</f>
        <v/>
      </c>
      <c r="AF35" s="37">
        <f>IF(AE35&gt;=0.8,1,IF(AE35&gt;=0.7,0.9,IF(AE35&gt;=0.6,0.8,IF(AE35&gt;=0.5,0.7,IF(AE35&gt;=0.4,0.6,IF(AE35&gt;=0.3,0.5,IF(AE35&gt;=0.2,0.4,IF(AE35&gt;=0.1,0.3,0.2))))))))</f>
        <v/>
      </c>
      <c r="AG35" s="37">
        <f>AF35*0.03</f>
        <v/>
      </c>
      <c r="AH35" s="37">
        <f>VLOOKUP(B35,'KPI Ticketing'!B:R,17,)</f>
        <v/>
      </c>
      <c r="AI35" s="37">
        <f>IF(AH35&gt;=0.8,1,IF(AH35&gt;=0.7,0.9,IF(AH35&gt;=0.6,0.8,IF(AH35&gt;=0.5,0.7,IF(AH35&gt;=0.4,0.6,IF(AH35&gt;=0.3,0.5,IF(AH35&gt;=0.2,0.4,IF(AH35&gt;=0.1,0.3,0.2))))))))</f>
        <v/>
      </c>
      <c r="AJ35" s="37">
        <f>AI35*0.02</f>
        <v/>
      </c>
      <c r="AK35" s="37">
        <f>VLOOKUP(B35,'KPI Ticketing'!B:V,21,)</f>
        <v/>
      </c>
      <c r="AL35" s="37">
        <f>IF(AK35&gt;=0.9,1,IF(AK35&gt;=0.8,0.9,IF(AK35&gt;=0.7,0.8,IF(AK35&gt;=0.6,0.7,IF(AK35&gt;=0.5,0.6,IF(AK35&gt;=0.4,0.5,IF(AK35&gt;=0.3,0.4,IF(AK35&gt;=0.2,0.3,IF(AK35&gt;=0.1,0.2,0.1)))))))))</f>
        <v/>
      </c>
      <c r="AM35" s="37">
        <f>AL35*0.05</f>
        <v/>
      </c>
      <c r="AN35" s="37">
        <f>VLOOKUP(B35,'KPI Ticketing'!B:Z,25,)</f>
        <v/>
      </c>
      <c r="AO35" s="37">
        <f>IF(AN35&gt;=0.95,1,IF(AN35&gt;=0.9,0.9,IF(AN35&gt;=0.8,0.8,IF(AN35&gt;=0.7,0.7,IF(AN35&gt;=0.6,0.6,IF(AN35&gt;=0.5,0.5,IF(AN35&gt;=0.4,0.4,IF(AN35&gt;=0.3,0.3,IF(AN35&gt;=0.2,0.2,IF(AN35&gt;=0.1,0.1,0.05))))))))))</f>
        <v/>
      </c>
      <c r="AP35" s="37">
        <f>AO35*0.05</f>
        <v/>
      </c>
      <c r="AQ35" s="37">
        <f>VLOOKUP(B35,'KPI Ticketing'!B:AC,28,)</f>
        <v/>
      </c>
      <c r="AR35" s="37">
        <f>IF(AQ35&lt;0.95,0.5,1)</f>
        <v/>
      </c>
      <c r="AS35" s="37">
        <f>AR35*0.01</f>
        <v/>
      </c>
      <c r="AT35" s="37">
        <f>VLOOKUP(B35,'KPI Ticketing'!B:AG,32,)</f>
        <v/>
      </c>
      <c r="AU35" s="37">
        <f>IF(AT35&lt;0.3,0.5,1)</f>
        <v/>
      </c>
      <c r="AV35" s="37">
        <f>AU35*0.01</f>
        <v/>
      </c>
      <c r="AW35" s="38">
        <f>VLOOKUP(B35,'KPI Ticketing'!B:AH,33,)</f>
        <v/>
      </c>
      <c r="AX35" s="38">
        <f>VLOOKUP(B35,'KPI Ticketing'!B:AI,34,)</f>
        <v/>
      </c>
      <c r="AY35" s="38">
        <f>VLOOKUP(B35,'KPI Ticketing'!B:AJ,35,)</f>
        <v/>
      </c>
      <c r="AZ35" s="38">
        <f>VLOOKUP(B35,'KPI Ticketing'!B:AK,36,)</f>
        <v/>
      </c>
      <c r="BA35" s="38">
        <f>VLOOKUP(B35,'KPI Ticketing'!B:AL,37,)</f>
        <v/>
      </c>
      <c r="BB35" s="37">
        <f>IF(AW35&lt;=2,1,IF(AW35&lt;=3,0.7,IF(AW35&lt;=4,0.4,0.1)))</f>
        <v/>
      </c>
      <c r="BC35" s="37">
        <f>IF(AX35&lt;=4,1,IF(AX35&lt;=6,0.5,0.25))</f>
        <v/>
      </c>
      <c r="BD35" s="37">
        <f>IF(AY35&lt;=15,1,IF(AY35&lt;=22.5,0.5,0.25))</f>
        <v/>
      </c>
      <c r="BE35" s="37">
        <f>IF(AZ35&lt;=48,1,IF(AZ35&lt;=72,0.5,0.25))</f>
        <v/>
      </c>
      <c r="BF35" s="37">
        <f>IF(BA35=0, 0, IF(BA35&lt;=96, 1, IF(BA35&lt;=144, 0.5, 0.25)))</f>
        <v/>
      </c>
      <c r="BG35" s="37">
        <f>BB35*0.1</f>
        <v/>
      </c>
      <c r="BH35" s="37">
        <f>BC35*0.05</f>
        <v/>
      </c>
      <c r="BI35" s="37">
        <f>BD35*0.02</f>
        <v/>
      </c>
      <c r="BJ35" s="37">
        <f>BE35*0.01</f>
        <v/>
      </c>
      <c r="BK35" s="37">
        <f>BF35*0.01</f>
        <v/>
      </c>
      <c r="BL35" s="37">
        <f>VLOOKUP(B35,'KPI Ticketing'!B:AT,45,)</f>
        <v/>
      </c>
      <c r="BM35" s="37">
        <f>IF(BL35&gt;=0.8,1,IF(BL35&gt;=0.7,0.9,IF(BL35&gt;=0.6,0.8,IF(BL35&gt;=0.5,0.7,IF(BL35&gt;=0.4,0.6,IF(BL35&gt;=0.3,0.5,IF(BL35&gt;=0.2,0.4,IF(BL35&gt;=0.1,0.3,0.2))))))))</f>
        <v/>
      </c>
      <c r="BN35" s="37">
        <f>BM35*0.03</f>
        <v/>
      </c>
      <c r="BO35" s="37">
        <f>VLOOKUP(B35,'KPI Ticketing'!B:AX,49,)</f>
        <v/>
      </c>
      <c r="BP35" s="37">
        <f>IF(BO35&gt;=0.8,1,IF(BO35&gt;=0.7,0.9,IF(BO35&gt;=0.6,0.8,IF(BO35&gt;=0.5,0.7,IF(BO35&gt;=0.4,0.6,IF(BO35&gt;=0.3,0.5,IF(BO35&gt;=0.2,0.4,IF(BO35&gt;=0.1,0.3,0.2))))))))</f>
        <v/>
      </c>
      <c r="BQ35" s="37">
        <f>BP35*0.02</f>
        <v/>
      </c>
      <c r="BR35" s="37">
        <f>VLOOKUP(B35,'KPI Ticketing'!B:BB,53,)</f>
        <v/>
      </c>
      <c r="BS35" s="37">
        <f>IF(BR35&gt;=0.9,1,IF(BR35&gt;=0.8,0.9,IF(BR35&gt;=0.7,0.8,IF(BR35&gt;=0.6,0.7,IF(BR35&gt;=0.5,0.6,IF(BR35&gt;=0.4,0.5,IF(BR35&gt;=0.3,0.4,IF(BR35&gt;=0.2,0.3,IF(BR35&gt;=0.1,0.2,0.1)))))))))</f>
        <v/>
      </c>
      <c r="BT35" s="37">
        <f>BS35*0.05</f>
        <v/>
      </c>
      <c r="BU35" s="39" t="n">
        <v>0.08</v>
      </c>
      <c r="BV35" s="39" t="n">
        <v>0.06</v>
      </c>
      <c r="BW35" s="39" t="n">
        <v>0.09</v>
      </c>
      <c r="BX35" s="39" t="n">
        <v>0.06</v>
      </c>
    </row>
    <row r="36">
      <c r="A36" t="inlineStr">
        <is>
          <t>R06_Jawa Timur</t>
        </is>
      </c>
      <c r="B36" t="inlineStr">
        <is>
          <t>NOP MADIUN</t>
        </is>
      </c>
      <c r="C36" s="36">
        <f>RANK(D36,$D$10:$D$43,0)</f>
        <v/>
      </c>
      <c r="D36" s="37">
        <f>(G36*0.35)+(O36*65%)</f>
        <v/>
      </c>
      <c r="E36" s="36">
        <f>IF(D36&gt;=0.95,"Istimewa",IF(D36&gt;0.9,"Baik Sekali",IF(D36&gt;0.85,"Baik",IF(D36&gt;0.8,"Cukup","Kurang"))))</f>
        <v/>
      </c>
      <c r="F36" s="37">
        <f>0.29*0.65</f>
        <v/>
      </c>
      <c r="G36" s="37">
        <f>N36</f>
        <v/>
      </c>
      <c r="H36" s="37">
        <f>VLOOKUP(B36,'KPI Availability'!B:O,14,)</f>
        <v/>
      </c>
      <c r="I36" s="37">
        <f>VLOOKUP(B36,'KPI Availability'!B:P,15,)</f>
        <v/>
      </c>
      <c r="J36" s="37">
        <f>VLOOKUP(B36,'KPI Availability'!B:Q,16,)</f>
        <v/>
      </c>
      <c r="K36" s="37">
        <f>VLOOKUP(B36,'KPI Availability'!B:R,17,)</f>
        <v/>
      </c>
      <c r="L36" s="37">
        <f>VLOOKUP(B36,'KPI Availability'!B:S,18,)</f>
        <v/>
      </c>
      <c r="M36" s="37">
        <f>VLOOKUP(B36,'KPI Availability'!B:T,19,)</f>
        <v/>
      </c>
      <c r="N36" s="37">
        <f>SUM(H36:M36)</f>
        <v/>
      </c>
      <c r="O36" s="37">
        <f>P36+Q36+R36</f>
        <v/>
      </c>
      <c r="P36" s="37">
        <f>SUM(AA36:AD36,AG36,AJ36,AM36,AP36,AS36,AV36)</f>
        <v/>
      </c>
      <c r="Q36" s="37">
        <f>SUM(BG36:BK36,BN36,BQ36,BT36)</f>
        <v/>
      </c>
      <c r="R36" s="37">
        <f>SUM(BU36:BX36)</f>
        <v/>
      </c>
      <c r="S36" s="38">
        <f>VLOOKUP(B36,'KPI Ticketing'!B:C,2,)</f>
        <v/>
      </c>
      <c r="T36" s="38">
        <f>VLOOKUP(B36,'KPI Ticketing'!B:D,3,)</f>
        <v/>
      </c>
      <c r="U36" s="38">
        <f>VLOOKUP(B36,'KPI Ticketing'!B:E,4,)</f>
        <v/>
      </c>
      <c r="V36" s="38">
        <f>VLOOKUP(B36,'KPI Ticketing'!B:F,5,)</f>
        <v/>
      </c>
      <c r="W36" s="37">
        <f>IF(S36&lt;=4,100%,IF(S36&lt;=6,70%,IF(S36&lt;=8,40%,10%)))</f>
        <v/>
      </c>
      <c r="X36" s="37">
        <f>IF(T36&lt;=8,100%,IF(T36&lt;=12,50%,25%))</f>
        <v/>
      </c>
      <c r="Y36" s="37">
        <f>IF(U36&lt;=10,100%,IF(U36&lt;=15,50%,25%))</f>
        <v/>
      </c>
      <c r="Z36" s="37">
        <f>IF(V36&lt;=13,100%,IF(V36&lt;=19,50%,25%))</f>
        <v/>
      </c>
      <c r="AA36" s="37">
        <f>W36*0.13</f>
        <v/>
      </c>
      <c r="AB36" s="37">
        <f>X36*0.06</f>
        <v/>
      </c>
      <c r="AC36" s="37">
        <f>Y36*0.04</f>
        <v/>
      </c>
      <c r="AD36" s="37">
        <f>Z36*0.02</f>
        <v/>
      </c>
      <c r="AE36" s="37">
        <f>VLOOKUP(B36,'KPI Ticketing'!B:N,13,)</f>
        <v/>
      </c>
      <c r="AF36" s="37">
        <f>IF(AE36&gt;=0.8,1,IF(AE36&gt;=0.7,0.9,IF(AE36&gt;=0.6,0.8,IF(AE36&gt;=0.5,0.7,IF(AE36&gt;=0.4,0.6,IF(AE36&gt;=0.3,0.5,IF(AE36&gt;=0.2,0.4,IF(AE36&gt;=0.1,0.3,0.2))))))))</f>
        <v/>
      </c>
      <c r="AG36" s="37">
        <f>AF36*0.03</f>
        <v/>
      </c>
      <c r="AH36" s="37">
        <f>VLOOKUP(B36,'KPI Ticketing'!B:R,17,)</f>
        <v/>
      </c>
      <c r="AI36" s="37">
        <f>IF(AH36&gt;=0.8,1,IF(AH36&gt;=0.7,0.9,IF(AH36&gt;=0.6,0.8,IF(AH36&gt;=0.5,0.7,IF(AH36&gt;=0.4,0.6,IF(AH36&gt;=0.3,0.5,IF(AH36&gt;=0.2,0.4,IF(AH36&gt;=0.1,0.3,0.2))))))))</f>
        <v/>
      </c>
      <c r="AJ36" s="37">
        <f>AI36*0.02</f>
        <v/>
      </c>
      <c r="AK36" s="37">
        <f>VLOOKUP(B36,'KPI Ticketing'!B:V,21,)</f>
        <v/>
      </c>
      <c r="AL36" s="37">
        <f>IF(AK36&gt;=0.9,1,IF(AK36&gt;=0.8,0.9,IF(AK36&gt;=0.7,0.8,IF(AK36&gt;=0.6,0.7,IF(AK36&gt;=0.5,0.6,IF(AK36&gt;=0.4,0.5,IF(AK36&gt;=0.3,0.4,IF(AK36&gt;=0.2,0.3,IF(AK36&gt;=0.1,0.2,0.1)))))))))</f>
        <v/>
      </c>
      <c r="AM36" s="37">
        <f>AL36*0.05</f>
        <v/>
      </c>
      <c r="AN36" s="37">
        <f>VLOOKUP(B36,'KPI Ticketing'!B:Z,25,)</f>
        <v/>
      </c>
      <c r="AO36" s="37">
        <f>IF(AN36&gt;=0.95,1,IF(AN36&gt;=0.9,0.9,IF(AN36&gt;=0.8,0.8,IF(AN36&gt;=0.7,0.7,IF(AN36&gt;=0.6,0.6,IF(AN36&gt;=0.5,0.5,IF(AN36&gt;=0.4,0.4,IF(AN36&gt;=0.3,0.3,IF(AN36&gt;=0.2,0.2,IF(AN36&gt;=0.1,0.1,0.05))))))))))</f>
        <v/>
      </c>
      <c r="AP36" s="37">
        <f>AO36*0.05</f>
        <v/>
      </c>
      <c r="AQ36" s="37">
        <f>VLOOKUP(B36,'KPI Ticketing'!B:AC,28,)</f>
        <v/>
      </c>
      <c r="AR36" s="37">
        <f>IF(AQ36&lt;0.95,0.5,1)</f>
        <v/>
      </c>
      <c r="AS36" s="37">
        <f>AR36*0.01</f>
        <v/>
      </c>
      <c r="AT36" s="37">
        <f>VLOOKUP(B36,'KPI Ticketing'!B:AG,32,)</f>
        <v/>
      </c>
      <c r="AU36" s="37">
        <f>IF(AT36&lt;0.3,0.5,1)</f>
        <v/>
      </c>
      <c r="AV36" s="37">
        <f>AU36*0.01</f>
        <v/>
      </c>
      <c r="AW36" s="38">
        <f>VLOOKUP(B36,'KPI Ticketing'!B:AH,33,)</f>
        <v/>
      </c>
      <c r="AX36" s="38">
        <f>VLOOKUP(B36,'KPI Ticketing'!B:AI,34,)</f>
        <v/>
      </c>
      <c r="AY36" s="38">
        <f>VLOOKUP(B36,'KPI Ticketing'!B:AJ,35,)</f>
        <v/>
      </c>
      <c r="AZ36" s="38">
        <f>VLOOKUP(B36,'KPI Ticketing'!B:AK,36,)</f>
        <v/>
      </c>
      <c r="BA36" s="38">
        <f>VLOOKUP(B36,'KPI Ticketing'!B:AL,37,)</f>
        <v/>
      </c>
      <c r="BB36" s="37">
        <f>IF(AW36&lt;=2,1,IF(AW36&lt;=3,0.7,IF(AW36&lt;=4,0.4,0.1)))</f>
        <v/>
      </c>
      <c r="BC36" s="37">
        <f>IF(AX36&lt;=4,1,IF(AX36&lt;=6,0.5,0.25))</f>
        <v/>
      </c>
      <c r="BD36" s="37">
        <f>IF(AY36&lt;=15,1,IF(AY36&lt;=22.5,0.5,0.25))</f>
        <v/>
      </c>
      <c r="BE36" s="37">
        <f>IF(AZ36&lt;=48,1,IF(AZ36&lt;=72,0.5,0.25))</f>
        <v/>
      </c>
      <c r="BF36" s="37">
        <f>IF(BA36=0, 0, IF(BA36&lt;=96, 1, IF(BA36&lt;=144, 0.5, 0.25)))</f>
        <v/>
      </c>
      <c r="BG36" s="37">
        <f>BB36*0.1</f>
        <v/>
      </c>
      <c r="BH36" s="37">
        <f>BC36*0.05</f>
        <v/>
      </c>
      <c r="BI36" s="37">
        <f>BD36*0.02</f>
        <v/>
      </c>
      <c r="BJ36" s="37">
        <f>BE36*0.01</f>
        <v/>
      </c>
      <c r="BK36" s="37">
        <f>BF36*0.01</f>
        <v/>
      </c>
      <c r="BL36" s="37">
        <f>VLOOKUP(B36,'KPI Ticketing'!B:AT,45,)</f>
        <v/>
      </c>
      <c r="BM36" s="37">
        <f>IF(BL36&gt;=0.8,1,IF(BL36&gt;=0.7,0.9,IF(BL36&gt;=0.6,0.8,IF(BL36&gt;=0.5,0.7,IF(BL36&gt;=0.4,0.6,IF(BL36&gt;=0.3,0.5,IF(BL36&gt;=0.2,0.4,IF(BL36&gt;=0.1,0.3,0.2))))))))</f>
        <v/>
      </c>
      <c r="BN36" s="37">
        <f>BM36*0.03</f>
        <v/>
      </c>
      <c r="BO36" s="37">
        <f>VLOOKUP(B36,'KPI Ticketing'!B:AX,49,)</f>
        <v/>
      </c>
      <c r="BP36" s="37">
        <f>IF(BO36&gt;=0.8,1,IF(BO36&gt;=0.7,0.9,IF(BO36&gt;=0.6,0.8,IF(BO36&gt;=0.5,0.7,IF(BO36&gt;=0.4,0.6,IF(BO36&gt;=0.3,0.5,IF(BO36&gt;=0.2,0.4,IF(BO36&gt;=0.1,0.3,0.2))))))))</f>
        <v/>
      </c>
      <c r="BQ36" s="37">
        <f>BP36*0.02</f>
        <v/>
      </c>
      <c r="BR36" s="37">
        <f>VLOOKUP(B36,'KPI Ticketing'!B:BB,53,)</f>
        <v/>
      </c>
      <c r="BS36" s="37">
        <f>IF(BR36&gt;=0.9,1,IF(BR36&gt;=0.8,0.9,IF(BR36&gt;=0.7,0.8,IF(BR36&gt;=0.6,0.7,IF(BR36&gt;=0.5,0.6,IF(BR36&gt;=0.4,0.5,IF(BR36&gt;=0.3,0.4,IF(BR36&gt;=0.2,0.3,IF(BR36&gt;=0.1,0.2,0.1)))))))))</f>
        <v/>
      </c>
      <c r="BT36" s="37">
        <f>BS36*0.05</f>
        <v/>
      </c>
      <c r="BU36" s="39" t="n">
        <v>0.08</v>
      </c>
      <c r="BV36" s="39" t="n">
        <v>0.06</v>
      </c>
      <c r="BW36" s="39" t="n">
        <v>0.09</v>
      </c>
      <c r="BX36" s="39" t="n">
        <v>0.06</v>
      </c>
    </row>
    <row r="37">
      <c r="A37" t="inlineStr">
        <is>
          <t>R06_Jawa Timur</t>
        </is>
      </c>
      <c r="B37" t="inlineStr">
        <is>
          <t>NOP MALANG</t>
        </is>
      </c>
      <c r="C37" s="36">
        <f>RANK(D37,$D$10:$D$43,0)</f>
        <v/>
      </c>
      <c r="D37" s="37">
        <f>(G37*0.35)+(O37*65%)</f>
        <v/>
      </c>
      <c r="E37" s="36">
        <f>IF(D37&gt;=0.95,"Istimewa",IF(D37&gt;0.9,"Baik Sekali",IF(D37&gt;0.85,"Baik",IF(D37&gt;0.8,"Cukup","Kurang"))))</f>
        <v/>
      </c>
      <c r="F37" s="37">
        <f>0.29*0.65</f>
        <v/>
      </c>
      <c r="G37" s="37">
        <f>N37</f>
        <v/>
      </c>
      <c r="H37" s="37">
        <f>VLOOKUP(B37,'KPI Availability'!B:O,14,)</f>
        <v/>
      </c>
      <c r="I37" s="37">
        <f>VLOOKUP(B37,'KPI Availability'!B:P,15,)</f>
        <v/>
      </c>
      <c r="J37" s="37">
        <f>VLOOKUP(B37,'KPI Availability'!B:Q,16,)</f>
        <v/>
      </c>
      <c r="K37" s="37">
        <f>VLOOKUP(B37,'KPI Availability'!B:R,17,)</f>
        <v/>
      </c>
      <c r="L37" s="37">
        <f>VLOOKUP(B37,'KPI Availability'!B:S,18,)</f>
        <v/>
      </c>
      <c r="M37" s="37">
        <f>VLOOKUP(B37,'KPI Availability'!B:T,19,)</f>
        <v/>
      </c>
      <c r="N37" s="37">
        <f>SUM(H37:M37)</f>
        <v/>
      </c>
      <c r="O37" s="37">
        <f>P37+Q37+R37</f>
        <v/>
      </c>
      <c r="P37" s="37">
        <f>SUM(AA37:AD37,AG37,AJ37,AM37,AP37,AS37,AV37)</f>
        <v/>
      </c>
      <c r="Q37" s="37">
        <f>SUM(BG37:BK37,BN37,BQ37,BT37)</f>
        <v/>
      </c>
      <c r="R37" s="37">
        <f>SUM(BU37:BX37)</f>
        <v/>
      </c>
      <c r="S37" s="38">
        <f>VLOOKUP(B37,'KPI Ticketing'!B:C,2,)</f>
        <v/>
      </c>
      <c r="T37" s="38">
        <f>VLOOKUP(B37,'KPI Ticketing'!B:D,3,)</f>
        <v/>
      </c>
      <c r="U37" s="38">
        <f>VLOOKUP(B37,'KPI Ticketing'!B:E,4,)</f>
        <v/>
      </c>
      <c r="V37" s="38">
        <f>VLOOKUP(B37,'KPI Ticketing'!B:F,5,)</f>
        <v/>
      </c>
      <c r="W37" s="37">
        <f>IF(S37&lt;=4,100%,IF(S37&lt;=6,70%,IF(S37&lt;=8,40%,10%)))</f>
        <v/>
      </c>
      <c r="X37" s="37">
        <f>IF(T37&lt;=8,100%,IF(T37&lt;=12,50%,25%))</f>
        <v/>
      </c>
      <c r="Y37" s="37">
        <f>IF(U37&lt;=10,100%,IF(U37&lt;=15,50%,25%))</f>
        <v/>
      </c>
      <c r="Z37" s="37">
        <f>IF(V37&lt;=13,100%,IF(V37&lt;=19,50%,25%))</f>
        <v/>
      </c>
      <c r="AA37" s="37">
        <f>W37*0.13</f>
        <v/>
      </c>
      <c r="AB37" s="37">
        <f>X37*0.06</f>
        <v/>
      </c>
      <c r="AC37" s="37">
        <f>Y37*0.04</f>
        <v/>
      </c>
      <c r="AD37" s="37">
        <f>Z37*0.02</f>
        <v/>
      </c>
      <c r="AE37" s="37">
        <f>VLOOKUP(B37,'KPI Ticketing'!B:N,13,)</f>
        <v/>
      </c>
      <c r="AF37" s="37">
        <f>IF(AE37&gt;=0.8,1,IF(AE37&gt;=0.7,0.9,IF(AE37&gt;=0.6,0.8,IF(AE37&gt;=0.5,0.7,IF(AE37&gt;=0.4,0.6,IF(AE37&gt;=0.3,0.5,IF(AE37&gt;=0.2,0.4,IF(AE37&gt;=0.1,0.3,0.2))))))))</f>
        <v/>
      </c>
      <c r="AG37" s="37">
        <f>AF37*0.03</f>
        <v/>
      </c>
      <c r="AH37" s="37">
        <f>VLOOKUP(B37,'KPI Ticketing'!B:R,17,)</f>
        <v/>
      </c>
      <c r="AI37" s="37">
        <f>IF(AH37&gt;=0.8,1,IF(AH37&gt;=0.7,0.9,IF(AH37&gt;=0.6,0.8,IF(AH37&gt;=0.5,0.7,IF(AH37&gt;=0.4,0.6,IF(AH37&gt;=0.3,0.5,IF(AH37&gt;=0.2,0.4,IF(AH37&gt;=0.1,0.3,0.2))))))))</f>
        <v/>
      </c>
      <c r="AJ37" s="37">
        <f>AI37*0.02</f>
        <v/>
      </c>
      <c r="AK37" s="37">
        <f>VLOOKUP(B37,'KPI Ticketing'!B:V,21,)</f>
        <v/>
      </c>
      <c r="AL37" s="37">
        <f>IF(AK37&gt;=0.9,1,IF(AK37&gt;=0.8,0.9,IF(AK37&gt;=0.7,0.8,IF(AK37&gt;=0.6,0.7,IF(AK37&gt;=0.5,0.6,IF(AK37&gt;=0.4,0.5,IF(AK37&gt;=0.3,0.4,IF(AK37&gt;=0.2,0.3,IF(AK37&gt;=0.1,0.2,0.1)))))))))</f>
        <v/>
      </c>
      <c r="AM37" s="37">
        <f>AL37*0.05</f>
        <v/>
      </c>
      <c r="AN37" s="37">
        <f>VLOOKUP(B37,'KPI Ticketing'!B:Z,25,)</f>
        <v/>
      </c>
      <c r="AO37" s="37">
        <f>IF(AN37&gt;=0.95,1,IF(AN37&gt;=0.9,0.9,IF(AN37&gt;=0.8,0.8,IF(AN37&gt;=0.7,0.7,IF(AN37&gt;=0.6,0.6,IF(AN37&gt;=0.5,0.5,IF(AN37&gt;=0.4,0.4,IF(AN37&gt;=0.3,0.3,IF(AN37&gt;=0.2,0.2,IF(AN37&gt;=0.1,0.1,0.05))))))))))</f>
        <v/>
      </c>
      <c r="AP37" s="37">
        <f>AO37*0.05</f>
        <v/>
      </c>
      <c r="AQ37" s="37">
        <f>VLOOKUP(B37,'KPI Ticketing'!B:AC,28,)</f>
        <v/>
      </c>
      <c r="AR37" s="37">
        <f>IF(AQ37&lt;0.95,0.5,1)</f>
        <v/>
      </c>
      <c r="AS37" s="37">
        <f>AR37*0.01</f>
        <v/>
      </c>
      <c r="AT37" s="37">
        <f>VLOOKUP(B37,'KPI Ticketing'!B:AG,32,)</f>
        <v/>
      </c>
      <c r="AU37" s="37">
        <f>IF(AT37&lt;0.3,0.5,1)</f>
        <v/>
      </c>
      <c r="AV37" s="37">
        <f>AU37*0.01</f>
        <v/>
      </c>
      <c r="AW37" s="38">
        <f>VLOOKUP(B37,'KPI Ticketing'!B:AH,33,)</f>
        <v/>
      </c>
      <c r="AX37" s="38">
        <f>VLOOKUP(B37,'KPI Ticketing'!B:AI,34,)</f>
        <v/>
      </c>
      <c r="AY37" s="38">
        <f>VLOOKUP(B37,'KPI Ticketing'!B:AJ,35,)</f>
        <v/>
      </c>
      <c r="AZ37" s="38">
        <f>VLOOKUP(B37,'KPI Ticketing'!B:AK,36,)</f>
        <v/>
      </c>
      <c r="BA37" s="38">
        <f>VLOOKUP(B37,'KPI Ticketing'!B:AL,37,)</f>
        <v/>
      </c>
      <c r="BB37" s="37">
        <f>IF(AW37&lt;=2,1,IF(AW37&lt;=3,0.7,IF(AW37&lt;=4,0.4,0.1)))</f>
        <v/>
      </c>
      <c r="BC37" s="37">
        <f>IF(AX37&lt;=4,1,IF(AX37&lt;=6,0.5,0.25))</f>
        <v/>
      </c>
      <c r="BD37" s="37">
        <f>IF(AY37&lt;=15,1,IF(AY37&lt;=22.5,0.5,0.25))</f>
        <v/>
      </c>
      <c r="BE37" s="37">
        <f>IF(AZ37&lt;=48,1,IF(AZ37&lt;=72,0.5,0.25))</f>
        <v/>
      </c>
      <c r="BF37" s="37">
        <f>IF(BA37=0, 0, IF(BA37&lt;=96, 1, IF(BA37&lt;=144, 0.5, 0.25)))</f>
        <v/>
      </c>
      <c r="BG37" s="37">
        <f>BB37*0.1</f>
        <v/>
      </c>
      <c r="BH37" s="37">
        <f>BC37*0.05</f>
        <v/>
      </c>
      <c r="BI37" s="37">
        <f>BD37*0.02</f>
        <v/>
      </c>
      <c r="BJ37" s="37">
        <f>BE37*0.01</f>
        <v/>
      </c>
      <c r="BK37" s="37">
        <f>BF37*0.01</f>
        <v/>
      </c>
      <c r="BL37" s="37">
        <f>VLOOKUP(B37,'KPI Ticketing'!B:AT,45,)</f>
        <v/>
      </c>
      <c r="BM37" s="37">
        <f>IF(BL37&gt;=0.8,1,IF(BL37&gt;=0.7,0.9,IF(BL37&gt;=0.6,0.8,IF(BL37&gt;=0.5,0.7,IF(BL37&gt;=0.4,0.6,IF(BL37&gt;=0.3,0.5,IF(BL37&gt;=0.2,0.4,IF(BL37&gt;=0.1,0.3,0.2))))))))</f>
        <v/>
      </c>
      <c r="BN37" s="37">
        <f>BM37*0.03</f>
        <v/>
      </c>
      <c r="BO37" s="37">
        <f>VLOOKUP(B37,'KPI Ticketing'!B:AX,49,)</f>
        <v/>
      </c>
      <c r="BP37" s="37">
        <f>IF(BO37&gt;=0.8,1,IF(BO37&gt;=0.7,0.9,IF(BO37&gt;=0.6,0.8,IF(BO37&gt;=0.5,0.7,IF(BO37&gt;=0.4,0.6,IF(BO37&gt;=0.3,0.5,IF(BO37&gt;=0.2,0.4,IF(BO37&gt;=0.1,0.3,0.2))))))))</f>
        <v/>
      </c>
      <c r="BQ37" s="37">
        <f>BP37*0.02</f>
        <v/>
      </c>
      <c r="BR37" s="37">
        <f>VLOOKUP(B37,'KPI Ticketing'!B:BB,53,)</f>
        <v/>
      </c>
      <c r="BS37" s="37">
        <f>IF(BR37&gt;=0.9,1,IF(BR37&gt;=0.8,0.9,IF(BR37&gt;=0.7,0.8,IF(BR37&gt;=0.6,0.7,IF(BR37&gt;=0.5,0.6,IF(BR37&gt;=0.4,0.5,IF(BR37&gt;=0.3,0.4,IF(BR37&gt;=0.2,0.3,IF(BR37&gt;=0.1,0.2,0.1)))))))))</f>
        <v/>
      </c>
      <c r="BT37" s="37">
        <f>BS37*0.05</f>
        <v/>
      </c>
      <c r="BU37" s="39" t="n">
        <v>0.08</v>
      </c>
      <c r="BV37" s="39" t="n">
        <v>0.06</v>
      </c>
      <c r="BW37" s="39" t="n">
        <v>0.09</v>
      </c>
      <c r="BX37" s="39" t="n">
        <v>0.06</v>
      </c>
    </row>
    <row r="38">
      <c r="A38" t="inlineStr">
        <is>
          <t>R06_Jawa Timur</t>
        </is>
      </c>
      <c r="B38" t="inlineStr">
        <is>
          <t>NOP SIDOARJO</t>
        </is>
      </c>
      <c r="C38" s="36">
        <f>RANK(D38,$D$10:$D$43,0)</f>
        <v/>
      </c>
      <c r="D38" s="37">
        <f>(G38*0.35)+(O38*65%)</f>
        <v/>
      </c>
      <c r="E38" s="36">
        <f>IF(D38&gt;=0.95,"Istimewa",IF(D38&gt;0.9,"Baik Sekali",IF(D38&gt;0.85,"Baik",IF(D38&gt;0.8,"Cukup","Kurang"))))</f>
        <v/>
      </c>
      <c r="F38" s="37">
        <f>0.29*0.65</f>
        <v/>
      </c>
      <c r="G38" s="37">
        <f>N38</f>
        <v/>
      </c>
      <c r="H38" s="37">
        <f>VLOOKUP(B38,'KPI Availability'!B:O,14,)</f>
        <v/>
      </c>
      <c r="I38" s="37">
        <f>VLOOKUP(B38,'KPI Availability'!B:P,15,)</f>
        <v/>
      </c>
      <c r="J38" s="37">
        <f>VLOOKUP(B38,'KPI Availability'!B:Q,16,)</f>
        <v/>
      </c>
      <c r="K38" s="37">
        <f>VLOOKUP(B38,'KPI Availability'!B:R,17,)</f>
        <v/>
      </c>
      <c r="L38" s="37">
        <f>VLOOKUP(B38,'KPI Availability'!B:S,18,)</f>
        <v/>
      </c>
      <c r="M38" s="37">
        <f>VLOOKUP(B38,'KPI Availability'!B:T,19,)</f>
        <v/>
      </c>
      <c r="N38" s="37">
        <f>SUM(H38:M38)</f>
        <v/>
      </c>
      <c r="O38" s="37">
        <f>P38+Q38+R38</f>
        <v/>
      </c>
      <c r="P38" s="37">
        <f>SUM(AA38:AD38,AG38,AJ38,AM38,AP38,AS38,AV38)</f>
        <v/>
      </c>
      <c r="Q38" s="37">
        <f>SUM(BG38:BK38,BN38,BQ38,BT38)</f>
        <v/>
      </c>
      <c r="R38" s="37">
        <f>SUM(BU38:BX38)</f>
        <v/>
      </c>
      <c r="S38" s="38">
        <f>VLOOKUP(B38,'KPI Ticketing'!B:C,2,)</f>
        <v/>
      </c>
      <c r="T38" s="38">
        <f>VLOOKUP(B38,'KPI Ticketing'!B:D,3,)</f>
        <v/>
      </c>
      <c r="U38" s="38">
        <f>VLOOKUP(B38,'KPI Ticketing'!B:E,4,)</f>
        <v/>
      </c>
      <c r="V38" s="38">
        <f>VLOOKUP(B38,'KPI Ticketing'!B:F,5,)</f>
        <v/>
      </c>
      <c r="W38" s="37">
        <f>IF(S38&lt;=4,100%,IF(S38&lt;=6,70%,IF(S38&lt;=8,40%,10%)))</f>
        <v/>
      </c>
      <c r="X38" s="37">
        <f>IF(T38&lt;=8,100%,IF(T38&lt;=12,50%,25%))</f>
        <v/>
      </c>
      <c r="Y38" s="37">
        <f>IF(U38&lt;=10,100%,IF(U38&lt;=15,50%,25%))</f>
        <v/>
      </c>
      <c r="Z38" s="37">
        <f>IF(V38&lt;=13,100%,IF(V38&lt;=19,50%,25%))</f>
        <v/>
      </c>
      <c r="AA38" s="37">
        <f>W38*0.13</f>
        <v/>
      </c>
      <c r="AB38" s="37">
        <f>X38*0.06</f>
        <v/>
      </c>
      <c r="AC38" s="37">
        <f>Y38*0.04</f>
        <v/>
      </c>
      <c r="AD38" s="37">
        <f>Z38*0.02</f>
        <v/>
      </c>
      <c r="AE38" s="37">
        <f>VLOOKUP(B38,'KPI Ticketing'!B:N,13,)</f>
        <v/>
      </c>
      <c r="AF38" s="37">
        <f>IF(AE38&gt;=0.8,1,IF(AE38&gt;=0.7,0.9,IF(AE38&gt;=0.6,0.8,IF(AE38&gt;=0.5,0.7,IF(AE38&gt;=0.4,0.6,IF(AE38&gt;=0.3,0.5,IF(AE38&gt;=0.2,0.4,IF(AE38&gt;=0.1,0.3,0.2))))))))</f>
        <v/>
      </c>
      <c r="AG38" s="37">
        <f>AF38*0.03</f>
        <v/>
      </c>
      <c r="AH38" s="37">
        <f>VLOOKUP(B38,'KPI Ticketing'!B:R,17,)</f>
        <v/>
      </c>
      <c r="AI38" s="37">
        <f>IF(AH38&gt;=0.8,1,IF(AH38&gt;=0.7,0.9,IF(AH38&gt;=0.6,0.8,IF(AH38&gt;=0.5,0.7,IF(AH38&gt;=0.4,0.6,IF(AH38&gt;=0.3,0.5,IF(AH38&gt;=0.2,0.4,IF(AH38&gt;=0.1,0.3,0.2))))))))</f>
        <v/>
      </c>
      <c r="AJ38" s="37">
        <f>AI38*0.02</f>
        <v/>
      </c>
      <c r="AK38" s="37">
        <f>VLOOKUP(B38,'KPI Ticketing'!B:V,21,)</f>
        <v/>
      </c>
      <c r="AL38" s="37">
        <f>IF(AK38&gt;=0.9,1,IF(AK38&gt;=0.8,0.9,IF(AK38&gt;=0.7,0.8,IF(AK38&gt;=0.6,0.7,IF(AK38&gt;=0.5,0.6,IF(AK38&gt;=0.4,0.5,IF(AK38&gt;=0.3,0.4,IF(AK38&gt;=0.2,0.3,IF(AK38&gt;=0.1,0.2,0.1)))))))))</f>
        <v/>
      </c>
      <c r="AM38" s="37">
        <f>AL38*0.05</f>
        <v/>
      </c>
      <c r="AN38" s="37">
        <f>VLOOKUP(B38,'KPI Ticketing'!B:Z,25,)</f>
        <v/>
      </c>
      <c r="AO38" s="37">
        <f>IF(AN38&gt;=0.95,1,IF(AN38&gt;=0.9,0.9,IF(AN38&gt;=0.8,0.8,IF(AN38&gt;=0.7,0.7,IF(AN38&gt;=0.6,0.6,IF(AN38&gt;=0.5,0.5,IF(AN38&gt;=0.4,0.4,IF(AN38&gt;=0.3,0.3,IF(AN38&gt;=0.2,0.2,IF(AN38&gt;=0.1,0.1,0.05))))))))))</f>
        <v/>
      </c>
      <c r="AP38" s="37">
        <f>AO38*0.05</f>
        <v/>
      </c>
      <c r="AQ38" s="37">
        <f>VLOOKUP(B38,'KPI Ticketing'!B:AC,28,)</f>
        <v/>
      </c>
      <c r="AR38" s="37">
        <f>IF(AQ38&lt;0.95,0.5,1)</f>
        <v/>
      </c>
      <c r="AS38" s="37">
        <f>AR38*0.01</f>
        <v/>
      </c>
      <c r="AT38" s="37">
        <f>VLOOKUP(B38,'KPI Ticketing'!B:AG,32,)</f>
        <v/>
      </c>
      <c r="AU38" s="37">
        <f>IF(AT38&lt;0.3,0.5,1)</f>
        <v/>
      </c>
      <c r="AV38" s="37">
        <f>AU38*0.01</f>
        <v/>
      </c>
      <c r="AW38" s="38">
        <f>VLOOKUP(B38,'KPI Ticketing'!B:AH,33,)</f>
        <v/>
      </c>
      <c r="AX38" s="38">
        <f>VLOOKUP(B38,'KPI Ticketing'!B:AI,34,)</f>
        <v/>
      </c>
      <c r="AY38" s="38">
        <f>VLOOKUP(B38,'KPI Ticketing'!B:AJ,35,)</f>
        <v/>
      </c>
      <c r="AZ38" s="38">
        <f>VLOOKUP(B38,'KPI Ticketing'!B:AK,36,)</f>
        <v/>
      </c>
      <c r="BA38" s="38">
        <f>VLOOKUP(B38,'KPI Ticketing'!B:AL,37,)</f>
        <v/>
      </c>
      <c r="BB38" s="37">
        <f>IF(AW38&lt;=2,1,IF(AW38&lt;=3,0.7,IF(AW38&lt;=4,0.4,0.1)))</f>
        <v/>
      </c>
      <c r="BC38" s="37">
        <f>IF(AX38&lt;=4,1,IF(AX38&lt;=6,0.5,0.25))</f>
        <v/>
      </c>
      <c r="BD38" s="37">
        <f>IF(AY38&lt;=15,1,IF(AY38&lt;=22.5,0.5,0.25))</f>
        <v/>
      </c>
      <c r="BE38" s="37">
        <f>IF(AZ38&lt;=48,1,IF(AZ38&lt;=72,0.5,0.25))</f>
        <v/>
      </c>
      <c r="BF38" s="37">
        <f>IF(BA38=0, 0, IF(BA38&lt;=96, 1, IF(BA38&lt;=144, 0.5, 0.25)))</f>
        <v/>
      </c>
      <c r="BG38" s="37">
        <f>BB38*0.1</f>
        <v/>
      </c>
      <c r="BH38" s="37">
        <f>BC38*0.05</f>
        <v/>
      </c>
      <c r="BI38" s="37">
        <f>BD38*0.02</f>
        <v/>
      </c>
      <c r="BJ38" s="37">
        <f>BE38*0.01</f>
        <v/>
      </c>
      <c r="BK38" s="37">
        <f>BF38*0.01</f>
        <v/>
      </c>
      <c r="BL38" s="37">
        <f>VLOOKUP(B38,'KPI Ticketing'!B:AT,45,)</f>
        <v/>
      </c>
      <c r="BM38" s="37">
        <f>IF(BL38&gt;=0.8,1,IF(BL38&gt;=0.7,0.9,IF(BL38&gt;=0.6,0.8,IF(BL38&gt;=0.5,0.7,IF(BL38&gt;=0.4,0.6,IF(BL38&gt;=0.3,0.5,IF(BL38&gt;=0.2,0.4,IF(BL38&gt;=0.1,0.3,0.2))))))))</f>
        <v/>
      </c>
      <c r="BN38" s="37">
        <f>BM38*0.03</f>
        <v/>
      </c>
      <c r="BO38" s="37">
        <f>VLOOKUP(B38,'KPI Ticketing'!B:AX,49,)</f>
        <v/>
      </c>
      <c r="BP38" s="37">
        <f>IF(BO38&gt;=0.8,1,IF(BO38&gt;=0.7,0.9,IF(BO38&gt;=0.6,0.8,IF(BO38&gt;=0.5,0.7,IF(BO38&gt;=0.4,0.6,IF(BO38&gt;=0.3,0.5,IF(BO38&gt;=0.2,0.4,IF(BO38&gt;=0.1,0.3,0.2))))))))</f>
        <v/>
      </c>
      <c r="BQ38" s="37">
        <f>BP38*0.02</f>
        <v/>
      </c>
      <c r="BR38" s="37">
        <f>VLOOKUP(B38,'KPI Ticketing'!B:BB,53,)</f>
        <v/>
      </c>
      <c r="BS38" s="37">
        <f>IF(BR38&gt;=0.9,1,IF(BR38&gt;=0.8,0.9,IF(BR38&gt;=0.7,0.8,IF(BR38&gt;=0.6,0.7,IF(BR38&gt;=0.5,0.6,IF(BR38&gt;=0.4,0.5,IF(BR38&gt;=0.3,0.4,IF(BR38&gt;=0.2,0.3,IF(BR38&gt;=0.1,0.2,0.1)))))))))</f>
        <v/>
      </c>
      <c r="BT38" s="37">
        <f>BS38*0.05</f>
        <v/>
      </c>
      <c r="BU38" s="39" t="n">
        <v>0.08</v>
      </c>
      <c r="BV38" s="39" t="n">
        <v>0.06</v>
      </c>
      <c r="BW38" s="39" t="n">
        <v>0.09</v>
      </c>
      <c r="BX38" s="39" t="n">
        <v>0.06</v>
      </c>
    </row>
    <row r="39">
      <c r="A39" t="inlineStr">
        <is>
          <t>R06_Jawa Timur</t>
        </is>
      </c>
      <c r="B39" t="inlineStr">
        <is>
          <t>NOP SURABAYA</t>
        </is>
      </c>
      <c r="C39" s="36">
        <f>RANK(D39,$D$10:$D$43,0)</f>
        <v/>
      </c>
      <c r="D39" s="37">
        <f>(G39*0.35)+(O39*65%)</f>
        <v/>
      </c>
      <c r="E39" s="36">
        <f>IF(D39&gt;=0.95,"Istimewa",IF(D39&gt;0.9,"Baik Sekali",IF(D39&gt;0.85,"Baik",IF(D39&gt;0.8,"Cukup","Kurang"))))</f>
        <v/>
      </c>
      <c r="F39" s="37">
        <f>0.29*0.65</f>
        <v/>
      </c>
      <c r="G39" s="37">
        <f>N39</f>
        <v/>
      </c>
      <c r="H39" s="37">
        <f>VLOOKUP(B39,'KPI Availability'!B:O,14,)</f>
        <v/>
      </c>
      <c r="I39" s="37">
        <f>VLOOKUP(B39,'KPI Availability'!B:P,15,)</f>
        <v/>
      </c>
      <c r="J39" s="37">
        <f>VLOOKUP(B39,'KPI Availability'!B:Q,16,)</f>
        <v/>
      </c>
      <c r="K39" s="37">
        <f>VLOOKUP(B39,'KPI Availability'!B:R,17,)</f>
        <v/>
      </c>
      <c r="L39" s="37">
        <f>VLOOKUP(B39,'KPI Availability'!B:S,18,)</f>
        <v/>
      </c>
      <c r="M39" s="37">
        <f>VLOOKUP(B39,'KPI Availability'!B:T,19,)</f>
        <v/>
      </c>
      <c r="N39" s="37">
        <f>SUM(H39:M39)</f>
        <v/>
      </c>
      <c r="O39" s="37">
        <f>P39+Q39+R39</f>
        <v/>
      </c>
      <c r="P39" s="37">
        <f>SUM(AA39:AD39,AG39,AJ39,AM39,AP39,AS39,AV39)</f>
        <v/>
      </c>
      <c r="Q39" s="37">
        <f>SUM(BG39:BK39,BN39,BQ39,BT39)</f>
        <v/>
      </c>
      <c r="R39" s="37">
        <f>SUM(BU39:BX39)</f>
        <v/>
      </c>
      <c r="S39" s="38">
        <f>VLOOKUP(B39,'KPI Ticketing'!B:C,2,)</f>
        <v/>
      </c>
      <c r="T39" s="38">
        <f>VLOOKUP(B39,'KPI Ticketing'!B:D,3,)</f>
        <v/>
      </c>
      <c r="U39" s="38">
        <f>VLOOKUP(B39,'KPI Ticketing'!B:E,4,)</f>
        <v/>
      </c>
      <c r="V39" s="38">
        <f>VLOOKUP(B39,'KPI Ticketing'!B:F,5,)</f>
        <v/>
      </c>
      <c r="W39" s="37">
        <f>IF(S39&lt;=4,100%,IF(S39&lt;=6,70%,IF(S39&lt;=8,40%,10%)))</f>
        <v/>
      </c>
      <c r="X39" s="37">
        <f>IF(T39&lt;=8,100%,IF(T39&lt;=12,50%,25%))</f>
        <v/>
      </c>
      <c r="Y39" s="37">
        <f>IF(U39&lt;=10,100%,IF(U39&lt;=15,50%,25%))</f>
        <v/>
      </c>
      <c r="Z39" s="37">
        <f>IF(V39&lt;=13,100%,IF(V39&lt;=19,50%,25%))</f>
        <v/>
      </c>
      <c r="AA39" s="37">
        <f>W39*0.13</f>
        <v/>
      </c>
      <c r="AB39" s="37">
        <f>X39*0.06</f>
        <v/>
      </c>
      <c r="AC39" s="37">
        <f>Y39*0.04</f>
        <v/>
      </c>
      <c r="AD39" s="37">
        <f>Z39*0.02</f>
        <v/>
      </c>
      <c r="AE39" s="37">
        <f>VLOOKUP(B39,'KPI Ticketing'!B:N,13,)</f>
        <v/>
      </c>
      <c r="AF39" s="37">
        <f>IF(AE39&gt;=0.8,1,IF(AE39&gt;=0.7,0.9,IF(AE39&gt;=0.6,0.8,IF(AE39&gt;=0.5,0.7,IF(AE39&gt;=0.4,0.6,IF(AE39&gt;=0.3,0.5,IF(AE39&gt;=0.2,0.4,IF(AE39&gt;=0.1,0.3,0.2))))))))</f>
        <v/>
      </c>
      <c r="AG39" s="37">
        <f>AF39*0.03</f>
        <v/>
      </c>
      <c r="AH39" s="37">
        <f>VLOOKUP(B39,'KPI Ticketing'!B:R,17,)</f>
        <v/>
      </c>
      <c r="AI39" s="37">
        <f>IF(AH39&gt;=0.8,1,IF(AH39&gt;=0.7,0.9,IF(AH39&gt;=0.6,0.8,IF(AH39&gt;=0.5,0.7,IF(AH39&gt;=0.4,0.6,IF(AH39&gt;=0.3,0.5,IF(AH39&gt;=0.2,0.4,IF(AH39&gt;=0.1,0.3,0.2))))))))</f>
        <v/>
      </c>
      <c r="AJ39" s="37">
        <f>AI39*0.02</f>
        <v/>
      </c>
      <c r="AK39" s="37">
        <f>VLOOKUP(B39,'KPI Ticketing'!B:V,21,)</f>
        <v/>
      </c>
      <c r="AL39" s="37">
        <f>IF(AK39&gt;=0.9,1,IF(AK39&gt;=0.8,0.9,IF(AK39&gt;=0.7,0.8,IF(AK39&gt;=0.6,0.7,IF(AK39&gt;=0.5,0.6,IF(AK39&gt;=0.4,0.5,IF(AK39&gt;=0.3,0.4,IF(AK39&gt;=0.2,0.3,IF(AK39&gt;=0.1,0.2,0.1)))))))))</f>
        <v/>
      </c>
      <c r="AM39" s="37">
        <f>AL39*0.05</f>
        <v/>
      </c>
      <c r="AN39" s="37">
        <f>VLOOKUP(B39,'KPI Ticketing'!B:Z,25,)</f>
        <v/>
      </c>
      <c r="AO39" s="37">
        <f>IF(AN39&gt;=0.95,1,IF(AN39&gt;=0.9,0.9,IF(AN39&gt;=0.8,0.8,IF(AN39&gt;=0.7,0.7,IF(AN39&gt;=0.6,0.6,IF(AN39&gt;=0.5,0.5,IF(AN39&gt;=0.4,0.4,IF(AN39&gt;=0.3,0.3,IF(AN39&gt;=0.2,0.2,IF(AN39&gt;=0.1,0.1,0.05))))))))))</f>
        <v/>
      </c>
      <c r="AP39" s="37">
        <f>AO39*0.05</f>
        <v/>
      </c>
      <c r="AQ39" s="37">
        <f>VLOOKUP(B39,'KPI Ticketing'!B:AC,28,)</f>
        <v/>
      </c>
      <c r="AR39" s="37">
        <f>IF(AQ39&lt;0.95,0.5,1)</f>
        <v/>
      </c>
      <c r="AS39" s="37">
        <f>AR39*0.01</f>
        <v/>
      </c>
      <c r="AT39" s="37">
        <f>VLOOKUP(B39,'KPI Ticketing'!B:AG,32,)</f>
        <v/>
      </c>
      <c r="AU39" s="37">
        <f>IF(AT39&lt;0.3,0.5,1)</f>
        <v/>
      </c>
      <c r="AV39" s="37">
        <f>AU39*0.01</f>
        <v/>
      </c>
      <c r="AW39" s="38">
        <f>VLOOKUP(B39,'KPI Ticketing'!B:AH,33,)</f>
        <v/>
      </c>
      <c r="AX39" s="38">
        <f>VLOOKUP(B39,'KPI Ticketing'!B:AI,34,)</f>
        <v/>
      </c>
      <c r="AY39" s="38">
        <f>VLOOKUP(B39,'KPI Ticketing'!B:AJ,35,)</f>
        <v/>
      </c>
      <c r="AZ39" s="38">
        <f>VLOOKUP(B39,'KPI Ticketing'!B:AK,36,)</f>
        <v/>
      </c>
      <c r="BA39" s="38">
        <f>VLOOKUP(B39,'KPI Ticketing'!B:AL,37,)</f>
        <v/>
      </c>
      <c r="BB39" s="37">
        <f>IF(AW39&lt;=2,1,IF(AW39&lt;=3,0.7,IF(AW39&lt;=4,0.4,0.1)))</f>
        <v/>
      </c>
      <c r="BC39" s="37">
        <f>IF(AX39&lt;=4,1,IF(AX39&lt;=6,0.5,0.25))</f>
        <v/>
      </c>
      <c r="BD39" s="37">
        <f>IF(AY39&lt;=15,1,IF(AY39&lt;=22.5,0.5,0.25))</f>
        <v/>
      </c>
      <c r="BE39" s="37">
        <f>IF(AZ39&lt;=48,1,IF(AZ39&lt;=72,0.5,0.25))</f>
        <v/>
      </c>
      <c r="BF39" s="37">
        <f>IF(BA39=0, 0, IF(BA39&lt;=96, 1, IF(BA39&lt;=144, 0.5, 0.25)))</f>
        <v/>
      </c>
      <c r="BG39" s="37">
        <f>BB39*0.1</f>
        <v/>
      </c>
      <c r="BH39" s="37">
        <f>BC39*0.05</f>
        <v/>
      </c>
      <c r="BI39" s="37">
        <f>BD39*0.02</f>
        <v/>
      </c>
      <c r="BJ39" s="37">
        <f>BE39*0.01</f>
        <v/>
      </c>
      <c r="BK39" s="37">
        <f>BF39*0.01</f>
        <v/>
      </c>
      <c r="BL39" s="37">
        <f>VLOOKUP(B39,'KPI Ticketing'!B:AT,45,)</f>
        <v/>
      </c>
      <c r="BM39" s="37">
        <f>IF(BL39&gt;=0.8,1,IF(BL39&gt;=0.7,0.9,IF(BL39&gt;=0.6,0.8,IF(BL39&gt;=0.5,0.7,IF(BL39&gt;=0.4,0.6,IF(BL39&gt;=0.3,0.5,IF(BL39&gt;=0.2,0.4,IF(BL39&gt;=0.1,0.3,0.2))))))))</f>
        <v/>
      </c>
      <c r="BN39" s="37">
        <f>BM39*0.03</f>
        <v/>
      </c>
      <c r="BO39" s="37">
        <f>VLOOKUP(B39,'KPI Ticketing'!B:AX,49,)</f>
        <v/>
      </c>
      <c r="BP39" s="37">
        <f>IF(BO39&gt;=0.8,1,IF(BO39&gt;=0.7,0.9,IF(BO39&gt;=0.6,0.8,IF(BO39&gt;=0.5,0.7,IF(BO39&gt;=0.4,0.6,IF(BO39&gt;=0.3,0.5,IF(BO39&gt;=0.2,0.4,IF(BO39&gt;=0.1,0.3,0.2))))))))</f>
        <v/>
      </c>
      <c r="BQ39" s="37">
        <f>BP39*0.02</f>
        <v/>
      </c>
      <c r="BR39" s="37">
        <f>VLOOKUP(B39,'KPI Ticketing'!B:BB,53,)</f>
        <v/>
      </c>
      <c r="BS39" s="37">
        <f>IF(BR39&gt;=0.9,1,IF(BR39&gt;=0.8,0.9,IF(BR39&gt;=0.7,0.8,IF(BR39&gt;=0.6,0.7,IF(BR39&gt;=0.5,0.6,IF(BR39&gt;=0.4,0.5,IF(BR39&gt;=0.3,0.4,IF(BR39&gt;=0.2,0.3,IF(BR39&gt;=0.1,0.2,0.1)))))))))</f>
        <v/>
      </c>
      <c r="BT39" s="37">
        <f>BS39*0.05</f>
        <v/>
      </c>
      <c r="BU39" s="39" t="n">
        <v>0.08</v>
      </c>
      <c r="BV39" s="39" t="n">
        <v>0.06</v>
      </c>
      <c r="BW39" s="39" t="n">
        <v>0.09</v>
      </c>
      <c r="BX39" s="39" t="n">
        <v>0.06</v>
      </c>
    </row>
    <row r="40">
      <c r="A40" t="inlineStr">
        <is>
          <t>R07_Bali Nusra</t>
        </is>
      </c>
      <c r="B40" t="inlineStr">
        <is>
          <t>NOP DENPASAR</t>
        </is>
      </c>
      <c r="C40" s="36">
        <f>RANK(D40,$D$10:$D$43,0)</f>
        <v/>
      </c>
      <c r="D40" s="37">
        <f>(G40*0.35)+(O40*65%)</f>
        <v/>
      </c>
      <c r="E40" s="36">
        <f>IF(D40&gt;=0.95,"Istimewa",IF(D40&gt;0.9,"Baik Sekali",IF(D40&gt;0.85,"Baik",IF(D40&gt;0.8,"Cukup","Kurang"))))</f>
        <v/>
      </c>
      <c r="F40" s="37">
        <f>0.29*0.65</f>
        <v/>
      </c>
      <c r="G40" s="37">
        <f>N40</f>
        <v/>
      </c>
      <c r="H40" s="37">
        <f>VLOOKUP(B40,'KPI Availability'!B:O,14,)</f>
        <v/>
      </c>
      <c r="I40" s="37">
        <f>VLOOKUP(B40,'KPI Availability'!B:P,15,)</f>
        <v/>
      </c>
      <c r="J40" s="37">
        <f>VLOOKUP(B40,'KPI Availability'!B:Q,16,)</f>
        <v/>
      </c>
      <c r="K40" s="37">
        <f>VLOOKUP(B40,'KPI Availability'!B:R,17,)</f>
        <v/>
      </c>
      <c r="L40" s="37">
        <f>VLOOKUP(B40,'KPI Availability'!B:S,18,)</f>
        <v/>
      </c>
      <c r="M40" s="37">
        <f>VLOOKUP(B40,'KPI Availability'!B:T,19,)</f>
        <v/>
      </c>
      <c r="N40" s="37">
        <f>SUM(H40:M40)</f>
        <v/>
      </c>
      <c r="O40" s="37">
        <f>P40+Q40+R40</f>
        <v/>
      </c>
      <c r="P40" s="37">
        <f>SUM(AA40:AD40,AG40,AJ40,AM40,AP40,AS40,AV40)</f>
        <v/>
      </c>
      <c r="Q40" s="37">
        <f>SUM(BG40:BK40,BN40,BQ40,BT40)</f>
        <v/>
      </c>
      <c r="R40" s="37">
        <f>SUM(BU40:BX40)</f>
        <v/>
      </c>
      <c r="S40" s="38">
        <f>VLOOKUP(B40,'KPI Ticketing'!B:C,2,)</f>
        <v/>
      </c>
      <c r="T40" s="38">
        <f>VLOOKUP(B40,'KPI Ticketing'!B:D,3,)</f>
        <v/>
      </c>
      <c r="U40" s="38">
        <f>VLOOKUP(B40,'KPI Ticketing'!B:E,4,)</f>
        <v/>
      </c>
      <c r="V40" s="38">
        <f>VLOOKUP(B40,'KPI Ticketing'!B:F,5,)</f>
        <v/>
      </c>
      <c r="W40" s="37">
        <f>IF(S40&lt;=4,100%,IF(S40&lt;=6,70%,IF(S40&lt;=8,40%,10%)))</f>
        <v/>
      </c>
      <c r="X40" s="37">
        <f>IF(T40&lt;=8,100%,IF(T40&lt;=12,50%,25%))</f>
        <v/>
      </c>
      <c r="Y40" s="37">
        <f>IF(U40&lt;=10,100%,IF(U40&lt;=15,50%,25%))</f>
        <v/>
      </c>
      <c r="Z40" s="37">
        <f>IF(V40&lt;=13,100%,IF(V40&lt;=19,50%,25%))</f>
        <v/>
      </c>
      <c r="AA40" s="37">
        <f>W40*0.13</f>
        <v/>
      </c>
      <c r="AB40" s="37">
        <f>X40*0.06</f>
        <v/>
      </c>
      <c r="AC40" s="37">
        <f>Y40*0.04</f>
        <v/>
      </c>
      <c r="AD40" s="37">
        <f>Z40*0.02</f>
        <v/>
      </c>
      <c r="AE40" s="37">
        <f>VLOOKUP(B40,'KPI Ticketing'!B:N,13,)</f>
        <v/>
      </c>
      <c r="AF40" s="37">
        <f>IF(AE40&gt;=0.8,1,IF(AE40&gt;=0.7,0.9,IF(AE40&gt;=0.6,0.8,IF(AE40&gt;=0.5,0.7,IF(AE40&gt;=0.4,0.6,IF(AE40&gt;=0.3,0.5,IF(AE40&gt;=0.2,0.4,IF(AE40&gt;=0.1,0.3,0.2))))))))</f>
        <v/>
      </c>
      <c r="AG40" s="37">
        <f>AF40*0.03</f>
        <v/>
      </c>
      <c r="AH40" s="37">
        <f>VLOOKUP(B40,'KPI Ticketing'!B:R,17,)</f>
        <v/>
      </c>
      <c r="AI40" s="37">
        <f>IF(AH40&gt;=0.8,1,IF(AH40&gt;=0.7,0.9,IF(AH40&gt;=0.6,0.8,IF(AH40&gt;=0.5,0.7,IF(AH40&gt;=0.4,0.6,IF(AH40&gt;=0.3,0.5,IF(AH40&gt;=0.2,0.4,IF(AH40&gt;=0.1,0.3,0.2))))))))</f>
        <v/>
      </c>
      <c r="AJ40" s="37">
        <f>AI40*0.02</f>
        <v/>
      </c>
      <c r="AK40" s="37">
        <f>VLOOKUP(B40,'KPI Ticketing'!B:V,21,)</f>
        <v/>
      </c>
      <c r="AL40" s="37">
        <f>IF(AK40&gt;=0.9,1,IF(AK40&gt;=0.8,0.9,IF(AK40&gt;=0.7,0.8,IF(AK40&gt;=0.6,0.7,IF(AK40&gt;=0.5,0.6,IF(AK40&gt;=0.4,0.5,IF(AK40&gt;=0.3,0.4,IF(AK40&gt;=0.2,0.3,IF(AK40&gt;=0.1,0.2,0.1)))))))))</f>
        <v/>
      </c>
      <c r="AM40" s="37">
        <f>AL40*0.05</f>
        <v/>
      </c>
      <c r="AN40" s="37">
        <f>VLOOKUP(B40,'KPI Ticketing'!B:Z,25,)</f>
        <v/>
      </c>
      <c r="AO40" s="37">
        <f>IF(AN40&gt;=0.95,1,IF(AN40&gt;=0.9,0.9,IF(AN40&gt;=0.8,0.8,IF(AN40&gt;=0.7,0.7,IF(AN40&gt;=0.6,0.6,IF(AN40&gt;=0.5,0.5,IF(AN40&gt;=0.4,0.4,IF(AN40&gt;=0.3,0.3,IF(AN40&gt;=0.2,0.2,IF(AN40&gt;=0.1,0.1,0.05))))))))))</f>
        <v/>
      </c>
      <c r="AP40" s="37">
        <f>AO40*0.05</f>
        <v/>
      </c>
      <c r="AQ40" s="37">
        <f>VLOOKUP(B40,'KPI Ticketing'!B:AC,28,)</f>
        <v/>
      </c>
      <c r="AR40" s="37">
        <f>IF(AQ40&lt;0.95,0.5,1)</f>
        <v/>
      </c>
      <c r="AS40" s="37">
        <f>AR40*0.01</f>
        <v/>
      </c>
      <c r="AT40" s="37">
        <f>VLOOKUP(B40,'KPI Ticketing'!B:AG,32,)</f>
        <v/>
      </c>
      <c r="AU40" s="37">
        <f>IF(AT40&lt;0.3,0.5,1)</f>
        <v/>
      </c>
      <c r="AV40" s="37">
        <f>AU40*0.01</f>
        <v/>
      </c>
      <c r="AW40" s="38">
        <f>VLOOKUP(B40,'KPI Ticketing'!B:AH,33,)</f>
        <v/>
      </c>
      <c r="AX40" s="38">
        <f>VLOOKUP(B40,'KPI Ticketing'!B:AI,34,)</f>
        <v/>
      </c>
      <c r="AY40" s="38">
        <f>VLOOKUP(B40,'KPI Ticketing'!B:AJ,35,)</f>
        <v/>
      </c>
      <c r="AZ40" s="38">
        <f>VLOOKUP(B40,'KPI Ticketing'!B:AK,36,)</f>
        <v/>
      </c>
      <c r="BA40" s="38">
        <f>VLOOKUP(B40,'KPI Ticketing'!B:AL,37,)</f>
        <v/>
      </c>
      <c r="BB40" s="37">
        <f>IF(AW40&lt;=2,1,IF(AW40&lt;=3,0.7,IF(AW40&lt;=4,0.4,0.1)))</f>
        <v/>
      </c>
      <c r="BC40" s="37">
        <f>IF(AX40&lt;=4,1,IF(AX40&lt;=6,0.5,0.25))</f>
        <v/>
      </c>
      <c r="BD40" s="37">
        <f>IF(AY40&lt;=15,1,IF(AY40&lt;=22.5,0.5,0.25))</f>
        <v/>
      </c>
      <c r="BE40" s="37">
        <f>IF(AZ40&lt;=48,1,IF(AZ40&lt;=72,0.5,0.25))</f>
        <v/>
      </c>
      <c r="BF40" s="37">
        <f>IF(BA40=0, 0, IF(BA40&lt;=96, 1, IF(BA40&lt;=144, 0.5, 0.25)))</f>
        <v/>
      </c>
      <c r="BG40" s="37">
        <f>BB40*0.1</f>
        <v/>
      </c>
      <c r="BH40" s="37">
        <f>BC40*0.05</f>
        <v/>
      </c>
      <c r="BI40" s="37">
        <f>BD40*0.02</f>
        <v/>
      </c>
      <c r="BJ40" s="37">
        <f>BE40*0.01</f>
        <v/>
      </c>
      <c r="BK40" s="37">
        <f>BF40*0.01</f>
        <v/>
      </c>
      <c r="BL40" s="37">
        <f>VLOOKUP(B40,'KPI Ticketing'!B:AT,45,)</f>
        <v/>
      </c>
      <c r="BM40" s="37">
        <f>IF(BL40&gt;=0.8,1,IF(BL40&gt;=0.7,0.9,IF(BL40&gt;=0.6,0.8,IF(BL40&gt;=0.5,0.7,IF(BL40&gt;=0.4,0.6,IF(BL40&gt;=0.3,0.5,IF(BL40&gt;=0.2,0.4,IF(BL40&gt;=0.1,0.3,0.2))))))))</f>
        <v/>
      </c>
      <c r="BN40" s="37">
        <f>BM40*0.03</f>
        <v/>
      </c>
      <c r="BO40" s="37">
        <f>VLOOKUP(B40,'KPI Ticketing'!B:AX,49,)</f>
        <v/>
      </c>
      <c r="BP40" s="37">
        <f>IF(BO40&gt;=0.8,1,IF(BO40&gt;=0.7,0.9,IF(BO40&gt;=0.6,0.8,IF(BO40&gt;=0.5,0.7,IF(BO40&gt;=0.4,0.6,IF(BO40&gt;=0.3,0.5,IF(BO40&gt;=0.2,0.4,IF(BO40&gt;=0.1,0.3,0.2))))))))</f>
        <v/>
      </c>
      <c r="BQ40" s="37">
        <f>BP40*0.02</f>
        <v/>
      </c>
      <c r="BR40" s="37">
        <f>VLOOKUP(B40,'KPI Ticketing'!B:BB,53,)</f>
        <v/>
      </c>
      <c r="BS40" s="37">
        <f>IF(BR40&gt;=0.9,1,IF(BR40&gt;=0.8,0.9,IF(BR40&gt;=0.7,0.8,IF(BR40&gt;=0.6,0.7,IF(BR40&gt;=0.5,0.6,IF(BR40&gt;=0.4,0.5,IF(BR40&gt;=0.3,0.4,IF(BR40&gt;=0.2,0.3,IF(BR40&gt;=0.1,0.2,0.1)))))))))</f>
        <v/>
      </c>
      <c r="BT40" s="37">
        <f>BS40*0.05</f>
        <v/>
      </c>
      <c r="BU40" s="39" t="n">
        <v>0.08</v>
      </c>
      <c r="BV40" s="39" t="n">
        <v>0.06</v>
      </c>
      <c r="BW40" s="39" t="n">
        <v>0.09</v>
      </c>
      <c r="BX40" s="39" t="n">
        <v>0.06</v>
      </c>
    </row>
    <row r="41">
      <c r="A41" t="inlineStr">
        <is>
          <t>R07_Bali Nusra</t>
        </is>
      </c>
      <c r="B41" t="inlineStr">
        <is>
          <t>NOP FLORES</t>
        </is>
      </c>
      <c r="C41" s="36">
        <f>RANK(D41,$D$10:$D$43,0)</f>
        <v/>
      </c>
      <c r="D41" s="37">
        <f>(G41*0.35)+(O41*65%)</f>
        <v/>
      </c>
      <c r="E41" s="36">
        <f>IF(D41&gt;=0.95,"Istimewa",IF(D41&gt;0.9,"Baik Sekali",IF(D41&gt;0.85,"Baik",IF(D41&gt;0.8,"Cukup","Kurang"))))</f>
        <v/>
      </c>
      <c r="F41" s="37">
        <f>0.29*0.65</f>
        <v/>
      </c>
      <c r="G41" s="37">
        <f>N41</f>
        <v/>
      </c>
      <c r="H41" s="37">
        <f>VLOOKUP(B41,'KPI Availability'!B:O,14,)</f>
        <v/>
      </c>
      <c r="I41" s="37">
        <f>VLOOKUP(B41,'KPI Availability'!B:P,15,)</f>
        <v/>
      </c>
      <c r="J41" s="37">
        <f>VLOOKUP(B41,'KPI Availability'!B:Q,16,)</f>
        <v/>
      </c>
      <c r="K41" s="37">
        <f>VLOOKUP(B41,'KPI Availability'!B:R,17,)</f>
        <v/>
      </c>
      <c r="L41" s="37">
        <f>VLOOKUP(B41,'KPI Availability'!B:S,18,)</f>
        <v/>
      </c>
      <c r="M41" s="37">
        <f>VLOOKUP(B41,'KPI Availability'!B:T,19,)</f>
        <v/>
      </c>
      <c r="N41" s="37">
        <f>SUM(H41:M41)</f>
        <v/>
      </c>
      <c r="O41" s="37">
        <f>P41+Q41+R41</f>
        <v/>
      </c>
      <c r="P41" s="37">
        <f>SUM(AA41:AD41,AG41,AJ41,AM41,AP41,AS41,AV41)</f>
        <v/>
      </c>
      <c r="Q41" s="37">
        <f>SUM(BG41:BK41,BN41,BQ41,BT41)</f>
        <v/>
      </c>
      <c r="R41" s="37">
        <f>SUM(BU41:BX41)</f>
        <v/>
      </c>
      <c r="S41" s="38">
        <f>VLOOKUP(B41,'KPI Ticketing'!B:C,2,)</f>
        <v/>
      </c>
      <c r="T41" s="38">
        <f>VLOOKUP(B41,'KPI Ticketing'!B:D,3,)</f>
        <v/>
      </c>
      <c r="U41" s="38">
        <f>VLOOKUP(B41,'KPI Ticketing'!B:E,4,)</f>
        <v/>
      </c>
      <c r="V41" s="38">
        <f>VLOOKUP(B41,'KPI Ticketing'!B:F,5,)</f>
        <v/>
      </c>
      <c r="W41" s="37">
        <f>IF(S41&lt;=4,100%,IF(S41&lt;=6,70%,IF(S41&lt;=8,40%,10%)))</f>
        <v/>
      </c>
      <c r="X41" s="37">
        <f>IF(T41&lt;=8,100%,IF(T41&lt;=12,50%,25%))</f>
        <v/>
      </c>
      <c r="Y41" s="37">
        <f>IF(U41&lt;=10,100%,IF(U41&lt;=15,50%,25%))</f>
        <v/>
      </c>
      <c r="Z41" s="37">
        <f>IF(V41&lt;=13,100%,IF(V41&lt;=19,50%,25%))</f>
        <v/>
      </c>
      <c r="AA41" s="37">
        <f>W41*0.13</f>
        <v/>
      </c>
      <c r="AB41" s="37">
        <f>X41*0.06</f>
        <v/>
      </c>
      <c r="AC41" s="37">
        <f>Y41*0.04</f>
        <v/>
      </c>
      <c r="AD41" s="37">
        <f>Z41*0.02</f>
        <v/>
      </c>
      <c r="AE41" s="37">
        <f>VLOOKUP(B41,'KPI Ticketing'!B:N,13,)</f>
        <v/>
      </c>
      <c r="AF41" s="37">
        <f>IF(AE41&gt;=0.8,1,IF(AE41&gt;=0.7,0.9,IF(AE41&gt;=0.6,0.8,IF(AE41&gt;=0.5,0.7,IF(AE41&gt;=0.4,0.6,IF(AE41&gt;=0.3,0.5,IF(AE41&gt;=0.2,0.4,IF(AE41&gt;=0.1,0.3,0.2))))))))</f>
        <v/>
      </c>
      <c r="AG41" s="37">
        <f>AF41*0.03</f>
        <v/>
      </c>
      <c r="AH41" s="37">
        <f>VLOOKUP(B41,'KPI Ticketing'!B:R,17,)</f>
        <v/>
      </c>
      <c r="AI41" s="37">
        <f>IF(AH41&gt;=0.8,1,IF(AH41&gt;=0.7,0.9,IF(AH41&gt;=0.6,0.8,IF(AH41&gt;=0.5,0.7,IF(AH41&gt;=0.4,0.6,IF(AH41&gt;=0.3,0.5,IF(AH41&gt;=0.2,0.4,IF(AH41&gt;=0.1,0.3,0.2))))))))</f>
        <v/>
      </c>
      <c r="AJ41" s="37">
        <f>AI41*0.02</f>
        <v/>
      </c>
      <c r="AK41" s="37">
        <f>VLOOKUP(B41,'KPI Ticketing'!B:V,21,)</f>
        <v/>
      </c>
      <c r="AL41" s="37">
        <f>IF(AK41&gt;=0.9,1,IF(AK41&gt;=0.8,0.9,IF(AK41&gt;=0.7,0.8,IF(AK41&gt;=0.6,0.7,IF(AK41&gt;=0.5,0.6,IF(AK41&gt;=0.4,0.5,IF(AK41&gt;=0.3,0.4,IF(AK41&gt;=0.2,0.3,IF(AK41&gt;=0.1,0.2,0.1)))))))))</f>
        <v/>
      </c>
      <c r="AM41" s="37">
        <f>AL41*0.05</f>
        <v/>
      </c>
      <c r="AN41" s="37">
        <f>VLOOKUP(B41,'KPI Ticketing'!B:Z,25,)</f>
        <v/>
      </c>
      <c r="AO41" s="37">
        <f>IF(AN41&gt;=0.95,1,IF(AN41&gt;=0.9,0.9,IF(AN41&gt;=0.8,0.8,IF(AN41&gt;=0.7,0.7,IF(AN41&gt;=0.6,0.6,IF(AN41&gt;=0.5,0.5,IF(AN41&gt;=0.4,0.4,IF(AN41&gt;=0.3,0.3,IF(AN41&gt;=0.2,0.2,IF(AN41&gt;=0.1,0.1,0.05))))))))))</f>
        <v/>
      </c>
      <c r="AP41" s="37">
        <f>AO41*0.05</f>
        <v/>
      </c>
      <c r="AQ41" s="37">
        <f>VLOOKUP(B41,'KPI Ticketing'!B:AC,28,)</f>
        <v/>
      </c>
      <c r="AR41" s="37">
        <f>IF(AQ41&lt;0.95,0.5,1)</f>
        <v/>
      </c>
      <c r="AS41" s="37">
        <f>AR41*0.01</f>
        <v/>
      </c>
      <c r="AT41" s="37">
        <f>VLOOKUP(B41,'KPI Ticketing'!B:AG,32,)</f>
        <v/>
      </c>
      <c r="AU41" s="37">
        <f>IF(AT41&lt;0.3,0.5,1)</f>
        <v/>
      </c>
      <c r="AV41" s="37">
        <f>AU41*0.01</f>
        <v/>
      </c>
      <c r="AW41" s="38">
        <f>VLOOKUP(B41,'KPI Ticketing'!B:AH,33,)</f>
        <v/>
      </c>
      <c r="AX41" s="38">
        <f>VLOOKUP(B41,'KPI Ticketing'!B:AI,34,)</f>
        <v/>
      </c>
      <c r="AY41" s="38">
        <f>VLOOKUP(B41,'KPI Ticketing'!B:AJ,35,)</f>
        <v/>
      </c>
      <c r="AZ41" s="38">
        <f>VLOOKUP(B41,'KPI Ticketing'!B:AK,36,)</f>
        <v/>
      </c>
      <c r="BA41" s="38">
        <f>VLOOKUP(B41,'KPI Ticketing'!B:AL,37,)</f>
        <v/>
      </c>
      <c r="BB41" s="37">
        <f>IF(AW41&lt;=2,1,IF(AW41&lt;=3,0.7,IF(AW41&lt;=4,0.4,0.1)))</f>
        <v/>
      </c>
      <c r="BC41" s="37">
        <f>IF(AX41&lt;=4,1,IF(AX41&lt;=6,0.5,0.25))</f>
        <v/>
      </c>
      <c r="BD41" s="37">
        <f>IF(AY41&lt;=15,1,IF(AY41&lt;=22.5,0.5,0.25))</f>
        <v/>
      </c>
      <c r="BE41" s="37">
        <f>IF(AZ41&lt;=48,1,IF(AZ41&lt;=72,0.5,0.25))</f>
        <v/>
      </c>
      <c r="BF41" s="37">
        <f>IF(BA41=0, 0, IF(BA41&lt;=96, 1, IF(BA41&lt;=144, 0.5, 0.25)))</f>
        <v/>
      </c>
      <c r="BG41" s="37">
        <f>BB41*0.1</f>
        <v/>
      </c>
      <c r="BH41" s="37">
        <f>BC41*0.05</f>
        <v/>
      </c>
      <c r="BI41" s="37">
        <f>BD41*0.02</f>
        <v/>
      </c>
      <c r="BJ41" s="37">
        <f>BE41*0.01</f>
        <v/>
      </c>
      <c r="BK41" s="37">
        <f>BF41*0.01</f>
        <v/>
      </c>
      <c r="BL41" s="37">
        <f>VLOOKUP(B41,'KPI Ticketing'!B:AT,45,)</f>
        <v/>
      </c>
      <c r="BM41" s="37">
        <f>IF(BL41&gt;=0.8,1,IF(BL41&gt;=0.7,0.9,IF(BL41&gt;=0.6,0.8,IF(BL41&gt;=0.5,0.7,IF(BL41&gt;=0.4,0.6,IF(BL41&gt;=0.3,0.5,IF(BL41&gt;=0.2,0.4,IF(BL41&gt;=0.1,0.3,0.2))))))))</f>
        <v/>
      </c>
      <c r="BN41" s="37">
        <f>BM41*0.03</f>
        <v/>
      </c>
      <c r="BO41" s="37">
        <f>VLOOKUP(B41,'KPI Ticketing'!B:AX,49,)</f>
        <v/>
      </c>
      <c r="BP41" s="37">
        <f>IF(BO41&gt;=0.8,1,IF(BO41&gt;=0.7,0.9,IF(BO41&gt;=0.6,0.8,IF(BO41&gt;=0.5,0.7,IF(BO41&gt;=0.4,0.6,IF(BO41&gt;=0.3,0.5,IF(BO41&gt;=0.2,0.4,IF(BO41&gt;=0.1,0.3,0.2))))))))</f>
        <v/>
      </c>
      <c r="BQ41" s="37">
        <f>BP41*0.02</f>
        <v/>
      </c>
      <c r="BR41" s="37">
        <f>VLOOKUP(B41,'KPI Ticketing'!B:BB,53,)</f>
        <v/>
      </c>
      <c r="BS41" s="37">
        <f>IF(BR41&gt;=0.9,1,IF(BR41&gt;=0.8,0.9,IF(BR41&gt;=0.7,0.8,IF(BR41&gt;=0.6,0.7,IF(BR41&gt;=0.5,0.6,IF(BR41&gt;=0.4,0.5,IF(BR41&gt;=0.3,0.4,IF(BR41&gt;=0.2,0.3,IF(BR41&gt;=0.1,0.2,0.1)))))))))</f>
        <v/>
      </c>
      <c r="BT41" s="37">
        <f>BS41*0.05</f>
        <v/>
      </c>
      <c r="BU41" s="39" t="n">
        <v>0.08</v>
      </c>
      <c r="BV41" s="39" t="n">
        <v>0.06</v>
      </c>
      <c r="BW41" s="39" t="n">
        <v>0.09</v>
      </c>
      <c r="BX41" s="39" t="n">
        <v>0.06</v>
      </c>
    </row>
    <row r="42">
      <c r="A42" t="inlineStr">
        <is>
          <t>R07_Bali Nusra</t>
        </is>
      </c>
      <c r="B42" t="inlineStr">
        <is>
          <t>NOP KUPANG</t>
        </is>
      </c>
      <c r="C42" s="36">
        <f>RANK(D42,$D$10:$D$43,0)</f>
        <v/>
      </c>
      <c r="D42" s="37">
        <f>(G42*0.35)+(O42*65%)</f>
        <v/>
      </c>
      <c r="E42" s="36">
        <f>IF(D42&gt;=0.95,"Istimewa",IF(D42&gt;0.9,"Baik Sekali",IF(D42&gt;0.85,"Baik",IF(D42&gt;0.8,"Cukup","Kurang"))))</f>
        <v/>
      </c>
      <c r="F42" s="37">
        <f>0.29*0.65</f>
        <v/>
      </c>
      <c r="G42" s="37">
        <f>N42</f>
        <v/>
      </c>
      <c r="H42" s="37">
        <f>VLOOKUP(B42,'KPI Availability'!B:O,14,)</f>
        <v/>
      </c>
      <c r="I42" s="37">
        <f>VLOOKUP(B42,'KPI Availability'!B:P,15,)</f>
        <v/>
      </c>
      <c r="J42" s="37">
        <f>VLOOKUP(B42,'KPI Availability'!B:Q,16,)</f>
        <v/>
      </c>
      <c r="K42" s="37">
        <f>VLOOKUP(B42,'KPI Availability'!B:R,17,)</f>
        <v/>
      </c>
      <c r="L42" s="37">
        <f>VLOOKUP(B42,'KPI Availability'!B:S,18,)</f>
        <v/>
      </c>
      <c r="M42" s="37">
        <f>VLOOKUP(B42,'KPI Availability'!B:T,19,)</f>
        <v/>
      </c>
      <c r="N42" s="37">
        <f>SUM(H42:M42)</f>
        <v/>
      </c>
      <c r="O42" s="37">
        <f>P42+Q42+R42</f>
        <v/>
      </c>
      <c r="P42" s="37">
        <f>SUM(AA42:AD42,AG42,AJ42,AM42,AP42,AS42,AV42)</f>
        <v/>
      </c>
      <c r="Q42" s="37">
        <f>SUM(BG42:BK42,BN42,BQ42,BT42)</f>
        <v/>
      </c>
      <c r="R42" s="37">
        <f>SUM(BU42:BX42)</f>
        <v/>
      </c>
      <c r="S42" s="38">
        <f>VLOOKUP(B42,'KPI Ticketing'!B:C,2,)</f>
        <v/>
      </c>
      <c r="T42" s="38">
        <f>VLOOKUP(B42,'KPI Ticketing'!B:D,3,)</f>
        <v/>
      </c>
      <c r="U42" s="38">
        <f>VLOOKUP(B42,'KPI Ticketing'!B:E,4,)</f>
        <v/>
      </c>
      <c r="V42" s="38">
        <f>VLOOKUP(B42,'KPI Ticketing'!B:F,5,)</f>
        <v/>
      </c>
      <c r="W42" s="37">
        <f>IF(S42&lt;=4,100%,IF(S42&lt;=6,70%,IF(S42&lt;=8,40%,10%)))</f>
        <v/>
      </c>
      <c r="X42" s="37">
        <f>IF(T42&lt;=8,100%,IF(T42&lt;=12,50%,25%))</f>
        <v/>
      </c>
      <c r="Y42" s="37">
        <f>IF(U42&lt;=10,100%,IF(U42&lt;=15,50%,25%))</f>
        <v/>
      </c>
      <c r="Z42" s="37">
        <f>IF(V42&lt;=13,100%,IF(V42&lt;=19,50%,25%))</f>
        <v/>
      </c>
      <c r="AA42" s="37">
        <f>W42*0.13</f>
        <v/>
      </c>
      <c r="AB42" s="37">
        <f>X42*0.06</f>
        <v/>
      </c>
      <c r="AC42" s="37">
        <f>Y42*0.04</f>
        <v/>
      </c>
      <c r="AD42" s="37">
        <f>Z42*0.02</f>
        <v/>
      </c>
      <c r="AE42" s="37">
        <f>VLOOKUP(B42,'KPI Ticketing'!B:N,13,)</f>
        <v/>
      </c>
      <c r="AF42" s="37">
        <f>IF(AE42&gt;=0.8,1,IF(AE42&gt;=0.7,0.9,IF(AE42&gt;=0.6,0.8,IF(AE42&gt;=0.5,0.7,IF(AE42&gt;=0.4,0.6,IF(AE42&gt;=0.3,0.5,IF(AE42&gt;=0.2,0.4,IF(AE42&gt;=0.1,0.3,0.2))))))))</f>
        <v/>
      </c>
      <c r="AG42" s="37">
        <f>AF42*0.03</f>
        <v/>
      </c>
      <c r="AH42" s="37">
        <f>VLOOKUP(B42,'KPI Ticketing'!B:R,17,)</f>
        <v/>
      </c>
      <c r="AI42" s="37">
        <f>IF(AH42&gt;=0.8,1,IF(AH42&gt;=0.7,0.9,IF(AH42&gt;=0.6,0.8,IF(AH42&gt;=0.5,0.7,IF(AH42&gt;=0.4,0.6,IF(AH42&gt;=0.3,0.5,IF(AH42&gt;=0.2,0.4,IF(AH42&gt;=0.1,0.3,0.2))))))))</f>
        <v/>
      </c>
      <c r="AJ42" s="37">
        <f>AI42*0.02</f>
        <v/>
      </c>
      <c r="AK42" s="37">
        <f>VLOOKUP(B42,'KPI Ticketing'!B:V,21,)</f>
        <v/>
      </c>
      <c r="AL42" s="37">
        <f>IF(AK42&gt;=0.9,1,IF(AK42&gt;=0.8,0.9,IF(AK42&gt;=0.7,0.8,IF(AK42&gt;=0.6,0.7,IF(AK42&gt;=0.5,0.6,IF(AK42&gt;=0.4,0.5,IF(AK42&gt;=0.3,0.4,IF(AK42&gt;=0.2,0.3,IF(AK42&gt;=0.1,0.2,0.1)))))))))</f>
        <v/>
      </c>
      <c r="AM42" s="37">
        <f>AL42*0.05</f>
        <v/>
      </c>
      <c r="AN42" s="37">
        <f>VLOOKUP(B42,'KPI Ticketing'!B:Z,25,)</f>
        <v/>
      </c>
      <c r="AO42" s="37">
        <f>IF(AN42&gt;=0.95,1,IF(AN42&gt;=0.9,0.9,IF(AN42&gt;=0.8,0.8,IF(AN42&gt;=0.7,0.7,IF(AN42&gt;=0.6,0.6,IF(AN42&gt;=0.5,0.5,IF(AN42&gt;=0.4,0.4,IF(AN42&gt;=0.3,0.3,IF(AN42&gt;=0.2,0.2,IF(AN42&gt;=0.1,0.1,0.05))))))))))</f>
        <v/>
      </c>
      <c r="AP42" s="37">
        <f>AO42*0.05</f>
        <v/>
      </c>
      <c r="AQ42" s="37">
        <f>VLOOKUP(B42,'KPI Ticketing'!B:AC,28,)</f>
        <v/>
      </c>
      <c r="AR42" s="37">
        <f>IF(AQ42&lt;0.95,0.5,1)</f>
        <v/>
      </c>
      <c r="AS42" s="37">
        <f>AR42*0.01</f>
        <v/>
      </c>
      <c r="AT42" s="37">
        <f>VLOOKUP(B42,'KPI Ticketing'!B:AG,32,)</f>
        <v/>
      </c>
      <c r="AU42" s="37">
        <f>IF(AT42&lt;0.3,0.5,1)</f>
        <v/>
      </c>
      <c r="AV42" s="37">
        <f>AU42*0.01</f>
        <v/>
      </c>
      <c r="AW42" s="38">
        <f>VLOOKUP(B42,'KPI Ticketing'!B:AH,33,)</f>
        <v/>
      </c>
      <c r="AX42" s="38">
        <f>VLOOKUP(B42,'KPI Ticketing'!B:AI,34,)</f>
        <v/>
      </c>
      <c r="AY42" s="38">
        <f>VLOOKUP(B42,'KPI Ticketing'!B:AJ,35,)</f>
        <v/>
      </c>
      <c r="AZ42" s="38">
        <f>VLOOKUP(B42,'KPI Ticketing'!B:AK,36,)</f>
        <v/>
      </c>
      <c r="BA42" s="38">
        <f>VLOOKUP(B42,'KPI Ticketing'!B:AL,37,)</f>
        <v/>
      </c>
      <c r="BB42" s="37">
        <f>IF(AW42&lt;=2,1,IF(AW42&lt;=3,0.7,IF(AW42&lt;=4,0.4,0.1)))</f>
        <v/>
      </c>
      <c r="BC42" s="37">
        <f>IF(AX42&lt;=4,1,IF(AX42&lt;=6,0.5,0.25))</f>
        <v/>
      </c>
      <c r="BD42" s="37">
        <f>IF(AY42&lt;=15,1,IF(AY42&lt;=22.5,0.5,0.25))</f>
        <v/>
      </c>
      <c r="BE42" s="37">
        <f>IF(AZ42&lt;=48,1,IF(AZ42&lt;=72,0.5,0.25))</f>
        <v/>
      </c>
      <c r="BF42" s="37">
        <f>IF(BA42=0, 0, IF(BA42&lt;=96, 1, IF(BA42&lt;=144, 0.5, 0.25)))</f>
        <v/>
      </c>
      <c r="BG42" s="37">
        <f>BB42*0.1</f>
        <v/>
      </c>
      <c r="BH42" s="37">
        <f>BC42*0.05</f>
        <v/>
      </c>
      <c r="BI42" s="37">
        <f>BD42*0.02</f>
        <v/>
      </c>
      <c r="BJ42" s="37">
        <f>BE42*0.01</f>
        <v/>
      </c>
      <c r="BK42" s="37">
        <f>BF42*0.01</f>
        <v/>
      </c>
      <c r="BL42" s="37">
        <f>VLOOKUP(B42,'KPI Ticketing'!B:AT,45,)</f>
        <v/>
      </c>
      <c r="BM42" s="37">
        <f>IF(BL42&gt;=0.8,1,IF(BL42&gt;=0.7,0.9,IF(BL42&gt;=0.6,0.8,IF(BL42&gt;=0.5,0.7,IF(BL42&gt;=0.4,0.6,IF(BL42&gt;=0.3,0.5,IF(BL42&gt;=0.2,0.4,IF(BL42&gt;=0.1,0.3,0.2))))))))</f>
        <v/>
      </c>
      <c r="BN42" s="37">
        <f>BM42*0.03</f>
        <v/>
      </c>
      <c r="BO42" s="37">
        <f>VLOOKUP(B42,'KPI Ticketing'!B:AX,49,)</f>
        <v/>
      </c>
      <c r="BP42" s="37">
        <f>IF(BO42&gt;=0.8,1,IF(BO42&gt;=0.7,0.9,IF(BO42&gt;=0.6,0.8,IF(BO42&gt;=0.5,0.7,IF(BO42&gt;=0.4,0.6,IF(BO42&gt;=0.3,0.5,IF(BO42&gt;=0.2,0.4,IF(BO42&gt;=0.1,0.3,0.2))))))))</f>
        <v/>
      </c>
      <c r="BQ42" s="37">
        <f>BP42*0.02</f>
        <v/>
      </c>
      <c r="BR42" s="37">
        <f>VLOOKUP(B42,'KPI Ticketing'!B:BB,53,)</f>
        <v/>
      </c>
      <c r="BS42" s="37">
        <f>IF(BR42&gt;=0.9,1,IF(BR42&gt;=0.8,0.9,IF(BR42&gt;=0.7,0.8,IF(BR42&gt;=0.6,0.7,IF(BR42&gt;=0.5,0.6,IF(BR42&gt;=0.4,0.5,IF(BR42&gt;=0.3,0.4,IF(BR42&gt;=0.2,0.3,IF(BR42&gt;=0.1,0.2,0.1)))))))))</f>
        <v/>
      </c>
      <c r="BT42" s="37">
        <f>BS42*0.05</f>
        <v/>
      </c>
      <c r="BU42" s="39" t="n">
        <v>0.08</v>
      </c>
      <c r="BV42" s="39" t="n">
        <v>0.06</v>
      </c>
      <c r="BW42" s="39" t="n">
        <v>0.09</v>
      </c>
      <c r="BX42" s="39" t="n">
        <v>0.06</v>
      </c>
    </row>
    <row r="43">
      <c r="A43" t="inlineStr">
        <is>
          <t>R07_Bali Nusra</t>
        </is>
      </c>
      <c r="B43" t="inlineStr">
        <is>
          <t>NOP MATARAM</t>
        </is>
      </c>
      <c r="C43" s="36">
        <f>RANK(D43,$D$10:$D$43,0)</f>
        <v/>
      </c>
      <c r="D43" s="37">
        <f>(G43*0.35)+(O43*65%)</f>
        <v/>
      </c>
      <c r="E43" s="36">
        <f>IF(D43&gt;=0.95,"Istimewa",IF(D43&gt;0.9,"Baik Sekali",IF(D43&gt;0.85,"Baik",IF(D43&gt;0.8,"Cukup","Kurang"))))</f>
        <v/>
      </c>
      <c r="F43" s="37">
        <f>0.29*0.65</f>
        <v/>
      </c>
      <c r="G43" s="37">
        <f>N43</f>
        <v/>
      </c>
      <c r="H43" s="37">
        <f>VLOOKUP(B43,'KPI Availability'!B:O,14,)</f>
        <v/>
      </c>
      <c r="I43" s="37">
        <f>VLOOKUP(B43,'KPI Availability'!B:P,15,)</f>
        <v/>
      </c>
      <c r="J43" s="37">
        <f>VLOOKUP(B43,'KPI Availability'!B:Q,16,)</f>
        <v/>
      </c>
      <c r="K43" s="37">
        <f>VLOOKUP(B43,'KPI Availability'!B:R,17,)</f>
        <v/>
      </c>
      <c r="L43" s="37">
        <f>VLOOKUP(B43,'KPI Availability'!B:S,18,)</f>
        <v/>
      </c>
      <c r="M43" s="37">
        <f>VLOOKUP(B43,'KPI Availability'!B:T,19,)</f>
        <v/>
      </c>
      <c r="N43" s="37">
        <f>SUM(H43:M43)</f>
        <v/>
      </c>
      <c r="O43" s="37">
        <f>P43+Q43+R43</f>
        <v/>
      </c>
      <c r="P43" s="37">
        <f>SUM(AA43:AD43,AG43,AJ43,AM43,AP43,AS43,AV43)</f>
        <v/>
      </c>
      <c r="Q43" s="37">
        <f>SUM(BG43:BK43,BN43,BQ43,BT43)</f>
        <v/>
      </c>
      <c r="R43" s="37">
        <f>SUM(BU43:BX43)</f>
        <v/>
      </c>
      <c r="S43" s="38">
        <f>VLOOKUP(B43,'KPI Ticketing'!B:C,2,)</f>
        <v/>
      </c>
      <c r="T43" s="38">
        <f>VLOOKUP(B43,'KPI Ticketing'!B:D,3,)</f>
        <v/>
      </c>
      <c r="U43" s="38">
        <f>VLOOKUP(B43,'KPI Ticketing'!B:E,4,)</f>
        <v/>
      </c>
      <c r="V43" s="38">
        <f>VLOOKUP(B43,'KPI Ticketing'!B:F,5,)</f>
        <v/>
      </c>
      <c r="W43" s="37">
        <f>IF(S43&lt;=4,100%,IF(S43&lt;=6,70%,IF(S43&lt;=8,40%,10%)))</f>
        <v/>
      </c>
      <c r="X43" s="37">
        <f>IF(T43&lt;=8,100%,IF(T43&lt;=12,50%,25%))</f>
        <v/>
      </c>
      <c r="Y43" s="37">
        <f>IF(U43&lt;=10,100%,IF(U43&lt;=15,50%,25%))</f>
        <v/>
      </c>
      <c r="Z43" s="37">
        <f>IF(V43&lt;=13,100%,IF(V43&lt;=19,50%,25%))</f>
        <v/>
      </c>
      <c r="AA43" s="37">
        <f>W43*0.13</f>
        <v/>
      </c>
      <c r="AB43" s="37">
        <f>X43*0.06</f>
        <v/>
      </c>
      <c r="AC43" s="37">
        <f>Y43*0.04</f>
        <v/>
      </c>
      <c r="AD43" s="37">
        <f>Z43*0.02</f>
        <v/>
      </c>
      <c r="AE43" s="37">
        <f>VLOOKUP(B43,'KPI Ticketing'!B:N,13,)</f>
        <v/>
      </c>
      <c r="AF43" s="37">
        <f>IF(AE43&gt;=0.8,1,IF(AE43&gt;=0.7,0.9,IF(AE43&gt;=0.6,0.8,IF(AE43&gt;=0.5,0.7,IF(AE43&gt;=0.4,0.6,IF(AE43&gt;=0.3,0.5,IF(AE43&gt;=0.2,0.4,IF(AE43&gt;=0.1,0.3,0.2))))))))</f>
        <v/>
      </c>
      <c r="AG43" s="37">
        <f>AF43*0.03</f>
        <v/>
      </c>
      <c r="AH43" s="37">
        <f>VLOOKUP(B43,'KPI Ticketing'!B:R,17,)</f>
        <v/>
      </c>
      <c r="AI43" s="37">
        <f>IF(AH43&gt;=0.8,1,IF(AH43&gt;=0.7,0.9,IF(AH43&gt;=0.6,0.8,IF(AH43&gt;=0.5,0.7,IF(AH43&gt;=0.4,0.6,IF(AH43&gt;=0.3,0.5,IF(AH43&gt;=0.2,0.4,IF(AH43&gt;=0.1,0.3,0.2))))))))</f>
        <v/>
      </c>
      <c r="AJ43" s="37">
        <f>AI43*0.02</f>
        <v/>
      </c>
      <c r="AK43" s="37">
        <f>VLOOKUP(B43,'KPI Ticketing'!B:V,21,)</f>
        <v/>
      </c>
      <c r="AL43" s="37">
        <f>IF(AK43&gt;=0.9,1,IF(AK43&gt;=0.8,0.9,IF(AK43&gt;=0.7,0.8,IF(AK43&gt;=0.6,0.7,IF(AK43&gt;=0.5,0.6,IF(AK43&gt;=0.4,0.5,IF(AK43&gt;=0.3,0.4,IF(AK43&gt;=0.2,0.3,IF(AK43&gt;=0.1,0.2,0.1)))))))))</f>
        <v/>
      </c>
      <c r="AM43" s="37">
        <f>AL43*0.05</f>
        <v/>
      </c>
      <c r="AN43" s="37">
        <f>VLOOKUP(B43,'KPI Ticketing'!B:Z,25,)</f>
        <v/>
      </c>
      <c r="AO43" s="37">
        <f>IF(AN43&gt;=0.95,1,IF(AN43&gt;=0.9,0.9,IF(AN43&gt;=0.8,0.8,IF(AN43&gt;=0.7,0.7,IF(AN43&gt;=0.6,0.6,IF(AN43&gt;=0.5,0.5,IF(AN43&gt;=0.4,0.4,IF(AN43&gt;=0.3,0.3,IF(AN43&gt;=0.2,0.2,IF(AN43&gt;=0.1,0.1,0.05))))))))))</f>
        <v/>
      </c>
      <c r="AP43" s="37">
        <f>AO43*0.05</f>
        <v/>
      </c>
      <c r="AQ43" s="37">
        <f>VLOOKUP(B43,'KPI Ticketing'!B:AC,28,)</f>
        <v/>
      </c>
      <c r="AR43" s="37">
        <f>IF(AQ43&lt;0.95,0.5,1)</f>
        <v/>
      </c>
      <c r="AS43" s="37">
        <f>AR43*0.01</f>
        <v/>
      </c>
      <c r="AT43" s="37">
        <f>VLOOKUP(B43,'KPI Ticketing'!B:AG,32,)</f>
        <v/>
      </c>
      <c r="AU43" s="37">
        <f>IF(AT43&lt;0.3,0.5,1)</f>
        <v/>
      </c>
      <c r="AV43" s="37">
        <f>AU43*0.01</f>
        <v/>
      </c>
      <c r="AW43" s="38">
        <f>VLOOKUP(B43,'KPI Ticketing'!B:AH,33,)</f>
        <v/>
      </c>
      <c r="AX43" s="38">
        <f>VLOOKUP(B43,'KPI Ticketing'!B:AI,34,)</f>
        <v/>
      </c>
      <c r="AY43" s="38">
        <f>VLOOKUP(B43,'KPI Ticketing'!B:AJ,35,)</f>
        <v/>
      </c>
      <c r="AZ43" s="38">
        <f>VLOOKUP(B43,'KPI Ticketing'!B:AK,36,)</f>
        <v/>
      </c>
      <c r="BA43" s="38">
        <f>VLOOKUP(B43,'KPI Ticketing'!B:AL,37,)</f>
        <v/>
      </c>
      <c r="BB43" s="37">
        <f>IF(AW43&lt;=2,1,IF(AW43&lt;=3,0.7,IF(AW43&lt;=4,0.4,0.1)))</f>
        <v/>
      </c>
      <c r="BC43" s="37">
        <f>IF(AX43&lt;=4,1,IF(AX43&lt;=6,0.5,0.25))</f>
        <v/>
      </c>
      <c r="BD43" s="37">
        <f>IF(AY43&lt;=15,1,IF(AY43&lt;=22.5,0.5,0.25))</f>
        <v/>
      </c>
      <c r="BE43" s="37">
        <f>IF(AZ43&lt;=48,1,IF(AZ43&lt;=72,0.5,0.25))</f>
        <v/>
      </c>
      <c r="BF43" s="37">
        <f>IF(BA43=0, 0, IF(BA43&lt;=96, 1, IF(BA43&lt;=144, 0.5, 0.25)))</f>
        <v/>
      </c>
      <c r="BG43" s="37">
        <f>BB43*0.1</f>
        <v/>
      </c>
      <c r="BH43" s="37">
        <f>BC43*0.05</f>
        <v/>
      </c>
      <c r="BI43" s="37">
        <f>BD43*0.02</f>
        <v/>
      </c>
      <c r="BJ43" s="37">
        <f>BE43*0.01</f>
        <v/>
      </c>
      <c r="BK43" s="37">
        <f>BF43*0.01</f>
        <v/>
      </c>
      <c r="BL43" s="37">
        <f>VLOOKUP(B43,'KPI Ticketing'!B:AT,45,)</f>
        <v/>
      </c>
      <c r="BM43" s="37">
        <f>IF(BL43&gt;=0.8,1,IF(BL43&gt;=0.7,0.9,IF(BL43&gt;=0.6,0.8,IF(BL43&gt;=0.5,0.7,IF(BL43&gt;=0.4,0.6,IF(BL43&gt;=0.3,0.5,IF(BL43&gt;=0.2,0.4,IF(BL43&gt;=0.1,0.3,0.2))))))))</f>
        <v/>
      </c>
      <c r="BN43" s="37">
        <f>BM43*0.03</f>
        <v/>
      </c>
      <c r="BO43" s="37">
        <f>VLOOKUP(B43,'KPI Ticketing'!B:AX,49,)</f>
        <v/>
      </c>
      <c r="BP43" s="37">
        <f>IF(BO43&gt;=0.8,1,IF(BO43&gt;=0.7,0.9,IF(BO43&gt;=0.6,0.8,IF(BO43&gt;=0.5,0.7,IF(BO43&gt;=0.4,0.6,IF(BO43&gt;=0.3,0.5,IF(BO43&gt;=0.2,0.4,IF(BO43&gt;=0.1,0.3,0.2))))))))</f>
        <v/>
      </c>
      <c r="BQ43" s="37">
        <f>BP43*0.02</f>
        <v/>
      </c>
      <c r="BR43" s="37">
        <f>VLOOKUP(B43,'KPI Ticketing'!B:BB,53,)</f>
        <v/>
      </c>
      <c r="BS43" s="37">
        <f>IF(BR43&gt;=0.9,1,IF(BR43&gt;=0.8,0.9,IF(BR43&gt;=0.7,0.8,IF(BR43&gt;=0.6,0.7,IF(BR43&gt;=0.5,0.6,IF(BR43&gt;=0.4,0.5,IF(BR43&gt;=0.3,0.4,IF(BR43&gt;=0.2,0.3,IF(BR43&gt;=0.1,0.2,0.1)))))))))</f>
        <v/>
      </c>
      <c r="BT43" s="37">
        <f>BS43*0.05</f>
        <v/>
      </c>
      <c r="BU43" s="39" t="n">
        <v>0.08</v>
      </c>
      <c r="BV43" s="39" t="n">
        <v>0.06</v>
      </c>
      <c r="BW43" s="39" t="n">
        <v>0.09</v>
      </c>
      <c r="BX43" s="39" t="n">
        <v>0.06</v>
      </c>
    </row>
  </sheetData>
  <mergeCells count="87">
    <mergeCell ref="BF9"/>
    <mergeCell ref="Q8:Q9"/>
    <mergeCell ref="BH9"/>
    <mergeCell ref="BS8:BS9"/>
    <mergeCell ref="BU8:BU9"/>
    <mergeCell ref="C7:C9"/>
    <mergeCell ref="AE8:AE9"/>
    <mergeCell ref="E7:E9"/>
    <mergeCell ref="AD9"/>
    <mergeCell ref="BB8:BF8"/>
    <mergeCell ref="O7:R7"/>
    <mergeCell ref="AQ8:AQ9"/>
    <mergeCell ref="AS8:AS9"/>
    <mergeCell ref="B7:B9"/>
    <mergeCell ref="AW9"/>
    <mergeCell ref="H8:H9"/>
    <mergeCell ref="AY9"/>
    <mergeCell ref="J8:J9"/>
    <mergeCell ref="BL8:BL9"/>
    <mergeCell ref="D7:D9"/>
    <mergeCell ref="AW7:BT7"/>
    <mergeCell ref="BK9"/>
    <mergeCell ref="BN8:BN9"/>
    <mergeCell ref="BX8:BX9"/>
    <mergeCell ref="W9"/>
    <mergeCell ref="AW8:BA8"/>
    <mergeCell ref="AH8:AH9"/>
    <mergeCell ref="BB9"/>
    <mergeCell ref="AJ8:AJ9"/>
    <mergeCell ref="AT8:AT9"/>
    <mergeCell ref="AV8:AV9"/>
    <mergeCell ref="X9"/>
    <mergeCell ref="Z9"/>
    <mergeCell ref="BJ9"/>
    <mergeCell ref="M8:M9"/>
    <mergeCell ref="BD9"/>
    <mergeCell ref="O8:O9"/>
    <mergeCell ref="AG8:AG9"/>
    <mergeCell ref="BO8:BO9"/>
    <mergeCell ref="AI8:AI9"/>
    <mergeCell ref="BQ8:BQ9"/>
    <mergeCell ref="A7:A9"/>
    <mergeCell ref="BE9"/>
    <mergeCell ref="AM8:AM9"/>
    <mergeCell ref="BG9"/>
    <mergeCell ref="R8:R9"/>
    <mergeCell ref="AO8:AO9"/>
    <mergeCell ref="H7:N7"/>
    <mergeCell ref="S9"/>
    <mergeCell ref="AC9"/>
    <mergeCell ref="AP8:AP9"/>
    <mergeCell ref="W8:Z8"/>
    <mergeCell ref="AR8:AR9"/>
    <mergeCell ref="BG8:BK8"/>
    <mergeCell ref="AA8:AD8"/>
    <mergeCell ref="BT8:BT9"/>
    <mergeCell ref="BV8:BV9"/>
    <mergeCell ref="AX9"/>
    <mergeCell ref="I8:I9"/>
    <mergeCell ref="F7:F9"/>
    <mergeCell ref="K8:K9"/>
    <mergeCell ref="AZ9"/>
    <mergeCell ref="BW8:BW9"/>
    <mergeCell ref="T9"/>
    <mergeCell ref="V9"/>
    <mergeCell ref="G7:G9"/>
    <mergeCell ref="AK8:AK9"/>
    <mergeCell ref="AU8:AU9"/>
    <mergeCell ref="S7:AV7"/>
    <mergeCell ref="BM8:BM9"/>
    <mergeCell ref="BI9"/>
    <mergeCell ref="BU7:BX7"/>
    <mergeCell ref="BA9"/>
    <mergeCell ref="L8:L9"/>
    <mergeCell ref="U9"/>
    <mergeCell ref="N8:N9"/>
    <mergeCell ref="BC9"/>
    <mergeCell ref="P8:P9"/>
    <mergeCell ref="BP8:BP9"/>
    <mergeCell ref="Y9"/>
    <mergeCell ref="AA9"/>
    <mergeCell ref="AL8:AL9"/>
    <mergeCell ref="S8:V8"/>
    <mergeCell ref="AN8:AN9"/>
    <mergeCell ref="AF8:AF9"/>
    <mergeCell ref="AB9"/>
    <mergeCell ref="BR8:BR9"/>
  </mergeCells>
  <conditionalFormatting sqref="E10:E43">
    <cfRule type="expression" priority="1" dxfId="0">
      <formula>E10:E43="Baik Sekali"</formula>
    </cfRule>
    <cfRule type="expression" priority="2" dxfId="1">
      <formula>E10:E43="Baik"</formula>
    </cfRule>
    <cfRule type="expression" priority="3" dxfId="2">
      <formula>E10:E43="Cukup"</formula>
    </cfRule>
    <cfRule type="expression" priority="4" dxfId="3">
      <formula>E10:E43="Istimewa"</formula>
    </cfRule>
    <cfRule type="expression" priority="5" dxfId="4">
      <formula>E10:E43="Kurang"</formula>
    </cfRule>
  </conditionalFormatting>
  <conditionalFormatting sqref="O10:O43">
    <cfRule type="expression" priority="6" dxfId="5">
      <formula>O10&lt;0.85</formula>
    </cfRule>
  </conditionalFormatting>
  <conditionalFormatting sqref="P10:P43">
    <cfRule type="expression" priority="7" dxfId="5">
      <formula>P10&lt;0.357</formula>
    </cfRule>
  </conditionalFormatting>
  <conditionalFormatting sqref="Q10:Q43">
    <cfRule type="expression" priority="8" dxfId="5">
      <formula>Q10&lt;0.2465</formula>
    </cfRule>
  </conditionalFormatting>
  <conditionalFormatting sqref="R10:R43">
    <cfRule type="expression" priority="9" dxfId="5">
      <formula>R10&lt;0.2465</formula>
    </cfRule>
  </conditionalFormatting>
  <conditionalFormatting sqref="S10:S43">
    <cfRule type="expression" priority="10" dxfId="6">
      <formula>S10&gt;4</formula>
    </cfRule>
  </conditionalFormatting>
  <conditionalFormatting sqref="T10:T43">
    <cfRule type="expression" priority="11" dxfId="6">
      <formula>T10&gt;8</formula>
    </cfRule>
  </conditionalFormatting>
  <conditionalFormatting sqref="U10:U43">
    <cfRule type="expression" priority="12" dxfId="6">
      <formula>U10&gt;10</formula>
    </cfRule>
  </conditionalFormatting>
  <conditionalFormatting sqref="V10:V43">
    <cfRule type="expression" priority="13" dxfId="6">
      <formula>V10&gt;13</formula>
    </cfRule>
  </conditionalFormatting>
  <conditionalFormatting sqref="AE10:AE43">
    <cfRule type="expression" priority="14" dxfId="7">
      <formula>AE10&lt;0.30</formula>
    </cfRule>
  </conditionalFormatting>
  <conditionalFormatting sqref="AH10:AH43">
    <cfRule type="expression" priority="15" dxfId="7">
      <formula>AH10&lt;0.30</formula>
    </cfRule>
  </conditionalFormatting>
  <conditionalFormatting sqref="AK10:AK43">
    <cfRule type="expression" priority="16" dxfId="7">
      <formula>AK10&lt;0.40</formula>
    </cfRule>
  </conditionalFormatting>
  <conditionalFormatting sqref="AN10:AN43">
    <cfRule type="expression" priority="17" dxfId="7">
      <formula>AN10&lt;0.50</formula>
    </cfRule>
  </conditionalFormatting>
  <conditionalFormatting sqref="AQ10:AQ43">
    <cfRule type="expression" priority="18" dxfId="7">
      <formula>AQ10&lt;0.95</formula>
    </cfRule>
  </conditionalFormatting>
  <conditionalFormatting sqref="AT10:AT43">
    <cfRule type="expression" priority="19" dxfId="7">
      <formula>AT10&lt;0.30</formula>
    </cfRule>
  </conditionalFormatting>
  <conditionalFormatting sqref="AW10:AW43">
    <cfRule type="expression" priority="20" dxfId="6">
      <formula>AW10&gt;2</formula>
    </cfRule>
  </conditionalFormatting>
  <conditionalFormatting sqref="AX10:AX43">
    <cfRule type="expression" priority="21" dxfId="6">
      <formula>AX10&gt;4</formula>
    </cfRule>
  </conditionalFormatting>
  <conditionalFormatting sqref="AY10:AY43">
    <cfRule type="expression" priority="22" dxfId="6">
      <formula>AY10&gt;15</formula>
    </cfRule>
  </conditionalFormatting>
  <conditionalFormatting sqref="AZ10:AZ43">
    <cfRule type="expression" priority="23" dxfId="6">
      <formula>AZ10&gt;48</formula>
    </cfRule>
  </conditionalFormatting>
  <conditionalFormatting sqref="BA10:BA43">
    <cfRule type="expression" priority="24" dxfId="6">
      <formula>BA10&gt;96</formula>
    </cfRule>
  </conditionalFormatting>
  <conditionalFormatting sqref="BL10:BL43">
    <cfRule type="expression" priority="25" dxfId="7">
      <formula>BL10&lt;0.30</formula>
    </cfRule>
  </conditionalFormatting>
  <conditionalFormatting sqref="BO10:BO43">
    <cfRule type="expression" priority="26" dxfId="7">
      <formula>BO10&lt;0.30</formula>
    </cfRule>
  </conditionalFormatting>
  <conditionalFormatting sqref="BS10:BS43">
    <cfRule type="expression" priority="27" dxfId="7">
      <formula>BS10&lt;0.40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</cols>
  <sheetData>
    <row r="1">
      <c r="A1" s="40" t="n"/>
      <c r="B1" s="40" t="n"/>
    </row>
    <row r="2">
      <c r="C2" s="3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32523"/>
    <outlinePr summaryBelow="1" summaryRight="1"/>
    <pageSetUpPr/>
  </sheetPr>
  <dimension ref="A1:BB3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0" customWidth="1" min="4" max="4"/>
    <col width="20" customWidth="1" min="5" max="5"/>
    <col width="20" customWidth="1" min="6" max="6"/>
    <col width="9" customWidth="1" min="7" max="7"/>
    <col width="7" customWidth="1" min="8" max="8"/>
    <col width="13" customWidth="1" min="9" max="9"/>
    <col width="21" customWidth="1" min="10" max="10"/>
    <col width="14" customWidth="1" min="11" max="11"/>
    <col width="12" customWidth="1" min="12" max="12"/>
    <col width="15" customWidth="1" min="13" max="13"/>
    <col width="21" customWidth="1" min="14" max="14"/>
    <col width="13" customWidth="1" min="15" max="15"/>
    <col width="11" customWidth="1" min="16" max="16"/>
    <col width="14" customWidth="1" min="17" max="17"/>
    <col width="21" customWidth="1" min="18" max="18"/>
    <col width="12" customWidth="1" min="19" max="19"/>
    <col width="10" customWidth="1" min="20" max="20"/>
    <col width="15" customWidth="1" min="21" max="21"/>
    <col width="21" customWidth="1" min="22" max="22"/>
    <col width="17" customWidth="1" min="23" max="23"/>
    <col width="15" customWidth="1" min="24" max="24"/>
    <col width="15" customWidth="1" min="25" max="25"/>
    <col width="21" customWidth="1" min="26" max="26"/>
    <col width="12" customWidth="1" min="27" max="27"/>
    <col width="12" customWidth="1" min="28" max="28"/>
    <col width="20" customWidth="1" min="29" max="29"/>
    <col width="10" customWidth="1" min="30" max="30"/>
    <col width="8" customWidth="1" min="31" max="31"/>
    <col width="12" customWidth="1" min="32" max="32"/>
    <col width="21" customWidth="1" min="33" max="33"/>
    <col width="22" customWidth="1" min="34" max="34"/>
    <col width="20" customWidth="1" min="35" max="35"/>
    <col width="20" customWidth="1" min="36" max="36"/>
    <col width="20" customWidth="1" min="37" max="37"/>
    <col width="21" customWidth="1" min="38" max="38"/>
    <col width="14" customWidth="1" min="39" max="39"/>
    <col width="13" customWidth="1" min="40" max="40"/>
    <col width="19" customWidth="1" min="41" max="41"/>
    <col width="21" customWidth="1" min="42" max="42"/>
    <col width="14" customWidth="1" min="43" max="43"/>
    <col width="12" customWidth="1" min="44" max="44"/>
    <col width="15" customWidth="1" min="45" max="45"/>
    <col width="21" customWidth="1" min="46" max="46"/>
    <col width="13" customWidth="1" min="47" max="47"/>
    <col width="11" customWidth="1" min="48" max="48"/>
    <col width="14" customWidth="1" min="49" max="49"/>
    <col width="21" customWidth="1" min="50" max="50"/>
    <col width="12" customWidth="1" min="51" max="51"/>
    <col width="10" customWidth="1" min="52" max="52"/>
    <col width="21" customWidth="1" min="53" max="53"/>
    <col width="21" customWidth="1" min="54" max="54"/>
  </cols>
  <sheetData>
    <row r="1">
      <c r="A1" s="41" t="inlineStr">
        <is>
          <t>Regional</t>
        </is>
      </c>
      <c r="B1" s="41" t="inlineStr">
        <is>
          <t>NOP</t>
        </is>
      </c>
      <c r="C1" s="42" t="inlineStr">
        <is>
          <t>IM-MTTRP90-Critical</t>
        </is>
      </c>
      <c r="D1" s="42" t="inlineStr">
        <is>
          <t>IM-MTTRP90-Major</t>
        </is>
      </c>
      <c r="E1" s="42" t="inlineStr">
        <is>
          <t>IM-MTTRP90-Minor</t>
        </is>
      </c>
      <c r="F1" s="42" t="inlineStr">
        <is>
          <t>IM-MTTRP90-Low</t>
        </is>
      </c>
      <c r="G1" s="43" t="inlineStr">
        <is>
          <t>IM-unTO</t>
        </is>
      </c>
      <c r="H1" s="43" t="inlineStr">
        <is>
          <t>IM-TO</t>
        </is>
      </c>
      <c r="I1" s="43" t="inlineStr">
        <is>
          <t>IM-TO-Total</t>
        </is>
      </c>
      <c r="J1" s="42" t="inlineStr">
        <is>
          <t>IM-%TO</t>
        </is>
      </c>
      <c r="K1" s="43" t="inlineStr">
        <is>
          <t>IM-unTO-High</t>
        </is>
      </c>
      <c r="L1" s="43" t="inlineStr">
        <is>
          <t>IM-TO-High</t>
        </is>
      </c>
      <c r="M1" s="43" t="inlineStr">
        <is>
          <t>IM-High-Total</t>
        </is>
      </c>
      <c r="N1" s="42" t="inlineStr">
        <is>
          <t>IM-High-%TO</t>
        </is>
      </c>
      <c r="O1" s="43" t="inlineStr">
        <is>
          <t>IM-unTO-Low</t>
        </is>
      </c>
      <c r="P1" s="43" t="inlineStr">
        <is>
          <t>IM-TO-Low</t>
        </is>
      </c>
      <c r="Q1" s="43" t="inlineStr">
        <is>
          <t>IM-Low-Total</t>
        </is>
      </c>
      <c r="R1" s="42" t="inlineStr">
        <is>
          <t>IM-Low-%TO</t>
        </is>
      </c>
      <c r="S1" s="43" t="inlineStr">
        <is>
          <t>IM-NoVisit</t>
        </is>
      </c>
      <c r="T1" s="43" t="inlineStr">
        <is>
          <t>IM-Visit</t>
        </is>
      </c>
      <c r="U1" s="43" t="inlineStr">
        <is>
          <t>IM-Visitation</t>
        </is>
      </c>
      <c r="V1" s="42" t="inlineStr">
        <is>
          <t>IM-%Visit</t>
        </is>
      </c>
      <c r="W1" s="43" t="inlineStr">
        <is>
          <t>IM-Top5-NoVisit</t>
        </is>
      </c>
      <c r="X1" s="43" t="inlineStr">
        <is>
          <t>IM-Top5-Visit</t>
        </is>
      </c>
      <c r="Y1" s="43" t="inlineStr">
        <is>
          <t>IM-Top5-Total</t>
        </is>
      </c>
      <c r="Z1" s="42" t="inlineStr">
        <is>
          <t>IM-%Top5</t>
        </is>
      </c>
      <c r="AA1" s="43" t="inlineStr">
        <is>
          <t>IM-Closing</t>
        </is>
      </c>
      <c r="AB1" s="43" t="inlineStr">
        <is>
          <t>IM-Total_x</t>
        </is>
      </c>
      <c r="AC1" s="42" t="inlineStr">
        <is>
          <t>IM-%Closing</t>
        </is>
      </c>
      <c r="AD1" s="43" t="inlineStr">
        <is>
          <t>IM-NoRCA</t>
        </is>
      </c>
      <c r="AE1" s="43" t="inlineStr">
        <is>
          <t>IM-RCA</t>
        </is>
      </c>
      <c r="AF1" s="43" t="inlineStr">
        <is>
          <t>IM-Total_y</t>
        </is>
      </c>
      <c r="AG1" s="42" t="inlineStr">
        <is>
          <t>IM-%RCA</t>
        </is>
      </c>
      <c r="AH1" s="44" t="inlineStr">
        <is>
          <t>EM-MTTRP90-Critical</t>
        </is>
      </c>
      <c r="AI1" s="44" t="inlineStr">
        <is>
          <t>EM-MTTRP90-Major</t>
        </is>
      </c>
      <c r="AJ1" s="44" t="inlineStr">
        <is>
          <t>EM-MTTRP90-Minor</t>
        </is>
      </c>
      <c r="AK1" s="44" t="inlineStr">
        <is>
          <t>EM-MTTRP90-Low</t>
        </is>
      </c>
      <c r="AL1" s="44" t="inlineStr">
        <is>
          <t>EM-MTTRP90-Very Low</t>
        </is>
      </c>
      <c r="AM1" s="45" t="inlineStr">
        <is>
          <t>EM-AutoClear</t>
        </is>
      </c>
      <c r="AN1" s="45" t="inlineStr">
        <is>
          <t>EM-Takeover</t>
        </is>
      </c>
      <c r="AO1" s="45" t="inlineStr">
        <is>
          <t>EM_Total_Takeover</t>
        </is>
      </c>
      <c r="AP1" s="44" t="inlineStr">
        <is>
          <t>EM_Percent_Takeover</t>
        </is>
      </c>
      <c r="AQ1" s="45" t="inlineStr">
        <is>
          <t>EM-unTO-High</t>
        </is>
      </c>
      <c r="AR1" s="45" t="inlineStr">
        <is>
          <t>EM-TO-High</t>
        </is>
      </c>
      <c r="AS1" s="45" t="inlineStr">
        <is>
          <t>EM-High-Total</t>
        </is>
      </c>
      <c r="AT1" s="44" t="inlineStr">
        <is>
          <t>EM-High-%TO</t>
        </is>
      </c>
      <c r="AU1" s="45" t="inlineStr">
        <is>
          <t>EM-unTO-Low</t>
        </is>
      </c>
      <c r="AV1" s="45" t="inlineStr">
        <is>
          <t>EM-TO-Low</t>
        </is>
      </c>
      <c r="AW1" s="45" t="inlineStr">
        <is>
          <t>EM-Low-Total</t>
        </is>
      </c>
      <c r="AX1" s="44" t="inlineStr">
        <is>
          <t>EM-Low-%TO</t>
        </is>
      </c>
      <c r="AY1" s="45" t="inlineStr">
        <is>
          <t>EM-NoVisit</t>
        </is>
      </c>
      <c r="AZ1" s="45" t="inlineStr">
        <is>
          <t>EM-Visit</t>
        </is>
      </c>
      <c r="BA1" s="45" t="inlineStr">
        <is>
          <t>EM-Visitation-Total</t>
        </is>
      </c>
      <c r="BB1" s="44" t="inlineStr">
        <is>
          <t>EM-%Visit</t>
        </is>
      </c>
    </row>
    <row r="2">
      <c r="A2" t="inlineStr">
        <is>
          <t>R01_Sumbagut</t>
        </is>
      </c>
      <c r="B2" t="inlineStr">
        <is>
          <t>NOP ACEH</t>
        </is>
      </c>
      <c r="C2" s="46" t="n">
        <v>3.68</v>
      </c>
      <c r="D2" s="46" t="n">
        <v>4.826000000000006</v>
      </c>
      <c r="E2" s="47" t="n">
        <v>9.4</v>
      </c>
      <c r="F2" s="47" t="n">
        <v>10.00100000000001</v>
      </c>
      <c r="G2" s="36" t="n">
        <v>471</v>
      </c>
      <c r="H2" s="36" t="n">
        <v>2606</v>
      </c>
      <c r="I2" s="36" t="n">
        <v>3077</v>
      </c>
      <c r="J2" s="48" t="n">
        <v>0.8469288267793306</v>
      </c>
      <c r="K2" s="36" t="n">
        <v>127</v>
      </c>
      <c r="L2" s="36" t="n">
        <v>627</v>
      </c>
      <c r="M2" s="36" t="n">
        <v>754</v>
      </c>
      <c r="N2" s="48" t="n">
        <v>0.8315649867374005</v>
      </c>
      <c r="O2" s="36" t="n">
        <v>344</v>
      </c>
      <c r="P2" s="36" t="n">
        <v>1979</v>
      </c>
      <c r="Q2" s="36" t="n">
        <v>2323</v>
      </c>
      <c r="R2" s="48" t="n">
        <v>0.8519156263452432</v>
      </c>
      <c r="S2" s="36" t="n">
        <v>358</v>
      </c>
      <c r="T2" s="36" t="n">
        <v>269</v>
      </c>
      <c r="U2" s="36" t="n">
        <v>627</v>
      </c>
      <c r="V2" s="48" t="n">
        <v>0.4290271132376395</v>
      </c>
      <c r="W2" s="36" t="n">
        <v>354</v>
      </c>
      <c r="X2" s="36" t="n">
        <v>268</v>
      </c>
      <c r="Y2" s="36" t="n">
        <v>622</v>
      </c>
      <c r="Z2" s="48" t="n">
        <v>0.4308681672025724</v>
      </c>
      <c r="AA2" s="36" t="n">
        <v>3076</v>
      </c>
      <c r="AB2" s="36" t="n">
        <v>3077</v>
      </c>
      <c r="AC2" s="48" t="n">
        <v>0.9996750081247969</v>
      </c>
      <c r="AD2" s="36" t="n">
        <v>2068</v>
      </c>
      <c r="AE2" s="36" t="n">
        <v>1009</v>
      </c>
      <c r="AF2" s="36" t="n">
        <v>3077</v>
      </c>
      <c r="AG2" s="48" t="n">
        <v>0.327916802079948</v>
      </c>
      <c r="AH2" s="49" t="n">
        <v>0.06</v>
      </c>
      <c r="AI2" s="49" t="n">
        <v>4.804000000000001</v>
      </c>
      <c r="AJ2" s="49" t="n">
        <v>69.11</v>
      </c>
      <c r="AK2" s="49" t="n">
        <v>128.152</v>
      </c>
      <c r="AL2" s="49" t="n">
        <v>0</v>
      </c>
      <c r="AM2" s="36" t="n">
        <v>1314</v>
      </c>
      <c r="AN2" s="36" t="n">
        <v>9245</v>
      </c>
      <c r="AO2" s="36" t="n">
        <v>10559</v>
      </c>
      <c r="AP2" s="50" t="n">
        <v>0.8755563973861161</v>
      </c>
      <c r="AQ2" s="36" t="n">
        <v>405</v>
      </c>
      <c r="AR2" s="36" t="n">
        <v>1073</v>
      </c>
      <c r="AS2" s="36" t="n">
        <v>1478</v>
      </c>
      <c r="AT2" s="50" t="n">
        <v>0.7259810554803789</v>
      </c>
      <c r="AU2" s="36" t="n">
        <v>880</v>
      </c>
      <c r="AV2" s="36" t="n">
        <v>8110</v>
      </c>
      <c r="AW2" s="36" t="n">
        <v>8990</v>
      </c>
      <c r="AX2" s="50" t="n">
        <v>0.9021134593993326</v>
      </c>
      <c r="AY2" s="36" t="n">
        <v>840</v>
      </c>
      <c r="AZ2" s="36" t="n">
        <v>233</v>
      </c>
      <c r="BA2" s="36" t="n">
        <v>1073</v>
      </c>
      <c r="BB2" s="50" t="n">
        <v>0.217148182665424</v>
      </c>
    </row>
    <row r="3">
      <c r="A3" t="inlineStr">
        <is>
          <t>R01_Sumbagut</t>
        </is>
      </c>
      <c r="B3" t="inlineStr">
        <is>
          <t>NOP BINJAI</t>
        </is>
      </c>
      <c r="C3" s="46" t="n">
        <v>9.9</v>
      </c>
      <c r="D3" s="46" t="n">
        <v>4.064000000000001</v>
      </c>
      <c r="E3" s="47" t="n">
        <v>4.28</v>
      </c>
      <c r="F3" s="47" t="n">
        <v>4.279</v>
      </c>
      <c r="G3" s="36" t="n">
        <v>473</v>
      </c>
      <c r="H3" s="36" t="n">
        <v>890</v>
      </c>
      <c r="I3" s="36" t="n">
        <v>1363</v>
      </c>
      <c r="J3" s="48" t="n">
        <v>0.652971386647102</v>
      </c>
      <c r="K3" s="36" t="n">
        <v>72</v>
      </c>
      <c r="L3" s="36" t="n">
        <v>238</v>
      </c>
      <c r="M3" s="36" t="n">
        <v>310</v>
      </c>
      <c r="N3" s="48" t="n">
        <v>0.7677419354838709</v>
      </c>
      <c r="O3" s="36" t="n">
        <v>401</v>
      </c>
      <c r="P3" s="36" t="n">
        <v>652</v>
      </c>
      <c r="Q3" s="36" t="n">
        <v>1053</v>
      </c>
      <c r="R3" s="48" t="n">
        <v>0.6191832858499525</v>
      </c>
      <c r="S3" s="36" t="n">
        <v>108</v>
      </c>
      <c r="T3" s="36" t="n">
        <v>130</v>
      </c>
      <c r="U3" s="36" t="n">
        <v>238</v>
      </c>
      <c r="V3" s="48" t="n">
        <v>0.5462184873949579</v>
      </c>
      <c r="W3" s="36" t="n">
        <v>108</v>
      </c>
      <c r="X3" s="36" t="n">
        <v>129</v>
      </c>
      <c r="Y3" s="36" t="n">
        <v>237</v>
      </c>
      <c r="Z3" s="48" t="n">
        <v>0.5443037974683544</v>
      </c>
      <c r="AA3" s="36" t="n">
        <v>1363</v>
      </c>
      <c r="AB3" s="36" t="n">
        <v>1363</v>
      </c>
      <c r="AC3" s="48" t="n">
        <v>1</v>
      </c>
      <c r="AD3" s="36" t="n">
        <v>875</v>
      </c>
      <c r="AE3" s="36" t="n">
        <v>488</v>
      </c>
      <c r="AF3" s="36" t="n">
        <v>1363</v>
      </c>
      <c r="AG3" s="48" t="n">
        <v>0.3580337490829054</v>
      </c>
      <c r="AH3" s="49" t="n">
        <v>0.02</v>
      </c>
      <c r="AI3" s="49" t="n">
        <v>2.729</v>
      </c>
      <c r="AJ3" s="49" t="n">
        <v>35.37100000000008</v>
      </c>
      <c r="AK3" s="49" t="n">
        <v>117.42</v>
      </c>
      <c r="AL3" s="49" t="n">
        <v>0</v>
      </c>
      <c r="AM3" s="36" t="n">
        <v>898</v>
      </c>
      <c r="AN3" s="36" t="n">
        <v>1828</v>
      </c>
      <c r="AO3" s="36" t="n">
        <v>2726</v>
      </c>
      <c r="AP3" s="50" t="n">
        <v>0.6705796038151137</v>
      </c>
      <c r="AQ3" s="36" t="n">
        <v>359</v>
      </c>
      <c r="AR3" s="36" t="n">
        <v>462</v>
      </c>
      <c r="AS3" s="36" t="n">
        <v>821</v>
      </c>
      <c r="AT3" s="50" t="n">
        <v>0.5627283800243605</v>
      </c>
      <c r="AU3" s="36" t="n">
        <v>469</v>
      </c>
      <c r="AV3" s="36" t="n">
        <v>1314</v>
      </c>
      <c r="AW3" s="36" t="n">
        <v>1783</v>
      </c>
      <c r="AX3" s="50" t="n">
        <v>0.7369601794727987</v>
      </c>
      <c r="AY3" s="36" t="n">
        <v>203</v>
      </c>
      <c r="AZ3" s="36" t="n">
        <v>259</v>
      </c>
      <c r="BA3" s="36" t="n">
        <v>462</v>
      </c>
      <c r="BB3" s="50" t="n">
        <v>0.5606060606060606</v>
      </c>
    </row>
    <row r="4">
      <c r="A4" t="inlineStr">
        <is>
          <t>R01_Sumbagut</t>
        </is>
      </c>
      <c r="B4" t="inlineStr">
        <is>
          <t>NOP MEDAN</t>
        </is>
      </c>
      <c r="C4" s="46" t="n">
        <v>4.649</v>
      </c>
      <c r="D4" s="46" t="n">
        <v>4.097</v>
      </c>
      <c r="E4" s="47" t="n">
        <v>4.608000000000001</v>
      </c>
      <c r="F4" s="47" t="n">
        <v>5.029</v>
      </c>
      <c r="G4" s="36" t="n">
        <v>944</v>
      </c>
      <c r="H4" s="36" t="n">
        <v>587</v>
      </c>
      <c r="I4" s="36" t="n">
        <v>1531</v>
      </c>
      <c r="J4" s="48" t="n">
        <v>0.3834095362508165</v>
      </c>
      <c r="K4" s="36" t="n">
        <v>286</v>
      </c>
      <c r="L4" s="36" t="n">
        <v>222</v>
      </c>
      <c r="M4" s="36" t="n">
        <v>508</v>
      </c>
      <c r="N4" s="48" t="n">
        <v>0.437007874015748</v>
      </c>
      <c r="O4" s="36" t="n">
        <v>658</v>
      </c>
      <c r="P4" s="36" t="n">
        <v>365</v>
      </c>
      <c r="Q4" s="36" t="n">
        <v>1023</v>
      </c>
      <c r="R4" s="48" t="n">
        <v>0.3567937438905181</v>
      </c>
      <c r="S4" s="36" t="n">
        <v>49</v>
      </c>
      <c r="T4" s="36" t="n">
        <v>173</v>
      </c>
      <c r="U4" s="36" t="n">
        <v>222</v>
      </c>
      <c r="V4" s="48" t="n">
        <v>0.7792792792792793</v>
      </c>
      <c r="W4" s="36" t="n">
        <v>46</v>
      </c>
      <c r="X4" s="36" t="n">
        <v>172</v>
      </c>
      <c r="Y4" s="36" t="n">
        <v>218</v>
      </c>
      <c r="Z4" s="48" t="n">
        <v>0.7889908256880734</v>
      </c>
      <c r="AA4" s="36" t="n">
        <v>1528</v>
      </c>
      <c r="AB4" s="36" t="n">
        <v>1531</v>
      </c>
      <c r="AC4" s="48" t="n">
        <v>0.9980404964075767</v>
      </c>
      <c r="AD4" s="36" t="n">
        <v>1168</v>
      </c>
      <c r="AE4" s="36" t="n">
        <v>363</v>
      </c>
      <c r="AF4" s="36" t="n">
        <v>1531</v>
      </c>
      <c r="AG4" s="48" t="n">
        <v>0.2370999346832136</v>
      </c>
      <c r="AH4" s="49" t="n">
        <v>0</v>
      </c>
      <c r="AI4" s="49" t="n">
        <v>5.385</v>
      </c>
      <c r="AJ4" s="49" t="n">
        <v>19.412</v>
      </c>
      <c r="AK4" s="49" t="n">
        <v>8.645999999999997</v>
      </c>
      <c r="AL4" s="49" t="n">
        <v>0</v>
      </c>
      <c r="AM4" s="36" t="n">
        <v>1032</v>
      </c>
      <c r="AN4" s="36" t="n">
        <v>488</v>
      </c>
      <c r="AO4" s="36" t="n">
        <v>1520</v>
      </c>
      <c r="AP4" s="50" t="n">
        <v>0.3210526315789474</v>
      </c>
      <c r="AQ4" s="36" t="n">
        <v>336</v>
      </c>
      <c r="AR4" s="36" t="n">
        <v>80</v>
      </c>
      <c r="AS4" s="36" t="n">
        <v>416</v>
      </c>
      <c r="AT4" s="50" t="n">
        <v>0.1923076923076923</v>
      </c>
      <c r="AU4" s="36" t="n">
        <v>595</v>
      </c>
      <c r="AV4" s="36" t="n">
        <v>394</v>
      </c>
      <c r="AW4" s="36" t="n">
        <v>989</v>
      </c>
      <c r="AX4" s="50" t="n">
        <v>0.3983822042467138</v>
      </c>
      <c r="AY4" s="36" t="n">
        <v>12</v>
      </c>
      <c r="AZ4" s="36" t="n">
        <v>68</v>
      </c>
      <c r="BA4" s="36" t="n">
        <v>80</v>
      </c>
      <c r="BB4" s="50" t="n">
        <v>0.85</v>
      </c>
    </row>
    <row r="5">
      <c r="A5" t="inlineStr">
        <is>
          <t>R01_Sumbagut</t>
        </is>
      </c>
      <c r="B5" t="inlineStr">
        <is>
          <t>NOP PADANG SIDEMPUAN</t>
        </is>
      </c>
      <c r="C5" s="46" t="n">
        <v>3.08</v>
      </c>
      <c r="D5" s="46" t="n">
        <v>4.154000000000001</v>
      </c>
      <c r="E5" s="47" t="n">
        <v>4.86</v>
      </c>
      <c r="F5" s="47" t="n">
        <v>6.385000000000003</v>
      </c>
      <c r="G5" s="36" t="n">
        <v>1647</v>
      </c>
      <c r="H5" s="36" t="n">
        <v>733</v>
      </c>
      <c r="I5" s="36" t="n">
        <v>2380</v>
      </c>
      <c r="J5" s="48" t="n">
        <v>0.3079831932773109</v>
      </c>
      <c r="K5" s="36" t="n">
        <v>177</v>
      </c>
      <c r="L5" s="36" t="n">
        <v>145</v>
      </c>
      <c r="M5" s="36" t="n">
        <v>322</v>
      </c>
      <c r="N5" s="48" t="n">
        <v>0.4503105590062112</v>
      </c>
      <c r="O5" s="36" t="n">
        <v>1470</v>
      </c>
      <c r="P5" s="36" t="n">
        <v>588</v>
      </c>
      <c r="Q5" s="36" t="n">
        <v>2058</v>
      </c>
      <c r="R5" s="48" t="n">
        <v>0.2857142857142857</v>
      </c>
      <c r="S5" s="36" t="n">
        <v>81</v>
      </c>
      <c r="T5" s="36" t="n">
        <v>64</v>
      </c>
      <c r="U5" s="36" t="n">
        <v>145</v>
      </c>
      <c r="V5" s="48" t="n">
        <v>0.4413793103448276</v>
      </c>
      <c r="W5" s="36" t="n">
        <v>81</v>
      </c>
      <c r="X5" s="36" t="n">
        <v>64</v>
      </c>
      <c r="Y5" s="36" t="n">
        <v>145</v>
      </c>
      <c r="Z5" s="48" t="n">
        <v>0.4413793103448276</v>
      </c>
      <c r="AA5" s="36" t="n">
        <v>2367</v>
      </c>
      <c r="AB5" s="36" t="n">
        <v>2380</v>
      </c>
      <c r="AC5" s="48" t="n">
        <v>0.9945378151260504</v>
      </c>
      <c r="AD5" s="36" t="n">
        <v>2078</v>
      </c>
      <c r="AE5" s="36" t="n">
        <v>302</v>
      </c>
      <c r="AF5" s="36" t="n">
        <v>2380</v>
      </c>
      <c r="AG5" s="48" t="n">
        <v>0.126890756302521</v>
      </c>
      <c r="AH5" s="49" t="n">
        <v>0.01</v>
      </c>
      <c r="AI5" s="49" t="n">
        <v>2.645999999999999</v>
      </c>
      <c r="AJ5" s="49" t="n">
        <v>12.46200000000001</v>
      </c>
      <c r="AK5" s="49" t="n">
        <v>98.80800000000001</v>
      </c>
      <c r="AL5" s="49" t="n">
        <v>0</v>
      </c>
      <c r="AM5" s="36" t="n">
        <v>6020</v>
      </c>
      <c r="AN5" s="36" t="n">
        <v>2513</v>
      </c>
      <c r="AO5" s="36" t="n">
        <v>8533</v>
      </c>
      <c r="AP5" s="50" t="n">
        <v>0.2945036915504512</v>
      </c>
      <c r="AQ5" s="36" t="n">
        <v>1265</v>
      </c>
      <c r="AR5" s="36" t="n">
        <v>893</v>
      </c>
      <c r="AS5" s="36" t="n">
        <v>2158</v>
      </c>
      <c r="AT5" s="50" t="n">
        <v>0.4138090824837813</v>
      </c>
      <c r="AU5" s="36" t="n">
        <v>4699</v>
      </c>
      <c r="AV5" s="36" t="n">
        <v>1611</v>
      </c>
      <c r="AW5" s="36" t="n">
        <v>6310</v>
      </c>
      <c r="AX5" s="50" t="n">
        <v>0.2553090332805071</v>
      </c>
      <c r="AY5" s="36" t="n">
        <v>471</v>
      </c>
      <c r="AZ5" s="36" t="n">
        <v>422</v>
      </c>
      <c r="BA5" s="36" t="n">
        <v>893</v>
      </c>
      <c r="BB5" s="50" t="n">
        <v>0.4725643896976484</v>
      </c>
    </row>
    <row r="6">
      <c r="A6" t="inlineStr">
        <is>
          <t>R01_Sumbagut</t>
        </is>
      </c>
      <c r="B6" t="inlineStr">
        <is>
          <t>NOP PEMATANG SIANTAR</t>
        </is>
      </c>
      <c r="C6" s="46" t="n">
        <v>3.66</v>
      </c>
      <c r="D6" s="46" t="n">
        <v>4.132000000000001</v>
      </c>
      <c r="E6" s="47" t="n">
        <v>5.337000000000002</v>
      </c>
      <c r="F6" s="47" t="n">
        <v>5.205</v>
      </c>
      <c r="G6" s="36" t="n">
        <v>2264</v>
      </c>
      <c r="H6" s="36" t="n">
        <v>1100</v>
      </c>
      <c r="I6" s="36" t="n">
        <v>3364</v>
      </c>
      <c r="J6" s="48" t="n">
        <v>0.3269916765755054</v>
      </c>
      <c r="K6" s="36" t="n">
        <v>583</v>
      </c>
      <c r="L6" s="36" t="n">
        <v>353</v>
      </c>
      <c r="M6" s="36" t="n">
        <v>936</v>
      </c>
      <c r="N6" s="48" t="n">
        <v>0.3771367521367521</v>
      </c>
      <c r="O6" s="36" t="n">
        <v>1681</v>
      </c>
      <c r="P6" s="36" t="n">
        <v>747</v>
      </c>
      <c r="Q6" s="36" t="n">
        <v>2428</v>
      </c>
      <c r="R6" s="48" t="n">
        <v>0.307660626029654</v>
      </c>
      <c r="S6" s="36" t="n">
        <v>115</v>
      </c>
      <c r="T6" s="36" t="n">
        <v>238</v>
      </c>
      <c r="U6" s="36" t="n">
        <v>353</v>
      </c>
      <c r="V6" s="48" t="n">
        <v>0.6742209631728046</v>
      </c>
      <c r="W6" s="36" t="n">
        <v>110</v>
      </c>
      <c r="X6" s="36" t="n">
        <v>233</v>
      </c>
      <c r="Y6" s="36" t="n">
        <v>343</v>
      </c>
      <c r="Z6" s="48" t="n">
        <v>0.6793002915451894</v>
      </c>
      <c r="AA6" s="36" t="n">
        <v>3347</v>
      </c>
      <c r="AB6" s="36" t="n">
        <v>3364</v>
      </c>
      <c r="AC6" s="48" t="n">
        <v>0.9949464922711059</v>
      </c>
      <c r="AD6" s="36" t="n">
        <v>2736</v>
      </c>
      <c r="AE6" s="36" t="n">
        <v>628</v>
      </c>
      <c r="AF6" s="36" t="n">
        <v>3364</v>
      </c>
      <c r="AG6" s="48" t="n">
        <v>0.1866825208085612</v>
      </c>
      <c r="AH6" s="49" t="n">
        <v>0.03</v>
      </c>
      <c r="AI6" s="49" t="n">
        <v>4.434000000000005</v>
      </c>
      <c r="AJ6" s="49" t="n">
        <v>71.42</v>
      </c>
      <c r="AK6" s="49" t="n">
        <v>74.16</v>
      </c>
      <c r="AL6" s="49" t="n">
        <v>0</v>
      </c>
      <c r="AM6" s="36" t="n">
        <v>12511</v>
      </c>
      <c r="AN6" s="36" t="n">
        <v>1604</v>
      </c>
      <c r="AO6" s="36" t="n">
        <v>14115</v>
      </c>
      <c r="AP6" s="50" t="n">
        <v>0.1136379737867517</v>
      </c>
      <c r="AQ6" s="36" t="n">
        <v>897</v>
      </c>
      <c r="AR6" s="36" t="n">
        <v>436</v>
      </c>
      <c r="AS6" s="36" t="n">
        <v>1333</v>
      </c>
      <c r="AT6" s="50" t="n">
        <v>0.3270817704426107</v>
      </c>
      <c r="AU6" s="36" t="n">
        <v>11510</v>
      </c>
      <c r="AV6" s="36" t="n">
        <v>1129</v>
      </c>
      <c r="AW6" s="36" t="n">
        <v>12639</v>
      </c>
      <c r="AX6" s="50" t="n">
        <v>0.0893266872379144</v>
      </c>
      <c r="AY6" s="36" t="n">
        <v>66</v>
      </c>
      <c r="AZ6" s="36" t="n">
        <v>370</v>
      </c>
      <c r="BA6" s="36" t="n">
        <v>436</v>
      </c>
      <c r="BB6" s="50" t="n">
        <v>0.8486238532110092</v>
      </c>
    </row>
    <row r="7">
      <c r="A7" t="inlineStr">
        <is>
          <t>R01_Sumbagut</t>
        </is>
      </c>
      <c r="B7" t="inlineStr">
        <is>
          <t>NOP RANTAU PRAPAT</t>
        </is>
      </c>
      <c r="C7" s="46" t="n">
        <v>5.12</v>
      </c>
      <c r="D7" s="46" t="n">
        <v>6.219000000000002</v>
      </c>
      <c r="E7" s="47" t="n">
        <v>5.59</v>
      </c>
      <c r="F7" s="47" t="n">
        <v>5.290000000000004</v>
      </c>
      <c r="G7" s="36" t="n">
        <v>3494</v>
      </c>
      <c r="H7" s="36" t="n">
        <v>1506</v>
      </c>
      <c r="I7" s="36" t="n">
        <v>5000</v>
      </c>
      <c r="J7" s="48" t="n">
        <v>0.3012</v>
      </c>
      <c r="K7" s="36" t="n">
        <v>583</v>
      </c>
      <c r="L7" s="36" t="n">
        <v>276</v>
      </c>
      <c r="M7" s="36" t="n">
        <v>859</v>
      </c>
      <c r="N7" s="48" t="n">
        <v>0.3213038416763679</v>
      </c>
      <c r="O7" s="36" t="n">
        <v>2911</v>
      </c>
      <c r="P7" s="36" t="n">
        <v>1230</v>
      </c>
      <c r="Q7" s="36" t="n">
        <v>4141</v>
      </c>
      <c r="R7" s="48" t="n">
        <v>0.297029702970297</v>
      </c>
      <c r="S7" s="36" t="n">
        <v>100</v>
      </c>
      <c r="T7" s="36" t="n">
        <v>176</v>
      </c>
      <c r="U7" s="36" t="n">
        <v>276</v>
      </c>
      <c r="V7" s="48" t="n">
        <v>0.6376811594202898</v>
      </c>
      <c r="W7" s="36" t="n">
        <v>99</v>
      </c>
      <c r="X7" s="36" t="n">
        <v>176</v>
      </c>
      <c r="Y7" s="36" t="n">
        <v>275</v>
      </c>
      <c r="Z7" s="48" t="n">
        <v>0.64</v>
      </c>
      <c r="AA7" s="36" t="n">
        <v>4951</v>
      </c>
      <c r="AB7" s="36" t="n">
        <v>5000</v>
      </c>
      <c r="AC7" s="48" t="n">
        <v>0.9902</v>
      </c>
      <c r="AD7" s="36" t="n">
        <v>4120</v>
      </c>
      <c r="AE7" s="36" t="n">
        <v>880</v>
      </c>
      <c r="AF7" s="36" t="n">
        <v>5000</v>
      </c>
      <c r="AG7" s="48" t="n">
        <v>0.176</v>
      </c>
      <c r="AH7" s="49" t="n">
        <v>0.03</v>
      </c>
      <c r="AI7" s="49" t="n">
        <v>4.291000000000001</v>
      </c>
      <c r="AJ7" s="49" t="n">
        <v>36.67700000000003</v>
      </c>
      <c r="AK7" s="49" t="n">
        <v>50.25</v>
      </c>
      <c r="AL7" s="49" t="n">
        <v>0</v>
      </c>
      <c r="AM7" s="36" t="n">
        <v>8995</v>
      </c>
      <c r="AN7" s="36" t="n">
        <v>673</v>
      </c>
      <c r="AO7" s="36" t="n">
        <v>9668</v>
      </c>
      <c r="AP7" s="50" t="n">
        <v>0.06961108812577575</v>
      </c>
      <c r="AQ7" s="36" t="n">
        <v>1027</v>
      </c>
      <c r="AR7" s="36" t="n">
        <v>203</v>
      </c>
      <c r="AS7" s="36" t="n">
        <v>1230</v>
      </c>
      <c r="AT7" s="50" t="n">
        <v>0.1650406504065041</v>
      </c>
      <c r="AU7" s="36" t="n">
        <v>7753</v>
      </c>
      <c r="AV7" s="36" t="n">
        <v>392</v>
      </c>
      <c r="AW7" s="36" t="n">
        <v>8145</v>
      </c>
      <c r="AX7" s="50" t="n">
        <v>0.04812768569674647</v>
      </c>
      <c r="AY7" s="36" t="n">
        <v>75</v>
      </c>
      <c r="AZ7" s="36" t="n">
        <v>128</v>
      </c>
      <c r="BA7" s="36" t="n">
        <v>203</v>
      </c>
      <c r="BB7" s="50" t="n">
        <v>0.6305418719211823</v>
      </c>
    </row>
    <row r="8">
      <c r="A8" t="inlineStr">
        <is>
          <t>R10_Sumbagteng</t>
        </is>
      </c>
      <c r="B8" t="inlineStr">
        <is>
          <t>NOP BATAM</t>
        </is>
      </c>
      <c r="C8" s="46" t="n">
        <v>3.076000000000002</v>
      </c>
      <c r="D8" s="46" t="n">
        <v>10.46000000000001</v>
      </c>
      <c r="E8" s="47" t="n">
        <v>6.884000000000006</v>
      </c>
      <c r="F8" s="47" t="n">
        <v>9.693000000000003</v>
      </c>
      <c r="G8" s="36" t="n">
        <v>2720</v>
      </c>
      <c r="H8" s="36" t="n">
        <v>1064</v>
      </c>
      <c r="I8" s="36" t="n">
        <v>3784</v>
      </c>
      <c r="J8" s="48" t="n">
        <v>0.2811839323467231</v>
      </c>
      <c r="K8" s="36" t="n">
        <v>480</v>
      </c>
      <c r="L8" s="36" t="n">
        <v>214</v>
      </c>
      <c r="M8" s="36" t="n">
        <v>694</v>
      </c>
      <c r="N8" s="48" t="n">
        <v>0.3083573487031701</v>
      </c>
      <c r="O8" s="36" t="n">
        <v>2240</v>
      </c>
      <c r="P8" s="36" t="n">
        <v>850</v>
      </c>
      <c r="Q8" s="36" t="n">
        <v>3090</v>
      </c>
      <c r="R8" s="48" t="n">
        <v>0.2750809061488673</v>
      </c>
      <c r="S8" s="36" t="n">
        <v>85</v>
      </c>
      <c r="T8" s="36" t="n">
        <v>129</v>
      </c>
      <c r="U8" s="36" t="n">
        <v>214</v>
      </c>
      <c r="V8" s="48" t="n">
        <v>0.602803738317757</v>
      </c>
      <c r="W8" s="36" t="n">
        <v>80</v>
      </c>
      <c r="X8" s="36" t="n">
        <v>129</v>
      </c>
      <c r="Y8" s="36" t="n">
        <v>209</v>
      </c>
      <c r="Z8" s="48" t="n">
        <v>0.6172248803827751</v>
      </c>
      <c r="AA8" s="36" t="n">
        <v>3759</v>
      </c>
      <c r="AB8" s="36" t="n">
        <v>3784</v>
      </c>
      <c r="AC8" s="48" t="n">
        <v>0.9933932346723044</v>
      </c>
      <c r="AD8" s="36" t="n">
        <v>3119</v>
      </c>
      <c r="AE8" s="36" t="n">
        <v>665</v>
      </c>
      <c r="AF8" s="36" t="n">
        <v>3784</v>
      </c>
      <c r="AG8" s="48" t="n">
        <v>0.1757399577167019</v>
      </c>
      <c r="AH8" s="49" t="n">
        <v>0.1269999999999997</v>
      </c>
      <c r="AI8" s="49" t="n">
        <v>5.605999999999997</v>
      </c>
      <c r="AJ8" s="49" t="n">
        <v>37.12800000000001</v>
      </c>
      <c r="AK8" s="49" t="n">
        <v>23.56</v>
      </c>
      <c r="AL8" s="49" t="n">
        <v>0</v>
      </c>
      <c r="AM8" s="36" t="n">
        <v>11482</v>
      </c>
      <c r="AN8" s="36" t="n">
        <v>1005</v>
      </c>
      <c r="AO8" s="36" t="n">
        <v>12487</v>
      </c>
      <c r="AP8" s="50" t="n">
        <v>0.08048370305117322</v>
      </c>
      <c r="AQ8" s="36" t="n">
        <v>1389</v>
      </c>
      <c r="AR8" s="36" t="n">
        <v>404</v>
      </c>
      <c r="AS8" s="36" t="n">
        <v>1793</v>
      </c>
      <c r="AT8" s="50" t="n">
        <v>0.2253206915783603</v>
      </c>
      <c r="AU8" s="36" t="n">
        <v>9981</v>
      </c>
      <c r="AV8" s="36" t="n">
        <v>587</v>
      </c>
      <c r="AW8" s="36" t="n">
        <v>10568</v>
      </c>
      <c r="AX8" s="50" t="n">
        <v>0.05554504163512491</v>
      </c>
      <c r="AY8" s="36" t="n">
        <v>78</v>
      </c>
      <c r="AZ8" s="36" t="n">
        <v>326</v>
      </c>
      <c r="BA8" s="36" t="n">
        <v>404</v>
      </c>
      <c r="BB8" s="50" t="n">
        <v>0.806930693069307</v>
      </c>
    </row>
    <row r="9">
      <c r="A9" t="inlineStr">
        <is>
          <t>R10_Sumbagteng</t>
        </is>
      </c>
      <c r="B9" t="inlineStr">
        <is>
          <t>NOP BUKITTINGGI</t>
        </is>
      </c>
      <c r="C9" s="46" t="n">
        <v>2.46</v>
      </c>
      <c r="D9" s="46" t="n">
        <v>4.244999999999999</v>
      </c>
      <c r="E9" s="47" t="n">
        <v>4.916000000000001</v>
      </c>
      <c r="F9" s="47" t="n">
        <v>5.880000000000001</v>
      </c>
      <c r="G9" s="36" t="n">
        <v>348</v>
      </c>
      <c r="H9" s="36" t="n">
        <v>1078</v>
      </c>
      <c r="I9" s="36" t="n">
        <v>1426</v>
      </c>
      <c r="J9" s="48" t="n">
        <v>0.7559607293127629</v>
      </c>
      <c r="K9" s="36" t="n">
        <v>55</v>
      </c>
      <c r="L9" s="36" t="n">
        <v>285</v>
      </c>
      <c r="M9" s="36" t="n">
        <v>340</v>
      </c>
      <c r="N9" s="48" t="n">
        <v>0.8382352941176471</v>
      </c>
      <c r="O9" s="36" t="n">
        <v>293</v>
      </c>
      <c r="P9" s="36" t="n">
        <v>793</v>
      </c>
      <c r="Q9" s="36" t="n">
        <v>1086</v>
      </c>
      <c r="R9" s="48" t="n">
        <v>0.7302025782688766</v>
      </c>
      <c r="S9" s="36" t="n">
        <v>94</v>
      </c>
      <c r="T9" s="36" t="n">
        <v>191</v>
      </c>
      <c r="U9" s="36" t="n">
        <v>285</v>
      </c>
      <c r="V9" s="48" t="n">
        <v>0.6701754385964912</v>
      </c>
      <c r="W9" s="36" t="n">
        <v>87</v>
      </c>
      <c r="X9" s="36" t="n">
        <v>186</v>
      </c>
      <c r="Y9" s="36" t="n">
        <v>273</v>
      </c>
      <c r="Z9" s="48" t="n">
        <v>0.6813186813186813</v>
      </c>
      <c r="AA9" s="36" t="n">
        <v>1402</v>
      </c>
      <c r="AB9" s="36" t="n">
        <v>1426</v>
      </c>
      <c r="AC9" s="48" t="n">
        <v>0.9831697054698457</v>
      </c>
      <c r="AD9" s="36" t="n">
        <v>776</v>
      </c>
      <c r="AE9" s="36" t="n">
        <v>650</v>
      </c>
      <c r="AF9" s="36" t="n">
        <v>1426</v>
      </c>
      <c r="AG9" s="48" t="n">
        <v>0.455820476858345</v>
      </c>
      <c r="AH9" s="49" t="n">
        <v>0.06</v>
      </c>
      <c r="AI9" s="49" t="n">
        <v>3.75</v>
      </c>
      <c r="AJ9" s="49" t="n">
        <v>13.044</v>
      </c>
      <c r="AK9" s="49" t="n">
        <v>102.086</v>
      </c>
      <c r="AL9" s="49" t="n">
        <v>0</v>
      </c>
      <c r="AM9" s="36" t="n">
        <v>5498</v>
      </c>
      <c r="AN9" s="36" t="n">
        <v>2202</v>
      </c>
      <c r="AO9" s="36" t="n">
        <v>7700</v>
      </c>
      <c r="AP9" s="50" t="n">
        <v>0.285974025974026</v>
      </c>
      <c r="AQ9" s="36" t="n">
        <v>119</v>
      </c>
      <c r="AR9" s="36" t="n">
        <v>470</v>
      </c>
      <c r="AS9" s="36" t="n">
        <v>589</v>
      </c>
      <c r="AT9" s="50" t="n">
        <v>0.797962648556876</v>
      </c>
      <c r="AU9" s="36" t="n">
        <v>5323</v>
      </c>
      <c r="AV9" s="36" t="n">
        <v>1716</v>
      </c>
      <c r="AW9" s="36" t="n">
        <v>7039</v>
      </c>
      <c r="AX9" s="50" t="n">
        <v>0.2437846284983662</v>
      </c>
      <c r="AY9" s="36" t="n">
        <v>199</v>
      </c>
      <c r="AZ9" s="36" t="n">
        <v>271</v>
      </c>
      <c r="BA9" s="36" t="n">
        <v>470</v>
      </c>
      <c r="BB9" s="50" t="n">
        <v>0.5765957446808511</v>
      </c>
    </row>
    <row r="10">
      <c r="A10" t="inlineStr">
        <is>
          <t>R10_Sumbagteng</t>
        </is>
      </c>
      <c r="B10" t="inlineStr">
        <is>
          <t>NOP DUMAI</t>
        </is>
      </c>
      <c r="C10" s="46" t="n">
        <v>4.66</v>
      </c>
      <c r="D10" s="46" t="n">
        <v>5.599999999999999</v>
      </c>
      <c r="E10" s="47" t="n">
        <v>5.69</v>
      </c>
      <c r="F10" s="47" t="n">
        <v>7.45</v>
      </c>
      <c r="G10" s="36" t="n">
        <v>3107</v>
      </c>
      <c r="H10" s="36" t="n">
        <v>2296</v>
      </c>
      <c r="I10" s="36" t="n">
        <v>5403</v>
      </c>
      <c r="J10" s="48" t="n">
        <v>0.424949102350546</v>
      </c>
      <c r="K10" s="36" t="n">
        <v>694</v>
      </c>
      <c r="L10" s="36" t="n">
        <v>772</v>
      </c>
      <c r="M10" s="36" t="n">
        <v>1466</v>
      </c>
      <c r="N10" s="48" t="n">
        <v>0.5266030013642565</v>
      </c>
      <c r="O10" s="36" t="n">
        <v>2413</v>
      </c>
      <c r="P10" s="36" t="n">
        <v>1524</v>
      </c>
      <c r="Q10" s="36" t="n">
        <v>3937</v>
      </c>
      <c r="R10" s="48" t="n">
        <v>0.3870967741935484</v>
      </c>
      <c r="S10" s="36" t="n">
        <v>208</v>
      </c>
      <c r="T10" s="36" t="n">
        <v>564</v>
      </c>
      <c r="U10" s="36" t="n">
        <v>772</v>
      </c>
      <c r="V10" s="48" t="n">
        <v>0.7305699481865285</v>
      </c>
      <c r="W10" s="36" t="n">
        <v>192</v>
      </c>
      <c r="X10" s="36" t="n">
        <v>543</v>
      </c>
      <c r="Y10" s="36" t="n">
        <v>735</v>
      </c>
      <c r="Z10" s="48" t="n">
        <v>0.7387755102040816</v>
      </c>
      <c r="AA10" s="36" t="n">
        <v>5278</v>
      </c>
      <c r="AB10" s="36" t="n">
        <v>5403</v>
      </c>
      <c r="AC10" s="48" t="n">
        <v>0.9768647047936332</v>
      </c>
      <c r="AD10" s="36" t="n">
        <v>4063</v>
      </c>
      <c r="AE10" s="36" t="n">
        <v>1340</v>
      </c>
      <c r="AF10" s="36" t="n">
        <v>5403</v>
      </c>
      <c r="AG10" s="48" t="n">
        <v>0.2480103646122525</v>
      </c>
      <c r="AH10" s="49" t="n">
        <v>0.17</v>
      </c>
      <c r="AI10" s="49" t="n">
        <v>4.65</v>
      </c>
      <c r="AJ10" s="49" t="n">
        <v>57.65500000000009</v>
      </c>
      <c r="AK10" s="49" t="n">
        <v>133.945</v>
      </c>
      <c r="AL10" s="49" t="n">
        <v>0</v>
      </c>
      <c r="AM10" s="36" t="n">
        <v>7136</v>
      </c>
      <c r="AN10" s="36" t="n">
        <v>3015</v>
      </c>
      <c r="AO10" s="36" t="n">
        <v>10151</v>
      </c>
      <c r="AP10" s="50" t="n">
        <v>0.2970150724066594</v>
      </c>
      <c r="AQ10" s="36" t="n">
        <v>1385</v>
      </c>
      <c r="AR10" s="36" t="n">
        <v>742</v>
      </c>
      <c r="AS10" s="36" t="n">
        <v>2127</v>
      </c>
      <c r="AT10" s="50" t="n">
        <v>0.3488481429243065</v>
      </c>
      <c r="AU10" s="36" t="n">
        <v>5387</v>
      </c>
      <c r="AV10" s="36" t="n">
        <v>2247</v>
      </c>
      <c r="AW10" s="36" t="n">
        <v>7634</v>
      </c>
      <c r="AX10" s="50" t="n">
        <v>0.2943411055802987</v>
      </c>
      <c r="AY10" s="36" t="n">
        <v>47</v>
      </c>
      <c r="AZ10" s="36" t="n">
        <v>695</v>
      </c>
      <c r="BA10" s="36" t="n">
        <v>742</v>
      </c>
      <c r="BB10" s="50" t="n">
        <v>0.9366576819407008</v>
      </c>
    </row>
    <row r="11">
      <c r="A11" t="inlineStr">
        <is>
          <t>R10_Sumbagteng</t>
        </is>
      </c>
      <c r="B11" t="inlineStr">
        <is>
          <t>NOP PADANG</t>
        </is>
      </c>
      <c r="C11" s="46" t="n">
        <v>3.661</v>
      </c>
      <c r="D11" s="46" t="n">
        <v>2.77</v>
      </c>
      <c r="E11" s="47" t="n">
        <v>6.21</v>
      </c>
      <c r="F11" s="47" t="n">
        <v>6.74</v>
      </c>
      <c r="G11" s="36" t="n">
        <v>561</v>
      </c>
      <c r="H11" s="36" t="n">
        <v>1521</v>
      </c>
      <c r="I11" s="36" t="n">
        <v>2082</v>
      </c>
      <c r="J11" s="48" t="n">
        <v>0.7305475504322767</v>
      </c>
      <c r="K11" s="36" t="n">
        <v>72</v>
      </c>
      <c r="L11" s="36" t="n">
        <v>173</v>
      </c>
      <c r="M11" s="36" t="n">
        <v>245</v>
      </c>
      <c r="N11" s="48" t="n">
        <v>0.7061224489795919</v>
      </c>
      <c r="O11" s="36" t="n">
        <v>489</v>
      </c>
      <c r="P11" s="36" t="n">
        <v>1348</v>
      </c>
      <c r="Q11" s="36" t="n">
        <v>1837</v>
      </c>
      <c r="R11" s="48" t="n">
        <v>0.7338051170386499</v>
      </c>
      <c r="S11" s="36" t="n">
        <v>85</v>
      </c>
      <c r="T11" s="36" t="n">
        <v>88</v>
      </c>
      <c r="U11" s="36" t="n">
        <v>173</v>
      </c>
      <c r="V11" s="48" t="n">
        <v>0.5086705202312138</v>
      </c>
      <c r="W11" s="36" t="n">
        <v>85</v>
      </c>
      <c r="X11" s="36" t="n">
        <v>88</v>
      </c>
      <c r="Y11" s="36" t="n">
        <v>173</v>
      </c>
      <c r="Z11" s="48" t="n">
        <v>0.5086705202312138</v>
      </c>
      <c r="AA11" s="36" t="n">
        <v>2051</v>
      </c>
      <c r="AB11" s="36" t="n">
        <v>2082</v>
      </c>
      <c r="AC11" s="48" t="n">
        <v>0.9851104707012488</v>
      </c>
      <c r="AD11" s="36" t="n">
        <v>1488</v>
      </c>
      <c r="AE11" s="36" t="n">
        <v>594</v>
      </c>
      <c r="AF11" s="36" t="n">
        <v>2082</v>
      </c>
      <c r="AG11" s="48" t="n">
        <v>0.2853025936599424</v>
      </c>
      <c r="AH11" s="49" t="n">
        <v>0.06</v>
      </c>
      <c r="AI11" s="49" t="n">
        <v>4.677999999999999</v>
      </c>
      <c r="AJ11" s="49" t="n">
        <v>37.19100000000004</v>
      </c>
      <c r="AK11" s="49" t="n">
        <v>60.467</v>
      </c>
      <c r="AL11" s="49" t="n">
        <v>0</v>
      </c>
      <c r="AM11" s="36" t="n">
        <v>2320</v>
      </c>
      <c r="AN11" s="36" t="n">
        <v>7260</v>
      </c>
      <c r="AO11" s="36" t="n">
        <v>9580</v>
      </c>
      <c r="AP11" s="50" t="n">
        <v>0.7578288100208769</v>
      </c>
      <c r="AQ11" s="36" t="n">
        <v>357</v>
      </c>
      <c r="AR11" s="36" t="n">
        <v>716</v>
      </c>
      <c r="AS11" s="36" t="n">
        <v>1073</v>
      </c>
      <c r="AT11" s="50" t="n">
        <v>0.6672879776328052</v>
      </c>
      <c r="AU11" s="36" t="n">
        <v>1924</v>
      </c>
      <c r="AV11" s="36" t="n">
        <v>6500</v>
      </c>
      <c r="AW11" s="36" t="n">
        <v>8424</v>
      </c>
      <c r="AX11" s="50" t="n">
        <v>0.7716049382716049</v>
      </c>
      <c r="AY11" s="36" t="n">
        <v>342</v>
      </c>
      <c r="AZ11" s="36" t="n">
        <v>374</v>
      </c>
      <c r="BA11" s="36" t="n">
        <v>716</v>
      </c>
      <c r="BB11" s="50" t="n">
        <v>0.5223463687150838</v>
      </c>
    </row>
    <row r="12">
      <c r="A12" t="inlineStr">
        <is>
          <t>R10_Sumbagteng</t>
        </is>
      </c>
      <c r="B12" t="inlineStr">
        <is>
          <t>NOP PEKANBARU</t>
        </is>
      </c>
      <c r="C12" s="46" t="n">
        <v>5.892000000000001</v>
      </c>
      <c r="D12" s="46" t="n">
        <v>5.841</v>
      </c>
      <c r="E12" s="47" t="n">
        <v>5.99</v>
      </c>
      <c r="F12" s="47" t="n">
        <v>7.737999999999997</v>
      </c>
      <c r="G12" s="36" t="n">
        <v>3025</v>
      </c>
      <c r="H12" s="36" t="n">
        <v>2305</v>
      </c>
      <c r="I12" s="36" t="n">
        <v>5330</v>
      </c>
      <c r="J12" s="48" t="n">
        <v>0.4324577861163227</v>
      </c>
      <c r="K12" s="36" t="n">
        <v>420</v>
      </c>
      <c r="L12" s="36" t="n">
        <v>483</v>
      </c>
      <c r="M12" s="36" t="n">
        <v>903</v>
      </c>
      <c r="N12" s="48" t="n">
        <v>0.5348837209302325</v>
      </c>
      <c r="O12" s="36" t="n">
        <v>2605</v>
      </c>
      <c r="P12" s="36" t="n">
        <v>1822</v>
      </c>
      <c r="Q12" s="36" t="n">
        <v>4427</v>
      </c>
      <c r="R12" s="48" t="n">
        <v>0.4115653941721256</v>
      </c>
      <c r="S12" s="36" t="n">
        <v>119</v>
      </c>
      <c r="T12" s="36" t="n">
        <v>364</v>
      </c>
      <c r="U12" s="36" t="n">
        <v>483</v>
      </c>
      <c r="V12" s="48" t="n">
        <v>0.7536231884057971</v>
      </c>
      <c r="W12" s="36" t="n">
        <v>116</v>
      </c>
      <c r="X12" s="36" t="n">
        <v>363</v>
      </c>
      <c r="Y12" s="36" t="n">
        <v>479</v>
      </c>
      <c r="Z12" s="48" t="n">
        <v>0.7578288100208769</v>
      </c>
      <c r="AA12" s="36" t="n">
        <v>5266</v>
      </c>
      <c r="AB12" s="36" t="n">
        <v>5330</v>
      </c>
      <c r="AC12" s="48" t="n">
        <v>0.9879924953095685</v>
      </c>
      <c r="AD12" s="36" t="n">
        <v>4079</v>
      </c>
      <c r="AE12" s="36" t="n">
        <v>1251</v>
      </c>
      <c r="AF12" s="36" t="n">
        <v>5330</v>
      </c>
      <c r="AG12" s="48" t="n">
        <v>0.2347091932457786</v>
      </c>
      <c r="AH12" s="49" t="n">
        <v>0.03</v>
      </c>
      <c r="AI12" s="49" t="n">
        <v>3.375999999999999</v>
      </c>
      <c r="AJ12" s="49" t="n">
        <v>49.13000000000001</v>
      </c>
      <c r="AK12" s="49" t="n">
        <v>100.257</v>
      </c>
      <c r="AL12" s="49" t="n">
        <v>0</v>
      </c>
      <c r="AM12" s="36" t="n">
        <v>6113</v>
      </c>
      <c r="AN12" s="36" t="n">
        <v>2668</v>
      </c>
      <c r="AO12" s="36" t="n">
        <v>8781</v>
      </c>
      <c r="AP12" s="50" t="n">
        <v>0.3038378316820408</v>
      </c>
      <c r="AQ12" s="36" t="n">
        <v>1819</v>
      </c>
      <c r="AR12" s="36" t="n">
        <v>834</v>
      </c>
      <c r="AS12" s="36" t="n">
        <v>2653</v>
      </c>
      <c r="AT12" s="50" t="n">
        <v>0.314361100640784</v>
      </c>
      <c r="AU12" s="36" t="n">
        <v>3963</v>
      </c>
      <c r="AV12" s="36" t="n">
        <v>1781</v>
      </c>
      <c r="AW12" s="36" t="n">
        <v>5744</v>
      </c>
      <c r="AX12" s="50" t="n">
        <v>0.3100626740947075</v>
      </c>
      <c r="AY12" s="36" t="n">
        <v>149</v>
      </c>
      <c r="AZ12" s="36" t="n">
        <v>685</v>
      </c>
      <c r="BA12" s="36" t="n">
        <v>834</v>
      </c>
      <c r="BB12" s="50" t="n">
        <v>0.8213429256594724</v>
      </c>
    </row>
    <row r="13">
      <c r="A13" t="inlineStr">
        <is>
          <t>R02_Sumbagsel</t>
        </is>
      </c>
      <c r="B13" t="inlineStr">
        <is>
          <t>NOP BENGKULU</t>
        </is>
      </c>
      <c r="C13" s="46" t="n">
        <v>2.71</v>
      </c>
      <c r="D13" s="46" t="n">
        <v>5.34</v>
      </c>
      <c r="E13" s="47" t="n">
        <v>5.295</v>
      </c>
      <c r="F13" s="47" t="n">
        <v>6.822</v>
      </c>
      <c r="G13" s="36" t="n">
        <v>2356</v>
      </c>
      <c r="H13" s="36" t="n">
        <v>1227</v>
      </c>
      <c r="I13" s="36" t="n">
        <v>3583</v>
      </c>
      <c r="J13" s="48" t="n">
        <v>0.3424504605079542</v>
      </c>
      <c r="K13" s="36" t="n">
        <v>571</v>
      </c>
      <c r="L13" s="36" t="n">
        <v>421</v>
      </c>
      <c r="M13" s="36" t="n">
        <v>992</v>
      </c>
      <c r="N13" s="48" t="n">
        <v>0.4243951612903226</v>
      </c>
      <c r="O13" s="36" t="n">
        <v>1785</v>
      </c>
      <c r="P13" s="36" t="n">
        <v>806</v>
      </c>
      <c r="Q13" s="36" t="n">
        <v>2591</v>
      </c>
      <c r="R13" s="48" t="n">
        <v>0.3110768043226553</v>
      </c>
      <c r="S13" s="36" t="n">
        <v>172</v>
      </c>
      <c r="T13" s="36" t="n">
        <v>249</v>
      </c>
      <c r="U13" s="36" t="n">
        <v>421</v>
      </c>
      <c r="V13" s="48" t="n">
        <v>0.5914489311163895</v>
      </c>
      <c r="W13" s="36" t="n">
        <v>150</v>
      </c>
      <c r="X13" s="36" t="n">
        <v>249</v>
      </c>
      <c r="Y13" s="36" t="n">
        <v>399</v>
      </c>
      <c r="Z13" s="48" t="n">
        <v>0.6240601503759399</v>
      </c>
      <c r="AA13" s="36" t="n">
        <v>3540</v>
      </c>
      <c r="AB13" s="36" t="n">
        <v>3583</v>
      </c>
      <c r="AC13" s="48" t="n">
        <v>0.9879988836170807</v>
      </c>
      <c r="AD13" s="36" t="n">
        <v>2959</v>
      </c>
      <c r="AE13" s="36" t="n">
        <v>624</v>
      </c>
      <c r="AF13" s="36" t="n">
        <v>3583</v>
      </c>
      <c r="AG13" s="48" t="n">
        <v>0.1741557354172481</v>
      </c>
      <c r="AH13" s="49" t="n">
        <v>0</v>
      </c>
      <c r="AI13" s="49" t="n">
        <v>6.57</v>
      </c>
      <c r="AJ13" s="49" t="n">
        <v>7.57</v>
      </c>
      <c r="AK13" s="49" t="n">
        <v>10.984</v>
      </c>
      <c r="AL13" s="49" t="n">
        <v>0</v>
      </c>
      <c r="AM13" s="36" t="n">
        <v>3459</v>
      </c>
      <c r="AN13" s="36" t="n">
        <v>2730</v>
      </c>
      <c r="AO13" s="36" t="n">
        <v>6189</v>
      </c>
      <c r="AP13" s="50" t="n">
        <v>0.4411051866214251</v>
      </c>
      <c r="AQ13" s="36" t="n">
        <v>2569</v>
      </c>
      <c r="AR13" s="36" t="n">
        <v>1551</v>
      </c>
      <c r="AS13" s="36" t="n">
        <v>4120</v>
      </c>
      <c r="AT13" s="50" t="n">
        <v>0.3764563106796117</v>
      </c>
      <c r="AU13" s="36" t="n">
        <v>647</v>
      </c>
      <c r="AV13" s="36" t="n">
        <v>941</v>
      </c>
      <c r="AW13" s="36" t="n">
        <v>1588</v>
      </c>
      <c r="AX13" s="50" t="n">
        <v>0.5925692695214105</v>
      </c>
      <c r="AY13" s="36" t="n">
        <v>198</v>
      </c>
      <c r="AZ13" s="36" t="n">
        <v>1353</v>
      </c>
      <c r="BA13" s="36" t="n">
        <v>1551</v>
      </c>
      <c r="BB13" s="50" t="n">
        <v>0.8723404255319149</v>
      </c>
    </row>
    <row r="14">
      <c r="A14" t="inlineStr">
        <is>
          <t>R02_Sumbagsel</t>
        </is>
      </c>
      <c r="B14" t="inlineStr">
        <is>
          <t>NOP JAMBI</t>
        </is>
      </c>
      <c r="C14" s="46" t="n">
        <v>3.66</v>
      </c>
      <c r="D14" s="46" t="n">
        <v>6.29</v>
      </c>
      <c r="E14" s="47" t="n">
        <v>5.921999999999998</v>
      </c>
      <c r="F14" s="47" t="n">
        <v>8.217999999999998</v>
      </c>
      <c r="G14" s="36" t="n">
        <v>2292</v>
      </c>
      <c r="H14" s="36" t="n">
        <v>2720</v>
      </c>
      <c r="I14" s="36" t="n">
        <v>5012</v>
      </c>
      <c r="J14" s="48" t="n">
        <v>0.5426975259377494</v>
      </c>
      <c r="K14" s="36" t="n">
        <v>639</v>
      </c>
      <c r="L14" s="36" t="n">
        <v>881</v>
      </c>
      <c r="M14" s="36" t="n">
        <v>1520</v>
      </c>
      <c r="N14" s="48" t="n">
        <v>0.5796052631578947</v>
      </c>
      <c r="O14" s="36" t="n">
        <v>1653</v>
      </c>
      <c r="P14" s="36" t="n">
        <v>1839</v>
      </c>
      <c r="Q14" s="36" t="n">
        <v>3492</v>
      </c>
      <c r="R14" s="48" t="n">
        <v>0.5266323024054983</v>
      </c>
      <c r="S14" s="36" t="n">
        <v>325</v>
      </c>
      <c r="T14" s="36" t="n">
        <v>556</v>
      </c>
      <c r="U14" s="36" t="n">
        <v>881</v>
      </c>
      <c r="V14" s="48" t="n">
        <v>0.6311010215664018</v>
      </c>
      <c r="W14" s="36" t="n">
        <v>303</v>
      </c>
      <c r="X14" s="36" t="n">
        <v>554</v>
      </c>
      <c r="Y14" s="36" t="n">
        <v>857</v>
      </c>
      <c r="Z14" s="48" t="n">
        <v>0.646441073512252</v>
      </c>
      <c r="AA14" s="36" t="n">
        <v>4997</v>
      </c>
      <c r="AB14" s="36" t="n">
        <v>5012</v>
      </c>
      <c r="AC14" s="48" t="n">
        <v>0.9970071827613727</v>
      </c>
      <c r="AD14" s="36" t="n">
        <v>3633</v>
      </c>
      <c r="AE14" s="36" t="n">
        <v>1379</v>
      </c>
      <c r="AF14" s="36" t="n">
        <v>5012</v>
      </c>
      <c r="AG14" s="48" t="n">
        <v>0.2751396648044693</v>
      </c>
      <c r="AH14" s="49" t="n">
        <v>0</v>
      </c>
      <c r="AI14" s="49" t="n">
        <v>7.96500000000001</v>
      </c>
      <c r="AJ14" s="49" t="n">
        <v>18.242</v>
      </c>
      <c r="AK14" s="49" t="n">
        <v>18</v>
      </c>
      <c r="AL14" s="49" t="n">
        <v>0</v>
      </c>
      <c r="AM14" s="36" t="n">
        <v>2686</v>
      </c>
      <c r="AN14" s="36" t="n">
        <v>4356</v>
      </c>
      <c r="AO14" s="36" t="n">
        <v>7042</v>
      </c>
      <c r="AP14" s="50" t="n">
        <v>0.6185742686736723</v>
      </c>
      <c r="AQ14" s="36" t="n">
        <v>1409</v>
      </c>
      <c r="AR14" s="36" t="n">
        <v>2099</v>
      </c>
      <c r="AS14" s="36" t="n">
        <v>3508</v>
      </c>
      <c r="AT14" s="50" t="n">
        <v>0.5983466362599772</v>
      </c>
      <c r="AU14" s="36" t="n">
        <v>1019</v>
      </c>
      <c r="AV14" s="36" t="n">
        <v>1897</v>
      </c>
      <c r="AW14" s="36" t="n">
        <v>2916</v>
      </c>
      <c r="AX14" s="50" t="n">
        <v>0.6505486968449932</v>
      </c>
      <c r="AY14" s="36" t="n">
        <v>522</v>
      </c>
      <c r="AZ14" s="36" t="n">
        <v>1577</v>
      </c>
      <c r="BA14" s="36" t="n">
        <v>2099</v>
      </c>
      <c r="BB14" s="50" t="n">
        <v>0.7513101476893759</v>
      </c>
    </row>
    <row r="15">
      <c r="A15" t="inlineStr">
        <is>
          <t>R02_Sumbagsel</t>
        </is>
      </c>
      <c r="B15" t="inlineStr">
        <is>
          <t>NOP LAMPUNG</t>
        </is>
      </c>
      <c r="C15" s="46" t="n">
        <v>3.84</v>
      </c>
      <c r="D15" s="46" t="n">
        <v>4.626000000000001</v>
      </c>
      <c r="E15" s="47" t="n">
        <v>4.564000000000003</v>
      </c>
      <c r="F15" s="47" t="n">
        <v>4.938000000000001</v>
      </c>
      <c r="G15" s="36" t="n">
        <v>796</v>
      </c>
      <c r="H15" s="36" t="n">
        <v>917</v>
      </c>
      <c r="I15" s="36" t="n">
        <v>1713</v>
      </c>
      <c r="J15" s="48" t="n">
        <v>0.535318155283129</v>
      </c>
      <c r="K15" s="36" t="n">
        <v>125</v>
      </c>
      <c r="L15" s="36" t="n">
        <v>296</v>
      </c>
      <c r="M15" s="36" t="n">
        <v>421</v>
      </c>
      <c r="N15" s="48" t="n">
        <v>0.7030878859857482</v>
      </c>
      <c r="O15" s="36" t="n">
        <v>671</v>
      </c>
      <c r="P15" s="36" t="n">
        <v>621</v>
      </c>
      <c r="Q15" s="36" t="n">
        <v>1292</v>
      </c>
      <c r="R15" s="48" t="n">
        <v>0.4806501547987616</v>
      </c>
      <c r="S15" s="36" t="n">
        <v>83</v>
      </c>
      <c r="T15" s="36" t="n">
        <v>213</v>
      </c>
      <c r="U15" s="36" t="n">
        <v>296</v>
      </c>
      <c r="V15" s="48" t="n">
        <v>0.7195945945945946</v>
      </c>
      <c r="W15" s="36" t="n">
        <v>83</v>
      </c>
      <c r="X15" s="36" t="n">
        <v>211</v>
      </c>
      <c r="Y15" s="36" t="n">
        <v>294</v>
      </c>
      <c r="Z15" s="48" t="n">
        <v>0.717687074829932</v>
      </c>
      <c r="AA15" s="36" t="n">
        <v>1710</v>
      </c>
      <c r="AB15" s="36" t="n">
        <v>1713</v>
      </c>
      <c r="AC15" s="48" t="n">
        <v>0.9982486865148862</v>
      </c>
      <c r="AD15" s="36" t="n">
        <v>1114</v>
      </c>
      <c r="AE15" s="36" t="n">
        <v>599</v>
      </c>
      <c r="AF15" s="36" t="n">
        <v>1713</v>
      </c>
      <c r="AG15" s="48" t="n">
        <v>0.3496789258610625</v>
      </c>
      <c r="AH15" s="49" t="n">
        <v>1.118000000000001</v>
      </c>
      <c r="AI15" s="49" t="n">
        <v>5.76400000000001</v>
      </c>
      <c r="AJ15" s="49" t="n">
        <v>5.86</v>
      </c>
      <c r="AK15" s="49" t="n">
        <v>27.06</v>
      </c>
      <c r="AL15" s="49" t="n">
        <v>0</v>
      </c>
      <c r="AM15" s="36" t="n">
        <v>477</v>
      </c>
      <c r="AN15" s="36" t="n">
        <v>4185</v>
      </c>
      <c r="AO15" s="36" t="n">
        <v>4662</v>
      </c>
      <c r="AP15" s="50" t="n">
        <v>0.8976833976833977</v>
      </c>
      <c r="AQ15" s="36" t="n">
        <v>235</v>
      </c>
      <c r="AR15" s="36" t="n">
        <v>903</v>
      </c>
      <c r="AS15" s="36" t="n">
        <v>1138</v>
      </c>
      <c r="AT15" s="50" t="n">
        <v>0.7934973637961336</v>
      </c>
      <c r="AU15" s="36" t="n">
        <v>174</v>
      </c>
      <c r="AV15" s="36" t="n">
        <v>3151</v>
      </c>
      <c r="AW15" s="36" t="n">
        <v>3325</v>
      </c>
      <c r="AX15" s="50" t="n">
        <v>0.9476691729323308</v>
      </c>
      <c r="AY15" s="36" t="n">
        <v>128</v>
      </c>
      <c r="AZ15" s="36" t="n">
        <v>775</v>
      </c>
      <c r="BA15" s="36" t="n">
        <v>903</v>
      </c>
      <c r="BB15" s="50" t="n">
        <v>0.8582502768549281</v>
      </c>
    </row>
    <row r="16">
      <c r="A16" t="inlineStr">
        <is>
          <t>R02_Sumbagsel</t>
        </is>
      </c>
      <c r="B16" t="inlineStr">
        <is>
          <t>NOP MUARA ENIM</t>
        </is>
      </c>
      <c r="C16" s="46" t="n">
        <v>3.31</v>
      </c>
      <c r="D16" s="46" t="n">
        <v>3.76</v>
      </c>
      <c r="E16" s="47" t="n">
        <v>5.27</v>
      </c>
      <c r="F16" s="47" t="n">
        <v>5.26</v>
      </c>
      <c r="G16" s="36" t="n">
        <v>2862</v>
      </c>
      <c r="H16" s="36" t="n">
        <v>1851</v>
      </c>
      <c r="I16" s="36" t="n">
        <v>4713</v>
      </c>
      <c r="J16" s="48" t="n">
        <v>0.3927434754933163</v>
      </c>
      <c r="K16" s="36" t="n">
        <v>590</v>
      </c>
      <c r="L16" s="36" t="n">
        <v>302</v>
      </c>
      <c r="M16" s="36" t="n">
        <v>892</v>
      </c>
      <c r="N16" s="48" t="n">
        <v>0.3385650224215246</v>
      </c>
      <c r="O16" s="36" t="n">
        <v>2272</v>
      </c>
      <c r="P16" s="36" t="n">
        <v>1549</v>
      </c>
      <c r="Q16" s="36" t="n">
        <v>3821</v>
      </c>
      <c r="R16" s="48" t="n">
        <v>0.4053912588327663</v>
      </c>
      <c r="S16" s="36" t="n">
        <v>138</v>
      </c>
      <c r="T16" s="36" t="n">
        <v>164</v>
      </c>
      <c r="U16" s="36" t="n">
        <v>302</v>
      </c>
      <c r="V16" s="48" t="n">
        <v>0.543046357615894</v>
      </c>
      <c r="W16" s="36" t="n">
        <v>120</v>
      </c>
      <c r="X16" s="36" t="n">
        <v>162</v>
      </c>
      <c r="Y16" s="36" t="n">
        <v>282</v>
      </c>
      <c r="Z16" s="48" t="n">
        <v>0.574468085106383</v>
      </c>
      <c r="AA16" s="36" t="n">
        <v>4601</v>
      </c>
      <c r="AB16" s="36" t="n">
        <v>4713</v>
      </c>
      <c r="AC16" s="48" t="n">
        <v>0.9762359431360068</v>
      </c>
      <c r="AD16" s="36" t="n">
        <v>3894</v>
      </c>
      <c r="AE16" s="36" t="n">
        <v>819</v>
      </c>
      <c r="AF16" s="36" t="n">
        <v>4713</v>
      </c>
      <c r="AG16" s="48" t="n">
        <v>0.1737746658179503</v>
      </c>
      <c r="AH16" s="49" t="n">
        <v>0</v>
      </c>
      <c r="AI16" s="49" t="n">
        <v>4.94</v>
      </c>
      <c r="AJ16" s="49" t="n">
        <v>6.536</v>
      </c>
      <c r="AK16" s="49" t="n">
        <v>8.94</v>
      </c>
      <c r="AL16" s="49" t="n">
        <v>0</v>
      </c>
      <c r="AM16" s="36" t="n">
        <v>3293</v>
      </c>
      <c r="AN16" s="36" t="n">
        <v>2676</v>
      </c>
      <c r="AO16" s="36" t="n">
        <v>5969</v>
      </c>
      <c r="AP16" s="50" t="n">
        <v>0.4483163008879209</v>
      </c>
      <c r="AQ16" s="36" t="n">
        <v>1458</v>
      </c>
      <c r="AR16" s="36" t="n">
        <v>1217</v>
      </c>
      <c r="AS16" s="36" t="n">
        <v>2675</v>
      </c>
      <c r="AT16" s="50" t="n">
        <v>0.4549532710280374</v>
      </c>
      <c r="AU16" s="36" t="n">
        <v>1250</v>
      </c>
      <c r="AV16" s="36" t="n">
        <v>1339</v>
      </c>
      <c r="AW16" s="36" t="n">
        <v>2589</v>
      </c>
      <c r="AX16" s="50" t="n">
        <v>0.5171881035148707</v>
      </c>
      <c r="AY16" s="36" t="n">
        <v>240</v>
      </c>
      <c r="AZ16" s="36" t="n">
        <v>977</v>
      </c>
      <c r="BA16" s="36" t="n">
        <v>1217</v>
      </c>
      <c r="BB16" s="50" t="n">
        <v>0.8027937551355793</v>
      </c>
    </row>
    <row r="17">
      <c r="A17" t="inlineStr">
        <is>
          <t>R02_Sumbagsel</t>
        </is>
      </c>
      <c r="B17" t="inlineStr">
        <is>
          <t>NOP PALEMBANG</t>
        </is>
      </c>
      <c r="C17" s="46" t="n">
        <v>2.943</v>
      </c>
      <c r="D17" s="46" t="n">
        <v>4.725</v>
      </c>
      <c r="E17" s="47" t="n">
        <v>7.606000000000003</v>
      </c>
      <c r="F17" s="47" t="n">
        <v>8.318000000000001</v>
      </c>
      <c r="G17" s="36" t="n">
        <v>3797</v>
      </c>
      <c r="H17" s="36" t="n">
        <v>1477</v>
      </c>
      <c r="I17" s="36" t="n">
        <v>5274</v>
      </c>
      <c r="J17" s="48" t="n">
        <v>0.2800530906332954</v>
      </c>
      <c r="K17" s="36" t="n">
        <v>400</v>
      </c>
      <c r="L17" s="36" t="n">
        <v>154</v>
      </c>
      <c r="M17" s="36" t="n">
        <v>554</v>
      </c>
      <c r="N17" s="48" t="n">
        <v>0.2779783393501805</v>
      </c>
      <c r="O17" s="36" t="n">
        <v>3397</v>
      </c>
      <c r="P17" s="36" t="n">
        <v>1323</v>
      </c>
      <c r="Q17" s="36" t="n">
        <v>4720</v>
      </c>
      <c r="R17" s="48" t="n">
        <v>0.2802966101694915</v>
      </c>
      <c r="S17" s="36" t="n">
        <v>78</v>
      </c>
      <c r="T17" s="36" t="n">
        <v>76</v>
      </c>
      <c r="U17" s="36" t="n">
        <v>154</v>
      </c>
      <c r="V17" s="48" t="n">
        <v>0.4935064935064935</v>
      </c>
      <c r="W17" s="36" t="n">
        <v>78</v>
      </c>
      <c r="X17" s="36" t="n">
        <v>76</v>
      </c>
      <c r="Y17" s="36" t="n">
        <v>154</v>
      </c>
      <c r="Z17" s="48" t="n">
        <v>0.4935064935064935</v>
      </c>
      <c r="AA17" s="36" t="n">
        <v>5272</v>
      </c>
      <c r="AB17" s="36" t="n">
        <v>5274</v>
      </c>
      <c r="AC17" s="48" t="n">
        <v>0.999620781190747</v>
      </c>
      <c r="AD17" s="36" t="n">
        <v>4630</v>
      </c>
      <c r="AE17" s="36" t="n">
        <v>644</v>
      </c>
      <c r="AF17" s="36" t="n">
        <v>5274</v>
      </c>
      <c r="AG17" s="48" t="n">
        <v>0.1221084565794463</v>
      </c>
      <c r="AH17" s="49" t="n">
        <v>0</v>
      </c>
      <c r="AI17" s="49" t="n">
        <v>5.798000000000002</v>
      </c>
      <c r="AJ17" s="49" t="n">
        <v>13.029</v>
      </c>
      <c r="AK17" s="49" t="n">
        <v>6</v>
      </c>
      <c r="AL17" s="49" t="n">
        <v>0</v>
      </c>
      <c r="AM17" s="36" t="n">
        <v>4742</v>
      </c>
      <c r="AN17" s="36" t="n">
        <v>2042</v>
      </c>
      <c r="AO17" s="36" t="n">
        <v>6784</v>
      </c>
      <c r="AP17" s="50" t="n">
        <v>0.3010023584905661</v>
      </c>
      <c r="AQ17" s="36" t="n">
        <v>2188</v>
      </c>
      <c r="AR17" s="36" t="n">
        <v>695</v>
      </c>
      <c r="AS17" s="36" t="n">
        <v>2883</v>
      </c>
      <c r="AT17" s="50" t="n">
        <v>0.2410683315990288</v>
      </c>
      <c r="AU17" s="36" t="n">
        <v>1841</v>
      </c>
      <c r="AV17" s="36" t="n">
        <v>1338</v>
      </c>
      <c r="AW17" s="36" t="n">
        <v>3179</v>
      </c>
      <c r="AX17" s="50" t="n">
        <v>0.4208870714061025</v>
      </c>
      <c r="AY17" s="36" t="n">
        <v>381</v>
      </c>
      <c r="AZ17" s="36" t="n">
        <v>314</v>
      </c>
      <c r="BA17" s="36" t="n">
        <v>695</v>
      </c>
      <c r="BB17" s="50" t="n">
        <v>0.4517985611510791</v>
      </c>
    </row>
    <row r="18">
      <c r="A18" t="inlineStr">
        <is>
          <t>R02_Sumbagsel</t>
        </is>
      </c>
      <c r="B18" t="inlineStr">
        <is>
          <t>NOP PANGKAL PINANG</t>
        </is>
      </c>
      <c r="C18" s="46" t="n">
        <v>1.943</v>
      </c>
      <c r="D18" s="46" t="n">
        <v>3.853999999999999</v>
      </c>
      <c r="E18" s="47" t="n">
        <v>5.42</v>
      </c>
      <c r="F18" s="47" t="n">
        <v>6.91</v>
      </c>
      <c r="G18" s="36" t="n">
        <v>260</v>
      </c>
      <c r="H18" s="36" t="n">
        <v>475</v>
      </c>
      <c r="I18" s="36" t="n">
        <v>735</v>
      </c>
      <c r="J18" s="48" t="n">
        <v>0.6462585034013606</v>
      </c>
      <c r="K18" s="36" t="n">
        <v>10</v>
      </c>
      <c r="L18" s="36" t="n">
        <v>29</v>
      </c>
      <c r="M18" s="36" t="n">
        <v>39</v>
      </c>
      <c r="N18" s="48" t="n">
        <v>0.7435897435897436</v>
      </c>
      <c r="O18" s="36" t="n">
        <v>250</v>
      </c>
      <c r="P18" s="36" t="n">
        <v>446</v>
      </c>
      <c r="Q18" s="36" t="n">
        <v>696</v>
      </c>
      <c r="R18" s="48" t="n">
        <v>0.6408045977011494</v>
      </c>
      <c r="S18" s="36" t="n">
        <v>11</v>
      </c>
      <c r="T18" s="36" t="n">
        <v>18</v>
      </c>
      <c r="U18" s="36" t="n">
        <v>29</v>
      </c>
      <c r="V18" s="48" t="n">
        <v>0.6206896551724138</v>
      </c>
      <c r="W18" s="36" t="n">
        <v>11</v>
      </c>
      <c r="X18" s="36" t="n">
        <v>18</v>
      </c>
      <c r="Y18" s="36" t="n">
        <v>29</v>
      </c>
      <c r="Z18" s="48" t="n">
        <v>0.6206896551724138</v>
      </c>
      <c r="AA18" s="36" t="n">
        <v>734</v>
      </c>
      <c r="AB18" s="36" t="n">
        <v>735</v>
      </c>
      <c r="AC18" s="48" t="n">
        <v>0.9986394557823129</v>
      </c>
      <c r="AD18" s="36" t="n">
        <v>482</v>
      </c>
      <c r="AE18" s="36" t="n">
        <v>253</v>
      </c>
      <c r="AF18" s="36" t="n">
        <v>735</v>
      </c>
      <c r="AG18" s="48" t="n">
        <v>0.3442176870748299</v>
      </c>
      <c r="AH18" s="49" t="n">
        <v>0</v>
      </c>
      <c r="AI18" s="49" t="n">
        <v>5.630000000000003</v>
      </c>
      <c r="AJ18" s="49" t="n">
        <v>5.865000000000001</v>
      </c>
      <c r="AK18" s="49" t="n">
        <v>8.4</v>
      </c>
      <c r="AL18" s="49" t="n">
        <v>0</v>
      </c>
      <c r="AM18" s="36" t="n">
        <v>371</v>
      </c>
      <c r="AN18" s="36" t="n">
        <v>1450</v>
      </c>
      <c r="AO18" s="36" t="n">
        <v>1821</v>
      </c>
      <c r="AP18" s="50" t="n">
        <v>0.7962657880285557</v>
      </c>
      <c r="AQ18" s="36" t="n">
        <v>90</v>
      </c>
      <c r="AR18" s="36" t="n">
        <v>473</v>
      </c>
      <c r="AS18" s="36" t="n">
        <v>563</v>
      </c>
      <c r="AT18" s="50" t="n">
        <v>0.8401420959147424</v>
      </c>
      <c r="AU18" s="36" t="n">
        <v>183</v>
      </c>
      <c r="AV18" s="36" t="n">
        <v>958</v>
      </c>
      <c r="AW18" s="36" t="n">
        <v>1141</v>
      </c>
      <c r="AX18" s="50" t="n">
        <v>0.8396143733567046</v>
      </c>
      <c r="AY18" s="36" t="n">
        <v>155</v>
      </c>
      <c r="AZ18" s="36" t="n">
        <v>318</v>
      </c>
      <c r="BA18" s="36" t="n">
        <v>473</v>
      </c>
      <c r="BB18" s="50" t="n">
        <v>0.6723044397463002</v>
      </c>
    </row>
    <row r="19">
      <c r="A19" t="inlineStr">
        <is>
          <t>R05_Jawa Tengah DIY</t>
        </is>
      </c>
      <c r="B19" t="inlineStr">
        <is>
          <t>NOP MAGELANG</t>
        </is>
      </c>
      <c r="C19" s="46" t="n">
        <v>3.740000000000001</v>
      </c>
      <c r="D19" s="46" t="n">
        <v>0</v>
      </c>
      <c r="E19" s="47" t="n">
        <v>4.53</v>
      </c>
      <c r="F19" s="47" t="n">
        <v>6.205</v>
      </c>
      <c r="G19" s="36" t="n">
        <v>110</v>
      </c>
      <c r="H19" s="36" t="n">
        <v>460</v>
      </c>
      <c r="I19" s="36" t="n">
        <v>570</v>
      </c>
      <c r="J19" s="48" t="n">
        <v>0.8070175438596491</v>
      </c>
      <c r="K19" s="36" t="n">
        <v>2</v>
      </c>
      <c r="L19" s="36" t="n">
        <v>62</v>
      </c>
      <c r="M19" s="36" t="n">
        <v>64</v>
      </c>
      <c r="N19" s="48" t="n">
        <v>0.96875</v>
      </c>
      <c r="O19" s="36" t="n">
        <v>108</v>
      </c>
      <c r="P19" s="36" t="n">
        <v>398</v>
      </c>
      <c r="Q19" s="36" t="n">
        <v>506</v>
      </c>
      <c r="R19" s="48" t="n">
        <v>0.7865612648221344</v>
      </c>
      <c r="S19" s="36" t="n">
        <v>13</v>
      </c>
      <c r="T19" s="36" t="n">
        <v>49</v>
      </c>
      <c r="U19" s="36" t="n">
        <v>62</v>
      </c>
      <c r="V19" s="48" t="n">
        <v>0.7903225806451613</v>
      </c>
      <c r="W19" s="36" t="n">
        <v>13</v>
      </c>
      <c r="X19" s="36" t="n">
        <v>49</v>
      </c>
      <c r="Y19" s="36" t="n">
        <v>62</v>
      </c>
      <c r="Z19" s="48" t="n">
        <v>0.7903225806451613</v>
      </c>
      <c r="AA19" s="36" t="n">
        <v>569</v>
      </c>
      <c r="AB19" s="36" t="n">
        <v>570</v>
      </c>
      <c r="AC19" s="48" t="n">
        <v>0.9982456140350877</v>
      </c>
      <c r="AD19" s="36" t="n">
        <v>165</v>
      </c>
      <c r="AE19" s="36" t="n">
        <v>405</v>
      </c>
      <c r="AF19" s="36" t="n">
        <v>570</v>
      </c>
      <c r="AG19" s="48" t="n">
        <v>0.7105263157894737</v>
      </c>
      <c r="AH19" s="49" t="n">
        <v>0.1720000000000002</v>
      </c>
      <c r="AI19" s="49" t="n">
        <v>2.828000000000001</v>
      </c>
      <c r="AJ19" s="49" t="n">
        <v>7.811</v>
      </c>
      <c r="AK19" s="49" t="n">
        <v>16.293</v>
      </c>
      <c r="AL19" s="49" t="n">
        <v>0</v>
      </c>
      <c r="AM19" s="36" t="n">
        <v>59</v>
      </c>
      <c r="AN19" s="36" t="n">
        <v>1195</v>
      </c>
      <c r="AO19" s="36" t="n">
        <v>1254</v>
      </c>
      <c r="AP19" s="50" t="n">
        <v>0.9529505582137161</v>
      </c>
      <c r="AQ19" s="36" t="n">
        <v>11</v>
      </c>
      <c r="AR19" s="36" t="n">
        <v>235</v>
      </c>
      <c r="AS19" s="36" t="n">
        <v>246</v>
      </c>
      <c r="AT19" s="50" t="n">
        <v>0.9552845528455285</v>
      </c>
      <c r="AU19" s="36" t="n">
        <v>48</v>
      </c>
      <c r="AV19" s="36" t="n">
        <v>960</v>
      </c>
      <c r="AW19" s="36" t="n">
        <v>1008</v>
      </c>
      <c r="AX19" s="50" t="n">
        <v>0.9523809523809523</v>
      </c>
      <c r="AY19" s="36" t="n">
        <v>26</v>
      </c>
      <c r="AZ19" s="36" t="n">
        <v>209</v>
      </c>
      <c r="BA19" s="36" t="n">
        <v>235</v>
      </c>
      <c r="BB19" s="50" t="n">
        <v>0.8893617021276595</v>
      </c>
    </row>
    <row r="20">
      <c r="A20" t="inlineStr">
        <is>
          <t>R05_Jawa Tengah DIY</t>
        </is>
      </c>
      <c r="B20" t="inlineStr">
        <is>
          <t>NOP PEKALONGAN</t>
        </is>
      </c>
      <c r="C20" s="46" t="n">
        <v>2.915999999999999</v>
      </c>
      <c r="D20" s="46" t="n">
        <v>0</v>
      </c>
      <c r="E20" s="47" t="n">
        <v>3.790000000000001</v>
      </c>
      <c r="F20" s="47" t="n">
        <v>3.301000000000001</v>
      </c>
      <c r="G20" s="36" t="n">
        <v>167</v>
      </c>
      <c r="H20" s="36" t="n">
        <v>318</v>
      </c>
      <c r="I20" s="36" t="n">
        <v>485</v>
      </c>
      <c r="J20" s="48" t="n">
        <v>0.6556701030927835</v>
      </c>
      <c r="K20" s="36" t="n">
        <v>11</v>
      </c>
      <c r="L20" s="36" t="n">
        <v>31</v>
      </c>
      <c r="M20" s="36" t="n">
        <v>42</v>
      </c>
      <c r="N20" s="48" t="n">
        <v>0.7380952380952381</v>
      </c>
      <c r="O20" s="36" t="n">
        <v>156</v>
      </c>
      <c r="P20" s="36" t="n">
        <v>287</v>
      </c>
      <c r="Q20" s="36" t="n">
        <v>443</v>
      </c>
      <c r="R20" s="48" t="n">
        <v>0.6478555304740407</v>
      </c>
      <c r="S20" s="36" t="n">
        <v>0</v>
      </c>
      <c r="T20" s="36" t="n">
        <v>31</v>
      </c>
      <c r="U20" s="36" t="n">
        <v>31</v>
      </c>
      <c r="V20" s="48" t="n">
        <v>1</v>
      </c>
      <c r="W20" s="36" t="n">
        <v>0</v>
      </c>
      <c r="X20" s="36" t="n">
        <v>31</v>
      </c>
      <c r="Y20" s="36" t="n">
        <v>31</v>
      </c>
      <c r="Z20" s="48" t="n">
        <v>1</v>
      </c>
      <c r="AA20" s="36" t="n">
        <v>471</v>
      </c>
      <c r="AB20" s="36" t="n">
        <v>485</v>
      </c>
      <c r="AC20" s="48" t="n">
        <v>0.9711340206185567</v>
      </c>
      <c r="AD20" s="36" t="n">
        <v>226</v>
      </c>
      <c r="AE20" s="36" t="n">
        <v>259</v>
      </c>
      <c r="AF20" s="36" t="n">
        <v>485</v>
      </c>
      <c r="AG20" s="48" t="n">
        <v>0.534020618556701</v>
      </c>
      <c r="AH20" s="49" t="n">
        <v>0.01</v>
      </c>
      <c r="AI20" s="49" t="n">
        <v>3.704</v>
      </c>
      <c r="AJ20" s="49" t="n">
        <v>5.876000000000003</v>
      </c>
      <c r="AK20" s="49" t="n">
        <v>49.47000000000001</v>
      </c>
      <c r="AL20" s="49" t="n">
        <v>0</v>
      </c>
      <c r="AM20" s="36" t="n">
        <v>167</v>
      </c>
      <c r="AN20" s="36" t="n">
        <v>686</v>
      </c>
      <c r="AO20" s="36" t="n">
        <v>853</v>
      </c>
      <c r="AP20" s="50" t="n">
        <v>0.8042203985932005</v>
      </c>
      <c r="AQ20" s="36" t="n">
        <v>51</v>
      </c>
      <c r="AR20" s="36" t="n">
        <v>166</v>
      </c>
      <c r="AS20" s="36" t="n">
        <v>217</v>
      </c>
      <c r="AT20" s="50" t="n">
        <v>0.7649769585253456</v>
      </c>
      <c r="AU20" s="36" t="n">
        <v>116</v>
      </c>
      <c r="AV20" s="36" t="n">
        <v>520</v>
      </c>
      <c r="AW20" s="36" t="n">
        <v>636</v>
      </c>
      <c r="AX20" s="50" t="n">
        <v>0.8176100628930818</v>
      </c>
      <c r="AY20" s="36" t="n">
        <v>56</v>
      </c>
      <c r="AZ20" s="36" t="n">
        <v>110</v>
      </c>
      <c r="BA20" s="36" t="n">
        <v>166</v>
      </c>
      <c r="BB20" s="50" t="n">
        <v>0.6626506024096386</v>
      </c>
    </row>
    <row r="21">
      <c r="A21" t="inlineStr">
        <is>
          <t>R05_Jawa Tengah DIY</t>
        </is>
      </c>
      <c r="B21" t="inlineStr">
        <is>
          <t>NOP PURWOKERTO</t>
        </is>
      </c>
      <c r="C21" s="46" t="n">
        <v>3.316</v>
      </c>
      <c r="D21" s="46" t="n">
        <v>0</v>
      </c>
      <c r="E21" s="47" t="n">
        <v>3.65</v>
      </c>
      <c r="F21" s="47" t="n">
        <v>4.614000000000001</v>
      </c>
      <c r="G21" s="36" t="n">
        <v>114</v>
      </c>
      <c r="H21" s="36" t="n">
        <v>417</v>
      </c>
      <c r="I21" s="36" t="n">
        <v>531</v>
      </c>
      <c r="J21" s="48" t="n">
        <v>0.7853107344632768</v>
      </c>
      <c r="K21" s="36" t="n">
        <v>9</v>
      </c>
      <c r="L21" s="36" t="n">
        <v>38</v>
      </c>
      <c r="M21" s="36" t="n">
        <v>47</v>
      </c>
      <c r="N21" s="48" t="n">
        <v>0.8085106382978723</v>
      </c>
      <c r="O21" s="36" t="n">
        <v>105</v>
      </c>
      <c r="P21" s="36" t="n">
        <v>379</v>
      </c>
      <c r="Q21" s="36" t="n">
        <v>484</v>
      </c>
      <c r="R21" s="48" t="n">
        <v>0.7830578512396694</v>
      </c>
      <c r="S21" s="36" t="n">
        <v>0</v>
      </c>
      <c r="T21" s="36" t="n">
        <v>38</v>
      </c>
      <c r="U21" s="36" t="n">
        <v>38</v>
      </c>
      <c r="V21" s="48" t="n">
        <v>1</v>
      </c>
      <c r="W21" s="36" t="n">
        <v>0</v>
      </c>
      <c r="X21" s="36" t="n">
        <v>38</v>
      </c>
      <c r="Y21" s="36" t="n">
        <v>38</v>
      </c>
      <c r="Z21" s="48" t="n">
        <v>1</v>
      </c>
      <c r="AA21" s="36" t="n">
        <v>519</v>
      </c>
      <c r="AB21" s="36" t="n">
        <v>531</v>
      </c>
      <c r="AC21" s="48" t="n">
        <v>0.9774011299435028</v>
      </c>
      <c r="AD21" s="36" t="n">
        <v>258</v>
      </c>
      <c r="AE21" s="36" t="n">
        <v>273</v>
      </c>
      <c r="AF21" s="36" t="n">
        <v>531</v>
      </c>
      <c r="AG21" s="48" t="n">
        <v>0.5141242937853108</v>
      </c>
      <c r="AH21" s="49" t="n">
        <v>0.5</v>
      </c>
      <c r="AI21" s="49" t="n">
        <v>3.862</v>
      </c>
      <c r="AJ21" s="49" t="n">
        <v>8.722000000000005</v>
      </c>
      <c r="AK21" s="49" t="n">
        <v>39.605</v>
      </c>
      <c r="AL21" s="49" t="n">
        <v>0</v>
      </c>
      <c r="AM21" s="36" t="n">
        <v>150</v>
      </c>
      <c r="AN21" s="36" t="n">
        <v>656</v>
      </c>
      <c r="AO21" s="36" t="n">
        <v>806</v>
      </c>
      <c r="AP21" s="50" t="n">
        <v>0.8138957816377171</v>
      </c>
      <c r="AQ21" s="36" t="n">
        <v>31</v>
      </c>
      <c r="AR21" s="36" t="n">
        <v>141</v>
      </c>
      <c r="AS21" s="36" t="n">
        <v>172</v>
      </c>
      <c r="AT21" s="50" t="n">
        <v>0.8197674418604651</v>
      </c>
      <c r="AU21" s="36" t="n">
        <v>119</v>
      </c>
      <c r="AV21" s="36" t="n">
        <v>515</v>
      </c>
      <c r="AW21" s="36" t="n">
        <v>634</v>
      </c>
      <c r="AX21" s="50" t="n">
        <v>0.8123028391167192</v>
      </c>
      <c r="AY21" s="36" t="n">
        <v>37</v>
      </c>
      <c r="AZ21" s="36" t="n">
        <v>104</v>
      </c>
      <c r="BA21" s="36" t="n">
        <v>141</v>
      </c>
      <c r="BB21" s="50" t="n">
        <v>0.7375886524822695</v>
      </c>
    </row>
    <row r="22">
      <c r="A22" t="inlineStr">
        <is>
          <t>R05_Jawa Tengah DIY</t>
        </is>
      </c>
      <c r="B22" t="inlineStr">
        <is>
          <t>NOP SEMARANG</t>
        </is>
      </c>
      <c r="C22" s="46" t="n">
        <v>2.114000000000001</v>
      </c>
      <c r="D22" s="46" t="n">
        <v>1.688</v>
      </c>
      <c r="E22" s="47" t="n">
        <v>3.244</v>
      </c>
      <c r="F22" s="47" t="n">
        <v>4.178000000000001</v>
      </c>
      <c r="G22" s="36" t="n">
        <v>519</v>
      </c>
      <c r="H22" s="36" t="n">
        <v>364</v>
      </c>
      <c r="I22" s="36" t="n">
        <v>883</v>
      </c>
      <c r="J22" s="48" t="n">
        <v>0.4122310305775764</v>
      </c>
      <c r="K22" s="36" t="n">
        <v>48</v>
      </c>
      <c r="L22" s="36" t="n">
        <v>42</v>
      </c>
      <c r="M22" s="36" t="n">
        <v>90</v>
      </c>
      <c r="N22" s="48" t="n">
        <v>0.4666666666666667</v>
      </c>
      <c r="O22" s="36" t="n">
        <v>471</v>
      </c>
      <c r="P22" s="36" t="n">
        <v>322</v>
      </c>
      <c r="Q22" s="36" t="n">
        <v>793</v>
      </c>
      <c r="R22" s="48" t="n">
        <v>0.4060529634300126</v>
      </c>
      <c r="S22" s="36" t="n">
        <v>0</v>
      </c>
      <c r="T22" s="36" t="n">
        <v>42</v>
      </c>
      <c r="U22" s="36" t="n">
        <v>42</v>
      </c>
      <c r="V22" s="48" t="n">
        <v>1</v>
      </c>
      <c r="W22" s="36" t="n">
        <v>0</v>
      </c>
      <c r="X22" s="36" t="n">
        <v>42</v>
      </c>
      <c r="Y22" s="36" t="n">
        <v>42</v>
      </c>
      <c r="Z22" s="48" t="n">
        <v>1</v>
      </c>
      <c r="AA22" s="36" t="n">
        <v>837</v>
      </c>
      <c r="AB22" s="36" t="n">
        <v>883</v>
      </c>
      <c r="AC22" s="48" t="n">
        <v>0.9479048697621744</v>
      </c>
      <c r="AD22" s="36" t="n">
        <v>657</v>
      </c>
      <c r="AE22" s="36" t="n">
        <v>226</v>
      </c>
      <c r="AF22" s="36" t="n">
        <v>883</v>
      </c>
      <c r="AG22" s="48" t="n">
        <v>0.2559456398640997</v>
      </c>
      <c r="AH22" s="49" t="n">
        <v>0.06</v>
      </c>
      <c r="AI22" s="49" t="n">
        <v>6.59000000000001</v>
      </c>
      <c r="AJ22" s="49" t="n">
        <v>9.414</v>
      </c>
      <c r="AK22" s="49" t="n">
        <v>68.884</v>
      </c>
      <c r="AL22" s="49" t="n">
        <v>0</v>
      </c>
      <c r="AM22" s="36" t="n">
        <v>307</v>
      </c>
      <c r="AN22" s="36" t="n">
        <v>963</v>
      </c>
      <c r="AO22" s="36" t="n">
        <v>1270</v>
      </c>
      <c r="AP22" s="50" t="n">
        <v>0.7582677165354331</v>
      </c>
      <c r="AQ22" s="36" t="n">
        <v>166</v>
      </c>
      <c r="AR22" s="36" t="n">
        <v>193</v>
      </c>
      <c r="AS22" s="36" t="n">
        <v>359</v>
      </c>
      <c r="AT22" s="50" t="n">
        <v>0.5376044568245125</v>
      </c>
      <c r="AU22" s="36" t="n">
        <v>141</v>
      </c>
      <c r="AV22" s="36" t="n">
        <v>770</v>
      </c>
      <c r="AW22" s="36" t="n">
        <v>911</v>
      </c>
      <c r="AX22" s="50" t="n">
        <v>0.845225027442371</v>
      </c>
      <c r="AY22" s="36" t="n">
        <v>31</v>
      </c>
      <c r="AZ22" s="36" t="n">
        <v>162</v>
      </c>
      <c r="BA22" s="36" t="n">
        <v>193</v>
      </c>
      <c r="BB22" s="50" t="n">
        <v>0.8393782383419689</v>
      </c>
    </row>
    <row r="23">
      <c r="A23" t="inlineStr">
        <is>
          <t>R05_Jawa Tengah DIY</t>
        </is>
      </c>
      <c r="B23" t="inlineStr">
        <is>
          <t>NOP SURAKARTA</t>
        </is>
      </c>
      <c r="C23" s="46" t="n">
        <v>3.55</v>
      </c>
      <c r="D23" s="46" t="n">
        <v>2.15</v>
      </c>
      <c r="E23" s="47" t="n">
        <v>4.19</v>
      </c>
      <c r="F23" s="47" t="n">
        <v>4.438000000000001</v>
      </c>
      <c r="G23" s="36" t="n">
        <v>247</v>
      </c>
      <c r="H23" s="36" t="n">
        <v>698</v>
      </c>
      <c r="I23" s="36" t="n">
        <v>945</v>
      </c>
      <c r="J23" s="48" t="n">
        <v>0.7386243386243386</v>
      </c>
      <c r="K23" s="36" t="n">
        <v>15</v>
      </c>
      <c r="L23" s="36" t="n">
        <v>91</v>
      </c>
      <c r="M23" s="36" t="n">
        <v>106</v>
      </c>
      <c r="N23" s="48" t="n">
        <v>0.8584905660377359</v>
      </c>
      <c r="O23" s="36" t="n">
        <v>232</v>
      </c>
      <c r="P23" s="36" t="n">
        <v>607</v>
      </c>
      <c r="Q23" s="36" t="n">
        <v>839</v>
      </c>
      <c r="R23" s="48" t="n">
        <v>0.7234803337306317</v>
      </c>
      <c r="S23" s="36" t="n">
        <v>6</v>
      </c>
      <c r="T23" s="36" t="n">
        <v>85</v>
      </c>
      <c r="U23" s="36" t="n">
        <v>91</v>
      </c>
      <c r="V23" s="48" t="n">
        <v>0.9340659340659341</v>
      </c>
      <c r="W23" s="36" t="n">
        <v>6</v>
      </c>
      <c r="X23" s="36" t="n">
        <v>85</v>
      </c>
      <c r="Y23" s="36" t="n">
        <v>91</v>
      </c>
      <c r="Z23" s="48" t="n">
        <v>0.9340659340659341</v>
      </c>
      <c r="AA23" s="36" t="n">
        <v>917</v>
      </c>
      <c r="AB23" s="36" t="n">
        <v>945</v>
      </c>
      <c r="AC23" s="48" t="n">
        <v>0.9703703703703703</v>
      </c>
      <c r="AD23" s="36" t="n">
        <v>459</v>
      </c>
      <c r="AE23" s="36" t="n">
        <v>486</v>
      </c>
      <c r="AF23" s="36" t="n">
        <v>945</v>
      </c>
      <c r="AG23" s="48" t="n">
        <v>0.5142857142857142</v>
      </c>
      <c r="AH23" s="49" t="n">
        <v>0.133</v>
      </c>
      <c r="AI23" s="49" t="n">
        <v>4.287000000000001</v>
      </c>
      <c r="AJ23" s="49" t="n">
        <v>7.950000000000003</v>
      </c>
      <c r="AK23" s="49" t="n">
        <v>52.15</v>
      </c>
      <c r="AL23" s="49" t="n">
        <v>0</v>
      </c>
      <c r="AM23" s="36" t="n">
        <v>235</v>
      </c>
      <c r="AN23" s="36" t="n">
        <v>1016</v>
      </c>
      <c r="AO23" s="36" t="n">
        <v>1251</v>
      </c>
      <c r="AP23" s="50" t="n">
        <v>0.812150279776179</v>
      </c>
      <c r="AQ23" s="36" t="n">
        <v>88</v>
      </c>
      <c r="AR23" s="36" t="n">
        <v>234</v>
      </c>
      <c r="AS23" s="36" t="n">
        <v>322</v>
      </c>
      <c r="AT23" s="50" t="n">
        <v>0.7267080745341615</v>
      </c>
      <c r="AU23" s="36" t="n">
        <v>147</v>
      </c>
      <c r="AV23" s="36" t="n">
        <v>782</v>
      </c>
      <c r="AW23" s="36" t="n">
        <v>929</v>
      </c>
      <c r="AX23" s="50" t="n">
        <v>0.8417653390742734</v>
      </c>
      <c r="AY23" s="36" t="n">
        <v>60</v>
      </c>
      <c r="AZ23" s="36" t="n">
        <v>174</v>
      </c>
      <c r="BA23" s="36" t="n">
        <v>234</v>
      </c>
      <c r="BB23" s="50" t="n">
        <v>0.7435897435897436</v>
      </c>
    </row>
    <row r="24">
      <c r="A24" t="inlineStr">
        <is>
          <t>R05_Jawa Tengah DIY</t>
        </is>
      </c>
      <c r="B24" t="inlineStr">
        <is>
          <t>NOP YOGYAKARTA</t>
        </is>
      </c>
      <c r="C24" s="46" t="n">
        <v>3.25</v>
      </c>
      <c r="D24" s="46" t="n">
        <v>0.7</v>
      </c>
      <c r="E24" s="47" t="n">
        <v>3.4</v>
      </c>
      <c r="F24" s="47" t="n">
        <v>3.917</v>
      </c>
      <c r="G24" s="36" t="n">
        <v>237</v>
      </c>
      <c r="H24" s="36" t="n">
        <v>347</v>
      </c>
      <c r="I24" s="36" t="n">
        <v>584</v>
      </c>
      <c r="J24" s="48" t="n">
        <v>0.5941780821917808</v>
      </c>
      <c r="K24" s="36" t="n">
        <v>6</v>
      </c>
      <c r="L24" s="36" t="n">
        <v>46</v>
      </c>
      <c r="M24" s="36" t="n">
        <v>52</v>
      </c>
      <c r="N24" s="48" t="n">
        <v>0.8846153846153846</v>
      </c>
      <c r="O24" s="36" t="n">
        <v>231</v>
      </c>
      <c r="P24" s="36" t="n">
        <v>301</v>
      </c>
      <c r="Q24" s="36" t="n">
        <v>532</v>
      </c>
      <c r="R24" s="48" t="n">
        <v>0.5657894736842105</v>
      </c>
      <c r="S24" s="36" t="n">
        <v>2</v>
      </c>
      <c r="T24" s="36" t="n">
        <v>44</v>
      </c>
      <c r="U24" s="36" t="n">
        <v>46</v>
      </c>
      <c r="V24" s="48" t="n">
        <v>0.9565217391304348</v>
      </c>
      <c r="W24" s="36" t="n">
        <v>2</v>
      </c>
      <c r="X24" s="36" t="n">
        <v>42</v>
      </c>
      <c r="Y24" s="36" t="n">
        <v>44</v>
      </c>
      <c r="Z24" s="48" t="n">
        <v>0.9545454545454546</v>
      </c>
      <c r="AA24" s="36" t="n">
        <v>577</v>
      </c>
      <c r="AB24" s="36" t="n">
        <v>584</v>
      </c>
      <c r="AC24" s="48" t="n">
        <v>0.988013698630137</v>
      </c>
      <c r="AD24" s="36" t="n">
        <v>329</v>
      </c>
      <c r="AE24" s="36" t="n">
        <v>255</v>
      </c>
      <c r="AF24" s="36" t="n">
        <v>584</v>
      </c>
      <c r="AG24" s="48" t="n">
        <v>0.4366438356164384</v>
      </c>
      <c r="AH24" s="49" t="n">
        <v>0</v>
      </c>
      <c r="AI24" s="49" t="n">
        <v>3.076000000000001</v>
      </c>
      <c r="AJ24" s="49" t="n">
        <v>14.824</v>
      </c>
      <c r="AK24" s="49" t="n">
        <v>42.20000000000001</v>
      </c>
      <c r="AL24" s="49" t="n">
        <v>0</v>
      </c>
      <c r="AM24" s="36" t="n">
        <v>76</v>
      </c>
      <c r="AN24" s="36" t="n">
        <v>1071</v>
      </c>
      <c r="AO24" s="36" t="n">
        <v>1147</v>
      </c>
      <c r="AP24" s="50" t="n">
        <v>0.9337401918047079</v>
      </c>
      <c r="AQ24" s="36" t="n">
        <v>31</v>
      </c>
      <c r="AR24" s="36" t="n">
        <v>175</v>
      </c>
      <c r="AS24" s="36" t="n">
        <v>206</v>
      </c>
      <c r="AT24" s="50" t="n">
        <v>0.8495145631067961</v>
      </c>
      <c r="AU24" s="36" t="n">
        <v>45</v>
      </c>
      <c r="AV24" s="36" t="n">
        <v>896</v>
      </c>
      <c r="AW24" s="36" t="n">
        <v>941</v>
      </c>
      <c r="AX24" s="50" t="n">
        <v>0.9521785334750266</v>
      </c>
      <c r="AY24" s="36" t="n">
        <v>4</v>
      </c>
      <c r="AZ24" s="36" t="n">
        <v>171</v>
      </c>
      <c r="BA24" s="36" t="n">
        <v>175</v>
      </c>
      <c r="BB24" s="50" t="n">
        <v>0.9771428571428571</v>
      </c>
    </row>
    <row r="25">
      <c r="A25" t="inlineStr">
        <is>
          <t>R06_Jawa Timur</t>
        </is>
      </c>
      <c r="B25" t="inlineStr">
        <is>
          <t>NOP JEMBER</t>
        </is>
      </c>
      <c r="C25" s="46" t="n">
        <v>2.232</v>
      </c>
      <c r="D25" s="46" t="n">
        <v>1.77</v>
      </c>
      <c r="E25" s="47" t="n">
        <v>4.438000000000001</v>
      </c>
      <c r="F25" s="47" t="n">
        <v>3.712000000000001</v>
      </c>
      <c r="G25" s="36" t="n">
        <v>191</v>
      </c>
      <c r="H25" s="36" t="n">
        <v>398</v>
      </c>
      <c r="I25" s="36" t="n">
        <v>589</v>
      </c>
      <c r="J25" s="48" t="n">
        <v>0.6757215619694398</v>
      </c>
      <c r="K25" s="36" t="n">
        <v>14</v>
      </c>
      <c r="L25" s="36" t="n">
        <v>34</v>
      </c>
      <c r="M25" s="36" t="n">
        <v>48</v>
      </c>
      <c r="N25" s="48" t="n">
        <v>0.7083333333333334</v>
      </c>
      <c r="O25" s="36" t="n">
        <v>177</v>
      </c>
      <c r="P25" s="36" t="n">
        <v>364</v>
      </c>
      <c r="Q25" s="36" t="n">
        <v>541</v>
      </c>
      <c r="R25" s="48" t="n">
        <v>0.6728280961182994</v>
      </c>
      <c r="S25" s="36" t="n">
        <v>6</v>
      </c>
      <c r="T25" s="36" t="n">
        <v>28</v>
      </c>
      <c r="U25" s="36" t="n">
        <v>34</v>
      </c>
      <c r="V25" s="48" t="n">
        <v>0.8235294117647058</v>
      </c>
      <c r="W25" s="36" t="n">
        <v>6</v>
      </c>
      <c r="X25" s="36" t="n">
        <v>28</v>
      </c>
      <c r="Y25" s="36" t="n">
        <v>34</v>
      </c>
      <c r="Z25" s="48" t="n">
        <v>0.8235294117647058</v>
      </c>
      <c r="AA25" s="36" t="n">
        <v>577</v>
      </c>
      <c r="AB25" s="36" t="n">
        <v>589</v>
      </c>
      <c r="AC25" s="48" t="n">
        <v>0.9796264855687606</v>
      </c>
      <c r="AD25" s="36" t="n">
        <v>358</v>
      </c>
      <c r="AE25" s="36" t="n">
        <v>231</v>
      </c>
      <c r="AF25" s="36" t="n">
        <v>589</v>
      </c>
      <c r="AG25" s="48" t="n">
        <v>0.3921901528013582</v>
      </c>
      <c r="AH25" s="49" t="n">
        <v>0</v>
      </c>
      <c r="AI25" s="49" t="n">
        <v>3.478</v>
      </c>
      <c r="AJ25" s="49" t="n">
        <v>4.981000000000001</v>
      </c>
      <c r="AK25" s="49" t="n">
        <v>117.408</v>
      </c>
      <c r="AL25" s="49" t="n">
        <v>0</v>
      </c>
      <c r="AM25" s="36" t="n">
        <v>160</v>
      </c>
      <c r="AN25" s="36" t="n">
        <v>622</v>
      </c>
      <c r="AO25" s="36" t="n">
        <v>782</v>
      </c>
      <c r="AP25" s="50" t="n">
        <v>0.7953964194373402</v>
      </c>
      <c r="AQ25" s="36" t="n">
        <v>53</v>
      </c>
      <c r="AR25" s="36" t="n">
        <v>164</v>
      </c>
      <c r="AS25" s="36" t="n">
        <v>217</v>
      </c>
      <c r="AT25" s="50" t="n">
        <v>0.7557603686635944</v>
      </c>
      <c r="AU25" s="36" t="n">
        <v>107</v>
      </c>
      <c r="AV25" s="36" t="n">
        <v>458</v>
      </c>
      <c r="AW25" s="36" t="n">
        <v>565</v>
      </c>
      <c r="AX25" s="50" t="n">
        <v>0.8106194690265487</v>
      </c>
      <c r="AY25" s="36" t="n">
        <v>34</v>
      </c>
      <c r="AZ25" s="36" t="n">
        <v>130</v>
      </c>
      <c r="BA25" s="36" t="n">
        <v>164</v>
      </c>
      <c r="BB25" s="50" t="n">
        <v>0.7926829268292683</v>
      </c>
    </row>
    <row r="26">
      <c r="A26" t="inlineStr">
        <is>
          <t>R06_Jawa Timur</t>
        </is>
      </c>
      <c r="B26" t="inlineStr">
        <is>
          <t>NOP KEDIRI</t>
        </is>
      </c>
      <c r="C26" s="46" t="n">
        <v>1.21</v>
      </c>
      <c r="D26" s="46" t="n">
        <v>1.25</v>
      </c>
      <c r="E26" s="47" t="n">
        <v>3.03</v>
      </c>
      <c r="F26" s="47" t="n">
        <v>2.344</v>
      </c>
      <c r="G26" s="36" t="n">
        <v>32</v>
      </c>
      <c r="H26" s="36" t="n">
        <v>237</v>
      </c>
      <c r="I26" s="36" t="n">
        <v>269</v>
      </c>
      <c r="J26" s="48" t="n">
        <v>0.8810408921933085</v>
      </c>
      <c r="K26" s="36" t="n">
        <v>1</v>
      </c>
      <c r="L26" s="36" t="n">
        <v>12</v>
      </c>
      <c r="M26" s="36" t="n">
        <v>13</v>
      </c>
      <c r="N26" s="48" t="n">
        <v>0.9230769230769231</v>
      </c>
      <c r="O26" s="36" t="n">
        <v>31</v>
      </c>
      <c r="P26" s="36" t="n">
        <v>225</v>
      </c>
      <c r="Q26" s="36" t="n">
        <v>256</v>
      </c>
      <c r="R26" s="48" t="n">
        <v>0.87890625</v>
      </c>
      <c r="S26" s="36" t="n">
        <v>2</v>
      </c>
      <c r="T26" s="36" t="n">
        <v>10</v>
      </c>
      <c r="U26" s="36" t="n">
        <v>12</v>
      </c>
      <c r="V26" s="48" t="n">
        <v>0.8333333333333334</v>
      </c>
      <c r="W26" s="36" t="n">
        <v>2</v>
      </c>
      <c r="X26" s="36" t="n">
        <v>10</v>
      </c>
      <c r="Y26" s="36" t="n">
        <v>12</v>
      </c>
      <c r="Z26" s="48" t="n">
        <v>0.8333333333333334</v>
      </c>
      <c r="AA26" s="36" t="n">
        <v>269</v>
      </c>
      <c r="AB26" s="36" t="n">
        <v>269</v>
      </c>
      <c r="AC26" s="48" t="n">
        <v>1</v>
      </c>
      <c r="AD26" s="36" t="n">
        <v>91</v>
      </c>
      <c r="AE26" s="36" t="n">
        <v>178</v>
      </c>
      <c r="AF26" s="36" t="n">
        <v>269</v>
      </c>
      <c r="AG26" s="48" t="n">
        <v>0.6617100371747212</v>
      </c>
      <c r="AH26" s="49" t="n">
        <v>0</v>
      </c>
      <c r="AI26" s="49" t="n">
        <v>1.978</v>
      </c>
      <c r="AJ26" s="49" t="n">
        <v>3.667000000000001</v>
      </c>
      <c r="AK26" s="49" t="n">
        <v>14.399</v>
      </c>
      <c r="AL26" s="49" t="n">
        <v>0</v>
      </c>
      <c r="AM26" s="36" t="n">
        <v>18</v>
      </c>
      <c r="AN26" s="36" t="n">
        <v>393</v>
      </c>
      <c r="AO26" s="36" t="n">
        <v>411</v>
      </c>
      <c r="AP26" s="50" t="n">
        <v>0.9562043795620438</v>
      </c>
      <c r="AQ26" s="36" t="n">
        <v>6</v>
      </c>
      <c r="AR26" s="36" t="n">
        <v>89</v>
      </c>
      <c r="AS26" s="36" t="n">
        <v>95</v>
      </c>
      <c r="AT26" s="50" t="n">
        <v>0.9368421052631579</v>
      </c>
      <c r="AU26" s="36" t="n">
        <v>12</v>
      </c>
      <c r="AV26" s="36" t="n">
        <v>304</v>
      </c>
      <c r="AW26" s="36" t="n">
        <v>316</v>
      </c>
      <c r="AX26" s="50" t="n">
        <v>0.9620253164556962</v>
      </c>
      <c r="AY26" s="36" t="n">
        <v>8</v>
      </c>
      <c r="AZ26" s="36" t="n">
        <v>81</v>
      </c>
      <c r="BA26" s="36" t="n">
        <v>89</v>
      </c>
      <c r="BB26" s="50" t="n">
        <v>0.9101123595505618</v>
      </c>
    </row>
    <row r="27">
      <c r="A27" t="inlineStr">
        <is>
          <t>R06_Jawa Timur</t>
        </is>
      </c>
      <c r="B27" t="inlineStr">
        <is>
          <t>NOP LAMONGAN</t>
        </is>
      </c>
      <c r="C27" s="46" t="n">
        <v>1.68</v>
      </c>
      <c r="D27" s="46" t="n">
        <v>1.55</v>
      </c>
      <c r="E27" s="47" t="n">
        <v>3.698999999999999</v>
      </c>
      <c r="F27" s="47" t="n">
        <v>3.684000000000001</v>
      </c>
      <c r="G27" s="36" t="n">
        <v>49</v>
      </c>
      <c r="H27" s="36" t="n">
        <v>271</v>
      </c>
      <c r="I27" s="36" t="n">
        <v>320</v>
      </c>
      <c r="J27" s="48" t="n">
        <v>0.846875</v>
      </c>
      <c r="K27" s="36" t="n">
        <v>3</v>
      </c>
      <c r="L27" s="36" t="n">
        <v>32</v>
      </c>
      <c r="M27" s="36" t="n">
        <v>35</v>
      </c>
      <c r="N27" s="48" t="n">
        <v>0.9142857142857143</v>
      </c>
      <c r="O27" s="36" t="n">
        <v>46</v>
      </c>
      <c r="P27" s="36" t="n">
        <v>239</v>
      </c>
      <c r="Q27" s="36" t="n">
        <v>285</v>
      </c>
      <c r="R27" s="48" t="n">
        <v>0.8385964912280702</v>
      </c>
      <c r="S27" s="36" t="n">
        <v>1</v>
      </c>
      <c r="T27" s="36" t="n">
        <v>31</v>
      </c>
      <c r="U27" s="36" t="n">
        <v>32</v>
      </c>
      <c r="V27" s="48" t="n">
        <v>0.96875</v>
      </c>
      <c r="W27" s="36" t="n">
        <v>1</v>
      </c>
      <c r="X27" s="36" t="n">
        <v>31</v>
      </c>
      <c r="Y27" s="36" t="n">
        <v>32</v>
      </c>
      <c r="Z27" s="48" t="n">
        <v>0.96875</v>
      </c>
      <c r="AA27" s="36" t="n">
        <v>320</v>
      </c>
      <c r="AB27" s="36" t="n">
        <v>320</v>
      </c>
      <c r="AC27" s="48" t="n">
        <v>1</v>
      </c>
      <c r="AD27" s="36" t="n">
        <v>81</v>
      </c>
      <c r="AE27" s="36" t="n">
        <v>239</v>
      </c>
      <c r="AF27" s="36" t="n">
        <v>320</v>
      </c>
      <c r="AG27" s="48" t="n">
        <v>0.746875</v>
      </c>
      <c r="AH27" s="49" t="n">
        <v>0</v>
      </c>
      <c r="AI27" s="49" t="n">
        <v>2.352</v>
      </c>
      <c r="AJ27" s="49" t="n">
        <v>10.30800000000001</v>
      </c>
      <c r="AK27" s="49" t="n">
        <v>35.48599999999999</v>
      </c>
      <c r="AL27" s="49" t="n">
        <v>0</v>
      </c>
      <c r="AM27" s="36" t="n">
        <v>81</v>
      </c>
      <c r="AN27" s="36" t="n">
        <v>289</v>
      </c>
      <c r="AO27" s="36" t="n">
        <v>370</v>
      </c>
      <c r="AP27" s="50" t="n">
        <v>0.7810810810810811</v>
      </c>
      <c r="AQ27" s="36" t="n">
        <v>47</v>
      </c>
      <c r="AR27" s="36" t="n">
        <v>107</v>
      </c>
      <c r="AS27" s="36" t="n">
        <v>154</v>
      </c>
      <c r="AT27" s="50" t="n">
        <v>0.6948051948051948</v>
      </c>
      <c r="AU27" s="36" t="n">
        <v>34</v>
      </c>
      <c r="AV27" s="36" t="n">
        <v>182</v>
      </c>
      <c r="AW27" s="36" t="n">
        <v>216</v>
      </c>
      <c r="AX27" s="50" t="n">
        <v>0.8425925925925926</v>
      </c>
      <c r="AY27" s="36" t="n">
        <v>10</v>
      </c>
      <c r="AZ27" s="36" t="n">
        <v>97</v>
      </c>
      <c r="BA27" s="36" t="n">
        <v>107</v>
      </c>
      <c r="BB27" s="50" t="n">
        <v>0.9065420560747663</v>
      </c>
    </row>
    <row r="28">
      <c r="A28" t="inlineStr">
        <is>
          <t>R06_Jawa Timur</t>
        </is>
      </c>
      <c r="B28" t="inlineStr">
        <is>
          <t>NOP MADIUN</t>
        </is>
      </c>
      <c r="C28" s="46" t="n">
        <v>0.63</v>
      </c>
      <c r="D28" s="46" t="n">
        <v>0</v>
      </c>
      <c r="E28" s="47" t="n">
        <v>4.36</v>
      </c>
      <c r="F28" s="47" t="n">
        <v>3.05</v>
      </c>
      <c r="G28" s="36" t="n">
        <v>156</v>
      </c>
      <c r="H28" s="36" t="n">
        <v>226</v>
      </c>
      <c r="I28" s="36" t="n">
        <v>382</v>
      </c>
      <c r="J28" s="48" t="n">
        <v>0.5916230366492147</v>
      </c>
      <c r="K28" s="36" t="n">
        <v>0</v>
      </c>
      <c r="L28" s="36" t="n">
        <v>5</v>
      </c>
      <c r="M28" s="36" t="n">
        <v>5</v>
      </c>
      <c r="N28" s="48" t="n">
        <v>1</v>
      </c>
      <c r="O28" s="36" t="n">
        <v>156</v>
      </c>
      <c r="P28" s="36" t="n">
        <v>221</v>
      </c>
      <c r="Q28" s="36" t="n">
        <v>377</v>
      </c>
      <c r="R28" s="48" t="n">
        <v>0.5862068965517241</v>
      </c>
      <c r="S28" s="36" t="n">
        <v>1</v>
      </c>
      <c r="T28" s="36" t="n">
        <v>4</v>
      </c>
      <c r="U28" s="36" t="n">
        <v>5</v>
      </c>
      <c r="V28" s="48" t="n">
        <v>0.8</v>
      </c>
      <c r="W28" s="36" t="n">
        <v>1</v>
      </c>
      <c r="X28" s="36" t="n">
        <v>4</v>
      </c>
      <c r="Y28" s="36" t="n">
        <v>5</v>
      </c>
      <c r="Z28" s="48" t="n">
        <v>0.8</v>
      </c>
      <c r="AA28" s="36" t="n">
        <v>375</v>
      </c>
      <c r="AB28" s="36" t="n">
        <v>382</v>
      </c>
      <c r="AC28" s="48" t="n">
        <v>0.981675392670157</v>
      </c>
      <c r="AD28" s="36" t="n">
        <v>247</v>
      </c>
      <c r="AE28" s="36" t="n">
        <v>135</v>
      </c>
      <c r="AF28" s="36" t="n">
        <v>382</v>
      </c>
      <c r="AG28" s="48" t="n">
        <v>0.3534031413612566</v>
      </c>
      <c r="AH28" s="49" t="n">
        <v>0</v>
      </c>
      <c r="AI28" s="49" t="n">
        <v>2.587</v>
      </c>
      <c r="AJ28" s="49" t="n">
        <v>6.235999999999999</v>
      </c>
      <c r="AK28" s="49" t="n">
        <v>56.59800000000003</v>
      </c>
      <c r="AL28" s="49" t="n">
        <v>0</v>
      </c>
      <c r="AM28" s="36" t="n">
        <v>151</v>
      </c>
      <c r="AN28" s="36" t="n">
        <v>432</v>
      </c>
      <c r="AO28" s="36" t="n">
        <v>583</v>
      </c>
      <c r="AP28" s="50" t="n">
        <v>0.7409948542024014</v>
      </c>
      <c r="AQ28" s="36" t="n">
        <v>51</v>
      </c>
      <c r="AR28" s="36" t="n">
        <v>161</v>
      </c>
      <c r="AS28" s="36" t="n">
        <v>212</v>
      </c>
      <c r="AT28" s="50" t="n">
        <v>0.7594339622641509</v>
      </c>
      <c r="AU28" s="36" t="n">
        <v>100</v>
      </c>
      <c r="AV28" s="36" t="n">
        <v>271</v>
      </c>
      <c r="AW28" s="36" t="n">
        <v>371</v>
      </c>
      <c r="AX28" s="50" t="n">
        <v>0.7304582210242587</v>
      </c>
      <c r="AY28" s="36" t="n">
        <v>24</v>
      </c>
      <c r="AZ28" s="36" t="n">
        <v>137</v>
      </c>
      <c r="BA28" s="36" t="n">
        <v>161</v>
      </c>
      <c r="BB28" s="50" t="n">
        <v>0.8509316770186336</v>
      </c>
    </row>
    <row r="29">
      <c r="A29" t="inlineStr">
        <is>
          <t>R06_Jawa Timur</t>
        </is>
      </c>
      <c r="B29" t="inlineStr">
        <is>
          <t>NOP MALANG</t>
        </is>
      </c>
      <c r="C29" s="46" t="n">
        <v>1.34</v>
      </c>
      <c r="D29" s="46" t="n">
        <v>0</v>
      </c>
      <c r="E29" s="47" t="n">
        <v>3.03</v>
      </c>
      <c r="F29" s="47" t="n">
        <v>2.687000000000001</v>
      </c>
      <c r="G29" s="36" t="n">
        <v>101</v>
      </c>
      <c r="H29" s="36" t="n">
        <v>331</v>
      </c>
      <c r="I29" s="36" t="n">
        <v>432</v>
      </c>
      <c r="J29" s="48" t="n">
        <v>0.7662037037037037</v>
      </c>
      <c r="K29" s="36" t="n">
        <v>3</v>
      </c>
      <c r="L29" s="36" t="n">
        <v>8</v>
      </c>
      <c r="M29" s="36" t="n">
        <v>11</v>
      </c>
      <c r="N29" s="48" t="n">
        <v>0.7272727272727273</v>
      </c>
      <c r="O29" s="36" t="n">
        <v>98</v>
      </c>
      <c r="P29" s="36" t="n">
        <v>323</v>
      </c>
      <c r="Q29" s="36" t="n">
        <v>421</v>
      </c>
      <c r="R29" s="48" t="n">
        <v>0.7672209026128266</v>
      </c>
      <c r="S29" s="36" t="n">
        <v>0</v>
      </c>
      <c r="T29" s="36" t="n">
        <v>8</v>
      </c>
      <c r="U29" s="36" t="n">
        <v>8</v>
      </c>
      <c r="V29" s="48" t="n">
        <v>1</v>
      </c>
      <c r="W29" s="36" t="n">
        <v>0</v>
      </c>
      <c r="X29" s="36" t="n">
        <v>8</v>
      </c>
      <c r="Y29" s="36" t="n">
        <v>8</v>
      </c>
      <c r="Z29" s="48" t="n">
        <v>1</v>
      </c>
      <c r="AA29" s="36" t="n">
        <v>431</v>
      </c>
      <c r="AB29" s="36" t="n">
        <v>432</v>
      </c>
      <c r="AC29" s="48" t="n">
        <v>0.9976851851851852</v>
      </c>
      <c r="AD29" s="36" t="n">
        <v>125</v>
      </c>
      <c r="AE29" s="36" t="n">
        <v>307</v>
      </c>
      <c r="AF29" s="36" t="n">
        <v>432</v>
      </c>
      <c r="AG29" s="48" t="n">
        <v>0.7106481481481481</v>
      </c>
      <c r="AH29" s="49" t="n">
        <v>0.019</v>
      </c>
      <c r="AI29" s="49" t="n">
        <v>2.955</v>
      </c>
      <c r="AJ29" s="49" t="n">
        <v>4.357</v>
      </c>
      <c r="AK29" s="49" t="n">
        <v>39.3</v>
      </c>
      <c r="AL29" s="49" t="n">
        <v>0</v>
      </c>
      <c r="AM29" s="36" t="n">
        <v>68</v>
      </c>
      <c r="AN29" s="36" t="n">
        <v>293</v>
      </c>
      <c r="AO29" s="36" t="n">
        <v>361</v>
      </c>
      <c r="AP29" s="50" t="n">
        <v>0.8116343490304709</v>
      </c>
      <c r="AQ29" s="36" t="n">
        <v>44</v>
      </c>
      <c r="AR29" s="36" t="n">
        <v>104</v>
      </c>
      <c r="AS29" s="36" t="n">
        <v>148</v>
      </c>
      <c r="AT29" s="50" t="n">
        <v>0.7027027027027027</v>
      </c>
      <c r="AU29" s="36" t="n">
        <v>24</v>
      </c>
      <c r="AV29" s="36" t="n">
        <v>189</v>
      </c>
      <c r="AW29" s="36" t="n">
        <v>213</v>
      </c>
      <c r="AX29" s="50" t="n">
        <v>0.8873239436619719</v>
      </c>
      <c r="AY29" s="36" t="n">
        <v>39</v>
      </c>
      <c r="AZ29" s="36" t="n">
        <v>65</v>
      </c>
      <c r="BA29" s="36" t="n">
        <v>104</v>
      </c>
      <c r="BB29" s="50" t="n">
        <v>0.625</v>
      </c>
    </row>
    <row r="30">
      <c r="A30" t="inlineStr">
        <is>
          <t>R06_Jawa Timur</t>
        </is>
      </c>
      <c r="B30" t="inlineStr">
        <is>
          <t>NOP SIDOARJO</t>
        </is>
      </c>
      <c r="C30" s="46" t="n">
        <v>2.66</v>
      </c>
      <c r="D30" s="46" t="n">
        <v>5.943999999999999</v>
      </c>
      <c r="E30" s="47" t="n">
        <v>3.216000000000001</v>
      </c>
      <c r="F30" s="47" t="n">
        <v>5</v>
      </c>
      <c r="G30" s="36" t="n">
        <v>166</v>
      </c>
      <c r="H30" s="36" t="n">
        <v>254</v>
      </c>
      <c r="I30" s="36" t="n">
        <v>420</v>
      </c>
      <c r="J30" s="48" t="n">
        <v>0.6047619047619047</v>
      </c>
      <c r="K30" s="36" t="n">
        <v>5</v>
      </c>
      <c r="L30" s="36" t="n">
        <v>42</v>
      </c>
      <c r="M30" s="36" t="n">
        <v>47</v>
      </c>
      <c r="N30" s="48" t="n">
        <v>0.8936170212765957</v>
      </c>
      <c r="O30" s="36" t="n">
        <v>161</v>
      </c>
      <c r="P30" s="36" t="n">
        <v>212</v>
      </c>
      <c r="Q30" s="36" t="n">
        <v>373</v>
      </c>
      <c r="R30" s="48" t="n">
        <v>0.5683646112600537</v>
      </c>
      <c r="S30" s="36" t="n">
        <v>7</v>
      </c>
      <c r="T30" s="36" t="n">
        <v>35</v>
      </c>
      <c r="U30" s="36" t="n">
        <v>42</v>
      </c>
      <c r="V30" s="48" t="n">
        <v>0.8333333333333334</v>
      </c>
      <c r="W30" s="36" t="n">
        <v>7</v>
      </c>
      <c r="X30" s="36" t="n">
        <v>35</v>
      </c>
      <c r="Y30" s="36" t="n">
        <v>42</v>
      </c>
      <c r="Z30" s="48" t="n">
        <v>0.8333333333333334</v>
      </c>
      <c r="AA30" s="36" t="n">
        <v>407</v>
      </c>
      <c r="AB30" s="36" t="n">
        <v>420</v>
      </c>
      <c r="AC30" s="48" t="n">
        <v>0.969047619047619</v>
      </c>
      <c r="AD30" s="36" t="n">
        <v>239</v>
      </c>
      <c r="AE30" s="36" t="n">
        <v>181</v>
      </c>
      <c r="AF30" s="36" t="n">
        <v>420</v>
      </c>
      <c r="AG30" s="48" t="n">
        <v>0.430952380952381</v>
      </c>
      <c r="AH30" s="49" t="n">
        <v>0.134</v>
      </c>
      <c r="AI30" s="49" t="n">
        <v>3.884</v>
      </c>
      <c r="AJ30" s="49" t="n">
        <v>11.399</v>
      </c>
      <c r="AK30" s="49" t="n">
        <v>52.537</v>
      </c>
      <c r="AL30" s="49" t="n">
        <v>0</v>
      </c>
      <c r="AM30" s="36" t="n">
        <v>115</v>
      </c>
      <c r="AN30" s="36" t="n">
        <v>407</v>
      </c>
      <c r="AO30" s="36" t="n">
        <v>522</v>
      </c>
      <c r="AP30" s="50" t="n">
        <v>0.7796934865900383</v>
      </c>
      <c r="AQ30" s="36" t="n">
        <v>55</v>
      </c>
      <c r="AR30" s="36" t="n">
        <v>109</v>
      </c>
      <c r="AS30" s="36" t="n">
        <v>164</v>
      </c>
      <c r="AT30" s="50" t="n">
        <v>0.6646341463414634</v>
      </c>
      <c r="AU30" s="36" t="n">
        <v>60</v>
      </c>
      <c r="AV30" s="36" t="n">
        <v>298</v>
      </c>
      <c r="AW30" s="36" t="n">
        <v>358</v>
      </c>
      <c r="AX30" s="50" t="n">
        <v>0.8324022346368715</v>
      </c>
      <c r="AY30" s="36" t="n">
        <v>31</v>
      </c>
      <c r="AZ30" s="36" t="n">
        <v>78</v>
      </c>
      <c r="BA30" s="36" t="n">
        <v>109</v>
      </c>
      <c r="BB30" s="50" t="n">
        <v>0.7155963302752294</v>
      </c>
    </row>
    <row r="31">
      <c r="A31" t="inlineStr">
        <is>
          <t>R06_Jawa Timur</t>
        </is>
      </c>
      <c r="B31" t="inlineStr">
        <is>
          <t>NOP SURABAYA</t>
        </is>
      </c>
      <c r="C31" s="46" t="n">
        <v>2.535000000000001</v>
      </c>
      <c r="D31" s="46" t="n">
        <v>0</v>
      </c>
      <c r="E31" s="47" t="n">
        <v>4.005</v>
      </c>
      <c r="F31" s="47" t="n">
        <v>4.545</v>
      </c>
      <c r="G31" s="36" t="n">
        <v>241</v>
      </c>
      <c r="H31" s="36" t="n">
        <v>351</v>
      </c>
      <c r="I31" s="36" t="n">
        <v>592</v>
      </c>
      <c r="J31" s="48" t="n">
        <v>0.5929054054054054</v>
      </c>
      <c r="K31" s="36" t="n">
        <v>33</v>
      </c>
      <c r="L31" s="36" t="n">
        <v>37</v>
      </c>
      <c r="M31" s="36" t="n">
        <v>70</v>
      </c>
      <c r="N31" s="48" t="n">
        <v>0.5285714285714286</v>
      </c>
      <c r="O31" s="36" t="n">
        <v>208</v>
      </c>
      <c r="P31" s="36" t="n">
        <v>314</v>
      </c>
      <c r="Q31" s="36" t="n">
        <v>522</v>
      </c>
      <c r="R31" s="48" t="n">
        <v>0.6015325670498084</v>
      </c>
      <c r="S31" s="36" t="n">
        <v>3</v>
      </c>
      <c r="T31" s="36" t="n">
        <v>34</v>
      </c>
      <c r="U31" s="36" t="n">
        <v>37</v>
      </c>
      <c r="V31" s="48" t="n">
        <v>0.918918918918919</v>
      </c>
      <c r="W31" s="36" t="n">
        <v>3</v>
      </c>
      <c r="X31" s="36" t="n">
        <v>34</v>
      </c>
      <c r="Y31" s="36" t="n">
        <v>37</v>
      </c>
      <c r="Z31" s="48" t="n">
        <v>0.918918918918919</v>
      </c>
      <c r="AA31" s="36" t="n">
        <v>568</v>
      </c>
      <c r="AB31" s="36" t="n">
        <v>592</v>
      </c>
      <c r="AC31" s="48" t="n">
        <v>0.9594594594594594</v>
      </c>
      <c r="AD31" s="36" t="n">
        <v>341</v>
      </c>
      <c r="AE31" s="36" t="n">
        <v>251</v>
      </c>
      <c r="AF31" s="36" t="n">
        <v>592</v>
      </c>
      <c r="AG31" s="48" t="n">
        <v>0.4239864864864865</v>
      </c>
      <c r="AH31" s="49" t="n">
        <v>1.216</v>
      </c>
      <c r="AI31" s="49" t="n">
        <v>3.122000000000003</v>
      </c>
      <c r="AJ31" s="49" t="n">
        <v>7.01</v>
      </c>
      <c r="AK31" s="49" t="n">
        <v>30.062</v>
      </c>
      <c r="AL31" s="49" t="n">
        <v>0</v>
      </c>
      <c r="AM31" s="36" t="n">
        <v>427</v>
      </c>
      <c r="AN31" s="36" t="n">
        <v>821</v>
      </c>
      <c r="AO31" s="36" t="n">
        <v>1248</v>
      </c>
      <c r="AP31" s="50" t="n">
        <v>0.6578525641025641</v>
      </c>
      <c r="AQ31" s="36" t="n">
        <v>76</v>
      </c>
      <c r="AR31" s="36" t="n">
        <v>157</v>
      </c>
      <c r="AS31" s="36" t="n">
        <v>233</v>
      </c>
      <c r="AT31" s="50" t="n">
        <v>0.6738197424892703</v>
      </c>
      <c r="AU31" s="36" t="n">
        <v>351</v>
      </c>
      <c r="AV31" s="36" t="n">
        <v>664</v>
      </c>
      <c r="AW31" s="36" t="n">
        <v>1015</v>
      </c>
      <c r="AX31" s="50" t="n">
        <v>0.6541871921182266</v>
      </c>
      <c r="AY31" s="36" t="n">
        <v>15</v>
      </c>
      <c r="AZ31" s="36" t="n">
        <v>142</v>
      </c>
      <c r="BA31" s="36" t="n">
        <v>157</v>
      </c>
      <c r="BB31" s="50" t="n">
        <v>0.9044585987261147</v>
      </c>
    </row>
    <row r="32">
      <c r="A32" t="inlineStr">
        <is>
          <t>R07_Bali Nusra</t>
        </is>
      </c>
      <c r="B32" t="inlineStr">
        <is>
          <t>NOP DENPASAR</t>
        </is>
      </c>
      <c r="C32" s="46" t="n">
        <v>3.598</v>
      </c>
      <c r="D32" s="46" t="n">
        <v>0</v>
      </c>
      <c r="E32" s="47" t="n">
        <v>4.502000000000005</v>
      </c>
      <c r="F32" s="47" t="n">
        <v>4.286</v>
      </c>
      <c r="G32" s="36" t="n">
        <v>33</v>
      </c>
      <c r="H32" s="36" t="n">
        <v>314</v>
      </c>
      <c r="I32" s="36" t="n">
        <v>347</v>
      </c>
      <c r="J32" s="48" t="n">
        <v>0.9048991354466859</v>
      </c>
      <c r="K32" s="36" t="n">
        <v>6</v>
      </c>
      <c r="L32" s="36" t="n">
        <v>57</v>
      </c>
      <c r="M32" s="36" t="n">
        <v>63</v>
      </c>
      <c r="N32" s="48" t="n">
        <v>0.9047619047619048</v>
      </c>
      <c r="O32" s="36" t="n">
        <v>27</v>
      </c>
      <c r="P32" s="36" t="n">
        <v>257</v>
      </c>
      <c r="Q32" s="36" t="n">
        <v>284</v>
      </c>
      <c r="R32" s="48" t="n">
        <v>0.9049295774647887</v>
      </c>
      <c r="S32" s="36" t="n">
        <v>2</v>
      </c>
      <c r="T32" s="36" t="n">
        <v>55</v>
      </c>
      <c r="U32" s="36" t="n">
        <v>57</v>
      </c>
      <c r="V32" s="48" t="n">
        <v>0.9649122807017544</v>
      </c>
      <c r="W32" s="36" t="n">
        <v>2</v>
      </c>
      <c r="X32" s="36" t="n">
        <v>55</v>
      </c>
      <c r="Y32" s="36" t="n">
        <v>57</v>
      </c>
      <c r="Z32" s="48" t="n">
        <v>0.9649122807017544</v>
      </c>
      <c r="AA32" s="36" t="n">
        <v>337</v>
      </c>
      <c r="AB32" s="36" t="n">
        <v>347</v>
      </c>
      <c r="AC32" s="48" t="n">
        <v>0.9711815561959655</v>
      </c>
      <c r="AD32" s="36" t="n">
        <v>45</v>
      </c>
      <c r="AE32" s="36" t="n">
        <v>302</v>
      </c>
      <c r="AF32" s="36" t="n">
        <v>347</v>
      </c>
      <c r="AG32" s="48" t="n">
        <v>0.8703170028818443</v>
      </c>
      <c r="AH32" s="49" t="n">
        <v>0</v>
      </c>
      <c r="AI32" s="49" t="n">
        <v>17.299</v>
      </c>
      <c r="AJ32" s="49" t="n">
        <v>19.56</v>
      </c>
      <c r="AK32" s="49" t="n">
        <v>81.345</v>
      </c>
      <c r="AL32" s="49" t="n">
        <v>0</v>
      </c>
      <c r="AM32" s="36" t="n">
        <v>83</v>
      </c>
      <c r="AN32" s="36" t="n">
        <v>644</v>
      </c>
      <c r="AO32" s="36" t="n">
        <v>727</v>
      </c>
      <c r="AP32" s="50" t="n">
        <v>0.8858321870701513</v>
      </c>
      <c r="AQ32" s="36" t="n">
        <v>19</v>
      </c>
      <c r="AR32" s="36" t="n">
        <v>209</v>
      </c>
      <c r="AS32" s="36" t="n">
        <v>228</v>
      </c>
      <c r="AT32" s="50" t="n">
        <v>0.9166666666666666</v>
      </c>
      <c r="AU32" s="36" t="n">
        <v>64</v>
      </c>
      <c r="AV32" s="36" t="n">
        <v>435</v>
      </c>
      <c r="AW32" s="36" t="n">
        <v>499</v>
      </c>
      <c r="AX32" s="50" t="n">
        <v>0.8717434869739479</v>
      </c>
      <c r="AY32" s="36" t="n">
        <v>53</v>
      </c>
      <c r="AZ32" s="36" t="n">
        <v>156</v>
      </c>
      <c r="BA32" s="36" t="n">
        <v>209</v>
      </c>
      <c r="BB32" s="50" t="n">
        <v>0.7464114832535885</v>
      </c>
    </row>
    <row r="33">
      <c r="A33" t="inlineStr">
        <is>
          <t>R07_Bali Nusra</t>
        </is>
      </c>
      <c r="B33" t="inlineStr">
        <is>
          <t>NOP FLORES</t>
        </is>
      </c>
      <c r="C33" s="46" t="n">
        <v>6.761000000000004</v>
      </c>
      <c r="D33" s="46" t="n">
        <v>5.281000000000001</v>
      </c>
      <c r="E33" s="47" t="n">
        <v>7.038000000000002</v>
      </c>
      <c r="F33" s="47" t="n">
        <v>9.851000000000001</v>
      </c>
      <c r="G33" s="36" t="n">
        <v>967</v>
      </c>
      <c r="H33" s="36" t="n">
        <v>1258</v>
      </c>
      <c r="I33" s="36" t="n">
        <v>2225</v>
      </c>
      <c r="J33" s="48" t="n">
        <v>0.5653932584269663</v>
      </c>
      <c r="K33" s="36" t="n">
        <v>169</v>
      </c>
      <c r="L33" s="36" t="n">
        <v>373</v>
      </c>
      <c r="M33" s="36" t="n">
        <v>542</v>
      </c>
      <c r="N33" s="48" t="n">
        <v>0.6881918819188192</v>
      </c>
      <c r="O33" s="36" t="n">
        <v>798</v>
      </c>
      <c r="P33" s="36" t="n">
        <v>885</v>
      </c>
      <c r="Q33" s="36" t="n">
        <v>1683</v>
      </c>
      <c r="R33" s="48" t="n">
        <v>0.5258467023172906</v>
      </c>
      <c r="S33" s="36" t="n">
        <v>130</v>
      </c>
      <c r="T33" s="36" t="n">
        <v>243</v>
      </c>
      <c r="U33" s="36" t="n">
        <v>373</v>
      </c>
      <c r="V33" s="48" t="n">
        <v>0.6514745308310992</v>
      </c>
      <c r="W33" s="36" t="n">
        <v>125</v>
      </c>
      <c r="X33" s="36" t="n">
        <v>242</v>
      </c>
      <c r="Y33" s="36" t="n">
        <v>367</v>
      </c>
      <c r="Z33" s="48" t="n">
        <v>0.659400544959128</v>
      </c>
      <c r="AA33" s="36" t="n">
        <v>2213</v>
      </c>
      <c r="AB33" s="36" t="n">
        <v>2225</v>
      </c>
      <c r="AC33" s="48" t="n">
        <v>0.9946067415730337</v>
      </c>
      <c r="AD33" s="36" t="n">
        <v>1414</v>
      </c>
      <c r="AE33" s="36" t="n">
        <v>811</v>
      </c>
      <c r="AF33" s="36" t="n">
        <v>2225</v>
      </c>
      <c r="AG33" s="48" t="n">
        <v>0.3644943820224719</v>
      </c>
      <c r="AH33" s="49" t="n">
        <v>0.17</v>
      </c>
      <c r="AI33" s="49" t="n">
        <v>10.166</v>
      </c>
      <c r="AJ33" s="49" t="n">
        <v>8.054000000000002</v>
      </c>
      <c r="AK33" s="49" t="n">
        <v>47.63200000000005</v>
      </c>
      <c r="AL33" s="49" t="n">
        <v>0</v>
      </c>
      <c r="AM33" s="36" t="n">
        <v>1734</v>
      </c>
      <c r="AN33" s="36" t="n">
        <v>1966</v>
      </c>
      <c r="AO33" s="36" t="n">
        <v>3700</v>
      </c>
      <c r="AP33" s="50" t="n">
        <v>0.5313513513513514</v>
      </c>
      <c r="AQ33" s="36" t="n">
        <v>1102</v>
      </c>
      <c r="AR33" s="36" t="n">
        <v>1470</v>
      </c>
      <c r="AS33" s="36" t="n">
        <v>2572</v>
      </c>
      <c r="AT33" s="50" t="n">
        <v>0.5715396578538102</v>
      </c>
      <c r="AU33" s="36" t="n">
        <v>632</v>
      </c>
      <c r="AV33" s="36" t="n">
        <v>496</v>
      </c>
      <c r="AW33" s="36" t="n">
        <v>1128</v>
      </c>
      <c r="AX33" s="50" t="n">
        <v>0.4397163120567376</v>
      </c>
      <c r="AY33" s="36" t="n">
        <v>428</v>
      </c>
      <c r="AZ33" s="36" t="n">
        <v>1042</v>
      </c>
      <c r="BA33" s="36" t="n">
        <v>1470</v>
      </c>
      <c r="BB33" s="50" t="n">
        <v>0.708843537414966</v>
      </c>
    </row>
    <row r="34">
      <c r="A34" t="inlineStr">
        <is>
          <t>R07_Bali Nusra</t>
        </is>
      </c>
      <c r="B34" t="inlineStr">
        <is>
          <t>NOP KUPANG</t>
        </is>
      </c>
      <c r="C34" s="46" t="n">
        <v>1.18</v>
      </c>
      <c r="D34" s="46" t="n">
        <v>5.600000000000003</v>
      </c>
      <c r="E34" s="47" t="n">
        <v>9.130999999999998</v>
      </c>
      <c r="F34" s="47" t="n">
        <v>12.511</v>
      </c>
      <c r="G34" s="36" t="n">
        <v>791</v>
      </c>
      <c r="H34" s="36" t="n">
        <v>809</v>
      </c>
      <c r="I34" s="36" t="n">
        <v>1600</v>
      </c>
      <c r="J34" s="48" t="n">
        <v>0.505625</v>
      </c>
      <c r="K34" s="36" t="n">
        <v>86</v>
      </c>
      <c r="L34" s="36" t="n">
        <v>162</v>
      </c>
      <c r="M34" s="36" t="n">
        <v>248</v>
      </c>
      <c r="N34" s="48" t="n">
        <v>0.6532258064516129</v>
      </c>
      <c r="O34" s="36" t="n">
        <v>705</v>
      </c>
      <c r="P34" s="36" t="n">
        <v>647</v>
      </c>
      <c r="Q34" s="36" t="n">
        <v>1352</v>
      </c>
      <c r="R34" s="48" t="n">
        <v>0.4785502958579881</v>
      </c>
      <c r="S34" s="36" t="n">
        <v>47</v>
      </c>
      <c r="T34" s="36" t="n">
        <v>115</v>
      </c>
      <c r="U34" s="36" t="n">
        <v>162</v>
      </c>
      <c r="V34" s="48" t="n">
        <v>0.7098765432098766</v>
      </c>
      <c r="W34" s="36" t="n">
        <v>46</v>
      </c>
      <c r="X34" s="36" t="n">
        <v>112</v>
      </c>
      <c r="Y34" s="36" t="n">
        <v>158</v>
      </c>
      <c r="Z34" s="48" t="n">
        <v>0.7088607594936709</v>
      </c>
      <c r="AA34" s="36" t="n">
        <v>1570</v>
      </c>
      <c r="AB34" s="36" t="n">
        <v>1600</v>
      </c>
      <c r="AC34" s="48" t="n">
        <v>0.98125</v>
      </c>
      <c r="AD34" s="36" t="n">
        <v>1245</v>
      </c>
      <c r="AE34" s="36" t="n">
        <v>355</v>
      </c>
      <c r="AF34" s="36" t="n">
        <v>1600</v>
      </c>
      <c r="AG34" s="48" t="n">
        <v>0.221875</v>
      </c>
      <c r="AH34" s="49" t="n">
        <v>0.168</v>
      </c>
      <c r="AI34" s="49" t="n">
        <v>8.076000000000004</v>
      </c>
      <c r="AJ34" s="49" t="n">
        <v>17.25200000000001</v>
      </c>
      <c r="AK34" s="49" t="n">
        <v>171.5679999999999</v>
      </c>
      <c r="AL34" s="49" t="n">
        <v>0</v>
      </c>
      <c r="AM34" s="36" t="n">
        <v>845</v>
      </c>
      <c r="AN34" s="36" t="n">
        <v>1330</v>
      </c>
      <c r="AO34" s="36" t="n">
        <v>2175</v>
      </c>
      <c r="AP34" s="50" t="n">
        <v>0.6114942528735632</v>
      </c>
      <c r="AQ34" s="36" t="n">
        <v>518</v>
      </c>
      <c r="AR34" s="36" t="n">
        <v>818</v>
      </c>
      <c r="AS34" s="36" t="n">
        <v>1336</v>
      </c>
      <c r="AT34" s="50" t="n">
        <v>0.6122754491017964</v>
      </c>
      <c r="AU34" s="36" t="n">
        <v>327</v>
      </c>
      <c r="AV34" s="36" t="n">
        <v>512</v>
      </c>
      <c r="AW34" s="36" t="n">
        <v>839</v>
      </c>
      <c r="AX34" s="50" t="n">
        <v>0.6102502979737783</v>
      </c>
      <c r="AY34" s="36" t="n">
        <v>235</v>
      </c>
      <c r="AZ34" s="36" t="n">
        <v>583</v>
      </c>
      <c r="BA34" s="36" t="n">
        <v>818</v>
      </c>
      <c r="BB34" s="50" t="n">
        <v>0.7127139364303179</v>
      </c>
    </row>
    <row r="35">
      <c r="A35" t="inlineStr">
        <is>
          <t>R07_Bali Nusra</t>
        </is>
      </c>
      <c r="B35" t="inlineStr">
        <is>
          <t>NOP MATARAM</t>
        </is>
      </c>
      <c r="C35" s="46" t="n">
        <v>5.424000000000001</v>
      </c>
      <c r="D35" s="46" t="n">
        <v>5.75</v>
      </c>
      <c r="E35" s="47" t="n">
        <v>5.3</v>
      </c>
      <c r="F35" s="47" t="n">
        <v>5.82</v>
      </c>
      <c r="G35" s="36" t="n">
        <v>379</v>
      </c>
      <c r="H35" s="36" t="n">
        <v>467</v>
      </c>
      <c r="I35" s="36" t="n">
        <v>846</v>
      </c>
      <c r="J35" s="48" t="n">
        <v>0.5520094562647754</v>
      </c>
      <c r="K35" s="36" t="n">
        <v>42</v>
      </c>
      <c r="L35" s="36" t="n">
        <v>79</v>
      </c>
      <c r="M35" s="36" t="n">
        <v>121</v>
      </c>
      <c r="N35" s="48" t="n">
        <v>0.6528925619834711</v>
      </c>
      <c r="O35" s="36" t="n">
        <v>337</v>
      </c>
      <c r="P35" s="36" t="n">
        <v>388</v>
      </c>
      <c r="Q35" s="36" t="n">
        <v>725</v>
      </c>
      <c r="R35" s="48" t="n">
        <v>0.5351724137931034</v>
      </c>
      <c r="S35" s="36" t="n">
        <v>23</v>
      </c>
      <c r="T35" s="36" t="n">
        <v>56</v>
      </c>
      <c r="U35" s="36" t="n">
        <v>79</v>
      </c>
      <c r="V35" s="48" t="n">
        <v>0.7088607594936709</v>
      </c>
      <c r="W35" s="36" t="n">
        <v>23</v>
      </c>
      <c r="X35" s="36" t="n">
        <v>56</v>
      </c>
      <c r="Y35" s="36" t="n">
        <v>79</v>
      </c>
      <c r="Z35" s="48" t="n">
        <v>0.7088607594936709</v>
      </c>
      <c r="AA35" s="36" t="n">
        <v>838</v>
      </c>
      <c r="AB35" s="36" t="n">
        <v>846</v>
      </c>
      <c r="AC35" s="48" t="n">
        <v>0.9905437352245863</v>
      </c>
      <c r="AD35" s="36" t="n">
        <v>560</v>
      </c>
      <c r="AE35" s="36" t="n">
        <v>286</v>
      </c>
      <c r="AF35" s="36" t="n">
        <v>846</v>
      </c>
      <c r="AG35" s="48" t="n">
        <v>0.3380614657210402</v>
      </c>
      <c r="AH35" s="49" t="n">
        <v>0.9059999999999999</v>
      </c>
      <c r="AI35" s="49" t="n">
        <v>24.044</v>
      </c>
      <c r="AJ35" s="49" t="n">
        <v>20.136</v>
      </c>
      <c r="AK35" s="49" t="n">
        <v>81.02500000000018</v>
      </c>
      <c r="AL35" s="49" t="n">
        <v>0</v>
      </c>
      <c r="AM35" s="36" t="n">
        <v>997</v>
      </c>
      <c r="AN35" s="36" t="n">
        <v>653</v>
      </c>
      <c r="AO35" s="36" t="n">
        <v>1650</v>
      </c>
      <c r="AP35" s="50" t="n">
        <v>0.3957575757575758</v>
      </c>
      <c r="AQ35" s="36" t="n">
        <v>576</v>
      </c>
      <c r="AR35" s="36" t="n">
        <v>413</v>
      </c>
      <c r="AS35" s="36" t="n">
        <v>989</v>
      </c>
      <c r="AT35" s="50" t="n">
        <v>0.4175935288169869</v>
      </c>
      <c r="AU35" s="36" t="n">
        <v>421</v>
      </c>
      <c r="AV35" s="36" t="n">
        <v>240</v>
      </c>
      <c r="AW35" s="36" t="n">
        <v>661</v>
      </c>
      <c r="AX35" s="50" t="n">
        <v>0.3630862329803328</v>
      </c>
      <c r="AY35" s="36" t="n">
        <v>160</v>
      </c>
      <c r="AZ35" s="36" t="n">
        <v>253</v>
      </c>
      <c r="BA35" s="36" t="n">
        <v>413</v>
      </c>
      <c r="BB35" s="50" t="n">
        <v>0.612590799031477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DB4E2"/>
    <outlinePr summaryBelow="1" summaryRight="1"/>
    <pageSetUpPr/>
  </sheetPr>
  <dimension ref="A1:AH10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7" customWidth="1" min="4" max="4"/>
    <col width="24" customWidth="1" min="5" max="5"/>
    <col width="24" customWidth="1" min="6" max="6"/>
    <col width="22" customWidth="1" min="7" max="7"/>
    <col width="13" customWidth="1" min="8" max="8"/>
    <col width="21" customWidth="1" min="9" max="9"/>
    <col width="18" customWidth="1" min="10" max="10"/>
    <col width="22" customWidth="1" min="11" max="11"/>
    <col width="17" customWidth="1" min="12" max="12"/>
    <col width="22" customWidth="1" min="13" max="13"/>
    <col width="16" customWidth="1" min="14" max="14"/>
    <col width="21" customWidth="1" min="15" max="15"/>
    <col width="20" customWidth="1" min="16" max="16"/>
    <col width="21" customWidth="1" min="17" max="17"/>
    <col width="17" customWidth="1" min="18" max="18"/>
    <col width="20" customWidth="1" min="19" max="19"/>
    <col width="14" customWidth="1" min="20" max="20"/>
    <col width="25" customWidth="1" min="21" max="21"/>
    <col width="27" customWidth="1" min="22" max="22"/>
    <col width="24" customWidth="1" min="23" max="23"/>
    <col width="24" customWidth="1" min="24" max="24"/>
    <col width="22" customWidth="1" min="25" max="25"/>
    <col width="27" customWidth="1" min="26" max="26"/>
    <col width="13" customWidth="1" min="27" max="27"/>
    <col width="22" customWidth="1" min="28" max="28"/>
    <col width="18" customWidth="1" min="29" max="29"/>
    <col width="22" customWidth="1" min="30" max="30"/>
    <col width="17" customWidth="1" min="31" max="31"/>
    <col width="22" customWidth="1" min="32" max="32"/>
    <col width="16" customWidth="1" min="33" max="33"/>
    <col width="22" customWidth="1" min="34" max="34"/>
  </cols>
  <sheetData>
    <row r="1">
      <c r="A1" s="41" t="inlineStr">
        <is>
          <t>Date</t>
        </is>
      </c>
      <c r="B1" s="41" t="inlineStr">
        <is>
          <t>Regional</t>
        </is>
      </c>
      <c r="C1" s="41" t="inlineStr">
        <is>
          <t>NOP</t>
        </is>
      </c>
      <c r="D1" s="51" t="inlineStr">
        <is>
          <t>IM-MTTRP90-Critical-Daily</t>
        </is>
      </c>
      <c r="E1" s="51" t="inlineStr">
        <is>
          <t>IM-MTTRP90-Major-Daily</t>
        </is>
      </c>
      <c r="F1" s="51" t="inlineStr">
        <is>
          <t>IM-MTTRP90-Minor-Daily</t>
        </is>
      </c>
      <c r="G1" s="51" t="inlineStr">
        <is>
          <t>IM-MTTRP90-Low-Daily</t>
        </is>
      </c>
      <c r="H1" s="51" t="inlineStr">
        <is>
          <t>IM-TO-Daily</t>
        </is>
      </c>
      <c r="I1" s="51" t="inlineStr">
        <is>
          <t>IM-%TO-Daily</t>
        </is>
      </c>
      <c r="J1" s="51" t="inlineStr">
        <is>
          <t>IM-TO-High-Daily</t>
        </is>
      </c>
      <c r="K1" s="51" t="inlineStr">
        <is>
          <t>IM-%TO-High-Daily</t>
        </is>
      </c>
      <c r="L1" s="51" t="inlineStr">
        <is>
          <t>IM-TO-Low-Daily</t>
        </is>
      </c>
      <c r="M1" s="51" t="inlineStr">
        <is>
          <t>IM-%TO-Low-Daily</t>
        </is>
      </c>
      <c r="N1" s="51" t="inlineStr">
        <is>
          <t>IM-Visit-Daily</t>
        </is>
      </c>
      <c r="O1" s="51" t="inlineStr">
        <is>
          <t>IM-%Visit-Daily</t>
        </is>
      </c>
      <c r="P1" s="51" t="inlineStr">
        <is>
          <t>IM-Top5Visit-Daily</t>
        </is>
      </c>
      <c r="Q1" s="51" t="inlineStr">
        <is>
          <t>IM-%Top5-Daily</t>
        </is>
      </c>
      <c r="R1" s="51" t="inlineStr">
        <is>
          <t>IM-Closed-Daily</t>
        </is>
      </c>
      <c r="S1" s="51" t="inlineStr">
        <is>
          <t>IM-%Closing-Daily</t>
        </is>
      </c>
      <c r="T1" s="51" t="inlineStr">
        <is>
          <t>IM-RCA-Daily</t>
        </is>
      </c>
      <c r="U1" s="51" t="inlineStr">
        <is>
          <t>IM-%RCAValidation-Daily</t>
        </is>
      </c>
      <c r="V1" s="52" t="inlineStr">
        <is>
          <t>EM-MTTRP90-Critical-Daily</t>
        </is>
      </c>
      <c r="W1" s="52" t="inlineStr">
        <is>
          <t>EM-MTTRP90-Major-Daily</t>
        </is>
      </c>
      <c r="X1" s="52" t="inlineStr">
        <is>
          <t>EM-MTTRP90-Minor-Daily</t>
        </is>
      </c>
      <c r="Y1" s="52" t="inlineStr">
        <is>
          <t>EM-MTTRP90-Low-Daily</t>
        </is>
      </c>
      <c r="Z1" s="52" t="inlineStr">
        <is>
          <t>EM-MTTRP90-Very Low-Daily</t>
        </is>
      </c>
      <c r="AA1" s="52" t="inlineStr">
        <is>
          <t>EM-TO-Daily</t>
        </is>
      </c>
      <c r="AB1" s="52" t="inlineStr">
        <is>
          <t>EM-%TO-Daily</t>
        </is>
      </c>
      <c r="AC1" s="52" t="inlineStr">
        <is>
          <t>EM-TO-High-Daily</t>
        </is>
      </c>
      <c r="AD1" s="52" t="inlineStr">
        <is>
          <t>EM-%TO-High-Daily</t>
        </is>
      </c>
      <c r="AE1" s="52" t="inlineStr">
        <is>
          <t>EM-TO-Low-Daily</t>
        </is>
      </c>
      <c r="AF1" s="52" t="inlineStr">
        <is>
          <t>EM-%TO-Low-Daily</t>
        </is>
      </c>
      <c r="AG1" s="52" t="inlineStr">
        <is>
          <t>EM-Visit-Daily</t>
        </is>
      </c>
      <c r="AH1" s="52" t="inlineStr">
        <is>
          <t>EM-%Visit-Daily</t>
        </is>
      </c>
    </row>
    <row r="2">
      <c r="A2" s="53" t="n">
        <v>45748</v>
      </c>
      <c r="B2" t="inlineStr">
        <is>
          <t>R01_Sumbagut</t>
        </is>
      </c>
      <c r="C2" t="inlineStr">
        <is>
          <t>NOP ACEH</t>
        </is>
      </c>
      <c r="D2" s="38" t="n">
        <v>2.45</v>
      </c>
      <c r="E2" s="38" t="n">
        <v>3.482</v>
      </c>
      <c r="F2" s="36" t="n">
        <v>2.254</v>
      </c>
      <c r="G2" s="36" t="n">
        <v>5.137999999999999</v>
      </c>
      <c r="H2" s="36" t="n">
        <v>100</v>
      </c>
      <c r="I2" s="37" t="n">
        <v>0.8849557522123894</v>
      </c>
      <c r="J2" s="36" t="n">
        <v>27</v>
      </c>
      <c r="K2" s="37" t="n">
        <v>1</v>
      </c>
      <c r="L2" s="36" t="n">
        <v>73</v>
      </c>
      <c r="M2" s="37" t="n">
        <v>0.8488372093023255</v>
      </c>
      <c r="N2" s="36" t="n">
        <v>11</v>
      </c>
      <c r="O2" s="37" t="n">
        <v>0.4074074074074074</v>
      </c>
      <c r="P2" s="36" t="n">
        <v>11</v>
      </c>
      <c r="Q2" s="37" t="n">
        <v>0.4074074074074074</v>
      </c>
      <c r="R2" s="36" t="n">
        <v>113</v>
      </c>
      <c r="S2" s="37" t="n">
        <v>1</v>
      </c>
      <c r="T2" s="36" t="n">
        <v>31</v>
      </c>
      <c r="U2" s="37" t="n">
        <v>0.2743362831858407</v>
      </c>
      <c r="V2" s="38" t="n">
        <v>0</v>
      </c>
      <c r="W2" s="38" t="n">
        <v>3.96</v>
      </c>
      <c r="X2" s="38" t="n">
        <v>85.0960000000002</v>
      </c>
      <c r="Y2" s="38" t="n">
        <v>113.4</v>
      </c>
      <c r="Z2" s="38" t="n">
        <v>0</v>
      </c>
      <c r="AA2" s="36" t="n">
        <v>289</v>
      </c>
      <c r="AB2" s="37" t="n">
        <v>0.8601190476190477</v>
      </c>
      <c r="AC2" s="36" t="n">
        <v>27</v>
      </c>
      <c r="AD2" s="37" t="n">
        <v>0.8709677419354839</v>
      </c>
      <c r="AE2" s="36" t="n">
        <v>262</v>
      </c>
      <c r="AF2" s="37" t="n">
        <v>0.8590163934426229</v>
      </c>
      <c r="AG2" s="36" t="n">
        <v>6</v>
      </c>
      <c r="AH2" s="37" t="n">
        <v>0.2222222222222222</v>
      </c>
    </row>
    <row r="3">
      <c r="A3" s="53" t="n">
        <v>45748</v>
      </c>
      <c r="B3" t="inlineStr">
        <is>
          <t>R01_Sumbagut</t>
        </is>
      </c>
      <c r="C3" t="inlineStr">
        <is>
          <t>NOP BINJAI</t>
        </is>
      </c>
      <c r="D3" s="38" t="n">
        <v>0</v>
      </c>
      <c r="E3" s="38" t="n">
        <v>1.02</v>
      </c>
      <c r="F3" s="36" t="n">
        <v>3.477999999999999</v>
      </c>
      <c r="G3" s="36" t="n">
        <v>4.342000000000001</v>
      </c>
      <c r="H3" s="36" t="n">
        <v>37</v>
      </c>
      <c r="I3" s="37" t="n">
        <v>0.6491228070175439</v>
      </c>
      <c r="J3" s="36" t="n">
        <v>3</v>
      </c>
      <c r="K3" s="37" t="n">
        <v>0.5</v>
      </c>
      <c r="L3" s="36" t="n">
        <v>34</v>
      </c>
      <c r="M3" s="37" t="n">
        <v>0.6666666666666666</v>
      </c>
      <c r="N3" s="36" t="n">
        <v>0</v>
      </c>
      <c r="O3" s="37" t="n">
        <v>0</v>
      </c>
      <c r="P3" s="36" t="n">
        <v>0</v>
      </c>
      <c r="Q3" s="37" t="n">
        <v>0</v>
      </c>
      <c r="R3" s="36" t="n">
        <v>57</v>
      </c>
      <c r="S3" s="37" t="n">
        <v>1</v>
      </c>
      <c r="T3" s="36" t="n">
        <v>18</v>
      </c>
      <c r="U3" s="37" t="n">
        <v>0.3157894736842105</v>
      </c>
      <c r="V3" s="38" t="n">
        <v>0</v>
      </c>
      <c r="W3" s="38" t="n">
        <v>2.474</v>
      </c>
      <c r="X3" s="38" t="n">
        <v>51.84599999999998</v>
      </c>
      <c r="Y3" s="38" t="n">
        <v>83.01700000000001</v>
      </c>
      <c r="Z3" s="38" t="n">
        <v>0</v>
      </c>
      <c r="AA3" s="36" t="n">
        <v>43</v>
      </c>
      <c r="AB3" s="37" t="n">
        <v>0.4886363636363636</v>
      </c>
      <c r="AC3" s="36" t="n">
        <v>12</v>
      </c>
      <c r="AD3" s="37" t="n">
        <v>0.5217391304347826</v>
      </c>
      <c r="AE3" s="36" t="n">
        <v>24</v>
      </c>
      <c r="AF3" s="37" t="n">
        <v>0.4210526315789473</v>
      </c>
      <c r="AG3" s="36" t="n">
        <v>5</v>
      </c>
      <c r="AH3" s="37" t="n">
        <v>0.4166666666666667</v>
      </c>
    </row>
    <row r="4">
      <c r="A4" s="53" t="n">
        <v>45748</v>
      </c>
      <c r="B4" t="inlineStr">
        <is>
          <t>R01_Sumbagut</t>
        </is>
      </c>
      <c r="C4" t="inlineStr">
        <is>
          <t>NOP MEDAN</t>
        </is>
      </c>
      <c r="D4" s="38" t="n">
        <v>0</v>
      </c>
      <c r="E4" s="38" t="n">
        <v>3.645</v>
      </c>
      <c r="F4" s="36" t="n">
        <v>1.554</v>
      </c>
      <c r="G4" s="36" t="n">
        <v>2.64</v>
      </c>
      <c r="H4" s="36" t="n">
        <v>9</v>
      </c>
      <c r="I4" s="37" t="n">
        <v>0.1956521739130435</v>
      </c>
      <c r="J4" s="36" t="n">
        <v>3</v>
      </c>
      <c r="K4" s="37" t="n">
        <v>0.5</v>
      </c>
      <c r="L4" s="36" t="n">
        <v>6</v>
      </c>
      <c r="M4" s="37" t="n">
        <v>0.15</v>
      </c>
      <c r="N4" s="36" t="n">
        <v>3</v>
      </c>
      <c r="O4" s="37" t="n">
        <v>1</v>
      </c>
      <c r="P4" s="36" t="n">
        <v>3</v>
      </c>
      <c r="Q4" s="37" t="n">
        <v>1</v>
      </c>
      <c r="R4" s="36" t="n">
        <v>46</v>
      </c>
      <c r="S4" s="37" t="n">
        <v>1</v>
      </c>
      <c r="T4" s="36" t="n">
        <v>5</v>
      </c>
      <c r="U4" s="37" t="n">
        <v>0.108695652173913</v>
      </c>
      <c r="V4" s="38" t="n">
        <v>0</v>
      </c>
      <c r="W4" s="38" t="n">
        <v>3.092</v>
      </c>
      <c r="X4" s="38" t="n">
        <v>16.19400000000001</v>
      </c>
      <c r="Y4" s="38" t="n">
        <v>3.19</v>
      </c>
      <c r="Z4" s="38" t="n">
        <v>0</v>
      </c>
      <c r="AA4" s="36" t="n">
        <v>7</v>
      </c>
      <c r="AB4" s="37" t="n">
        <v>0.1707317073170732</v>
      </c>
      <c r="AC4" s="36" t="n">
        <v>2</v>
      </c>
      <c r="AD4" s="37" t="n">
        <v>0.1538461538461539</v>
      </c>
      <c r="AE4" s="36" t="n">
        <v>5</v>
      </c>
      <c r="AF4" s="37" t="n">
        <v>0.1785714285714286</v>
      </c>
      <c r="AG4" s="36" t="n">
        <v>2</v>
      </c>
      <c r="AH4" s="37" t="n">
        <v>1</v>
      </c>
    </row>
    <row r="5">
      <c r="A5" s="53" t="n">
        <v>45748</v>
      </c>
      <c r="B5" t="inlineStr">
        <is>
          <t>R01_Sumbagut</t>
        </is>
      </c>
      <c r="C5" t="inlineStr">
        <is>
          <t>NOP PADANG SIDEMPUAN</t>
        </is>
      </c>
      <c r="D5" s="38" t="n">
        <v>0</v>
      </c>
      <c r="E5" s="38" t="n">
        <v>1.717</v>
      </c>
      <c r="F5" s="36" t="n">
        <v>3.093000000000001</v>
      </c>
      <c r="G5" s="36" t="n">
        <v>1.81</v>
      </c>
      <c r="H5" s="36" t="n">
        <v>17</v>
      </c>
      <c r="I5" s="37" t="n">
        <v>0.25</v>
      </c>
      <c r="J5" s="36" t="n">
        <v>4</v>
      </c>
      <c r="K5" s="37" t="n">
        <v>0.5</v>
      </c>
      <c r="L5" s="36" t="n">
        <v>13</v>
      </c>
      <c r="M5" s="37" t="n">
        <v>0.2166666666666667</v>
      </c>
      <c r="N5" s="36" t="n">
        <v>2</v>
      </c>
      <c r="O5" s="37" t="n">
        <v>0.5</v>
      </c>
      <c r="P5" s="36" t="n">
        <v>2</v>
      </c>
      <c r="Q5" s="37" t="n">
        <v>0.5</v>
      </c>
      <c r="R5" s="36" t="n">
        <v>68</v>
      </c>
      <c r="S5" s="37" t="n">
        <v>1</v>
      </c>
      <c r="T5" s="36" t="n">
        <v>9</v>
      </c>
      <c r="U5" s="37" t="n">
        <v>0.1323529411764706</v>
      </c>
      <c r="V5" s="38" t="n">
        <v>0.01</v>
      </c>
      <c r="W5" s="38" t="n">
        <v>1.501</v>
      </c>
      <c r="X5" s="38" t="n">
        <v>15.694</v>
      </c>
      <c r="Y5" s="38" t="n">
        <v>24.39800000000001</v>
      </c>
      <c r="Z5" s="38" t="n">
        <v>0</v>
      </c>
      <c r="AA5" s="36" t="n">
        <v>61</v>
      </c>
      <c r="AB5" s="37" t="n">
        <v>0.2747747747747748</v>
      </c>
      <c r="AC5" s="36" t="n">
        <v>23</v>
      </c>
      <c r="AD5" s="37" t="n">
        <v>0.3898305084745763</v>
      </c>
      <c r="AE5" s="36" t="n">
        <v>37</v>
      </c>
      <c r="AF5" s="37" t="n">
        <v>0.228395061728395</v>
      </c>
      <c r="AG5" s="36" t="n">
        <v>12</v>
      </c>
      <c r="AH5" s="37" t="n">
        <v>0.5217391304347826</v>
      </c>
    </row>
    <row r="6">
      <c r="A6" s="53" t="n">
        <v>45748</v>
      </c>
      <c r="B6" t="inlineStr">
        <is>
          <t>R01_Sumbagut</t>
        </is>
      </c>
      <c r="C6" t="inlineStr">
        <is>
          <t>NOP PEMATANG SIANTAR</t>
        </is>
      </c>
      <c r="D6" s="38" t="n">
        <v>0.9100000000000001</v>
      </c>
      <c r="E6" s="38" t="n">
        <v>5.729000000000002</v>
      </c>
      <c r="F6" s="36" t="n">
        <v>4.52</v>
      </c>
      <c r="G6" s="36" t="n">
        <v>9.050000000000002</v>
      </c>
      <c r="H6" s="36" t="n">
        <v>21</v>
      </c>
      <c r="I6" s="37" t="n">
        <v>0.1810344827586207</v>
      </c>
      <c r="J6" s="36" t="n">
        <v>8</v>
      </c>
      <c r="K6" s="37" t="n">
        <v>0.2222222222222222</v>
      </c>
      <c r="L6" s="36" t="n">
        <v>13</v>
      </c>
      <c r="M6" s="37" t="n">
        <v>0.1625</v>
      </c>
      <c r="N6" s="36" t="n">
        <v>7</v>
      </c>
      <c r="O6" s="37" t="n">
        <v>0.875</v>
      </c>
      <c r="P6" s="36" t="n">
        <v>7</v>
      </c>
      <c r="Q6" s="37" t="n">
        <v>0.875</v>
      </c>
      <c r="R6" s="36" t="n">
        <v>115</v>
      </c>
      <c r="S6" s="37" t="n">
        <v>0.9913793103448276</v>
      </c>
      <c r="T6" s="36" t="n">
        <v>16</v>
      </c>
      <c r="U6" s="37" t="n">
        <v>0.1379310344827586</v>
      </c>
      <c r="V6" s="38" t="n">
        <v>0</v>
      </c>
      <c r="W6" s="38" t="n">
        <v>3.396</v>
      </c>
      <c r="X6" s="38" t="n">
        <v>50.02400000000001</v>
      </c>
      <c r="Y6" s="38" t="n">
        <v>51.465</v>
      </c>
      <c r="Z6" s="38" t="n">
        <v>0</v>
      </c>
      <c r="AA6" s="36" t="n">
        <v>44</v>
      </c>
      <c r="AB6" s="37" t="n">
        <v>0.1035294117647059</v>
      </c>
      <c r="AC6" s="36" t="n">
        <v>11</v>
      </c>
      <c r="AD6" s="37" t="n">
        <v>0.2291666666666667</v>
      </c>
      <c r="AE6" s="36" t="n">
        <v>33</v>
      </c>
      <c r="AF6" s="37" t="n">
        <v>0.08776595744680851</v>
      </c>
      <c r="AG6" s="36" t="n">
        <v>11</v>
      </c>
      <c r="AH6" s="37" t="n">
        <v>1</v>
      </c>
    </row>
    <row r="7">
      <c r="A7" s="53" t="n">
        <v>45748</v>
      </c>
      <c r="B7" t="inlineStr">
        <is>
          <t>R01_Sumbagut</t>
        </is>
      </c>
      <c r="C7" t="inlineStr">
        <is>
          <t>NOP RANTAU PRAPAT</t>
        </is>
      </c>
      <c r="D7" s="38" t="n">
        <v>6.094000000000002</v>
      </c>
      <c r="E7" s="38" t="n">
        <v>6.784000000000002</v>
      </c>
      <c r="F7" s="36" t="n">
        <v>7.018000000000002</v>
      </c>
      <c r="G7" s="36" t="n">
        <v>3.13</v>
      </c>
      <c r="H7" s="36" t="n">
        <v>65</v>
      </c>
      <c r="I7" s="37" t="n">
        <v>0.3009259259259259</v>
      </c>
      <c r="J7" s="36" t="n">
        <v>21</v>
      </c>
      <c r="K7" s="37" t="n">
        <v>0.4038461538461539</v>
      </c>
      <c r="L7" s="36" t="n">
        <v>44</v>
      </c>
      <c r="M7" s="37" t="n">
        <v>0.2682926829268293</v>
      </c>
      <c r="N7" s="36" t="n">
        <v>11</v>
      </c>
      <c r="O7" s="37" t="n">
        <v>0.5238095238095238</v>
      </c>
      <c r="P7" s="36" t="n">
        <v>11</v>
      </c>
      <c r="Q7" s="37" t="n">
        <v>0.5238095238095238</v>
      </c>
      <c r="R7" s="36" t="n">
        <v>211</v>
      </c>
      <c r="S7" s="37" t="n">
        <v>0.9768518518518519</v>
      </c>
      <c r="T7" s="36" t="n">
        <v>32</v>
      </c>
      <c r="U7" s="37" t="n">
        <v>0.1481481481481481</v>
      </c>
      <c r="V7" s="38" t="n">
        <v>0</v>
      </c>
      <c r="W7" s="38" t="n">
        <v>4.314</v>
      </c>
      <c r="X7" s="38" t="n">
        <v>22.87</v>
      </c>
      <c r="Y7" s="38" t="n">
        <v>22.226</v>
      </c>
      <c r="Z7" s="38" t="n">
        <v>0</v>
      </c>
      <c r="AA7" s="36" t="n">
        <v>19</v>
      </c>
      <c r="AB7" s="37" t="n">
        <v>0.04567307692307692</v>
      </c>
      <c r="AC7" s="36" t="n">
        <v>9</v>
      </c>
      <c r="AD7" s="37" t="n">
        <v>0.15</v>
      </c>
      <c r="AE7" s="36" t="n">
        <v>10</v>
      </c>
      <c r="AF7" s="37" t="n">
        <v>0.02808988764044944</v>
      </c>
      <c r="AG7" s="36" t="n">
        <v>2</v>
      </c>
      <c r="AH7" s="37" t="n">
        <v>0.2222222222222222</v>
      </c>
    </row>
    <row r="8">
      <c r="A8" s="53" t="n">
        <v>45748</v>
      </c>
      <c r="B8" t="inlineStr">
        <is>
          <t>R10_Sumbagteng</t>
        </is>
      </c>
      <c r="C8" t="inlineStr">
        <is>
          <t>NOP BATAM</t>
        </is>
      </c>
      <c r="D8" s="38" t="n">
        <v>0.68</v>
      </c>
      <c r="E8" s="38" t="n">
        <v>7.050999999999998</v>
      </c>
      <c r="F8" s="36" t="n">
        <v>7.744000000000003</v>
      </c>
      <c r="G8" s="36" t="n">
        <v>5.775</v>
      </c>
      <c r="H8" s="36" t="n">
        <v>17</v>
      </c>
      <c r="I8" s="37" t="n">
        <v>0.1770833333333333</v>
      </c>
      <c r="J8" s="36" t="n">
        <v>0</v>
      </c>
      <c r="K8" s="37" t="n">
        <v>0</v>
      </c>
      <c r="L8" s="36" t="n">
        <v>17</v>
      </c>
      <c r="M8" s="37" t="n">
        <v>0.2</v>
      </c>
      <c r="N8" s="36" t="n">
        <v>0</v>
      </c>
      <c r="O8" s="37" t="n">
        <v>0</v>
      </c>
      <c r="P8" s="36" t="n">
        <v>0</v>
      </c>
      <c r="Q8" s="37" t="n">
        <v>0</v>
      </c>
      <c r="R8" s="36" t="n">
        <v>96</v>
      </c>
      <c r="S8" s="37" t="n">
        <v>1</v>
      </c>
      <c r="T8" s="36" t="n">
        <v>8</v>
      </c>
      <c r="U8" s="37" t="n">
        <v>0.08333333333333333</v>
      </c>
      <c r="V8" s="38" t="n">
        <v>0</v>
      </c>
      <c r="W8" s="38" t="n">
        <v>5.272000000000001</v>
      </c>
      <c r="X8" s="38" t="n">
        <v>20.65700000000001</v>
      </c>
      <c r="Y8" s="38" t="n">
        <v>18.206</v>
      </c>
      <c r="Z8" s="38" t="n">
        <v>0</v>
      </c>
      <c r="AA8" s="36" t="n">
        <v>36</v>
      </c>
      <c r="AB8" s="37" t="n">
        <v>0.1299638989169675</v>
      </c>
      <c r="AC8" s="36" t="n">
        <v>7</v>
      </c>
      <c r="AD8" s="37" t="n">
        <v>0.1428571428571428</v>
      </c>
      <c r="AE8" s="36" t="n">
        <v>29</v>
      </c>
      <c r="AF8" s="37" t="n">
        <v>0.1277533039647577</v>
      </c>
      <c r="AG8" s="36" t="n">
        <v>4</v>
      </c>
      <c r="AH8" s="37" t="n">
        <v>0.5714285714285714</v>
      </c>
    </row>
    <row r="9">
      <c r="A9" s="53" t="n">
        <v>45748</v>
      </c>
      <c r="B9" t="inlineStr">
        <is>
          <t>R10_Sumbagteng</t>
        </is>
      </c>
      <c r="C9" t="inlineStr">
        <is>
          <t>NOP BUKITTINGGI</t>
        </is>
      </c>
      <c r="D9" s="38" t="n">
        <v>0</v>
      </c>
      <c r="E9" s="38" t="n">
        <v>4.347999999999999</v>
      </c>
      <c r="F9" s="36" t="n">
        <v>3.2</v>
      </c>
      <c r="G9" s="36" t="n">
        <v>3.48</v>
      </c>
      <c r="H9" s="36" t="n">
        <v>21</v>
      </c>
      <c r="I9" s="37" t="n">
        <v>0.65625</v>
      </c>
      <c r="J9" s="36" t="n">
        <v>6</v>
      </c>
      <c r="K9" s="37" t="n">
        <v>0.75</v>
      </c>
      <c r="L9" s="36" t="n">
        <v>15</v>
      </c>
      <c r="M9" s="37" t="n">
        <v>0.625</v>
      </c>
      <c r="N9" s="36" t="n">
        <v>5</v>
      </c>
      <c r="O9" s="37" t="n">
        <v>0.8333333333333334</v>
      </c>
      <c r="P9" s="36" t="n">
        <v>5</v>
      </c>
      <c r="Q9" s="37" t="n">
        <v>0.8333333333333334</v>
      </c>
      <c r="R9" s="36" t="n">
        <v>32</v>
      </c>
      <c r="S9" s="37" t="n">
        <v>1</v>
      </c>
      <c r="T9" s="36" t="n">
        <v>16</v>
      </c>
      <c r="U9" s="37" t="n">
        <v>0.5</v>
      </c>
      <c r="V9" s="38" t="n">
        <v>0</v>
      </c>
      <c r="W9" s="38" t="n">
        <v>4.069</v>
      </c>
      <c r="X9" s="38" t="n">
        <v>6.312</v>
      </c>
      <c r="Y9" s="38" t="n">
        <v>77.666</v>
      </c>
      <c r="Z9" s="38" t="n">
        <v>0</v>
      </c>
      <c r="AA9" s="36" t="n">
        <v>51</v>
      </c>
      <c r="AB9" s="37" t="n">
        <v>0.3333333333333333</v>
      </c>
      <c r="AC9" s="36" t="n">
        <v>11</v>
      </c>
      <c r="AD9" s="37" t="n">
        <v>0.9166666666666666</v>
      </c>
      <c r="AE9" s="36" t="n">
        <v>40</v>
      </c>
      <c r="AF9" s="37" t="n">
        <v>0.2836879432624114</v>
      </c>
      <c r="AG9" s="36" t="n">
        <v>6</v>
      </c>
      <c r="AH9" s="37" t="n">
        <v>0.5454545454545454</v>
      </c>
    </row>
    <row r="10">
      <c r="A10" s="53" t="n">
        <v>45748</v>
      </c>
      <c r="B10" t="inlineStr">
        <is>
          <t>R10_Sumbagteng</t>
        </is>
      </c>
      <c r="C10" t="inlineStr">
        <is>
          <t>NOP DUMAI</t>
        </is>
      </c>
      <c r="D10" s="38" t="n">
        <v>1.336</v>
      </c>
      <c r="E10" s="38" t="n">
        <v>2.765000000000001</v>
      </c>
      <c r="F10" s="36" t="n">
        <v>4.12400000000001</v>
      </c>
      <c r="G10" s="36" t="n">
        <v>4.989000000000001</v>
      </c>
      <c r="H10" s="36" t="n">
        <v>50</v>
      </c>
      <c r="I10" s="37" t="n">
        <v>0.2873563218390804</v>
      </c>
      <c r="J10" s="36" t="n">
        <v>11</v>
      </c>
      <c r="K10" s="37" t="n">
        <v>0.3666666666666666</v>
      </c>
      <c r="L10" s="36" t="n">
        <v>39</v>
      </c>
      <c r="M10" s="37" t="n">
        <v>0.2708333333333333</v>
      </c>
      <c r="N10" s="36" t="n">
        <v>10</v>
      </c>
      <c r="O10" s="37" t="n">
        <v>0.9090909090909091</v>
      </c>
      <c r="P10" s="36" t="n">
        <v>10</v>
      </c>
      <c r="Q10" s="37" t="n">
        <v>0.9090909090909091</v>
      </c>
      <c r="R10" s="36" t="n">
        <v>174</v>
      </c>
      <c r="S10" s="37" t="n">
        <v>1</v>
      </c>
      <c r="T10" s="36" t="n">
        <v>46</v>
      </c>
      <c r="U10" s="37" t="n">
        <v>0.264367816091954</v>
      </c>
      <c r="V10" s="38" t="n">
        <v>0.1750000000000001</v>
      </c>
      <c r="W10" s="38" t="n">
        <v>3.867</v>
      </c>
      <c r="X10" s="38" t="n">
        <v>42.08</v>
      </c>
      <c r="Y10" s="38" t="n">
        <v>68.55600000000003</v>
      </c>
      <c r="Z10" s="38" t="n">
        <v>0</v>
      </c>
      <c r="AA10" s="36" t="n">
        <v>73</v>
      </c>
      <c r="AB10" s="37" t="n">
        <v>0.2192192192192192</v>
      </c>
      <c r="AC10" s="36" t="n">
        <v>25</v>
      </c>
      <c r="AD10" s="37" t="n">
        <v>0.2717391304347826</v>
      </c>
      <c r="AE10" s="36" t="n">
        <v>48</v>
      </c>
      <c r="AF10" s="37" t="n">
        <v>0.2</v>
      </c>
      <c r="AG10" s="36" t="n">
        <v>23</v>
      </c>
      <c r="AH10" s="37" t="n">
        <v>0.92</v>
      </c>
    </row>
    <row r="11">
      <c r="A11" s="53" t="n">
        <v>45748</v>
      </c>
      <c r="B11" t="inlineStr">
        <is>
          <t>R10_Sumbagteng</t>
        </is>
      </c>
      <c r="C11" t="inlineStr">
        <is>
          <t>NOP PADANG</t>
        </is>
      </c>
      <c r="D11" s="38" t="n">
        <v>0</v>
      </c>
      <c r="E11" s="38" t="n">
        <v>0.794</v>
      </c>
      <c r="F11" s="36" t="n">
        <v>3.449</v>
      </c>
      <c r="G11" s="36" t="n">
        <v>3.146</v>
      </c>
      <c r="H11" s="36" t="n">
        <v>20</v>
      </c>
      <c r="I11" s="37" t="n">
        <v>0.6060606060606061</v>
      </c>
      <c r="J11" s="36" t="n">
        <v>2</v>
      </c>
      <c r="K11" s="37" t="n">
        <v>1</v>
      </c>
      <c r="L11" s="36" t="n">
        <v>18</v>
      </c>
      <c r="M11" s="37" t="n">
        <v>0.5806451612903226</v>
      </c>
      <c r="N11" s="36" t="n">
        <v>0</v>
      </c>
      <c r="O11" s="37" t="n">
        <v>0</v>
      </c>
      <c r="P11" s="36" t="n">
        <v>0</v>
      </c>
      <c r="Q11" s="37" t="n">
        <v>0</v>
      </c>
      <c r="R11" s="36" t="n">
        <v>33</v>
      </c>
      <c r="S11" s="37" t="n">
        <v>1</v>
      </c>
      <c r="T11" s="36" t="n">
        <v>5</v>
      </c>
      <c r="U11" s="37" t="n">
        <v>0.1515151515151515</v>
      </c>
      <c r="V11" s="38" t="n">
        <v>0</v>
      </c>
      <c r="W11" s="38" t="n">
        <v>9.608000000000008</v>
      </c>
      <c r="X11" s="38" t="n">
        <v>46.96</v>
      </c>
      <c r="Y11" s="38" t="n">
        <v>15.87</v>
      </c>
      <c r="Z11" s="38" t="n">
        <v>0</v>
      </c>
      <c r="AA11" s="36" t="n">
        <v>140</v>
      </c>
      <c r="AB11" s="37" t="n">
        <v>0.611353711790393</v>
      </c>
      <c r="AC11" s="36" t="n">
        <v>13</v>
      </c>
      <c r="AD11" s="37" t="n">
        <v>0.52</v>
      </c>
      <c r="AE11" s="36" t="n">
        <v>125</v>
      </c>
      <c r="AF11" s="37" t="n">
        <v>0.6188118811881188</v>
      </c>
      <c r="AG11" s="36" t="n">
        <v>7</v>
      </c>
      <c r="AH11" s="37" t="n">
        <v>0.5384615384615384</v>
      </c>
    </row>
    <row r="12">
      <c r="A12" s="53" t="n">
        <v>45748</v>
      </c>
      <c r="B12" t="inlineStr">
        <is>
          <t>R10_Sumbagteng</t>
        </is>
      </c>
      <c r="C12" t="inlineStr">
        <is>
          <t>NOP PEKANBARU</t>
        </is>
      </c>
      <c r="D12" s="38" t="n">
        <v>0</v>
      </c>
      <c r="E12" s="38" t="n">
        <v>3.282</v>
      </c>
      <c r="F12" s="36" t="n">
        <v>3.64</v>
      </c>
      <c r="G12" s="36" t="n">
        <v>6.064000000000002</v>
      </c>
      <c r="H12" s="36" t="n">
        <v>33</v>
      </c>
      <c r="I12" s="37" t="n">
        <v>0.2661290322580645</v>
      </c>
      <c r="J12" s="36" t="n">
        <v>14</v>
      </c>
      <c r="K12" s="37" t="n">
        <v>0.5600000000000001</v>
      </c>
      <c r="L12" s="36" t="n">
        <v>19</v>
      </c>
      <c r="M12" s="37" t="n">
        <v>0.1919191919191919</v>
      </c>
      <c r="N12" s="36" t="n">
        <v>9</v>
      </c>
      <c r="O12" s="37" t="n">
        <v>0.6428571428571429</v>
      </c>
      <c r="P12" s="36" t="n">
        <v>9</v>
      </c>
      <c r="Q12" s="37" t="n">
        <v>0.6428571428571429</v>
      </c>
      <c r="R12" s="36" t="n">
        <v>124</v>
      </c>
      <c r="S12" s="37" t="n">
        <v>1</v>
      </c>
      <c r="T12" s="36" t="n">
        <v>17</v>
      </c>
      <c r="U12" s="37" t="n">
        <v>0.1370967741935484</v>
      </c>
      <c r="V12" s="38" t="n">
        <v>0</v>
      </c>
      <c r="W12" s="38" t="n">
        <v>3.762</v>
      </c>
      <c r="X12" s="38" t="n">
        <v>55.155</v>
      </c>
      <c r="Y12" s="38" t="n">
        <v>70.756</v>
      </c>
      <c r="Z12" s="38" t="n">
        <v>0</v>
      </c>
      <c r="AA12" s="36" t="n">
        <v>109</v>
      </c>
      <c r="AB12" s="37" t="n">
        <v>0.3978102189781022</v>
      </c>
      <c r="AC12" s="36" t="n">
        <v>26</v>
      </c>
      <c r="AD12" s="37" t="n">
        <v>0.40625</v>
      </c>
      <c r="AE12" s="36" t="n">
        <v>83</v>
      </c>
      <c r="AF12" s="37" t="n">
        <v>0.3952380952380952</v>
      </c>
      <c r="AG12" s="36" t="n">
        <v>24</v>
      </c>
      <c r="AH12" s="37" t="n">
        <v>0.9230769230769231</v>
      </c>
    </row>
    <row r="13">
      <c r="A13" s="53" t="n">
        <v>45748</v>
      </c>
      <c r="B13" t="inlineStr">
        <is>
          <t>R02_Sumbagsel</t>
        </is>
      </c>
      <c r="C13" t="inlineStr">
        <is>
          <t>NOP BENGKULU</t>
        </is>
      </c>
      <c r="D13" s="38" t="n">
        <v>0.65</v>
      </c>
      <c r="E13" s="38" t="n">
        <v>1.872</v>
      </c>
      <c r="F13" s="36" t="n">
        <v>2.414</v>
      </c>
      <c r="G13" s="36" t="n">
        <v>2.511</v>
      </c>
      <c r="H13" s="36" t="n">
        <v>39</v>
      </c>
      <c r="I13" s="37" t="n">
        <v>0.4148936170212766</v>
      </c>
      <c r="J13" s="36" t="n">
        <v>9</v>
      </c>
      <c r="K13" s="37" t="n">
        <v>0.4285714285714285</v>
      </c>
      <c r="L13" s="36" t="n">
        <v>30</v>
      </c>
      <c r="M13" s="37" t="n">
        <v>0.410958904109589</v>
      </c>
      <c r="N13" s="36" t="n">
        <v>5</v>
      </c>
      <c r="O13" s="37" t="n">
        <v>0.5555555555555556</v>
      </c>
      <c r="P13" s="36" t="n">
        <v>5</v>
      </c>
      <c r="Q13" s="37" t="n">
        <v>0.5555555555555556</v>
      </c>
      <c r="R13" s="36" t="n">
        <v>94</v>
      </c>
      <c r="S13" s="37" t="n">
        <v>1</v>
      </c>
      <c r="T13" s="36" t="n">
        <v>16</v>
      </c>
      <c r="U13" s="37" t="n">
        <v>0.1702127659574468</v>
      </c>
      <c r="V13" s="38" t="n">
        <v>0</v>
      </c>
      <c r="W13" s="38" t="n">
        <v>4.255999999999999</v>
      </c>
      <c r="X13" s="38" t="n">
        <v>4.103</v>
      </c>
      <c r="Y13" s="38" t="n">
        <v>13.995</v>
      </c>
      <c r="Z13" s="38" t="n">
        <v>0</v>
      </c>
      <c r="AA13" s="36" t="n">
        <v>58</v>
      </c>
      <c r="AB13" s="37" t="n">
        <v>0.3204419889502763</v>
      </c>
      <c r="AC13" s="36" t="n">
        <v>35</v>
      </c>
      <c r="AD13" s="37" t="n">
        <v>0.2966101694915254</v>
      </c>
      <c r="AE13" s="36" t="n">
        <v>23</v>
      </c>
      <c r="AF13" s="37" t="n">
        <v>0.4107142857142857</v>
      </c>
      <c r="AG13" s="36" t="n">
        <v>29</v>
      </c>
      <c r="AH13" s="37" t="n">
        <v>0.8285714285714286</v>
      </c>
    </row>
    <row r="14">
      <c r="A14" s="53" t="n">
        <v>45748</v>
      </c>
      <c r="B14" t="inlineStr">
        <is>
          <t>R02_Sumbagsel</t>
        </is>
      </c>
      <c r="C14" t="inlineStr">
        <is>
          <t>NOP JAMBI</t>
        </is>
      </c>
      <c r="D14" s="38" t="n">
        <v>3.443</v>
      </c>
      <c r="E14" s="38" t="n">
        <v>4.74</v>
      </c>
      <c r="F14" s="36" t="n">
        <v>6.77</v>
      </c>
      <c r="G14" s="36" t="n">
        <v>9.862000000000002</v>
      </c>
      <c r="H14" s="36" t="n">
        <v>97</v>
      </c>
      <c r="I14" s="37" t="n">
        <v>0.5773809523809523</v>
      </c>
      <c r="J14" s="36" t="n">
        <v>28</v>
      </c>
      <c r="K14" s="37" t="n">
        <v>0.5</v>
      </c>
      <c r="L14" s="36" t="n">
        <v>69</v>
      </c>
      <c r="M14" s="37" t="n">
        <v>0.6160714285714286</v>
      </c>
      <c r="N14" s="36" t="n">
        <v>19</v>
      </c>
      <c r="O14" s="37" t="n">
        <v>0.6785714285714286</v>
      </c>
      <c r="P14" s="36" t="n">
        <v>19</v>
      </c>
      <c r="Q14" s="37" t="n">
        <v>0.6785714285714286</v>
      </c>
      <c r="R14" s="36" t="n">
        <v>168</v>
      </c>
      <c r="S14" s="37" t="n">
        <v>1</v>
      </c>
      <c r="T14" s="36" t="n">
        <v>44</v>
      </c>
      <c r="U14" s="37" t="n">
        <v>0.2619047619047619</v>
      </c>
      <c r="V14" s="38" t="n">
        <v>0</v>
      </c>
      <c r="W14" s="38" t="n">
        <v>4.662</v>
      </c>
      <c r="X14" s="38" t="n">
        <v>9.087</v>
      </c>
      <c r="Y14" s="38" t="n">
        <v>17</v>
      </c>
      <c r="Z14" s="38" t="n">
        <v>0</v>
      </c>
      <c r="AA14" s="36" t="n">
        <v>166</v>
      </c>
      <c r="AB14" s="37" t="n">
        <v>0.5665529010238908</v>
      </c>
      <c r="AC14" s="36" t="n">
        <v>100</v>
      </c>
      <c r="AD14" s="37" t="n">
        <v>0.5555555555555556</v>
      </c>
      <c r="AE14" s="36" t="n">
        <v>56</v>
      </c>
      <c r="AF14" s="37" t="n">
        <v>0.6436781609195402</v>
      </c>
      <c r="AG14" s="36" t="n">
        <v>69</v>
      </c>
      <c r="AH14" s="37" t="n">
        <v>0.6899999999999999</v>
      </c>
    </row>
    <row r="15">
      <c r="A15" s="53" t="n">
        <v>45748</v>
      </c>
      <c r="B15" t="inlineStr">
        <is>
          <t>R02_Sumbagsel</t>
        </is>
      </c>
      <c r="C15" t="inlineStr">
        <is>
          <t>NOP LAMPUNG</t>
        </is>
      </c>
      <c r="D15" s="38" t="n">
        <v>0</v>
      </c>
      <c r="E15" s="38" t="n">
        <v>2.62</v>
      </c>
      <c r="F15" s="36" t="n">
        <v>4.41</v>
      </c>
      <c r="G15" s="36" t="n">
        <v>2.620000000000001</v>
      </c>
      <c r="H15" s="36" t="n">
        <v>16</v>
      </c>
      <c r="I15" s="37" t="n">
        <v>0.3478260869565217</v>
      </c>
      <c r="J15" s="36" t="n">
        <v>3</v>
      </c>
      <c r="K15" s="37" t="n">
        <v>0.5</v>
      </c>
      <c r="L15" s="36" t="n">
        <v>13</v>
      </c>
      <c r="M15" s="37" t="n">
        <v>0.325</v>
      </c>
      <c r="N15" s="36" t="n">
        <v>2</v>
      </c>
      <c r="O15" s="37" t="n">
        <v>0.6666666666666666</v>
      </c>
      <c r="P15" s="36" t="n">
        <v>2</v>
      </c>
      <c r="Q15" s="37" t="n">
        <v>0.6666666666666666</v>
      </c>
      <c r="R15" s="36" t="n">
        <v>46</v>
      </c>
      <c r="S15" s="37" t="n">
        <v>1</v>
      </c>
      <c r="T15" s="36" t="n">
        <v>10</v>
      </c>
      <c r="U15" s="37" t="n">
        <v>0.2173913043478261</v>
      </c>
      <c r="V15" s="38" t="n">
        <v>0</v>
      </c>
      <c r="W15" s="38" t="n">
        <v>42.95400000000006</v>
      </c>
      <c r="X15" s="38" t="n">
        <v>12.78699999999999</v>
      </c>
      <c r="Y15" s="38" t="n">
        <v>103.202</v>
      </c>
      <c r="Z15" s="38" t="n">
        <v>0</v>
      </c>
      <c r="AA15" s="36" t="n">
        <v>55</v>
      </c>
      <c r="AB15" s="37" t="n">
        <v>0.7638888888888888</v>
      </c>
      <c r="AC15" s="36" t="n">
        <v>14</v>
      </c>
      <c r="AD15" s="37" t="n">
        <v>0.6363636363636364</v>
      </c>
      <c r="AE15" s="36" t="n">
        <v>37</v>
      </c>
      <c r="AF15" s="37" t="n">
        <v>0.8409090909090909</v>
      </c>
      <c r="AG15" s="36" t="n">
        <v>9</v>
      </c>
      <c r="AH15" s="37" t="n">
        <v>0.6428571428571429</v>
      </c>
    </row>
    <row r="16">
      <c r="A16" s="53" t="n">
        <v>45748</v>
      </c>
      <c r="B16" t="inlineStr">
        <is>
          <t>R02_Sumbagsel</t>
        </is>
      </c>
      <c r="C16" t="inlineStr">
        <is>
          <t>NOP MUARA ENIM</t>
        </is>
      </c>
      <c r="D16" s="38" t="n">
        <v>2.573</v>
      </c>
      <c r="E16" s="38" t="n">
        <v>3.913000000000004</v>
      </c>
      <c r="F16" s="36" t="n">
        <v>2.549</v>
      </c>
      <c r="G16" s="36" t="n">
        <v>2.804999999999999</v>
      </c>
      <c r="H16" s="36" t="n">
        <v>34</v>
      </c>
      <c r="I16" s="37" t="n">
        <v>0.3148148148148148</v>
      </c>
      <c r="J16" s="36" t="n">
        <v>4</v>
      </c>
      <c r="K16" s="37" t="n">
        <v>0.125</v>
      </c>
      <c r="L16" s="36" t="n">
        <v>30</v>
      </c>
      <c r="M16" s="37" t="n">
        <v>0.3947368421052632</v>
      </c>
      <c r="N16" s="36" t="n">
        <v>2</v>
      </c>
      <c r="O16" s="37" t="n">
        <v>0.5</v>
      </c>
      <c r="P16" s="36" t="n">
        <v>2</v>
      </c>
      <c r="Q16" s="37" t="n">
        <v>0.5</v>
      </c>
      <c r="R16" s="36" t="n">
        <v>96</v>
      </c>
      <c r="S16" s="37" t="n">
        <v>0.8888888888888888</v>
      </c>
      <c r="T16" s="36" t="n">
        <v>13</v>
      </c>
      <c r="U16" s="37" t="n">
        <v>0.1203703703703704</v>
      </c>
      <c r="V16" s="38" t="n">
        <v>0</v>
      </c>
      <c r="W16" s="38" t="n">
        <v>9.817</v>
      </c>
      <c r="X16" s="38" t="n">
        <v>7.325</v>
      </c>
      <c r="Y16" s="38" t="n">
        <v>9.76</v>
      </c>
      <c r="Z16" s="38" t="n">
        <v>0</v>
      </c>
      <c r="AA16" s="36" t="n">
        <v>78</v>
      </c>
      <c r="AB16" s="37" t="n">
        <v>0.430939226519337</v>
      </c>
      <c r="AC16" s="36" t="n">
        <v>45</v>
      </c>
      <c r="AD16" s="37" t="n">
        <v>0.4591836734693878</v>
      </c>
      <c r="AE16" s="36" t="n">
        <v>31</v>
      </c>
      <c r="AF16" s="37" t="n">
        <v>0.6078431372549019</v>
      </c>
      <c r="AG16" s="36" t="n">
        <v>35</v>
      </c>
      <c r="AH16" s="37" t="n">
        <v>0.7777777777777778</v>
      </c>
    </row>
    <row r="17">
      <c r="A17" s="53" t="n">
        <v>45748</v>
      </c>
      <c r="B17" t="inlineStr">
        <is>
          <t>R02_Sumbagsel</t>
        </is>
      </c>
      <c r="C17" t="inlineStr">
        <is>
          <t>NOP PALEMBANG</t>
        </is>
      </c>
      <c r="D17" s="38" t="n">
        <v>0</v>
      </c>
      <c r="E17" s="38" t="n">
        <v>5.404000000000001</v>
      </c>
      <c r="F17" s="36" t="n">
        <v>4.382000000000001</v>
      </c>
      <c r="G17" s="36" t="n">
        <v>4.928</v>
      </c>
      <c r="H17" s="36" t="n">
        <v>22</v>
      </c>
      <c r="I17" s="37" t="n">
        <v>0.360655737704918</v>
      </c>
      <c r="J17" s="36" t="n">
        <v>3</v>
      </c>
      <c r="K17" s="37" t="n">
        <v>0.75</v>
      </c>
      <c r="L17" s="36" t="n">
        <v>19</v>
      </c>
      <c r="M17" s="37" t="n">
        <v>0.3333333333333333</v>
      </c>
      <c r="N17" s="36" t="n">
        <v>3</v>
      </c>
      <c r="O17" s="37" t="n">
        <v>1</v>
      </c>
      <c r="P17" s="36" t="n">
        <v>3</v>
      </c>
      <c r="Q17" s="37" t="n">
        <v>1</v>
      </c>
      <c r="R17" s="36" t="n">
        <v>61</v>
      </c>
      <c r="S17" s="37" t="n">
        <v>1</v>
      </c>
      <c r="T17" s="36" t="n">
        <v>15</v>
      </c>
      <c r="U17" s="37" t="n">
        <v>0.2459016393442623</v>
      </c>
      <c r="V17" s="38" t="n">
        <v>0</v>
      </c>
      <c r="W17" s="38" t="n">
        <v>7.65100000000001</v>
      </c>
      <c r="X17" s="38" t="n">
        <v>12.327</v>
      </c>
      <c r="Y17" s="38" t="n">
        <v>14.919</v>
      </c>
      <c r="Z17" s="38" t="n">
        <v>0</v>
      </c>
      <c r="AA17" s="36" t="n">
        <v>25</v>
      </c>
      <c r="AB17" s="37" t="n">
        <v>0.2525252525252525</v>
      </c>
      <c r="AC17" s="36" t="n">
        <v>12</v>
      </c>
      <c r="AD17" s="37" t="n">
        <v>0.2222222222222222</v>
      </c>
      <c r="AE17" s="36" t="n">
        <v>13</v>
      </c>
      <c r="AF17" s="37" t="n">
        <v>0.3611111111111111</v>
      </c>
      <c r="AG17" s="36" t="n">
        <v>10</v>
      </c>
      <c r="AH17" s="37" t="n">
        <v>0.8333333333333334</v>
      </c>
    </row>
    <row r="18">
      <c r="A18" s="53" t="n">
        <v>45748</v>
      </c>
      <c r="B18" t="inlineStr">
        <is>
          <t>R02_Sumbagsel</t>
        </is>
      </c>
      <c r="C18" t="inlineStr">
        <is>
          <t>NOP PANGKAL PINANG</t>
        </is>
      </c>
      <c r="D18" s="38" t="n">
        <v>0</v>
      </c>
      <c r="E18" s="38" t="n">
        <v>0</v>
      </c>
      <c r="F18" s="36" t="n">
        <v>0.99</v>
      </c>
      <c r="G18" s="36" t="n">
        <v>7.54</v>
      </c>
      <c r="H18" s="36" t="n">
        <v>4</v>
      </c>
      <c r="I18" s="37" t="n">
        <v>0.3636363636363636</v>
      </c>
      <c r="J18" s="36" t="n">
        <v>0</v>
      </c>
      <c r="K18" s="37" t="n">
        <v>0</v>
      </c>
      <c r="L18" s="36" t="n">
        <v>4</v>
      </c>
      <c r="M18" s="37" t="n">
        <v>0.3636363636363636</v>
      </c>
      <c r="N18" s="36" t="n">
        <v>0</v>
      </c>
      <c r="O18" s="37" t="n">
        <v>0</v>
      </c>
      <c r="P18" s="36" t="n">
        <v>0</v>
      </c>
      <c r="Q18" s="37" t="n">
        <v>0</v>
      </c>
      <c r="R18" s="36" t="n">
        <v>11</v>
      </c>
      <c r="S18" s="37" t="n">
        <v>1</v>
      </c>
      <c r="T18" s="36" t="n">
        <v>4</v>
      </c>
      <c r="U18" s="37" t="n">
        <v>0.3636363636363636</v>
      </c>
      <c r="V18" s="38" t="n">
        <v>0</v>
      </c>
      <c r="W18" s="38" t="n">
        <v>4.000000000000001</v>
      </c>
      <c r="X18" s="38" t="n">
        <v>5.989000000000001</v>
      </c>
      <c r="Y18" s="38" t="n">
        <v>7.97</v>
      </c>
      <c r="Z18" s="38" t="n">
        <v>0</v>
      </c>
      <c r="AA18" s="36" t="n">
        <v>7</v>
      </c>
      <c r="AB18" s="37" t="n">
        <v>0.7</v>
      </c>
      <c r="AC18" s="36" t="n">
        <v>4</v>
      </c>
      <c r="AD18" s="37" t="n">
        <v>1</v>
      </c>
      <c r="AE18" s="36" t="n">
        <v>3</v>
      </c>
      <c r="AF18" s="37" t="n">
        <v>0.6</v>
      </c>
      <c r="AG18" s="36" t="n">
        <v>4</v>
      </c>
      <c r="AH18" s="37" t="n">
        <v>1</v>
      </c>
    </row>
    <row r="19">
      <c r="A19" s="53" t="n">
        <v>45748</v>
      </c>
      <c r="B19" t="inlineStr">
        <is>
          <t>R05_Jawa Tengah DIY</t>
        </is>
      </c>
      <c r="C19" t="inlineStr">
        <is>
          <t>NOP MAGELANG</t>
        </is>
      </c>
      <c r="D19" s="38" t="n">
        <v>2.892</v>
      </c>
      <c r="E19" s="38" t="n">
        <v>0</v>
      </c>
      <c r="F19" s="36" t="n">
        <v>4.577999999999999</v>
      </c>
      <c r="G19" s="36" t="n">
        <v>2.350000000000001</v>
      </c>
      <c r="H19" s="36" t="n">
        <v>9</v>
      </c>
      <c r="I19" s="37" t="n">
        <v>0.5</v>
      </c>
      <c r="J19" s="36" t="n">
        <v>1</v>
      </c>
      <c r="K19" s="37" t="n">
        <v>0.5</v>
      </c>
      <c r="L19" s="36" t="n">
        <v>8</v>
      </c>
      <c r="M19" s="37" t="n">
        <v>0.5</v>
      </c>
      <c r="N19" s="36" t="n">
        <v>1</v>
      </c>
      <c r="O19" s="37" t="n">
        <v>1</v>
      </c>
      <c r="P19" s="36" t="n">
        <v>1</v>
      </c>
      <c r="Q19" s="37" t="n">
        <v>1</v>
      </c>
      <c r="R19" s="36" t="n">
        <v>18</v>
      </c>
      <c r="S19" s="37" t="n">
        <v>1</v>
      </c>
      <c r="T19" s="36" t="n">
        <v>8</v>
      </c>
      <c r="U19" s="37" t="n">
        <v>0.4444444444444444</v>
      </c>
      <c r="V19" s="38" t="n">
        <v>0</v>
      </c>
      <c r="W19" s="38" t="n">
        <v>16.705</v>
      </c>
      <c r="X19" s="38" t="n">
        <v>28.49</v>
      </c>
      <c r="Y19" s="38" t="n">
        <v>27.602</v>
      </c>
      <c r="Z19" s="38" t="n">
        <v>0</v>
      </c>
      <c r="AA19" s="36" t="n">
        <v>28</v>
      </c>
      <c r="AB19" s="37" t="n">
        <v>0.9333333333333333</v>
      </c>
      <c r="AC19" s="36" t="n">
        <v>3</v>
      </c>
      <c r="AD19" s="37" t="n">
        <v>0.75</v>
      </c>
      <c r="AE19" s="36" t="n">
        <v>25</v>
      </c>
      <c r="AF19" s="37" t="n">
        <v>0.9615384615384616</v>
      </c>
      <c r="AG19" s="36" t="n">
        <v>1</v>
      </c>
      <c r="AH19" s="37" t="n">
        <v>0.3333333333333333</v>
      </c>
    </row>
    <row r="20">
      <c r="A20" s="53" t="n">
        <v>45748</v>
      </c>
      <c r="B20" t="inlineStr">
        <is>
          <t>R05_Jawa Tengah DIY</t>
        </is>
      </c>
      <c r="C20" t="inlineStr">
        <is>
          <t>NOP PEKALONGAN</t>
        </is>
      </c>
      <c r="D20" s="38" t="n">
        <v>0</v>
      </c>
      <c r="E20" s="38" t="n">
        <v>0</v>
      </c>
      <c r="F20" s="36" t="n">
        <v>2.38</v>
      </c>
      <c r="G20" s="36" t="n">
        <v>0.718</v>
      </c>
      <c r="H20" s="36" t="n">
        <v>5</v>
      </c>
      <c r="I20" s="37" t="n">
        <v>0.3125</v>
      </c>
      <c r="J20" s="36" t="n">
        <v>0</v>
      </c>
      <c r="K20" s="37" t="n">
        <v>0</v>
      </c>
      <c r="L20" s="36" t="n">
        <v>5</v>
      </c>
      <c r="M20" s="37" t="n">
        <v>0.3125</v>
      </c>
      <c r="N20" s="36" t="n">
        <v>0</v>
      </c>
      <c r="O20" s="37" t="n">
        <v>0</v>
      </c>
      <c r="P20" s="36" t="n">
        <v>0</v>
      </c>
      <c r="Q20" s="37" t="n">
        <v>0</v>
      </c>
      <c r="R20" s="36" t="n">
        <v>16</v>
      </c>
      <c r="S20" s="37" t="n">
        <v>1</v>
      </c>
      <c r="T20" s="36" t="n">
        <v>6</v>
      </c>
      <c r="U20" s="37" t="n">
        <v>0.375</v>
      </c>
      <c r="V20" s="38" t="n">
        <v>0</v>
      </c>
      <c r="W20" s="38" t="n">
        <v>3.192000000000001</v>
      </c>
      <c r="X20" s="38" t="n">
        <v>4.478000000000001</v>
      </c>
      <c r="Y20" s="38" t="n">
        <v>55.259</v>
      </c>
      <c r="Z20" s="38" t="n">
        <v>0</v>
      </c>
      <c r="AA20" s="36" t="n">
        <v>22</v>
      </c>
      <c r="AB20" s="37" t="n">
        <v>0.8461538461538461</v>
      </c>
      <c r="AC20" s="36" t="n">
        <v>4</v>
      </c>
      <c r="AD20" s="37" t="n">
        <v>0.5714285714285714</v>
      </c>
      <c r="AE20" s="36" t="n">
        <v>18</v>
      </c>
      <c r="AF20" s="37" t="n">
        <v>0.9473684210526315</v>
      </c>
      <c r="AG20" s="36" t="n">
        <v>2</v>
      </c>
      <c r="AH20" s="37" t="n">
        <v>0.5</v>
      </c>
    </row>
    <row r="21">
      <c r="A21" s="53" t="n">
        <v>45748</v>
      </c>
      <c r="B21" t="inlineStr">
        <is>
          <t>R05_Jawa Tengah DIY</t>
        </is>
      </c>
      <c r="C21" t="inlineStr">
        <is>
          <t>NOP PURWOKERTO</t>
        </is>
      </c>
      <c r="D21" s="38" t="n">
        <v>0</v>
      </c>
      <c r="E21" s="38" t="n">
        <v>0</v>
      </c>
      <c r="F21" s="36" t="n">
        <v>2.17</v>
      </c>
      <c r="G21" s="36" t="n">
        <v>3.222</v>
      </c>
      <c r="H21" s="36" t="n">
        <v>25</v>
      </c>
      <c r="I21" s="37" t="n">
        <v>0.9259259259259259</v>
      </c>
      <c r="J21" s="36" t="n">
        <v>0</v>
      </c>
      <c r="K21" s="37" t="n">
        <v>0</v>
      </c>
      <c r="L21" s="36" t="n">
        <v>25</v>
      </c>
      <c r="M21" s="37" t="n">
        <v>0.9259259259259259</v>
      </c>
      <c r="N21" s="36" t="n">
        <v>0</v>
      </c>
      <c r="O21" s="37" t="n">
        <v>0</v>
      </c>
      <c r="P21" s="36" t="n">
        <v>0</v>
      </c>
      <c r="Q21" s="37" t="n">
        <v>0</v>
      </c>
      <c r="R21" s="36" t="n">
        <v>27</v>
      </c>
      <c r="S21" s="37" t="n">
        <v>1</v>
      </c>
      <c r="T21" s="36" t="n">
        <v>18</v>
      </c>
      <c r="U21" s="37" t="n">
        <v>0.6666666666666666</v>
      </c>
      <c r="V21" s="38" t="n">
        <v>0</v>
      </c>
      <c r="W21" s="38" t="n">
        <v>6.074999999999999</v>
      </c>
      <c r="X21" s="38" t="n">
        <v>5.18</v>
      </c>
      <c r="Y21" s="38" t="n">
        <v>23.96600000000001</v>
      </c>
      <c r="Z21" s="38" t="n">
        <v>0</v>
      </c>
      <c r="AA21" s="36" t="n">
        <v>14</v>
      </c>
      <c r="AB21" s="37" t="n">
        <v>0.7777777777777778</v>
      </c>
      <c r="AC21" s="36" t="n">
        <v>5</v>
      </c>
      <c r="AD21" s="37" t="n">
        <v>0.8333333333333334</v>
      </c>
      <c r="AE21" s="36" t="n">
        <v>9</v>
      </c>
      <c r="AF21" s="37" t="n">
        <v>0.75</v>
      </c>
      <c r="AG21" s="36" t="n">
        <v>2</v>
      </c>
      <c r="AH21" s="37" t="n">
        <v>0.4</v>
      </c>
    </row>
    <row r="22">
      <c r="A22" s="53" t="n">
        <v>45748</v>
      </c>
      <c r="B22" t="inlineStr">
        <is>
          <t>R05_Jawa Tengah DIY</t>
        </is>
      </c>
      <c r="C22" t="inlineStr">
        <is>
          <t>NOP SEMARANG</t>
        </is>
      </c>
      <c r="D22" s="38" t="n">
        <v>0</v>
      </c>
      <c r="E22" s="38" t="n">
        <v>0</v>
      </c>
      <c r="F22" s="36" t="n">
        <v>2.769</v>
      </c>
      <c r="G22" s="36" t="n">
        <v>3.07</v>
      </c>
      <c r="H22" s="36" t="n">
        <v>6</v>
      </c>
      <c r="I22" s="37" t="n">
        <v>0.4</v>
      </c>
      <c r="J22" s="36" t="n">
        <v>0</v>
      </c>
      <c r="K22" s="37" t="n">
        <v>0</v>
      </c>
      <c r="L22" s="36" t="n">
        <v>6</v>
      </c>
      <c r="M22" s="37" t="n">
        <v>0.4</v>
      </c>
      <c r="N22" s="36" t="n">
        <v>0</v>
      </c>
      <c r="O22" s="37" t="n">
        <v>0</v>
      </c>
      <c r="P22" s="36" t="n">
        <v>0</v>
      </c>
      <c r="Q22" s="37" t="n">
        <v>0</v>
      </c>
      <c r="R22" s="36" t="n">
        <v>15</v>
      </c>
      <c r="S22" s="37" t="n">
        <v>1</v>
      </c>
      <c r="T22" s="36" t="n">
        <v>5</v>
      </c>
      <c r="U22" s="37" t="n">
        <v>0.3333333333333333</v>
      </c>
      <c r="V22" s="38" t="n">
        <v>0</v>
      </c>
      <c r="W22" s="38" t="n">
        <v>1.888</v>
      </c>
      <c r="X22" s="38" t="n">
        <v>11.288</v>
      </c>
      <c r="Y22" s="38" t="n">
        <v>16.95</v>
      </c>
      <c r="Z22" s="38" t="n">
        <v>0</v>
      </c>
      <c r="AA22" s="36" t="n">
        <v>24</v>
      </c>
      <c r="AB22" s="37" t="n">
        <v>0.375</v>
      </c>
      <c r="AC22" s="36" t="n">
        <v>9</v>
      </c>
      <c r="AD22" s="37" t="n">
        <v>0.2307692307692308</v>
      </c>
      <c r="AE22" s="36" t="n">
        <v>15</v>
      </c>
      <c r="AF22" s="37" t="n">
        <v>0.6</v>
      </c>
      <c r="AG22" s="36" t="n">
        <v>6</v>
      </c>
      <c r="AH22" s="37" t="n">
        <v>0.6666666666666666</v>
      </c>
    </row>
    <row r="23">
      <c r="A23" s="53" t="n">
        <v>45748</v>
      </c>
      <c r="B23" t="inlineStr">
        <is>
          <t>R05_Jawa Tengah DIY</t>
        </is>
      </c>
      <c r="C23" t="inlineStr">
        <is>
          <t>NOP SURAKARTA</t>
        </is>
      </c>
      <c r="D23" s="38" t="n">
        <v>3.718</v>
      </c>
      <c r="E23" s="38" t="n">
        <v>0</v>
      </c>
      <c r="F23" s="36" t="n">
        <v>2.8</v>
      </c>
      <c r="G23" s="36" t="n">
        <v>3.936999999999999</v>
      </c>
      <c r="H23" s="36" t="n">
        <v>18</v>
      </c>
      <c r="I23" s="37" t="n">
        <v>0.6923076923076923</v>
      </c>
      <c r="J23" s="36" t="n">
        <v>4</v>
      </c>
      <c r="K23" s="37" t="n">
        <v>0.8</v>
      </c>
      <c r="L23" s="36" t="n">
        <v>14</v>
      </c>
      <c r="M23" s="37" t="n">
        <v>0.6666666666666666</v>
      </c>
      <c r="N23" s="36" t="n">
        <v>4</v>
      </c>
      <c r="O23" s="37" t="n">
        <v>1</v>
      </c>
      <c r="P23" s="36" t="n">
        <v>4</v>
      </c>
      <c r="Q23" s="37" t="n">
        <v>1</v>
      </c>
      <c r="R23" s="36" t="n">
        <v>25</v>
      </c>
      <c r="S23" s="37" t="n">
        <v>0.9615384615384616</v>
      </c>
      <c r="T23" s="36" t="n">
        <v>15</v>
      </c>
      <c r="U23" s="37" t="n">
        <v>0.5769230769230769</v>
      </c>
      <c r="V23" s="38" t="n">
        <v>0</v>
      </c>
      <c r="W23" s="38" t="n">
        <v>4.034000000000001</v>
      </c>
      <c r="X23" s="38" t="n">
        <v>6.643000000000002</v>
      </c>
      <c r="Y23" s="38" t="n">
        <v>11.696</v>
      </c>
      <c r="Z23" s="38" t="n">
        <v>0</v>
      </c>
      <c r="AA23" s="36" t="n">
        <v>26</v>
      </c>
      <c r="AB23" s="37" t="n">
        <v>0.8125</v>
      </c>
      <c r="AC23" s="36" t="n">
        <v>8</v>
      </c>
      <c r="AD23" s="37" t="n">
        <v>0.8888888888888888</v>
      </c>
      <c r="AE23" s="36" t="n">
        <v>18</v>
      </c>
      <c r="AF23" s="37" t="n">
        <v>0.7826086956521739</v>
      </c>
      <c r="AG23" s="36" t="n">
        <v>6</v>
      </c>
      <c r="AH23" s="37" t="n">
        <v>0.75</v>
      </c>
    </row>
    <row r="24">
      <c r="A24" s="53" t="n">
        <v>45748</v>
      </c>
      <c r="B24" t="inlineStr">
        <is>
          <t>R05_Jawa Tengah DIY</t>
        </is>
      </c>
      <c r="C24" t="inlineStr">
        <is>
          <t>NOP YOGYAKARTA</t>
        </is>
      </c>
      <c r="D24" s="38" t="n">
        <v>0.51</v>
      </c>
      <c r="E24" s="38" t="n">
        <v>0</v>
      </c>
      <c r="F24" s="36" t="n">
        <v>1.775</v>
      </c>
      <c r="G24" s="36" t="n">
        <v>1.781</v>
      </c>
      <c r="H24" s="36" t="n">
        <v>8</v>
      </c>
      <c r="I24" s="37" t="n">
        <v>0.8888888888888888</v>
      </c>
      <c r="J24" s="36" t="n">
        <v>1</v>
      </c>
      <c r="K24" s="37" t="n">
        <v>1</v>
      </c>
      <c r="L24" s="36" t="n">
        <v>7</v>
      </c>
      <c r="M24" s="37" t="n">
        <v>0.875</v>
      </c>
      <c r="N24" s="36" t="n">
        <v>1</v>
      </c>
      <c r="O24" s="37" t="n">
        <v>1</v>
      </c>
      <c r="P24" s="36" t="n">
        <v>1</v>
      </c>
      <c r="Q24" s="37" t="n">
        <v>1</v>
      </c>
      <c r="R24" s="36" t="n">
        <v>9</v>
      </c>
      <c r="S24" s="37" t="n">
        <v>1</v>
      </c>
      <c r="T24" s="36" t="n">
        <v>8</v>
      </c>
      <c r="U24" s="37" t="n">
        <v>0.8888888888888888</v>
      </c>
      <c r="V24" s="38" t="n">
        <v>0</v>
      </c>
      <c r="W24" s="38" t="n">
        <v>1.83</v>
      </c>
      <c r="X24" s="38" t="n">
        <v>23.436</v>
      </c>
      <c r="Y24" s="38" t="n">
        <v>35.326</v>
      </c>
      <c r="Z24" s="38" t="n">
        <v>0</v>
      </c>
      <c r="AA24" s="36" t="n">
        <v>33</v>
      </c>
      <c r="AB24" s="37" t="n">
        <v>0.8461538461538461</v>
      </c>
      <c r="AC24" s="36" t="n">
        <v>2</v>
      </c>
      <c r="AD24" s="37" t="n">
        <v>1</v>
      </c>
      <c r="AE24" s="36" t="n">
        <v>31</v>
      </c>
      <c r="AF24" s="37" t="n">
        <v>0.8378378378378378</v>
      </c>
      <c r="AG24" s="36" t="n">
        <v>2</v>
      </c>
      <c r="AH24" s="37" t="n">
        <v>1</v>
      </c>
    </row>
    <row r="25">
      <c r="A25" s="53" t="n">
        <v>45748</v>
      </c>
      <c r="B25" t="inlineStr">
        <is>
          <t>R06_Jawa Timur</t>
        </is>
      </c>
      <c r="C25" t="inlineStr">
        <is>
          <t>NOP JEMBER</t>
        </is>
      </c>
      <c r="D25" s="38" t="n">
        <v>2.08</v>
      </c>
      <c r="E25" s="38" t="n">
        <v>0</v>
      </c>
      <c r="F25" s="36" t="n">
        <v>1.374</v>
      </c>
      <c r="G25" s="36" t="n">
        <v>3.116999999999999</v>
      </c>
      <c r="H25" s="36" t="n">
        <v>10</v>
      </c>
      <c r="I25" s="37" t="n">
        <v>0.5555555555555556</v>
      </c>
      <c r="J25" s="36" t="n">
        <v>1</v>
      </c>
      <c r="K25" s="37" t="n">
        <v>1</v>
      </c>
      <c r="L25" s="36" t="n">
        <v>9</v>
      </c>
      <c r="M25" s="37" t="n">
        <v>0.5294117647058824</v>
      </c>
      <c r="N25" s="36" t="n">
        <v>1</v>
      </c>
      <c r="O25" s="37" t="n">
        <v>1</v>
      </c>
      <c r="P25" s="36" t="n">
        <v>1</v>
      </c>
      <c r="Q25" s="37" t="n">
        <v>1</v>
      </c>
      <c r="R25" s="36" t="n">
        <v>18</v>
      </c>
      <c r="S25" s="37" t="n">
        <v>1</v>
      </c>
      <c r="T25" s="36" t="n">
        <v>3</v>
      </c>
      <c r="U25" s="37" t="n">
        <v>0.1666666666666667</v>
      </c>
      <c r="V25" s="38" t="n">
        <v>0</v>
      </c>
      <c r="W25" s="38" t="n">
        <v>1.802</v>
      </c>
      <c r="X25" s="38" t="n">
        <v>5.126000000000003</v>
      </c>
      <c r="Y25" s="38" t="n">
        <v>36.09</v>
      </c>
      <c r="Z25" s="38" t="n">
        <v>0</v>
      </c>
      <c r="AA25" s="36" t="n">
        <v>17</v>
      </c>
      <c r="AB25" s="37" t="n">
        <v>0.7727272727272727</v>
      </c>
      <c r="AC25" s="36" t="n">
        <v>4</v>
      </c>
      <c r="AD25" s="37" t="n">
        <v>1</v>
      </c>
      <c r="AE25" s="36" t="n">
        <v>13</v>
      </c>
      <c r="AF25" s="37" t="n">
        <v>0.7222222222222222</v>
      </c>
      <c r="AG25" s="36" t="n">
        <v>3</v>
      </c>
      <c r="AH25" s="37" t="n">
        <v>0.75</v>
      </c>
    </row>
    <row r="26">
      <c r="A26" s="53" t="n">
        <v>45748</v>
      </c>
      <c r="B26" t="inlineStr">
        <is>
          <t>R06_Jawa Timur</t>
        </is>
      </c>
      <c r="C26" t="inlineStr">
        <is>
          <t>NOP KEDIRI</t>
        </is>
      </c>
      <c r="D26" s="38" t="n">
        <v>0</v>
      </c>
      <c r="E26" s="38" t="n">
        <v>0.7</v>
      </c>
      <c r="F26" s="36" t="n">
        <v>1.29</v>
      </c>
      <c r="G26" s="36" t="n">
        <v>0.5600000000000001</v>
      </c>
      <c r="H26" s="36" t="n">
        <v>24</v>
      </c>
      <c r="I26" s="37" t="n">
        <v>0.96</v>
      </c>
      <c r="J26" s="36" t="n">
        <v>2</v>
      </c>
      <c r="K26" s="37" t="n">
        <v>1</v>
      </c>
      <c r="L26" s="36" t="n">
        <v>22</v>
      </c>
      <c r="M26" s="37" t="n">
        <v>0.9565217391304348</v>
      </c>
      <c r="N26" s="36" t="n">
        <v>1</v>
      </c>
      <c r="O26" s="37" t="n">
        <v>0.5</v>
      </c>
      <c r="P26" s="36" t="n">
        <v>1</v>
      </c>
      <c r="Q26" s="37" t="n">
        <v>0.5</v>
      </c>
      <c r="R26" s="36" t="n">
        <v>25</v>
      </c>
      <c r="S26" s="37" t="n">
        <v>1</v>
      </c>
      <c r="T26" s="36" t="n">
        <v>13</v>
      </c>
      <c r="U26" s="37" t="n">
        <v>0.52</v>
      </c>
      <c r="V26" s="38" t="n">
        <v>0</v>
      </c>
      <c r="W26" s="38" t="n">
        <v>2.242</v>
      </c>
      <c r="X26" s="38" t="n">
        <v>3.504</v>
      </c>
      <c r="Y26" s="38" t="n">
        <v>0</v>
      </c>
      <c r="Z26" s="38" t="n">
        <v>0</v>
      </c>
      <c r="AA26" s="36" t="n">
        <v>22</v>
      </c>
      <c r="AB26" s="37" t="n">
        <v>1</v>
      </c>
      <c r="AC26" s="36" t="n">
        <v>4</v>
      </c>
      <c r="AD26" s="37" t="n">
        <v>1</v>
      </c>
      <c r="AE26" s="36" t="n">
        <v>18</v>
      </c>
      <c r="AF26" s="37" t="n">
        <v>1</v>
      </c>
      <c r="AG26" s="36" t="n">
        <v>3</v>
      </c>
      <c r="AH26" s="37" t="n">
        <v>0.75</v>
      </c>
    </row>
    <row r="27">
      <c r="A27" s="53" t="n">
        <v>45748</v>
      </c>
      <c r="B27" t="inlineStr">
        <is>
          <t>R06_Jawa Timur</t>
        </is>
      </c>
      <c r="C27" t="inlineStr">
        <is>
          <t>NOP LAMONGAN</t>
        </is>
      </c>
      <c r="D27" s="38" t="n">
        <v>0.984</v>
      </c>
      <c r="E27" s="38" t="n">
        <v>0</v>
      </c>
      <c r="F27" s="36" t="n">
        <v>0.99</v>
      </c>
      <c r="G27" s="36" t="n">
        <v>0</v>
      </c>
      <c r="H27" s="36" t="n">
        <v>8</v>
      </c>
      <c r="I27" s="37" t="n">
        <v>1</v>
      </c>
      <c r="J27" s="36" t="n">
        <v>2</v>
      </c>
      <c r="K27" s="37" t="n">
        <v>1</v>
      </c>
      <c r="L27" s="36" t="n">
        <v>6</v>
      </c>
      <c r="M27" s="37" t="n">
        <v>1</v>
      </c>
      <c r="N27" s="36" t="n">
        <v>2</v>
      </c>
      <c r="O27" s="37" t="n">
        <v>1</v>
      </c>
      <c r="P27" s="36" t="n">
        <v>2</v>
      </c>
      <c r="Q27" s="37" t="n">
        <v>1</v>
      </c>
      <c r="R27" s="36" t="n">
        <v>8</v>
      </c>
      <c r="S27" s="37" t="n">
        <v>1</v>
      </c>
      <c r="T27" s="36" t="n">
        <v>7</v>
      </c>
      <c r="U27" s="37" t="n">
        <v>0.875</v>
      </c>
      <c r="V27" s="38" t="n">
        <v>0</v>
      </c>
      <c r="W27" s="38" t="n">
        <v>1.878</v>
      </c>
      <c r="X27" s="38" t="n">
        <v>1.71</v>
      </c>
      <c r="Y27" s="38" t="n">
        <v>29.24</v>
      </c>
      <c r="Z27" s="38" t="n">
        <v>0</v>
      </c>
      <c r="AA27" s="36" t="n">
        <v>10</v>
      </c>
      <c r="AB27" s="37" t="n">
        <v>1</v>
      </c>
      <c r="AC27" s="36" t="n">
        <v>7</v>
      </c>
      <c r="AD27" s="37" t="n">
        <v>1</v>
      </c>
      <c r="AE27" s="36" t="n">
        <v>3</v>
      </c>
      <c r="AF27" s="37" t="n">
        <v>1</v>
      </c>
      <c r="AG27" s="36" t="n">
        <v>7</v>
      </c>
      <c r="AH27" s="37" t="n">
        <v>1</v>
      </c>
    </row>
    <row r="28">
      <c r="A28" s="53" t="n">
        <v>45748</v>
      </c>
      <c r="B28" t="inlineStr">
        <is>
          <t>R06_Jawa Timur</t>
        </is>
      </c>
      <c r="C28" t="inlineStr">
        <is>
          <t>NOP MADIUN</t>
        </is>
      </c>
      <c r="D28" s="38" t="n">
        <v>0</v>
      </c>
      <c r="E28" s="38" t="n">
        <v>0</v>
      </c>
      <c r="F28" s="36" t="n">
        <v>3.65</v>
      </c>
      <c r="G28" s="36" t="n">
        <v>2.078</v>
      </c>
      <c r="H28" s="36" t="n">
        <v>13</v>
      </c>
      <c r="I28" s="37" t="n">
        <v>0.8666666666666667</v>
      </c>
      <c r="J28" s="36" t="n">
        <v>0</v>
      </c>
      <c r="K28" s="37" t="n">
        <v>0</v>
      </c>
      <c r="L28" s="36" t="n">
        <v>13</v>
      </c>
      <c r="M28" s="37" t="n">
        <v>0.8666666666666667</v>
      </c>
      <c r="N28" s="36" t="n">
        <v>0</v>
      </c>
      <c r="O28" s="37" t="n">
        <v>0</v>
      </c>
      <c r="P28" s="36" t="n">
        <v>0</v>
      </c>
      <c r="Q28" s="37" t="n">
        <v>0</v>
      </c>
      <c r="R28" s="36" t="n">
        <v>15</v>
      </c>
      <c r="S28" s="37" t="n">
        <v>1</v>
      </c>
      <c r="T28" s="36" t="n">
        <v>8</v>
      </c>
      <c r="U28" s="37" t="n">
        <v>0.5333333333333333</v>
      </c>
      <c r="V28" s="38" t="n">
        <v>0</v>
      </c>
      <c r="W28" s="38" t="n">
        <v>3.142</v>
      </c>
      <c r="X28" s="38" t="n">
        <v>16.148</v>
      </c>
      <c r="Y28" s="38" t="n">
        <v>8.130000000000001</v>
      </c>
      <c r="Z28" s="38" t="n">
        <v>0</v>
      </c>
      <c r="AA28" s="36" t="n">
        <v>6</v>
      </c>
      <c r="AB28" s="37" t="n">
        <v>0.8571428571428571</v>
      </c>
      <c r="AC28" s="36" t="n">
        <v>2</v>
      </c>
      <c r="AD28" s="37" t="n">
        <v>0.6666666666666666</v>
      </c>
      <c r="AE28" s="36" t="n">
        <v>4</v>
      </c>
      <c r="AF28" s="37" t="n">
        <v>1</v>
      </c>
      <c r="AG28" s="36" t="n">
        <v>1</v>
      </c>
      <c r="AH28" s="37" t="n">
        <v>0.5</v>
      </c>
    </row>
    <row r="29">
      <c r="A29" s="53" t="n">
        <v>45748</v>
      </c>
      <c r="B29" t="inlineStr">
        <is>
          <t>R06_Jawa Timur</t>
        </is>
      </c>
      <c r="C29" t="inlineStr">
        <is>
          <t>NOP MALANG</t>
        </is>
      </c>
      <c r="D29" s="38" t="n">
        <v>0</v>
      </c>
      <c r="E29" s="38" t="n">
        <v>0</v>
      </c>
      <c r="F29" s="36" t="n">
        <v>3.369</v>
      </c>
      <c r="G29" s="36" t="n">
        <v>2.241</v>
      </c>
      <c r="H29" s="36" t="n">
        <v>8</v>
      </c>
      <c r="I29" s="37" t="n">
        <v>0.8</v>
      </c>
      <c r="J29" s="36" t="n">
        <v>0</v>
      </c>
      <c r="K29" s="37" t="n">
        <v>0</v>
      </c>
      <c r="L29" s="36" t="n">
        <v>8</v>
      </c>
      <c r="M29" s="37" t="n">
        <v>0.8</v>
      </c>
      <c r="N29" s="36" t="n">
        <v>0</v>
      </c>
      <c r="O29" s="37" t="n">
        <v>0</v>
      </c>
      <c r="P29" s="36" t="n">
        <v>0</v>
      </c>
      <c r="Q29" s="37" t="n">
        <v>0</v>
      </c>
      <c r="R29" s="36" t="n">
        <v>10</v>
      </c>
      <c r="S29" s="37" t="n">
        <v>1</v>
      </c>
      <c r="T29" s="36" t="n">
        <v>7</v>
      </c>
      <c r="U29" s="37" t="n">
        <v>0.7</v>
      </c>
      <c r="V29" s="38" t="n">
        <v>0</v>
      </c>
      <c r="W29" s="38" t="n">
        <v>0</v>
      </c>
      <c r="X29" s="38" t="n">
        <v>3.47</v>
      </c>
      <c r="Y29" s="38" t="n">
        <v>27.99</v>
      </c>
      <c r="Z29" s="38" t="n">
        <v>0</v>
      </c>
      <c r="AA29" s="36" t="n">
        <v>5</v>
      </c>
      <c r="AB29" s="37" t="n">
        <v>0.7142857142857143</v>
      </c>
      <c r="AC29" s="36" t="n">
        <v>0</v>
      </c>
      <c r="AD29" s="37" t="n">
        <v>0</v>
      </c>
      <c r="AE29" s="36" t="n">
        <v>5</v>
      </c>
      <c r="AF29" s="37" t="n">
        <v>0.7142857142857143</v>
      </c>
      <c r="AG29" s="36" t="n">
        <v>0</v>
      </c>
      <c r="AH29" s="37" t="n">
        <v>0</v>
      </c>
    </row>
    <row r="30">
      <c r="A30" s="53" t="n">
        <v>45748</v>
      </c>
      <c r="B30" t="inlineStr">
        <is>
          <t>R06_Jawa Timur</t>
        </is>
      </c>
      <c r="C30" t="inlineStr">
        <is>
          <t>NOP SIDOARJO</t>
        </is>
      </c>
      <c r="D30" s="38" t="n">
        <v>4.024000000000001</v>
      </c>
      <c r="E30" s="38" t="n">
        <v>0</v>
      </c>
      <c r="F30" s="36" t="n">
        <v>2.77</v>
      </c>
      <c r="G30" s="36" t="n">
        <v>1.769</v>
      </c>
      <c r="H30" s="36" t="n">
        <v>9</v>
      </c>
      <c r="I30" s="37" t="n">
        <v>0.8181818181818182</v>
      </c>
      <c r="J30" s="36" t="n">
        <v>3</v>
      </c>
      <c r="K30" s="37" t="n">
        <v>1</v>
      </c>
      <c r="L30" s="36" t="n">
        <v>6</v>
      </c>
      <c r="M30" s="37" t="n">
        <v>0.75</v>
      </c>
      <c r="N30" s="36" t="n">
        <v>3</v>
      </c>
      <c r="O30" s="37" t="n">
        <v>1</v>
      </c>
      <c r="P30" s="36" t="n">
        <v>3</v>
      </c>
      <c r="Q30" s="37" t="n">
        <v>1</v>
      </c>
      <c r="R30" s="36" t="n">
        <v>11</v>
      </c>
      <c r="S30" s="37" t="n">
        <v>1</v>
      </c>
      <c r="T30" s="36" t="n">
        <v>6</v>
      </c>
      <c r="U30" s="37" t="n">
        <v>0.5454545454545454</v>
      </c>
      <c r="V30" s="38" t="n">
        <v>0</v>
      </c>
      <c r="W30" s="38" t="n">
        <v>209.14</v>
      </c>
      <c r="X30" s="38" t="n">
        <v>2.83</v>
      </c>
      <c r="Y30" s="38" t="n">
        <v>96.735</v>
      </c>
      <c r="Z30" s="38" t="n">
        <v>0</v>
      </c>
      <c r="AA30" s="36" t="n">
        <v>16</v>
      </c>
      <c r="AB30" s="37" t="n">
        <v>0.7619047619047619</v>
      </c>
      <c r="AC30" s="36" t="n">
        <v>1</v>
      </c>
      <c r="AD30" s="37" t="n">
        <v>1</v>
      </c>
      <c r="AE30" s="36" t="n">
        <v>15</v>
      </c>
      <c r="AF30" s="37" t="n">
        <v>0.75</v>
      </c>
      <c r="AG30" s="36" t="n">
        <v>1</v>
      </c>
      <c r="AH30" s="37" t="n">
        <v>1</v>
      </c>
    </row>
    <row r="31">
      <c r="A31" s="53" t="n">
        <v>45748</v>
      </c>
      <c r="B31" t="inlineStr">
        <is>
          <t>R06_Jawa Timur</t>
        </is>
      </c>
      <c r="C31" t="inlineStr">
        <is>
          <t>NOP SURABAYA</t>
        </is>
      </c>
      <c r="D31" s="38" t="n">
        <v>3.166</v>
      </c>
      <c r="E31" s="38" t="n">
        <v>0</v>
      </c>
      <c r="F31" s="36" t="n">
        <v>0.64</v>
      </c>
      <c r="G31" s="36" t="n">
        <v>2.092</v>
      </c>
      <c r="H31" s="36" t="n">
        <v>5</v>
      </c>
      <c r="I31" s="37" t="n">
        <v>0.4166666666666667</v>
      </c>
      <c r="J31" s="36" t="n">
        <v>1</v>
      </c>
      <c r="K31" s="37" t="n">
        <v>0.3333333333333333</v>
      </c>
      <c r="L31" s="36" t="n">
        <v>4</v>
      </c>
      <c r="M31" s="37" t="n">
        <v>0.4444444444444444</v>
      </c>
      <c r="N31" s="36" t="n">
        <v>1</v>
      </c>
      <c r="O31" s="37" t="n">
        <v>1</v>
      </c>
      <c r="P31" s="36" t="n">
        <v>1</v>
      </c>
      <c r="Q31" s="37" t="n">
        <v>1</v>
      </c>
      <c r="R31" s="36" t="n">
        <v>12</v>
      </c>
      <c r="S31" s="37" t="n">
        <v>1</v>
      </c>
      <c r="T31" s="36" t="n">
        <v>1</v>
      </c>
      <c r="U31" s="37" t="n">
        <v>0.08333333333333333</v>
      </c>
      <c r="V31" s="38" t="n">
        <v>0.04</v>
      </c>
      <c r="W31" s="38" t="n">
        <v>0.8760000000000001</v>
      </c>
      <c r="X31" s="38" t="n">
        <v>7.389000000000002</v>
      </c>
      <c r="Y31" s="38" t="n">
        <v>21.84</v>
      </c>
      <c r="Z31" s="38" t="n">
        <v>0</v>
      </c>
      <c r="AA31" s="36" t="n">
        <v>20</v>
      </c>
      <c r="AB31" s="37" t="n">
        <v>0.6666666666666666</v>
      </c>
      <c r="AC31" s="36" t="n">
        <v>1</v>
      </c>
      <c r="AD31" s="37" t="n">
        <v>0.25</v>
      </c>
      <c r="AE31" s="36" t="n">
        <v>19</v>
      </c>
      <c r="AF31" s="37" t="n">
        <v>0.7307692307692307</v>
      </c>
      <c r="AG31" s="36" t="n">
        <v>1</v>
      </c>
      <c r="AH31" s="37" t="n">
        <v>1</v>
      </c>
    </row>
    <row r="32">
      <c r="A32" s="53" t="n">
        <v>45748</v>
      </c>
      <c r="B32" t="inlineStr">
        <is>
          <t>R07_Bali Nusra</t>
        </is>
      </c>
      <c r="C32" t="inlineStr">
        <is>
          <t>NOP DENPASAR</t>
        </is>
      </c>
      <c r="D32" s="38" t="n">
        <v>1.232</v>
      </c>
      <c r="E32" s="38" t="n">
        <v>0</v>
      </c>
      <c r="F32" s="36" t="n">
        <v>1.248</v>
      </c>
      <c r="G32" s="36" t="n">
        <v>4.307</v>
      </c>
      <c r="H32" s="36" t="n">
        <v>12</v>
      </c>
      <c r="I32" s="37" t="n">
        <v>0.9230769230769231</v>
      </c>
      <c r="J32" s="36" t="n">
        <v>3</v>
      </c>
      <c r="K32" s="37" t="n">
        <v>0.75</v>
      </c>
      <c r="L32" s="36" t="n">
        <v>9</v>
      </c>
      <c r="M32" s="37" t="n">
        <v>1</v>
      </c>
      <c r="N32" s="36" t="n">
        <v>3</v>
      </c>
      <c r="O32" s="37" t="n">
        <v>1</v>
      </c>
      <c r="P32" s="36" t="n">
        <v>3</v>
      </c>
      <c r="Q32" s="37" t="n">
        <v>1</v>
      </c>
      <c r="R32" s="36" t="n">
        <v>12</v>
      </c>
      <c r="S32" s="37" t="n">
        <v>0.9230769230769231</v>
      </c>
      <c r="T32" s="36" t="n">
        <v>13</v>
      </c>
      <c r="U32" s="37" t="n">
        <v>1</v>
      </c>
      <c r="V32" s="38" t="n">
        <v>0</v>
      </c>
      <c r="W32" s="38" t="n">
        <v>13.32199999999999</v>
      </c>
      <c r="X32" s="38" t="n">
        <v>117.4729999999997</v>
      </c>
      <c r="Y32" s="38" t="n">
        <v>7.57</v>
      </c>
      <c r="Z32" s="38" t="n">
        <v>0</v>
      </c>
      <c r="AA32" s="36" t="n">
        <v>17</v>
      </c>
      <c r="AB32" s="37" t="n">
        <v>0.8947368421052632</v>
      </c>
      <c r="AC32" s="36" t="n">
        <v>7</v>
      </c>
      <c r="AD32" s="37" t="n">
        <v>0.875</v>
      </c>
      <c r="AE32" s="36" t="n">
        <v>10</v>
      </c>
      <c r="AF32" s="37" t="n">
        <v>0.9090909090909091</v>
      </c>
      <c r="AG32" s="36" t="n">
        <v>5</v>
      </c>
      <c r="AH32" s="37" t="n">
        <v>0.7142857142857143</v>
      </c>
    </row>
    <row r="33">
      <c r="A33" s="53" t="n">
        <v>45748</v>
      </c>
      <c r="B33" t="inlineStr">
        <is>
          <t>R07_Bali Nusra</t>
        </is>
      </c>
      <c r="C33" t="inlineStr">
        <is>
          <t>NOP FLORES</t>
        </is>
      </c>
      <c r="D33" s="38" t="n">
        <v>3.832000000000001</v>
      </c>
      <c r="E33" s="38" t="n">
        <v>2.182</v>
      </c>
      <c r="F33" s="36" t="n">
        <v>9.174000000000003</v>
      </c>
      <c r="G33" s="36" t="n">
        <v>8.256000000000006</v>
      </c>
      <c r="H33" s="36" t="n">
        <v>22</v>
      </c>
      <c r="I33" s="37" t="n">
        <v>0.3928571428571428</v>
      </c>
      <c r="J33" s="36" t="n">
        <v>4</v>
      </c>
      <c r="K33" s="37" t="n">
        <v>0.4444444444444444</v>
      </c>
      <c r="L33" s="36" t="n">
        <v>18</v>
      </c>
      <c r="M33" s="37" t="n">
        <v>0.3829787234042553</v>
      </c>
      <c r="N33" s="36" t="n">
        <v>3</v>
      </c>
      <c r="O33" s="37" t="n">
        <v>0.75</v>
      </c>
      <c r="P33" s="36" t="n">
        <v>3</v>
      </c>
      <c r="Q33" s="37" t="n">
        <v>0.75</v>
      </c>
      <c r="R33" s="36" t="n">
        <v>56</v>
      </c>
      <c r="S33" s="37" t="n">
        <v>1</v>
      </c>
      <c r="T33" s="36" t="n">
        <v>12</v>
      </c>
      <c r="U33" s="37" t="n">
        <v>0.2142857142857143</v>
      </c>
      <c r="V33" s="38" t="n">
        <v>0.17</v>
      </c>
      <c r="W33" s="38" t="n">
        <v>21.136</v>
      </c>
      <c r="X33" s="38" t="n">
        <v>10.07</v>
      </c>
      <c r="Y33" s="38" t="n">
        <v>62.14</v>
      </c>
      <c r="Z33" s="38" t="n">
        <v>0</v>
      </c>
      <c r="AA33" s="36" t="n">
        <v>37</v>
      </c>
      <c r="AB33" s="37" t="n">
        <v>0.3627450980392157</v>
      </c>
      <c r="AC33" s="36" t="n">
        <v>27</v>
      </c>
      <c r="AD33" s="37" t="n">
        <v>0.4090909090909091</v>
      </c>
      <c r="AE33" s="36" t="n">
        <v>10</v>
      </c>
      <c r="AF33" s="37" t="n">
        <v>0.2777777777777778</v>
      </c>
      <c r="AG33" s="36" t="n">
        <v>16</v>
      </c>
      <c r="AH33" s="37" t="n">
        <v>0.5925925925925926</v>
      </c>
    </row>
    <row r="34">
      <c r="A34" s="53" t="n">
        <v>45748</v>
      </c>
      <c r="B34" t="inlineStr">
        <is>
          <t>R07_Bali Nusra</t>
        </is>
      </c>
      <c r="C34" t="inlineStr">
        <is>
          <t>NOP KUPANG</t>
        </is>
      </c>
      <c r="D34" s="38" t="n">
        <v>0</v>
      </c>
      <c r="E34" s="38" t="n">
        <v>0</v>
      </c>
      <c r="F34" s="36" t="n">
        <v>1.46</v>
      </c>
      <c r="G34" s="36" t="n">
        <v>3.895</v>
      </c>
      <c r="H34" s="36" t="n">
        <v>5</v>
      </c>
      <c r="I34" s="37" t="n">
        <v>0.1724137931034483</v>
      </c>
      <c r="J34" s="36" t="n">
        <v>0</v>
      </c>
      <c r="K34" s="37" t="n">
        <v>0</v>
      </c>
      <c r="L34" s="36" t="n">
        <v>5</v>
      </c>
      <c r="M34" s="37" t="n">
        <v>0.1724137931034483</v>
      </c>
      <c r="N34" s="36" t="n">
        <v>0</v>
      </c>
      <c r="O34" s="37" t="n">
        <v>0</v>
      </c>
      <c r="P34" s="36" t="n">
        <v>0</v>
      </c>
      <c r="Q34" s="37" t="n">
        <v>0</v>
      </c>
      <c r="R34" s="36" t="n">
        <v>28</v>
      </c>
      <c r="S34" s="37" t="n">
        <v>0.9655172413793104</v>
      </c>
      <c r="T34" s="36" t="n">
        <v>4</v>
      </c>
      <c r="U34" s="37" t="n">
        <v>0.1379310344827586</v>
      </c>
      <c r="V34" s="38" t="n">
        <v>0</v>
      </c>
      <c r="W34" s="38" t="n">
        <v>35.14800000000006</v>
      </c>
      <c r="X34" s="38" t="n">
        <v>42.64</v>
      </c>
      <c r="Y34" s="38" t="n">
        <v>457.465</v>
      </c>
      <c r="Z34" s="38" t="n">
        <v>0</v>
      </c>
      <c r="AA34" s="36" t="n">
        <v>20</v>
      </c>
      <c r="AB34" s="37" t="n">
        <v>0.4878048780487805</v>
      </c>
      <c r="AC34" s="36" t="n">
        <v>14</v>
      </c>
      <c r="AD34" s="37" t="n">
        <v>0.5185185185185185</v>
      </c>
      <c r="AE34" s="36" t="n">
        <v>6</v>
      </c>
      <c r="AF34" s="37" t="n">
        <v>0.4285714285714285</v>
      </c>
      <c r="AG34" s="36" t="n">
        <v>6</v>
      </c>
      <c r="AH34" s="37" t="n">
        <v>0.4285714285714285</v>
      </c>
    </row>
    <row r="35">
      <c r="A35" s="53" t="n">
        <v>45748</v>
      </c>
      <c r="B35" t="inlineStr">
        <is>
          <t>R07_Bali Nusra</t>
        </is>
      </c>
      <c r="C35" t="inlineStr">
        <is>
          <t>NOP MATARAM</t>
        </is>
      </c>
      <c r="D35" s="38" t="n">
        <v>0</v>
      </c>
      <c r="E35" s="38" t="n">
        <v>0</v>
      </c>
      <c r="F35" s="36" t="n">
        <v>0.48</v>
      </c>
      <c r="G35" s="36" t="n">
        <v>9.856</v>
      </c>
      <c r="H35" s="36" t="n">
        <v>5</v>
      </c>
      <c r="I35" s="37" t="n">
        <v>0.625</v>
      </c>
      <c r="J35" s="36" t="n">
        <v>0</v>
      </c>
      <c r="K35" s="37" t="n">
        <v>0</v>
      </c>
      <c r="L35" s="36" t="n">
        <v>5</v>
      </c>
      <c r="M35" s="37" t="n">
        <v>0.625</v>
      </c>
      <c r="N35" s="36" t="n">
        <v>0</v>
      </c>
      <c r="O35" s="37" t="n">
        <v>0</v>
      </c>
      <c r="P35" s="36" t="n">
        <v>0</v>
      </c>
      <c r="Q35" s="37" t="n">
        <v>0</v>
      </c>
      <c r="R35" s="36" t="n">
        <v>8</v>
      </c>
      <c r="S35" s="37" t="n">
        <v>1</v>
      </c>
      <c r="T35" s="36" t="n">
        <v>3</v>
      </c>
      <c r="U35" s="37" t="n">
        <v>0.375</v>
      </c>
      <c r="V35" s="38" t="n">
        <v>0</v>
      </c>
      <c r="W35" s="38" t="n">
        <v>20.94800000000003</v>
      </c>
      <c r="X35" s="38" t="n">
        <v>9.064</v>
      </c>
      <c r="Y35" s="38" t="n">
        <v>140.882</v>
      </c>
      <c r="Z35" s="38" t="n">
        <v>0</v>
      </c>
      <c r="AA35" s="36" t="n">
        <v>10</v>
      </c>
      <c r="AB35" s="37" t="n">
        <v>0.2222222222222222</v>
      </c>
      <c r="AC35" s="36" t="n">
        <v>6</v>
      </c>
      <c r="AD35" s="37" t="n">
        <v>0.2727272727272727</v>
      </c>
      <c r="AE35" s="36" t="n">
        <v>4</v>
      </c>
      <c r="AF35" s="37" t="n">
        <v>0.1739130434782609</v>
      </c>
      <c r="AG35" s="36" t="n">
        <v>4</v>
      </c>
      <c r="AH35" s="37" t="n">
        <v>0.6666666666666666</v>
      </c>
    </row>
    <row r="36">
      <c r="A36" s="53" t="n">
        <v>45749</v>
      </c>
      <c r="B36" t="inlineStr">
        <is>
          <t>R01_Sumbagut</t>
        </is>
      </c>
      <c r="C36" t="inlineStr">
        <is>
          <t>NOP ACEH</t>
        </is>
      </c>
      <c r="D36" s="38" t="n">
        <v>1.046</v>
      </c>
      <c r="E36" s="38" t="n">
        <v>4.98</v>
      </c>
      <c r="F36" s="36" t="n">
        <v>13.08</v>
      </c>
      <c r="G36" s="36" t="n">
        <v>2.993</v>
      </c>
      <c r="H36" s="36" t="n">
        <v>54</v>
      </c>
      <c r="I36" s="37" t="n">
        <v>0.7714285714285715</v>
      </c>
      <c r="J36" s="36" t="n">
        <v>22</v>
      </c>
      <c r="K36" s="37" t="n">
        <v>0.7857142857142857</v>
      </c>
      <c r="L36" s="36" t="n">
        <v>32</v>
      </c>
      <c r="M36" s="37" t="n">
        <v>0.7619047619047619</v>
      </c>
      <c r="N36" s="36" t="n">
        <v>6</v>
      </c>
      <c r="O36" s="37" t="n">
        <v>0.2727272727272727</v>
      </c>
      <c r="P36" s="36" t="n">
        <v>6</v>
      </c>
      <c r="Q36" s="37" t="n">
        <v>0.2857142857142857</v>
      </c>
      <c r="R36" s="36" t="n">
        <v>70</v>
      </c>
      <c r="S36" s="37" t="n">
        <v>1</v>
      </c>
      <c r="T36" s="36" t="n">
        <v>18</v>
      </c>
      <c r="U36" s="37" t="n">
        <v>0.2571428571428571</v>
      </c>
      <c r="V36" s="38" t="n">
        <v>0.027</v>
      </c>
      <c r="W36" s="38" t="n">
        <v>1.038</v>
      </c>
      <c r="X36" s="38" t="n">
        <v>37.39400000000003</v>
      </c>
      <c r="Y36" s="38" t="n">
        <v>111.09</v>
      </c>
      <c r="Z36" s="38" t="n">
        <v>0</v>
      </c>
      <c r="AA36" s="36" t="n">
        <v>290</v>
      </c>
      <c r="AB36" s="37" t="n">
        <v>0.8734939759036144</v>
      </c>
      <c r="AC36" s="36" t="n">
        <v>25</v>
      </c>
      <c r="AD36" s="37" t="n">
        <v>0.5681818181818182</v>
      </c>
      <c r="AE36" s="36" t="n">
        <v>265</v>
      </c>
      <c r="AF36" s="37" t="n">
        <v>0.9201388888888888</v>
      </c>
      <c r="AG36" s="36" t="n">
        <v>2</v>
      </c>
      <c r="AH36" s="37" t="n">
        <v>0.08</v>
      </c>
    </row>
    <row r="37">
      <c r="A37" s="53" t="n">
        <v>45749</v>
      </c>
      <c r="B37" t="inlineStr">
        <is>
          <t>R01_Sumbagut</t>
        </is>
      </c>
      <c r="C37" t="inlineStr">
        <is>
          <t>NOP BINJAI</t>
        </is>
      </c>
      <c r="D37" s="38" t="n">
        <v>0</v>
      </c>
      <c r="E37" s="38" t="n">
        <v>16.584</v>
      </c>
      <c r="F37" s="36" t="n">
        <v>1.21</v>
      </c>
      <c r="G37" s="36" t="n">
        <v>3.93</v>
      </c>
      <c r="H37" s="36" t="n">
        <v>12</v>
      </c>
      <c r="I37" s="37" t="n">
        <v>0.4615384615384616</v>
      </c>
      <c r="J37" s="36" t="n">
        <v>5</v>
      </c>
      <c r="K37" s="37" t="n">
        <v>1</v>
      </c>
      <c r="L37" s="36" t="n">
        <v>7</v>
      </c>
      <c r="M37" s="37" t="n">
        <v>0.3333333333333333</v>
      </c>
      <c r="N37" s="36" t="n">
        <v>4</v>
      </c>
      <c r="O37" s="37" t="n">
        <v>0.8</v>
      </c>
      <c r="P37" s="36" t="n">
        <v>4</v>
      </c>
      <c r="Q37" s="37" t="n">
        <v>0.8</v>
      </c>
      <c r="R37" s="36" t="n">
        <v>26</v>
      </c>
      <c r="S37" s="37" t="n">
        <v>1</v>
      </c>
      <c r="T37" s="36" t="n">
        <v>11</v>
      </c>
      <c r="U37" s="37" t="n">
        <v>0.4230769230769231</v>
      </c>
      <c r="V37" s="38" t="n">
        <v>0</v>
      </c>
      <c r="W37" s="38" t="n">
        <v>3.048000000000002</v>
      </c>
      <c r="X37" s="38" t="n">
        <v>61.636</v>
      </c>
      <c r="Y37" s="38" t="n">
        <v>93.36500000000001</v>
      </c>
      <c r="Z37" s="38" t="n">
        <v>0</v>
      </c>
      <c r="AA37" s="36" t="n">
        <v>42</v>
      </c>
      <c r="AB37" s="37" t="n">
        <v>0.5526315789473685</v>
      </c>
      <c r="AC37" s="36" t="n">
        <v>6</v>
      </c>
      <c r="AD37" s="37" t="n">
        <v>0.4615384615384616</v>
      </c>
      <c r="AE37" s="36" t="n">
        <v>36</v>
      </c>
      <c r="AF37" s="37" t="n">
        <v>0.5714285714285714</v>
      </c>
      <c r="AG37" s="36" t="n">
        <v>4</v>
      </c>
      <c r="AH37" s="37" t="n">
        <v>0.6666666666666666</v>
      </c>
    </row>
    <row r="38">
      <c r="A38" s="53" t="n">
        <v>45749</v>
      </c>
      <c r="B38" t="inlineStr">
        <is>
          <t>R01_Sumbagut</t>
        </is>
      </c>
      <c r="C38" t="inlineStr">
        <is>
          <t>NOP MEDAN</t>
        </is>
      </c>
      <c r="D38" s="38" t="n">
        <v>0</v>
      </c>
      <c r="E38" s="38" t="n">
        <v>0</v>
      </c>
      <c r="F38" s="36" t="n">
        <v>2.41</v>
      </c>
      <c r="G38" s="36" t="n">
        <v>4.19</v>
      </c>
      <c r="H38" s="36" t="n">
        <v>0</v>
      </c>
      <c r="I38" s="37" t="n">
        <v>0</v>
      </c>
      <c r="J38" s="36" t="n">
        <v>0</v>
      </c>
      <c r="K38" s="37" t="n">
        <v>0</v>
      </c>
      <c r="L38" s="36" t="n">
        <v>0</v>
      </c>
      <c r="M38" s="37" t="n">
        <v>0</v>
      </c>
      <c r="N38" s="36" t="n">
        <v>0</v>
      </c>
      <c r="O38" s="37" t="n">
        <v>0</v>
      </c>
      <c r="P38" s="36" t="n">
        <v>0</v>
      </c>
      <c r="Q38" s="37" t="n">
        <v>0</v>
      </c>
      <c r="R38" s="36" t="n">
        <v>8</v>
      </c>
      <c r="S38" s="37" t="n">
        <v>1</v>
      </c>
      <c r="T38" s="36" t="n">
        <v>0</v>
      </c>
      <c r="U38" s="37" t="n">
        <v>0</v>
      </c>
      <c r="V38" s="38" t="n">
        <v>0</v>
      </c>
      <c r="W38" s="38" t="n">
        <v>2.086</v>
      </c>
      <c r="X38" s="38" t="n">
        <v>3.57</v>
      </c>
      <c r="Y38" s="38" t="n">
        <v>14.45</v>
      </c>
      <c r="Z38" s="38" t="n">
        <v>0</v>
      </c>
      <c r="AA38" s="36" t="n">
        <v>7</v>
      </c>
      <c r="AB38" s="37" t="n">
        <v>0.35</v>
      </c>
      <c r="AC38" s="36" t="n">
        <v>1</v>
      </c>
      <c r="AD38" s="37" t="n">
        <v>0.3333333333333333</v>
      </c>
      <c r="AE38" s="36" t="n">
        <v>6</v>
      </c>
      <c r="AF38" s="37" t="n">
        <v>0.3529411764705883</v>
      </c>
      <c r="AG38" s="36" t="n">
        <v>1</v>
      </c>
      <c r="AH38" s="37" t="n">
        <v>1</v>
      </c>
    </row>
    <row r="39">
      <c r="A39" s="53" t="n">
        <v>45749</v>
      </c>
      <c r="B39" t="inlineStr">
        <is>
          <t>R01_Sumbagut</t>
        </is>
      </c>
      <c r="C39" t="inlineStr">
        <is>
          <t>NOP PADANG SIDEMPUAN</t>
        </is>
      </c>
      <c r="D39" s="38" t="n">
        <v>0</v>
      </c>
      <c r="E39" s="38" t="n">
        <v>3.216</v>
      </c>
      <c r="F39" s="36" t="n">
        <v>3.364000000000001</v>
      </c>
      <c r="G39" s="36" t="n">
        <v>4.81</v>
      </c>
      <c r="H39" s="36" t="n">
        <v>24</v>
      </c>
      <c r="I39" s="37" t="n">
        <v>0.4137931034482759</v>
      </c>
      <c r="J39" s="36" t="n">
        <v>3</v>
      </c>
      <c r="K39" s="37" t="n">
        <v>1</v>
      </c>
      <c r="L39" s="36" t="n">
        <v>21</v>
      </c>
      <c r="M39" s="37" t="n">
        <v>0.3818181818181818</v>
      </c>
      <c r="N39" s="36" t="n">
        <v>2</v>
      </c>
      <c r="O39" s="37" t="n">
        <v>0.6666666666666666</v>
      </c>
      <c r="P39" s="36" t="n">
        <v>2</v>
      </c>
      <c r="Q39" s="37" t="n">
        <v>0.6666666666666666</v>
      </c>
      <c r="R39" s="36" t="n">
        <v>58</v>
      </c>
      <c r="S39" s="37" t="n">
        <v>1</v>
      </c>
      <c r="T39" s="36" t="n">
        <v>8</v>
      </c>
      <c r="U39" s="37" t="n">
        <v>0.1379310344827586</v>
      </c>
      <c r="V39" s="38" t="n">
        <v>0.01</v>
      </c>
      <c r="W39" s="38" t="n">
        <v>1.43</v>
      </c>
      <c r="X39" s="38" t="n">
        <v>12.59</v>
      </c>
      <c r="Y39" s="38" t="n">
        <v>66.09999999999999</v>
      </c>
      <c r="Z39" s="38" t="n">
        <v>0</v>
      </c>
      <c r="AA39" s="36" t="n">
        <v>62</v>
      </c>
      <c r="AB39" s="37" t="n">
        <v>0.2357414448669201</v>
      </c>
      <c r="AC39" s="36" t="n">
        <v>25</v>
      </c>
      <c r="AD39" s="37" t="n">
        <v>0.5681818181818182</v>
      </c>
      <c r="AE39" s="36" t="n">
        <v>37</v>
      </c>
      <c r="AF39" s="37" t="n">
        <v>0.1689497716894977</v>
      </c>
      <c r="AG39" s="36" t="n">
        <v>11</v>
      </c>
      <c r="AH39" s="37" t="n">
        <v>0.44</v>
      </c>
    </row>
    <row r="40">
      <c r="A40" s="53" t="n">
        <v>45749</v>
      </c>
      <c r="B40" t="inlineStr">
        <is>
          <t>R01_Sumbagut</t>
        </is>
      </c>
      <c r="C40" t="inlineStr">
        <is>
          <t>NOP PEMATANG SIANTAR</t>
        </is>
      </c>
      <c r="D40" s="38" t="n">
        <v>0.9099999999999999</v>
      </c>
      <c r="E40" s="38" t="n">
        <v>7.076000000000004</v>
      </c>
      <c r="F40" s="36" t="n">
        <v>1.298</v>
      </c>
      <c r="G40" s="36" t="n">
        <v>4.033</v>
      </c>
      <c r="H40" s="36" t="n">
        <v>11</v>
      </c>
      <c r="I40" s="37" t="n">
        <v>0.3235294117647059</v>
      </c>
      <c r="J40" s="36" t="n">
        <v>5</v>
      </c>
      <c r="K40" s="37" t="n">
        <v>0.4545454545454545</v>
      </c>
      <c r="L40" s="36" t="n">
        <v>6</v>
      </c>
      <c r="M40" s="37" t="n">
        <v>0.2608695652173913</v>
      </c>
      <c r="N40" s="36" t="n">
        <v>4</v>
      </c>
      <c r="O40" s="37" t="n">
        <v>0.8</v>
      </c>
      <c r="P40" s="36" t="n">
        <v>4</v>
      </c>
      <c r="Q40" s="37" t="n">
        <v>0.8</v>
      </c>
      <c r="R40" s="36" t="n">
        <v>34</v>
      </c>
      <c r="S40" s="37" t="n">
        <v>1</v>
      </c>
      <c r="T40" s="36" t="n">
        <v>9</v>
      </c>
      <c r="U40" s="37" t="n">
        <v>0.2647058823529412</v>
      </c>
      <c r="V40" s="38" t="n">
        <v>0</v>
      </c>
      <c r="W40" s="38" t="n">
        <v>2.86</v>
      </c>
      <c r="X40" s="38" t="n">
        <v>92.21600000000007</v>
      </c>
      <c r="Y40" s="38" t="n">
        <v>62.65</v>
      </c>
      <c r="Z40" s="38" t="n">
        <v>0</v>
      </c>
      <c r="AA40" s="36" t="n">
        <v>32</v>
      </c>
      <c r="AB40" s="37" t="n">
        <v>0.09090909090909091</v>
      </c>
      <c r="AC40" s="36" t="n">
        <v>6</v>
      </c>
      <c r="AD40" s="37" t="n">
        <v>0.1935483870967742</v>
      </c>
      <c r="AE40" s="36" t="n">
        <v>26</v>
      </c>
      <c r="AF40" s="37" t="n">
        <v>0.08099688473520249</v>
      </c>
      <c r="AG40" s="36" t="n">
        <v>5</v>
      </c>
      <c r="AH40" s="37" t="n">
        <v>0.8333333333333334</v>
      </c>
    </row>
    <row r="41">
      <c r="A41" s="53" t="n">
        <v>45749</v>
      </c>
      <c r="B41" t="inlineStr">
        <is>
          <t>R01_Sumbagut</t>
        </is>
      </c>
      <c r="C41" t="inlineStr">
        <is>
          <t>NOP RANTAU PRAPAT</t>
        </is>
      </c>
      <c r="D41" s="38" t="n">
        <v>1.036</v>
      </c>
      <c r="E41" s="38" t="n">
        <v>3.980999999999999</v>
      </c>
      <c r="F41" s="36" t="n">
        <v>5.83</v>
      </c>
      <c r="G41" s="36" t="n">
        <v>6.643999999999999</v>
      </c>
      <c r="H41" s="36" t="n">
        <v>36</v>
      </c>
      <c r="I41" s="37" t="n">
        <v>0.1988950276243094</v>
      </c>
      <c r="J41" s="36" t="n">
        <v>10</v>
      </c>
      <c r="K41" s="37" t="n">
        <v>0.2173913043478261</v>
      </c>
      <c r="L41" s="36" t="n">
        <v>26</v>
      </c>
      <c r="M41" s="37" t="n">
        <v>0.1925925925925926</v>
      </c>
      <c r="N41" s="36" t="n">
        <v>4</v>
      </c>
      <c r="O41" s="37" t="n">
        <v>0.4</v>
      </c>
      <c r="P41" s="36" t="n">
        <v>4</v>
      </c>
      <c r="Q41" s="37" t="n">
        <v>0.4</v>
      </c>
      <c r="R41" s="36" t="n">
        <v>181</v>
      </c>
      <c r="S41" s="37" t="n">
        <v>1</v>
      </c>
      <c r="T41" s="36" t="n">
        <v>22</v>
      </c>
      <c r="U41" s="37" t="n">
        <v>0.1215469613259668</v>
      </c>
      <c r="V41" s="38" t="n">
        <v>0</v>
      </c>
      <c r="W41" s="38" t="n">
        <v>1.834000000000001</v>
      </c>
      <c r="X41" s="38" t="n">
        <v>23.448</v>
      </c>
      <c r="Y41" s="38" t="n">
        <v>19.746</v>
      </c>
      <c r="Z41" s="38" t="n">
        <v>0</v>
      </c>
      <c r="AA41" s="36" t="n">
        <v>28</v>
      </c>
      <c r="AB41" s="37" t="n">
        <v>0.06167400881057269</v>
      </c>
      <c r="AC41" s="36" t="n">
        <v>7</v>
      </c>
      <c r="AD41" s="37" t="n">
        <v>0.1320754716981132</v>
      </c>
      <c r="AE41" s="36" t="n">
        <v>18</v>
      </c>
      <c r="AF41" s="37" t="n">
        <v>0.04522613065326633</v>
      </c>
      <c r="AG41" s="36" t="n">
        <v>5</v>
      </c>
      <c r="AH41" s="37" t="n">
        <v>0.7142857142857143</v>
      </c>
    </row>
    <row r="42">
      <c r="A42" s="53" t="n">
        <v>45749</v>
      </c>
      <c r="B42" t="inlineStr">
        <is>
          <t>R10_Sumbagteng</t>
        </is>
      </c>
      <c r="C42" t="inlineStr">
        <is>
          <t>NOP BATAM</t>
        </is>
      </c>
      <c r="D42" s="38" t="n">
        <v>0</v>
      </c>
      <c r="E42" s="38" t="n">
        <v>5.599</v>
      </c>
      <c r="F42" s="36" t="n">
        <v>7.462000000000001</v>
      </c>
      <c r="G42" s="36" t="n">
        <v>6.11</v>
      </c>
      <c r="H42" s="36" t="n">
        <v>27</v>
      </c>
      <c r="I42" s="37" t="n">
        <v>0.2389380530973451</v>
      </c>
      <c r="J42" s="36" t="n">
        <v>2</v>
      </c>
      <c r="K42" s="37" t="n">
        <v>0.1428571428571428</v>
      </c>
      <c r="L42" s="36" t="n">
        <v>25</v>
      </c>
      <c r="M42" s="37" t="n">
        <v>0.2525252525252525</v>
      </c>
      <c r="N42" s="36" t="n">
        <v>1</v>
      </c>
      <c r="O42" s="37" t="n">
        <v>0.5</v>
      </c>
      <c r="P42" s="36" t="n">
        <v>1</v>
      </c>
      <c r="Q42" s="37" t="n">
        <v>0.5</v>
      </c>
      <c r="R42" s="36" t="n">
        <v>113</v>
      </c>
      <c r="S42" s="37" t="n">
        <v>1</v>
      </c>
      <c r="T42" s="36" t="n">
        <v>6</v>
      </c>
      <c r="U42" s="37" t="n">
        <v>0.05309734513274336</v>
      </c>
      <c r="V42" s="38" t="n">
        <v>0</v>
      </c>
      <c r="W42" s="38" t="n">
        <v>10.01</v>
      </c>
      <c r="X42" s="38" t="n">
        <v>36.788</v>
      </c>
      <c r="Y42" s="38" t="n">
        <v>38.13800000000003</v>
      </c>
      <c r="Z42" s="38" t="n">
        <v>0</v>
      </c>
      <c r="AA42" s="36" t="n">
        <v>24</v>
      </c>
      <c r="AB42" s="37" t="n">
        <v>0.08480565371024736</v>
      </c>
      <c r="AC42" s="36" t="n">
        <v>4</v>
      </c>
      <c r="AD42" s="37" t="n">
        <v>0.06557377049180328</v>
      </c>
      <c r="AE42" s="36" t="n">
        <v>20</v>
      </c>
      <c r="AF42" s="37" t="n">
        <v>0.09009009009009009</v>
      </c>
      <c r="AG42" s="36" t="n">
        <v>3</v>
      </c>
      <c r="AH42" s="37" t="n">
        <v>0.75</v>
      </c>
    </row>
    <row r="43">
      <c r="A43" s="53" t="n">
        <v>45749</v>
      </c>
      <c r="B43" t="inlineStr">
        <is>
          <t>R10_Sumbagteng</t>
        </is>
      </c>
      <c r="C43" t="inlineStr">
        <is>
          <t>NOP BUKITTINGGI</t>
        </is>
      </c>
      <c r="D43" s="38" t="n">
        <v>0</v>
      </c>
      <c r="E43" s="38" t="n">
        <v>9.096</v>
      </c>
      <c r="F43" s="36" t="n">
        <v>2.850000000000001</v>
      </c>
      <c r="G43" s="36" t="n">
        <v>6.065</v>
      </c>
      <c r="H43" s="36" t="n">
        <v>14</v>
      </c>
      <c r="I43" s="37" t="n">
        <v>0.5384615384615384</v>
      </c>
      <c r="J43" s="36" t="n">
        <v>3</v>
      </c>
      <c r="K43" s="37" t="n">
        <v>1</v>
      </c>
      <c r="L43" s="36" t="n">
        <v>11</v>
      </c>
      <c r="M43" s="37" t="n">
        <v>0.4782608695652174</v>
      </c>
      <c r="N43" s="36" t="n">
        <v>2</v>
      </c>
      <c r="O43" s="37" t="n">
        <v>0.6666666666666666</v>
      </c>
      <c r="P43" s="36" t="n">
        <v>2</v>
      </c>
      <c r="Q43" s="37" t="n">
        <v>0.6666666666666666</v>
      </c>
      <c r="R43" s="36" t="n">
        <v>26</v>
      </c>
      <c r="S43" s="37" t="n">
        <v>1</v>
      </c>
      <c r="T43" s="36" t="n">
        <v>8</v>
      </c>
      <c r="U43" s="37" t="n">
        <v>0.3076923076923077</v>
      </c>
      <c r="V43" s="38" t="n">
        <v>0</v>
      </c>
      <c r="W43" s="38" t="n">
        <v>10.325</v>
      </c>
      <c r="X43" s="38" t="n">
        <v>6.612</v>
      </c>
      <c r="Y43" s="38" t="n">
        <v>91.408</v>
      </c>
      <c r="Z43" s="38" t="n">
        <v>0</v>
      </c>
      <c r="AA43" s="36" t="n">
        <v>51</v>
      </c>
      <c r="AB43" s="37" t="n">
        <v>0.3167701863354037</v>
      </c>
      <c r="AC43" s="36" t="n">
        <v>9</v>
      </c>
      <c r="AD43" s="37" t="n">
        <v>0.75</v>
      </c>
      <c r="AE43" s="36" t="n">
        <v>42</v>
      </c>
      <c r="AF43" s="37" t="n">
        <v>0.2837837837837838</v>
      </c>
      <c r="AG43" s="36" t="n">
        <v>6</v>
      </c>
      <c r="AH43" s="37" t="n">
        <v>0.6666666666666666</v>
      </c>
    </row>
    <row r="44">
      <c r="A44" s="53" t="n">
        <v>45749</v>
      </c>
      <c r="B44" t="inlineStr">
        <is>
          <t>R10_Sumbagteng</t>
        </is>
      </c>
      <c r="C44" t="inlineStr">
        <is>
          <t>NOP DUMAI</t>
        </is>
      </c>
      <c r="D44" s="38" t="n">
        <v>5.884</v>
      </c>
      <c r="E44" s="38" t="n">
        <v>5.32</v>
      </c>
      <c r="F44" s="36" t="n">
        <v>5.336</v>
      </c>
      <c r="G44" s="36" t="n">
        <v>5.847</v>
      </c>
      <c r="H44" s="36" t="n">
        <v>144</v>
      </c>
      <c r="I44" s="37" t="n">
        <v>0.5975103734439834</v>
      </c>
      <c r="J44" s="36" t="n">
        <v>33</v>
      </c>
      <c r="K44" s="37" t="n">
        <v>0.6226415094339622</v>
      </c>
      <c r="L44" s="36" t="n">
        <v>111</v>
      </c>
      <c r="M44" s="37" t="n">
        <v>0.5904255319148937</v>
      </c>
      <c r="N44" s="36" t="n">
        <v>19</v>
      </c>
      <c r="O44" s="37" t="n">
        <v>0.5757575757575758</v>
      </c>
      <c r="P44" s="36" t="n">
        <v>18</v>
      </c>
      <c r="Q44" s="37" t="n">
        <v>0.6428571428571429</v>
      </c>
      <c r="R44" s="36" t="n">
        <v>230</v>
      </c>
      <c r="S44" s="37" t="n">
        <v>0.9543568464730291</v>
      </c>
      <c r="T44" s="36" t="n">
        <v>64</v>
      </c>
      <c r="U44" s="37" t="n">
        <v>0.2655601659751037</v>
      </c>
      <c r="V44" s="38" t="n">
        <v>0</v>
      </c>
      <c r="W44" s="38" t="n">
        <v>10.52599999999999</v>
      </c>
      <c r="X44" s="38" t="n">
        <v>42.37800000000002</v>
      </c>
      <c r="Y44" s="38" t="n">
        <v>93.97</v>
      </c>
      <c r="Z44" s="38" t="n">
        <v>0</v>
      </c>
      <c r="AA44" s="36" t="n">
        <v>96</v>
      </c>
      <c r="AB44" s="37" t="n">
        <v>0.2580645161290323</v>
      </c>
      <c r="AC44" s="36" t="n">
        <v>26</v>
      </c>
      <c r="AD44" s="37" t="n">
        <v>0.3611111111111111</v>
      </c>
      <c r="AE44" s="36" t="n">
        <v>70</v>
      </c>
      <c r="AF44" s="37" t="n">
        <v>0.2333333333333333</v>
      </c>
      <c r="AG44" s="36" t="n">
        <v>25</v>
      </c>
      <c r="AH44" s="37" t="n">
        <v>0.9615384615384616</v>
      </c>
    </row>
    <row r="45">
      <c r="A45" s="53" t="n">
        <v>45749</v>
      </c>
      <c r="B45" t="inlineStr">
        <is>
          <t>R10_Sumbagteng</t>
        </is>
      </c>
      <c r="C45" t="inlineStr">
        <is>
          <t>NOP PADANG</t>
        </is>
      </c>
      <c r="D45" s="38" t="n">
        <v>0</v>
      </c>
      <c r="E45" s="38" t="n">
        <v>6.786</v>
      </c>
      <c r="F45" s="36" t="n">
        <v>4.32</v>
      </c>
      <c r="G45" s="36" t="n">
        <v>5.678000000000001</v>
      </c>
      <c r="H45" s="36" t="n">
        <v>28</v>
      </c>
      <c r="I45" s="37" t="n">
        <v>0.717948717948718</v>
      </c>
      <c r="J45" s="36" t="n">
        <v>5</v>
      </c>
      <c r="K45" s="37" t="n">
        <v>0.625</v>
      </c>
      <c r="L45" s="36" t="n">
        <v>23</v>
      </c>
      <c r="M45" s="37" t="n">
        <v>0.7419354838709677</v>
      </c>
      <c r="N45" s="36" t="n">
        <v>3</v>
      </c>
      <c r="O45" s="37" t="n">
        <v>0.6</v>
      </c>
      <c r="P45" s="36" t="n">
        <v>3</v>
      </c>
      <c r="Q45" s="37" t="n">
        <v>0.6</v>
      </c>
      <c r="R45" s="36" t="n">
        <v>39</v>
      </c>
      <c r="S45" s="37" t="n">
        <v>1</v>
      </c>
      <c r="T45" s="36" t="n">
        <v>15</v>
      </c>
      <c r="U45" s="37" t="n">
        <v>0.3846153846153846</v>
      </c>
      <c r="V45" s="38" t="n">
        <v>0</v>
      </c>
      <c r="W45" s="38" t="n">
        <v>7.358000000000002</v>
      </c>
      <c r="X45" s="38" t="n">
        <v>57.105</v>
      </c>
      <c r="Y45" s="38" t="n">
        <v>63.57100000000001</v>
      </c>
      <c r="Z45" s="38" t="n">
        <v>0</v>
      </c>
      <c r="AA45" s="36" t="n">
        <v>207</v>
      </c>
      <c r="AB45" s="37" t="n">
        <v>0.6786885245901639</v>
      </c>
      <c r="AC45" s="36" t="n">
        <v>21</v>
      </c>
      <c r="AD45" s="37" t="n">
        <v>0.5384615384615384</v>
      </c>
      <c r="AE45" s="36" t="n">
        <v>186</v>
      </c>
      <c r="AF45" s="37" t="n">
        <v>0.6992481203007519</v>
      </c>
      <c r="AG45" s="36" t="n">
        <v>13</v>
      </c>
      <c r="AH45" s="37" t="n">
        <v>0.6190476190476191</v>
      </c>
    </row>
    <row r="46">
      <c r="A46" s="53" t="n">
        <v>45749</v>
      </c>
      <c r="B46" t="inlineStr">
        <is>
          <t>R10_Sumbagteng</t>
        </is>
      </c>
      <c r="C46" t="inlineStr">
        <is>
          <t>NOP PEKANBARU</t>
        </is>
      </c>
      <c r="D46" s="38" t="n">
        <v>5.69</v>
      </c>
      <c r="E46" s="38" t="n">
        <v>5.721000000000001</v>
      </c>
      <c r="F46" s="36" t="n">
        <v>5.624000000000005</v>
      </c>
      <c r="G46" s="36" t="n">
        <v>7.19</v>
      </c>
      <c r="H46" s="36" t="n">
        <v>78</v>
      </c>
      <c r="I46" s="37" t="n">
        <v>0.3497757847533632</v>
      </c>
      <c r="J46" s="36" t="n">
        <v>17</v>
      </c>
      <c r="K46" s="37" t="n">
        <v>0.53125</v>
      </c>
      <c r="L46" s="36" t="n">
        <v>61</v>
      </c>
      <c r="M46" s="37" t="n">
        <v>0.3193717277486911</v>
      </c>
      <c r="N46" s="36" t="n">
        <v>10</v>
      </c>
      <c r="O46" s="37" t="n">
        <v>0.5882352941176471</v>
      </c>
      <c r="P46" s="36" t="n">
        <v>10</v>
      </c>
      <c r="Q46" s="37" t="n">
        <v>0.6666666666666666</v>
      </c>
      <c r="R46" s="36" t="n">
        <v>217</v>
      </c>
      <c r="S46" s="37" t="n">
        <v>0.9730941704035875</v>
      </c>
      <c r="T46" s="36" t="n">
        <v>42</v>
      </c>
      <c r="U46" s="37" t="n">
        <v>0.1883408071748879</v>
      </c>
      <c r="V46" s="38" t="n">
        <v>0</v>
      </c>
      <c r="W46" s="38" t="n">
        <v>5.319000000000004</v>
      </c>
      <c r="X46" s="38" t="n">
        <v>42.32599999999999</v>
      </c>
      <c r="Y46" s="38" t="n">
        <v>74.49400000000009</v>
      </c>
      <c r="Z46" s="38" t="n">
        <v>0</v>
      </c>
      <c r="AA46" s="36" t="n">
        <v>68</v>
      </c>
      <c r="AB46" s="37" t="n">
        <v>0.2918454935622318</v>
      </c>
      <c r="AC46" s="36" t="n">
        <v>21</v>
      </c>
      <c r="AD46" s="37" t="n">
        <v>0.3088235294117647</v>
      </c>
      <c r="AE46" s="36" t="n">
        <v>45</v>
      </c>
      <c r="AF46" s="37" t="n">
        <v>0.2777777777777778</v>
      </c>
      <c r="AG46" s="36" t="n">
        <v>17</v>
      </c>
      <c r="AH46" s="37" t="n">
        <v>0.8095238095238095</v>
      </c>
    </row>
    <row r="47">
      <c r="A47" s="53" t="n">
        <v>45749</v>
      </c>
      <c r="B47" t="inlineStr">
        <is>
          <t>R02_Sumbagsel</t>
        </is>
      </c>
      <c r="C47" t="inlineStr">
        <is>
          <t>NOP BENGKULU</t>
        </is>
      </c>
      <c r="D47" s="38" t="n">
        <v>1.31</v>
      </c>
      <c r="E47" s="38" t="n">
        <v>6.050000000000001</v>
      </c>
      <c r="F47" s="36" t="n">
        <v>2.7</v>
      </c>
      <c r="G47" s="36" t="n">
        <v>7.13</v>
      </c>
      <c r="H47" s="36" t="n">
        <v>57</v>
      </c>
      <c r="I47" s="37" t="n">
        <v>0.4351145038167939</v>
      </c>
      <c r="J47" s="36" t="n">
        <v>17</v>
      </c>
      <c r="K47" s="37" t="n">
        <v>0.53125</v>
      </c>
      <c r="L47" s="36" t="n">
        <v>40</v>
      </c>
      <c r="M47" s="37" t="n">
        <v>0.404040404040404</v>
      </c>
      <c r="N47" s="36" t="n">
        <v>11</v>
      </c>
      <c r="O47" s="37" t="n">
        <v>0.6470588235294118</v>
      </c>
      <c r="P47" s="36" t="n">
        <v>11</v>
      </c>
      <c r="Q47" s="37" t="n">
        <v>0.6470588235294118</v>
      </c>
      <c r="R47" s="36" t="n">
        <v>131</v>
      </c>
      <c r="S47" s="37" t="n">
        <v>1</v>
      </c>
      <c r="T47" s="36" t="n">
        <v>27</v>
      </c>
      <c r="U47" s="37" t="n">
        <v>0.2061068702290076</v>
      </c>
      <c r="V47" s="38" t="n">
        <v>0</v>
      </c>
      <c r="W47" s="38" t="n">
        <v>3.344</v>
      </c>
      <c r="X47" s="38" t="n">
        <v>9.68</v>
      </c>
      <c r="Y47" s="38" t="n">
        <v>17</v>
      </c>
      <c r="Z47" s="38" t="n">
        <v>0</v>
      </c>
      <c r="AA47" s="36" t="n">
        <v>75</v>
      </c>
      <c r="AB47" s="37" t="n">
        <v>0.3125</v>
      </c>
      <c r="AC47" s="36" t="n">
        <v>41</v>
      </c>
      <c r="AD47" s="37" t="n">
        <v>0.231638418079096</v>
      </c>
      <c r="AE47" s="36" t="n">
        <v>22</v>
      </c>
      <c r="AF47" s="37" t="n">
        <v>0.55</v>
      </c>
      <c r="AG47" s="36" t="n">
        <v>36</v>
      </c>
      <c r="AH47" s="37" t="n">
        <v>0.8780487804878049</v>
      </c>
    </row>
    <row r="48">
      <c r="A48" s="53" t="n">
        <v>45749</v>
      </c>
      <c r="B48" t="inlineStr">
        <is>
          <t>R02_Sumbagsel</t>
        </is>
      </c>
      <c r="C48" t="inlineStr">
        <is>
          <t>NOP JAMBI</t>
        </is>
      </c>
      <c r="D48" s="38" t="n">
        <v>3.24</v>
      </c>
      <c r="E48" s="38" t="n">
        <v>4.635</v>
      </c>
      <c r="F48" s="36" t="n">
        <v>8.430000000000001</v>
      </c>
      <c r="G48" s="36" t="n">
        <v>2.092</v>
      </c>
      <c r="H48" s="36" t="n">
        <v>68</v>
      </c>
      <c r="I48" s="37" t="n">
        <v>0.5354330708661418</v>
      </c>
      <c r="J48" s="36" t="n">
        <v>14</v>
      </c>
      <c r="K48" s="37" t="n">
        <v>0.4242424242424243</v>
      </c>
      <c r="L48" s="36" t="n">
        <v>54</v>
      </c>
      <c r="M48" s="37" t="n">
        <v>0.574468085106383</v>
      </c>
      <c r="N48" s="36" t="n">
        <v>12</v>
      </c>
      <c r="O48" s="37" t="n">
        <v>0.8571428571428571</v>
      </c>
      <c r="P48" s="36" t="n">
        <v>12</v>
      </c>
      <c r="Q48" s="37" t="n">
        <v>0.8571428571428571</v>
      </c>
      <c r="R48" s="36" t="n">
        <v>127</v>
      </c>
      <c r="S48" s="37" t="n">
        <v>1</v>
      </c>
      <c r="T48" s="36" t="n">
        <v>29</v>
      </c>
      <c r="U48" s="37" t="n">
        <v>0.2283464566929134</v>
      </c>
      <c r="V48" s="38" t="n">
        <v>0</v>
      </c>
      <c r="W48" s="38" t="n">
        <v>6.263999999999998</v>
      </c>
      <c r="X48" s="38" t="n">
        <v>30.88300000000002</v>
      </c>
      <c r="Y48" s="38" t="n">
        <v>18</v>
      </c>
      <c r="Z48" s="38" t="n">
        <v>0</v>
      </c>
      <c r="AA48" s="36" t="n">
        <v>129</v>
      </c>
      <c r="AB48" s="37" t="n">
        <v>0.6113744075829384</v>
      </c>
      <c r="AC48" s="36" t="n">
        <v>54</v>
      </c>
      <c r="AD48" s="37" t="n">
        <v>0.5510204081632653</v>
      </c>
      <c r="AE48" s="36" t="n">
        <v>69</v>
      </c>
      <c r="AF48" s="37" t="n">
        <v>0.6764705882352942</v>
      </c>
      <c r="AG48" s="36" t="n">
        <v>32</v>
      </c>
      <c r="AH48" s="37" t="n">
        <v>0.5925925925925926</v>
      </c>
    </row>
    <row r="49">
      <c r="A49" s="53" t="n">
        <v>45749</v>
      </c>
      <c r="B49" t="inlineStr">
        <is>
          <t>R02_Sumbagsel</t>
        </is>
      </c>
      <c r="C49" t="inlineStr">
        <is>
          <t>NOP LAMPUNG</t>
        </is>
      </c>
      <c r="D49" s="38" t="n">
        <v>1.311</v>
      </c>
      <c r="E49" s="38" t="n">
        <v>5.842</v>
      </c>
      <c r="F49" s="36" t="n">
        <v>4.75</v>
      </c>
      <c r="G49" s="36" t="n">
        <v>4.326</v>
      </c>
      <c r="H49" s="36" t="n">
        <v>31</v>
      </c>
      <c r="I49" s="37" t="n">
        <v>0.5</v>
      </c>
      <c r="J49" s="36" t="n">
        <v>15</v>
      </c>
      <c r="K49" s="37" t="n">
        <v>0.7142857142857143</v>
      </c>
      <c r="L49" s="36" t="n">
        <v>16</v>
      </c>
      <c r="M49" s="37" t="n">
        <v>0.3902439024390244</v>
      </c>
      <c r="N49" s="36" t="n">
        <v>6</v>
      </c>
      <c r="O49" s="37" t="n">
        <v>0.4</v>
      </c>
      <c r="P49" s="36" t="n">
        <v>6</v>
      </c>
      <c r="Q49" s="37" t="n">
        <v>0.4</v>
      </c>
      <c r="R49" s="36" t="n">
        <v>62</v>
      </c>
      <c r="S49" s="37" t="n">
        <v>1</v>
      </c>
      <c r="T49" s="36" t="n">
        <v>15</v>
      </c>
      <c r="U49" s="37" t="n">
        <v>0.2419354838709677</v>
      </c>
      <c r="V49" s="38" t="n">
        <v>0</v>
      </c>
      <c r="W49" s="38" t="n">
        <v>26.545</v>
      </c>
      <c r="X49" s="38" t="n">
        <v>6.923</v>
      </c>
      <c r="Y49" s="38" t="n">
        <v>49.123</v>
      </c>
      <c r="Z49" s="38" t="n">
        <v>0</v>
      </c>
      <c r="AA49" s="36" t="n">
        <v>125</v>
      </c>
      <c r="AB49" s="37" t="n">
        <v>0.8445945945945946</v>
      </c>
      <c r="AC49" s="36" t="n">
        <v>25</v>
      </c>
      <c r="AD49" s="37" t="n">
        <v>0.6944444444444444</v>
      </c>
      <c r="AE49" s="36" t="n">
        <v>97</v>
      </c>
      <c r="AF49" s="37" t="n">
        <v>0.8981481481481481</v>
      </c>
      <c r="AG49" s="36" t="n">
        <v>20</v>
      </c>
      <c r="AH49" s="37" t="n">
        <v>0.8</v>
      </c>
    </row>
    <row r="50">
      <c r="A50" s="53" t="n">
        <v>45749</v>
      </c>
      <c r="B50" t="inlineStr">
        <is>
          <t>R02_Sumbagsel</t>
        </is>
      </c>
      <c r="C50" t="inlineStr">
        <is>
          <t>NOP MUARA ENIM</t>
        </is>
      </c>
      <c r="D50" s="38" t="n">
        <v>1.83</v>
      </c>
      <c r="E50" s="38" t="n">
        <v>2.872</v>
      </c>
      <c r="F50" s="36" t="n">
        <v>4.12</v>
      </c>
      <c r="G50" s="36" t="n">
        <v>3.638</v>
      </c>
      <c r="H50" s="36" t="n">
        <v>52</v>
      </c>
      <c r="I50" s="37" t="n">
        <v>0.4727272727272727</v>
      </c>
      <c r="J50" s="36" t="n">
        <v>7</v>
      </c>
      <c r="K50" s="37" t="n">
        <v>0.4375</v>
      </c>
      <c r="L50" s="36" t="n">
        <v>45</v>
      </c>
      <c r="M50" s="37" t="n">
        <v>0.4787234042553192</v>
      </c>
      <c r="N50" s="36" t="n">
        <v>3</v>
      </c>
      <c r="O50" s="37" t="n">
        <v>0.4285714285714285</v>
      </c>
      <c r="P50" s="36" t="n">
        <v>3</v>
      </c>
      <c r="Q50" s="37" t="n">
        <v>0.4285714285714285</v>
      </c>
      <c r="R50" s="36" t="n">
        <v>110</v>
      </c>
      <c r="S50" s="37" t="n">
        <v>1</v>
      </c>
      <c r="T50" s="36" t="n">
        <v>24</v>
      </c>
      <c r="U50" s="37" t="n">
        <v>0.2181818181818182</v>
      </c>
      <c r="V50" s="38" t="n">
        <v>0</v>
      </c>
      <c r="W50" s="38" t="n">
        <v>3.313000000000001</v>
      </c>
      <c r="X50" s="38" t="n">
        <v>7.254000000000003</v>
      </c>
      <c r="Y50" s="38" t="n">
        <v>15.13</v>
      </c>
      <c r="Z50" s="38" t="n">
        <v>0</v>
      </c>
      <c r="AA50" s="36" t="n">
        <v>91</v>
      </c>
      <c r="AB50" s="37" t="n">
        <v>0.4840425531914894</v>
      </c>
      <c r="AC50" s="36" t="n">
        <v>43</v>
      </c>
      <c r="AD50" s="37" t="n">
        <v>0.4574468085106383</v>
      </c>
      <c r="AE50" s="36" t="n">
        <v>44</v>
      </c>
      <c r="AF50" s="37" t="n">
        <v>0.6470588235294118</v>
      </c>
      <c r="AG50" s="36" t="n">
        <v>34</v>
      </c>
      <c r="AH50" s="37" t="n">
        <v>0.7906976744186046</v>
      </c>
    </row>
    <row r="51">
      <c r="A51" s="53" t="n">
        <v>45749</v>
      </c>
      <c r="B51" t="inlineStr">
        <is>
          <t>R02_Sumbagsel</t>
        </is>
      </c>
      <c r="C51" t="inlineStr">
        <is>
          <t>NOP PALEMBANG</t>
        </is>
      </c>
      <c r="D51" s="38" t="n">
        <v>0</v>
      </c>
      <c r="E51" s="38" t="n">
        <v>9.993999999999996</v>
      </c>
      <c r="F51" s="36" t="n">
        <v>7.95</v>
      </c>
      <c r="G51" s="36" t="n">
        <v>5.474</v>
      </c>
      <c r="H51" s="36" t="n">
        <v>34</v>
      </c>
      <c r="I51" s="37" t="n">
        <v>0.3777777777777778</v>
      </c>
      <c r="J51" s="36" t="n">
        <v>5</v>
      </c>
      <c r="K51" s="37" t="n">
        <v>0.3333333333333333</v>
      </c>
      <c r="L51" s="36" t="n">
        <v>29</v>
      </c>
      <c r="M51" s="37" t="n">
        <v>0.3866666666666667</v>
      </c>
      <c r="N51" s="36" t="n">
        <v>3</v>
      </c>
      <c r="O51" s="37" t="n">
        <v>0.6</v>
      </c>
      <c r="P51" s="36" t="n">
        <v>3</v>
      </c>
      <c r="Q51" s="37" t="n">
        <v>0.6</v>
      </c>
      <c r="R51" s="36" t="n">
        <v>90</v>
      </c>
      <c r="S51" s="37" t="n">
        <v>1</v>
      </c>
      <c r="T51" s="36" t="n">
        <v>22</v>
      </c>
      <c r="U51" s="37" t="n">
        <v>0.2444444444444444</v>
      </c>
      <c r="V51" s="38" t="n">
        <v>0</v>
      </c>
      <c r="W51" s="38" t="n">
        <v>10.546</v>
      </c>
      <c r="X51" s="38" t="n">
        <v>13.694</v>
      </c>
      <c r="Y51" s="38" t="n">
        <v>16</v>
      </c>
      <c r="Z51" s="38" t="n">
        <v>0</v>
      </c>
      <c r="AA51" s="36" t="n">
        <v>40</v>
      </c>
      <c r="AB51" s="37" t="n">
        <v>0.2758620689655172</v>
      </c>
      <c r="AC51" s="36" t="n">
        <v>13</v>
      </c>
      <c r="AD51" s="37" t="n">
        <v>0.2096774193548387</v>
      </c>
      <c r="AE51" s="36" t="n">
        <v>27</v>
      </c>
      <c r="AF51" s="37" t="n">
        <v>0.421875</v>
      </c>
      <c r="AG51" s="36" t="n">
        <v>4</v>
      </c>
      <c r="AH51" s="37" t="n">
        <v>0.3076923076923077</v>
      </c>
    </row>
    <row r="52">
      <c r="A52" s="53" t="n">
        <v>45749</v>
      </c>
      <c r="B52" t="inlineStr">
        <is>
          <t>R02_Sumbagsel</t>
        </is>
      </c>
      <c r="C52" t="inlineStr">
        <is>
          <t>NOP PANGKAL PINANG</t>
        </is>
      </c>
      <c r="D52" s="38" t="n">
        <v>0</v>
      </c>
      <c r="E52" s="38" t="n">
        <v>1.375</v>
      </c>
      <c r="F52" s="36" t="n">
        <v>0.62</v>
      </c>
      <c r="G52" s="36" t="n">
        <v>2.380000000000001</v>
      </c>
      <c r="H52" s="36" t="n">
        <v>11</v>
      </c>
      <c r="I52" s="37" t="n">
        <v>0.5238095238095238</v>
      </c>
      <c r="J52" s="36" t="n">
        <v>2</v>
      </c>
      <c r="K52" s="37" t="n">
        <v>1</v>
      </c>
      <c r="L52" s="36" t="n">
        <v>9</v>
      </c>
      <c r="M52" s="37" t="n">
        <v>0.4736842105263158</v>
      </c>
      <c r="N52" s="36" t="n">
        <v>1</v>
      </c>
      <c r="O52" s="37" t="n">
        <v>0.5</v>
      </c>
      <c r="P52" s="36" t="n">
        <v>1</v>
      </c>
      <c r="Q52" s="37" t="n">
        <v>0.5</v>
      </c>
      <c r="R52" s="36" t="n">
        <v>21</v>
      </c>
      <c r="S52" s="37" t="n">
        <v>1</v>
      </c>
      <c r="T52" s="36" t="n">
        <v>7</v>
      </c>
      <c r="U52" s="37" t="n">
        <v>0.3333333333333333</v>
      </c>
      <c r="V52" s="38" t="n">
        <v>0</v>
      </c>
      <c r="W52" s="38" t="n">
        <v>3.39</v>
      </c>
      <c r="X52" s="38" t="n">
        <v>8.294000000000006</v>
      </c>
      <c r="Y52" s="38" t="n">
        <v>7.711999999999999</v>
      </c>
      <c r="Z52" s="38" t="n">
        <v>0</v>
      </c>
      <c r="AA52" s="36" t="n">
        <v>36</v>
      </c>
      <c r="AB52" s="37" t="n">
        <v>0.8372093023255814</v>
      </c>
      <c r="AC52" s="36" t="n">
        <v>13</v>
      </c>
      <c r="AD52" s="37" t="n">
        <v>0.8125</v>
      </c>
      <c r="AE52" s="36" t="n">
        <v>23</v>
      </c>
      <c r="AF52" s="37" t="n">
        <v>0.9583333333333334</v>
      </c>
      <c r="AG52" s="36" t="n">
        <v>9</v>
      </c>
      <c r="AH52" s="37" t="n">
        <v>0.6923076923076923</v>
      </c>
    </row>
    <row r="53">
      <c r="A53" s="53" t="n">
        <v>45749</v>
      </c>
      <c r="B53" t="inlineStr">
        <is>
          <t>R05_Jawa Tengah DIY</t>
        </is>
      </c>
      <c r="C53" t="inlineStr">
        <is>
          <t>NOP MAGELANG</t>
        </is>
      </c>
      <c r="D53" s="38" t="n">
        <v>0.847</v>
      </c>
      <c r="E53" s="38" t="n">
        <v>0</v>
      </c>
      <c r="F53" s="36" t="n">
        <v>2.314000000000002</v>
      </c>
      <c r="G53" s="36" t="n">
        <v>3.925</v>
      </c>
      <c r="H53" s="36" t="n">
        <v>12</v>
      </c>
      <c r="I53" s="37" t="n">
        <v>0.5454545454545454</v>
      </c>
      <c r="J53" s="36" t="n">
        <v>2</v>
      </c>
      <c r="K53" s="37" t="n">
        <v>1</v>
      </c>
      <c r="L53" s="36" t="n">
        <v>10</v>
      </c>
      <c r="M53" s="37" t="n">
        <v>0.5</v>
      </c>
      <c r="N53" s="36" t="n">
        <v>1</v>
      </c>
      <c r="O53" s="37" t="n">
        <v>0.5</v>
      </c>
      <c r="P53" s="36" t="n">
        <v>1</v>
      </c>
      <c r="Q53" s="37" t="n">
        <v>0.5</v>
      </c>
      <c r="R53" s="36" t="n">
        <v>22</v>
      </c>
      <c r="S53" s="37" t="n">
        <v>1</v>
      </c>
      <c r="T53" s="36" t="n">
        <v>12</v>
      </c>
      <c r="U53" s="37" t="n">
        <v>0.5454545454545454</v>
      </c>
      <c r="V53" s="38" t="n">
        <v>0</v>
      </c>
      <c r="W53" s="38" t="n">
        <v>2.638</v>
      </c>
      <c r="X53" s="38" t="n">
        <v>29.06</v>
      </c>
      <c r="Y53" s="38" t="n">
        <v>103.834</v>
      </c>
      <c r="Z53" s="38" t="n">
        <v>0</v>
      </c>
      <c r="AA53" s="36" t="n">
        <v>35</v>
      </c>
      <c r="AB53" s="37" t="n">
        <v>0.9459459459459459</v>
      </c>
      <c r="AC53" s="36" t="n">
        <v>3</v>
      </c>
      <c r="AD53" s="37" t="n">
        <v>1</v>
      </c>
      <c r="AE53" s="36" t="n">
        <v>32</v>
      </c>
      <c r="AF53" s="37" t="n">
        <v>0.9411764705882353</v>
      </c>
      <c r="AG53" s="36" t="n">
        <v>3</v>
      </c>
      <c r="AH53" s="37" t="n">
        <v>1</v>
      </c>
    </row>
    <row r="54">
      <c r="A54" s="53" t="n">
        <v>45749</v>
      </c>
      <c r="B54" t="inlineStr">
        <is>
          <t>R05_Jawa Tengah DIY</t>
        </is>
      </c>
      <c r="C54" t="inlineStr">
        <is>
          <t>NOP PEKALONGAN</t>
        </is>
      </c>
      <c r="D54" s="38" t="n">
        <v>4.465000000000002</v>
      </c>
      <c r="E54" s="38" t="n">
        <v>0</v>
      </c>
      <c r="F54" s="36" t="n">
        <v>1.25</v>
      </c>
      <c r="G54" s="36" t="n">
        <v>2.15</v>
      </c>
      <c r="H54" s="36" t="n">
        <v>11</v>
      </c>
      <c r="I54" s="37" t="n">
        <v>0.8461538461538461</v>
      </c>
      <c r="J54" s="36" t="n">
        <v>4</v>
      </c>
      <c r="K54" s="37" t="n">
        <v>1</v>
      </c>
      <c r="L54" s="36" t="n">
        <v>7</v>
      </c>
      <c r="M54" s="37" t="n">
        <v>0.7777777777777778</v>
      </c>
      <c r="N54" s="36" t="n">
        <v>4</v>
      </c>
      <c r="O54" s="37" t="n">
        <v>1</v>
      </c>
      <c r="P54" s="36" t="n">
        <v>4</v>
      </c>
      <c r="Q54" s="37" t="n">
        <v>1</v>
      </c>
      <c r="R54" s="36" t="n">
        <v>13</v>
      </c>
      <c r="S54" s="37" t="n">
        <v>1</v>
      </c>
      <c r="T54" s="36" t="n">
        <v>10</v>
      </c>
      <c r="U54" s="37" t="n">
        <v>0.7692307692307693</v>
      </c>
      <c r="V54" s="38" t="n">
        <v>0</v>
      </c>
      <c r="W54" s="38" t="n">
        <v>2.71</v>
      </c>
      <c r="X54" s="38" t="n">
        <v>5.431</v>
      </c>
      <c r="Y54" s="38" t="n">
        <v>37.822</v>
      </c>
      <c r="Z54" s="38" t="n">
        <v>0</v>
      </c>
      <c r="AA54" s="36" t="n">
        <v>26</v>
      </c>
      <c r="AB54" s="37" t="n">
        <v>0.9285714285714286</v>
      </c>
      <c r="AC54" s="36" t="n">
        <v>6</v>
      </c>
      <c r="AD54" s="37" t="n">
        <v>0.8571428571428571</v>
      </c>
      <c r="AE54" s="36" t="n">
        <v>20</v>
      </c>
      <c r="AF54" s="37" t="n">
        <v>0.9523809523809523</v>
      </c>
      <c r="AG54" s="36" t="n">
        <v>5</v>
      </c>
      <c r="AH54" s="37" t="n">
        <v>0.8333333333333334</v>
      </c>
    </row>
    <row r="55">
      <c r="A55" s="53" t="n">
        <v>45749</v>
      </c>
      <c r="B55" t="inlineStr">
        <is>
          <t>R05_Jawa Tengah DIY</t>
        </is>
      </c>
      <c r="C55" t="inlineStr">
        <is>
          <t>NOP PURWOKERTO</t>
        </is>
      </c>
      <c r="D55" s="38" t="n">
        <v>1.804</v>
      </c>
      <c r="E55" s="38" t="n">
        <v>0</v>
      </c>
      <c r="F55" s="36" t="n">
        <v>3.54</v>
      </c>
      <c r="G55" s="36" t="n">
        <v>2.173999999999999</v>
      </c>
      <c r="H55" s="36" t="n">
        <v>24</v>
      </c>
      <c r="I55" s="37" t="n">
        <v>0.96</v>
      </c>
      <c r="J55" s="36" t="n">
        <v>2</v>
      </c>
      <c r="K55" s="37" t="n">
        <v>1</v>
      </c>
      <c r="L55" s="36" t="n">
        <v>22</v>
      </c>
      <c r="M55" s="37" t="n">
        <v>0.9565217391304348</v>
      </c>
      <c r="N55" s="36" t="n">
        <v>2</v>
      </c>
      <c r="O55" s="37" t="n">
        <v>1</v>
      </c>
      <c r="P55" s="36" t="n">
        <v>2</v>
      </c>
      <c r="Q55" s="37" t="n">
        <v>1</v>
      </c>
      <c r="R55" s="36" t="n">
        <v>25</v>
      </c>
      <c r="S55" s="37" t="n">
        <v>1</v>
      </c>
      <c r="T55" s="36" t="n">
        <v>8</v>
      </c>
      <c r="U55" s="37" t="n">
        <v>0.32</v>
      </c>
      <c r="V55" s="38" t="n">
        <v>0</v>
      </c>
      <c r="W55" s="38" t="n">
        <v>3.88</v>
      </c>
      <c r="X55" s="38" t="n">
        <v>6.75</v>
      </c>
      <c r="Y55" s="38" t="n">
        <v>30.22799999999999</v>
      </c>
      <c r="Z55" s="38" t="n">
        <v>0</v>
      </c>
      <c r="AA55" s="36" t="n">
        <v>30</v>
      </c>
      <c r="AB55" s="37" t="n">
        <v>0.8108108108108109</v>
      </c>
      <c r="AC55" s="36" t="n">
        <v>8</v>
      </c>
      <c r="AD55" s="37" t="n">
        <v>0.7272727272727273</v>
      </c>
      <c r="AE55" s="36" t="n">
        <v>22</v>
      </c>
      <c r="AF55" s="37" t="n">
        <v>0.8461538461538461</v>
      </c>
      <c r="AG55" s="36" t="n">
        <v>4</v>
      </c>
      <c r="AH55" s="37" t="n">
        <v>0.5</v>
      </c>
    </row>
    <row r="56">
      <c r="A56" s="53" t="n">
        <v>45749</v>
      </c>
      <c r="B56" t="inlineStr">
        <is>
          <t>R05_Jawa Tengah DIY</t>
        </is>
      </c>
      <c r="C56" t="inlineStr">
        <is>
          <t>NOP SEMARANG</t>
        </is>
      </c>
      <c r="D56" s="38" t="n">
        <v>1.31</v>
      </c>
      <c r="E56" s="38" t="n">
        <v>0</v>
      </c>
      <c r="F56" s="36" t="n">
        <v>2.99</v>
      </c>
      <c r="G56" s="36" t="n">
        <v>1.6</v>
      </c>
      <c r="H56" s="36" t="n">
        <v>15</v>
      </c>
      <c r="I56" s="37" t="n">
        <v>0.6521739130434783</v>
      </c>
      <c r="J56" s="36" t="n">
        <v>1</v>
      </c>
      <c r="K56" s="37" t="n">
        <v>1</v>
      </c>
      <c r="L56" s="36" t="n">
        <v>14</v>
      </c>
      <c r="M56" s="37" t="n">
        <v>0.6363636363636364</v>
      </c>
      <c r="N56" s="36" t="n">
        <v>1</v>
      </c>
      <c r="O56" s="37" t="n">
        <v>1</v>
      </c>
      <c r="P56" s="36" t="n">
        <v>1</v>
      </c>
      <c r="Q56" s="37" t="n">
        <v>1</v>
      </c>
      <c r="R56" s="36" t="n">
        <v>23</v>
      </c>
      <c r="S56" s="37" t="n">
        <v>1</v>
      </c>
      <c r="T56" s="36" t="n">
        <v>6</v>
      </c>
      <c r="U56" s="37" t="n">
        <v>0.2608695652173913</v>
      </c>
      <c r="V56" s="38" t="n">
        <v>0</v>
      </c>
      <c r="W56" s="38" t="n">
        <v>1.195</v>
      </c>
      <c r="X56" s="38" t="n">
        <v>23.724</v>
      </c>
      <c r="Y56" s="38" t="n">
        <v>131.7260000000001</v>
      </c>
      <c r="Z56" s="38" t="n">
        <v>0</v>
      </c>
      <c r="AA56" s="36" t="n">
        <v>34</v>
      </c>
      <c r="AB56" s="37" t="n">
        <v>0.5151515151515151</v>
      </c>
      <c r="AC56" s="36" t="n">
        <v>8</v>
      </c>
      <c r="AD56" s="37" t="n">
        <v>0.2162162162162162</v>
      </c>
      <c r="AE56" s="36" t="n">
        <v>26</v>
      </c>
      <c r="AF56" s="37" t="n">
        <v>0.896551724137931</v>
      </c>
      <c r="AG56" s="36" t="n">
        <v>7</v>
      </c>
      <c r="AH56" s="37" t="n">
        <v>0.875</v>
      </c>
    </row>
    <row r="57">
      <c r="A57" s="53" t="n">
        <v>45749</v>
      </c>
      <c r="B57" t="inlineStr">
        <is>
          <t>R05_Jawa Tengah DIY</t>
        </is>
      </c>
      <c r="C57" t="inlineStr">
        <is>
          <t>NOP SURAKARTA</t>
        </is>
      </c>
      <c r="D57" s="38" t="n">
        <v>4.68</v>
      </c>
      <c r="E57" s="38" t="n">
        <v>0</v>
      </c>
      <c r="F57" s="36" t="n">
        <v>5.962000000000003</v>
      </c>
      <c r="G57" s="36" t="n">
        <v>4.664000000000001</v>
      </c>
      <c r="H57" s="36" t="n">
        <v>15</v>
      </c>
      <c r="I57" s="37" t="n">
        <v>0.4838709677419355</v>
      </c>
      <c r="J57" s="36" t="n">
        <v>1</v>
      </c>
      <c r="K57" s="37" t="n">
        <v>1</v>
      </c>
      <c r="L57" s="36" t="n">
        <v>14</v>
      </c>
      <c r="M57" s="37" t="n">
        <v>0.4666666666666667</v>
      </c>
      <c r="N57" s="36" t="n">
        <v>1</v>
      </c>
      <c r="O57" s="37" t="n">
        <v>1</v>
      </c>
      <c r="P57" s="36" t="n">
        <v>1</v>
      </c>
      <c r="Q57" s="37" t="n">
        <v>1</v>
      </c>
      <c r="R57" s="36" t="n">
        <v>31</v>
      </c>
      <c r="S57" s="37" t="n">
        <v>1</v>
      </c>
      <c r="T57" s="36" t="n">
        <v>12</v>
      </c>
      <c r="U57" s="37" t="n">
        <v>0.3870967741935484</v>
      </c>
      <c r="V57" s="38" t="n">
        <v>0</v>
      </c>
      <c r="W57" s="38" t="n">
        <v>1.73</v>
      </c>
      <c r="X57" s="38" t="n">
        <v>8.448000000000004</v>
      </c>
      <c r="Y57" s="38" t="n">
        <v>163.895</v>
      </c>
      <c r="Z57" s="38" t="n">
        <v>0</v>
      </c>
      <c r="AA57" s="36" t="n">
        <v>38</v>
      </c>
      <c r="AB57" s="37" t="n">
        <v>0.926829268292683</v>
      </c>
      <c r="AC57" s="36" t="n">
        <v>9</v>
      </c>
      <c r="AD57" s="37" t="n">
        <v>0.8181818181818182</v>
      </c>
      <c r="AE57" s="36" t="n">
        <v>29</v>
      </c>
      <c r="AF57" s="37" t="n">
        <v>0.9666666666666667</v>
      </c>
      <c r="AG57" s="36" t="n">
        <v>9</v>
      </c>
      <c r="AH57" s="37" t="n">
        <v>1</v>
      </c>
    </row>
    <row r="58">
      <c r="A58" s="53" t="n">
        <v>45749</v>
      </c>
      <c r="B58" t="inlineStr">
        <is>
          <t>R05_Jawa Tengah DIY</t>
        </is>
      </c>
      <c r="C58" t="inlineStr">
        <is>
          <t>NOP YOGYAKARTA</t>
        </is>
      </c>
      <c r="D58" s="38" t="n">
        <v>2.99</v>
      </c>
      <c r="E58" s="38" t="n">
        <v>0</v>
      </c>
      <c r="F58" s="36" t="n">
        <v>1.716</v>
      </c>
      <c r="G58" s="36" t="n">
        <v>1.8</v>
      </c>
      <c r="H58" s="36" t="n">
        <v>6</v>
      </c>
      <c r="I58" s="37" t="n">
        <v>0.4615384615384616</v>
      </c>
      <c r="J58" s="36" t="n">
        <v>1</v>
      </c>
      <c r="K58" s="37" t="n">
        <v>1</v>
      </c>
      <c r="L58" s="36" t="n">
        <v>5</v>
      </c>
      <c r="M58" s="37" t="n">
        <v>0.4166666666666667</v>
      </c>
      <c r="N58" s="36" t="n">
        <v>1</v>
      </c>
      <c r="O58" s="37" t="n">
        <v>1</v>
      </c>
      <c r="P58" s="36" t="n">
        <v>1</v>
      </c>
      <c r="Q58" s="37" t="n">
        <v>1</v>
      </c>
      <c r="R58" s="36" t="n">
        <v>13</v>
      </c>
      <c r="S58" s="37" t="n">
        <v>1</v>
      </c>
      <c r="T58" s="36" t="n">
        <v>3</v>
      </c>
      <c r="U58" s="37" t="n">
        <v>0.2307692307692308</v>
      </c>
      <c r="V58" s="38" t="n">
        <v>0</v>
      </c>
      <c r="W58" s="38" t="n">
        <v>1.905</v>
      </c>
      <c r="X58" s="38" t="n">
        <v>12.552</v>
      </c>
      <c r="Y58" s="38" t="n">
        <v>32.02</v>
      </c>
      <c r="Z58" s="38" t="n">
        <v>0</v>
      </c>
      <c r="AA58" s="36" t="n">
        <v>37</v>
      </c>
      <c r="AB58" s="37" t="n">
        <v>0.925</v>
      </c>
      <c r="AC58" s="36" t="n">
        <v>4</v>
      </c>
      <c r="AD58" s="37" t="n">
        <v>0.6666666666666666</v>
      </c>
      <c r="AE58" s="36" t="n">
        <v>33</v>
      </c>
      <c r="AF58" s="37" t="n">
        <v>0.9705882352941176</v>
      </c>
      <c r="AG58" s="36" t="n">
        <v>3</v>
      </c>
      <c r="AH58" s="37" t="n">
        <v>0.75</v>
      </c>
    </row>
    <row r="59">
      <c r="A59" s="53" t="n">
        <v>45749</v>
      </c>
      <c r="B59" t="inlineStr">
        <is>
          <t>R06_Jawa Timur</t>
        </is>
      </c>
      <c r="C59" t="inlineStr">
        <is>
          <t>NOP JEMBER</t>
        </is>
      </c>
      <c r="D59" s="38" t="n">
        <v>1.78</v>
      </c>
      <c r="E59" s="38" t="n">
        <v>1.77</v>
      </c>
      <c r="F59" s="36" t="n">
        <v>1.5</v>
      </c>
      <c r="G59" s="36" t="n">
        <v>1.736</v>
      </c>
      <c r="H59" s="36" t="n">
        <v>8</v>
      </c>
      <c r="I59" s="37" t="n">
        <v>0.7272727272727273</v>
      </c>
      <c r="J59" s="36" t="n">
        <v>2</v>
      </c>
      <c r="K59" s="37" t="n">
        <v>1</v>
      </c>
      <c r="L59" s="36" t="n">
        <v>6</v>
      </c>
      <c r="M59" s="37" t="n">
        <v>0.6666666666666666</v>
      </c>
      <c r="N59" s="36" t="n">
        <v>0</v>
      </c>
      <c r="O59" s="37" t="n">
        <v>0</v>
      </c>
      <c r="P59" s="36" t="n">
        <v>0</v>
      </c>
      <c r="Q59" s="37" t="n">
        <v>0</v>
      </c>
      <c r="R59" s="36" t="n">
        <v>11</v>
      </c>
      <c r="S59" s="37" t="n">
        <v>1</v>
      </c>
      <c r="T59" s="36" t="n">
        <v>4</v>
      </c>
      <c r="U59" s="37" t="n">
        <v>0.3636363636363636</v>
      </c>
      <c r="V59" s="38" t="n">
        <v>0</v>
      </c>
      <c r="W59" s="38" t="n">
        <v>2.444</v>
      </c>
      <c r="X59" s="38" t="n">
        <v>2.56</v>
      </c>
      <c r="Y59" s="38" t="n">
        <v>0</v>
      </c>
      <c r="Z59" s="38" t="n">
        <v>0</v>
      </c>
      <c r="AA59" s="36" t="n">
        <v>20</v>
      </c>
      <c r="AB59" s="37" t="n">
        <v>0.7692307692307693</v>
      </c>
      <c r="AC59" s="36" t="n">
        <v>5</v>
      </c>
      <c r="AD59" s="37" t="n">
        <v>1</v>
      </c>
      <c r="AE59" s="36" t="n">
        <v>15</v>
      </c>
      <c r="AF59" s="37" t="n">
        <v>0.7142857142857143</v>
      </c>
      <c r="AG59" s="36" t="n">
        <v>5</v>
      </c>
      <c r="AH59" s="37" t="n">
        <v>1</v>
      </c>
    </row>
    <row r="60">
      <c r="A60" s="53" t="n">
        <v>45749</v>
      </c>
      <c r="B60" t="inlineStr">
        <is>
          <t>R06_Jawa Timur</t>
        </is>
      </c>
      <c r="C60" t="inlineStr">
        <is>
          <t>NOP KEDIRI</t>
        </is>
      </c>
      <c r="D60" s="38" t="n">
        <v>0</v>
      </c>
      <c r="E60" s="38" t="n">
        <v>0</v>
      </c>
      <c r="F60" s="36" t="n">
        <v>0.5609999999999999</v>
      </c>
      <c r="G60" s="36" t="n">
        <v>0.9560000000000001</v>
      </c>
      <c r="H60" s="36" t="n">
        <v>10</v>
      </c>
      <c r="I60" s="37" t="n">
        <v>0.7692307692307693</v>
      </c>
      <c r="J60" s="36" t="n">
        <v>0</v>
      </c>
      <c r="K60" s="37" t="n">
        <v>0</v>
      </c>
      <c r="L60" s="36" t="n">
        <v>10</v>
      </c>
      <c r="M60" s="37" t="n">
        <v>0.7692307692307693</v>
      </c>
      <c r="N60" s="36" t="n">
        <v>0</v>
      </c>
      <c r="O60" s="37" t="n">
        <v>0</v>
      </c>
      <c r="P60" s="36" t="n">
        <v>0</v>
      </c>
      <c r="Q60" s="37" t="n">
        <v>0</v>
      </c>
      <c r="R60" s="36" t="n">
        <v>13</v>
      </c>
      <c r="S60" s="37" t="n">
        <v>1</v>
      </c>
      <c r="T60" s="36" t="n">
        <v>3</v>
      </c>
      <c r="U60" s="37" t="n">
        <v>0.2307692307692308</v>
      </c>
      <c r="V60" s="38" t="n">
        <v>0</v>
      </c>
      <c r="W60" s="38" t="n">
        <v>0</v>
      </c>
      <c r="X60" s="38" t="n">
        <v>12.56</v>
      </c>
      <c r="Y60" s="38" t="n">
        <v>13.8</v>
      </c>
      <c r="Z60" s="38" t="n">
        <v>0</v>
      </c>
      <c r="AA60" s="36" t="n">
        <v>4</v>
      </c>
      <c r="AB60" s="37" t="n">
        <v>0.6666666666666666</v>
      </c>
      <c r="AC60" s="36" t="n">
        <v>0</v>
      </c>
      <c r="AD60" s="37" t="n">
        <v>0</v>
      </c>
      <c r="AE60" s="36" t="n">
        <v>4</v>
      </c>
      <c r="AF60" s="37" t="n">
        <v>0.6666666666666666</v>
      </c>
      <c r="AG60" s="36" t="n">
        <v>0</v>
      </c>
      <c r="AH60" s="37" t="n">
        <v>0</v>
      </c>
    </row>
    <row r="61">
      <c r="A61" s="53" t="n">
        <v>45749</v>
      </c>
      <c r="B61" t="inlineStr">
        <is>
          <t>R06_Jawa Timur</t>
        </is>
      </c>
      <c r="C61" t="inlineStr">
        <is>
          <t>NOP LAMONGAN</t>
        </is>
      </c>
      <c r="D61" s="38" t="n">
        <v>0</v>
      </c>
      <c r="E61" s="38" t="n">
        <v>0</v>
      </c>
      <c r="F61" s="36" t="n">
        <v>0.607</v>
      </c>
      <c r="G61" s="36" t="n">
        <v>2.121</v>
      </c>
      <c r="H61" s="36" t="n">
        <v>4</v>
      </c>
      <c r="I61" s="37" t="n">
        <v>1</v>
      </c>
      <c r="J61" s="36" t="n">
        <v>0</v>
      </c>
      <c r="K61" s="37" t="n">
        <v>0</v>
      </c>
      <c r="L61" s="36" t="n">
        <v>4</v>
      </c>
      <c r="M61" s="37" t="n">
        <v>1</v>
      </c>
      <c r="N61" s="36" t="n">
        <v>0</v>
      </c>
      <c r="O61" s="37" t="n">
        <v>0</v>
      </c>
      <c r="P61" s="36" t="n">
        <v>0</v>
      </c>
      <c r="Q61" s="37" t="n">
        <v>0</v>
      </c>
      <c r="R61" s="36" t="n">
        <v>4</v>
      </c>
      <c r="S61" s="37" t="n">
        <v>1</v>
      </c>
      <c r="T61" s="36" t="n">
        <v>3</v>
      </c>
      <c r="U61" s="37" t="n">
        <v>0.75</v>
      </c>
      <c r="V61" s="38" t="n">
        <v>0</v>
      </c>
      <c r="W61" s="38" t="n">
        <v>1.704</v>
      </c>
      <c r="X61" s="38" t="n">
        <v>1.97</v>
      </c>
      <c r="Y61" s="38" t="n">
        <v>7.47</v>
      </c>
      <c r="Z61" s="38" t="n">
        <v>0</v>
      </c>
      <c r="AA61" s="36" t="n">
        <v>4</v>
      </c>
      <c r="AB61" s="37" t="n">
        <v>0.8</v>
      </c>
      <c r="AC61" s="36" t="n">
        <v>1</v>
      </c>
      <c r="AD61" s="37" t="n">
        <v>0.5</v>
      </c>
      <c r="AE61" s="36" t="n">
        <v>3</v>
      </c>
      <c r="AF61" s="37" t="n">
        <v>1</v>
      </c>
      <c r="AG61" s="36" t="n">
        <v>1</v>
      </c>
      <c r="AH61" s="37" t="n">
        <v>1</v>
      </c>
    </row>
    <row r="62">
      <c r="A62" s="53" t="n">
        <v>45749</v>
      </c>
      <c r="B62" t="inlineStr">
        <is>
          <t>R06_Jawa Timur</t>
        </is>
      </c>
      <c r="C62" t="inlineStr">
        <is>
          <t>NOP MADIUN</t>
        </is>
      </c>
      <c r="D62" s="38" t="n">
        <v>0</v>
      </c>
      <c r="E62" s="38" t="n">
        <v>0</v>
      </c>
      <c r="F62" s="36" t="n">
        <v>2.721</v>
      </c>
      <c r="G62" s="36" t="n">
        <v>0.8500000000000001</v>
      </c>
      <c r="H62" s="36" t="n">
        <v>7</v>
      </c>
      <c r="I62" s="37" t="n">
        <v>0.7777777777777778</v>
      </c>
      <c r="J62" s="36" t="n">
        <v>0</v>
      </c>
      <c r="K62" s="37" t="n">
        <v>0</v>
      </c>
      <c r="L62" s="36" t="n">
        <v>7</v>
      </c>
      <c r="M62" s="37" t="n">
        <v>0.7777777777777778</v>
      </c>
      <c r="N62" s="36" t="n">
        <v>0</v>
      </c>
      <c r="O62" s="37" t="n">
        <v>0</v>
      </c>
      <c r="P62" s="36" t="n">
        <v>0</v>
      </c>
      <c r="Q62" s="37" t="n">
        <v>0</v>
      </c>
      <c r="R62" s="36" t="n">
        <v>9</v>
      </c>
      <c r="S62" s="37" t="n">
        <v>1</v>
      </c>
      <c r="T62" s="36" t="n">
        <v>3</v>
      </c>
      <c r="U62" s="37" t="n">
        <v>0.3333333333333333</v>
      </c>
      <c r="V62" s="38" t="n">
        <v>0</v>
      </c>
      <c r="W62" s="38" t="n">
        <v>2.118</v>
      </c>
      <c r="X62" s="38" t="n">
        <v>19.9</v>
      </c>
      <c r="Y62" s="38" t="n">
        <v>7.973</v>
      </c>
      <c r="Z62" s="38" t="n">
        <v>0</v>
      </c>
      <c r="AA62" s="36" t="n">
        <v>8</v>
      </c>
      <c r="AB62" s="37" t="n">
        <v>0.5333333333333333</v>
      </c>
      <c r="AC62" s="36" t="n">
        <v>3</v>
      </c>
      <c r="AD62" s="37" t="n">
        <v>0.4285714285714285</v>
      </c>
      <c r="AE62" s="36" t="n">
        <v>5</v>
      </c>
      <c r="AF62" s="37" t="n">
        <v>0.625</v>
      </c>
      <c r="AG62" s="36" t="n">
        <v>3</v>
      </c>
      <c r="AH62" s="37" t="n">
        <v>1</v>
      </c>
    </row>
    <row r="63">
      <c r="A63" s="53" t="n">
        <v>45749</v>
      </c>
      <c r="B63" t="inlineStr">
        <is>
          <t>R06_Jawa Timur</t>
        </is>
      </c>
      <c r="C63" t="inlineStr">
        <is>
          <t>NOP MALANG</t>
        </is>
      </c>
      <c r="D63" s="38" t="n">
        <v>0</v>
      </c>
      <c r="E63" s="38" t="n">
        <v>0</v>
      </c>
      <c r="F63" s="36" t="n">
        <v>1.884</v>
      </c>
      <c r="G63" s="36" t="n">
        <v>2.768</v>
      </c>
      <c r="H63" s="36" t="n">
        <v>32</v>
      </c>
      <c r="I63" s="37" t="n">
        <v>0.8421052631578947</v>
      </c>
      <c r="J63" s="36" t="n">
        <v>0</v>
      </c>
      <c r="K63" s="37" t="n">
        <v>0</v>
      </c>
      <c r="L63" s="36" t="n">
        <v>32</v>
      </c>
      <c r="M63" s="37" t="n">
        <v>0.8421052631578947</v>
      </c>
      <c r="N63" s="36" t="n">
        <v>0</v>
      </c>
      <c r="O63" s="37" t="n">
        <v>0</v>
      </c>
      <c r="P63" s="36" t="n">
        <v>0</v>
      </c>
      <c r="Q63" s="37" t="n">
        <v>0</v>
      </c>
      <c r="R63" s="36" t="n">
        <v>38</v>
      </c>
      <c r="S63" s="37" t="n">
        <v>1</v>
      </c>
      <c r="T63" s="36" t="n">
        <v>26</v>
      </c>
      <c r="U63" s="37" t="n">
        <v>0.6842105263157895</v>
      </c>
      <c r="V63" s="38" t="n">
        <v>0.02</v>
      </c>
      <c r="W63" s="38" t="n">
        <v>3.087</v>
      </c>
      <c r="X63" s="38" t="n">
        <v>2.405</v>
      </c>
      <c r="Y63" s="38" t="n">
        <v>61.179</v>
      </c>
      <c r="Z63" s="38" t="n">
        <v>0</v>
      </c>
      <c r="AA63" s="36" t="n">
        <v>9</v>
      </c>
      <c r="AB63" s="37" t="n">
        <v>0.8181818181818182</v>
      </c>
      <c r="AC63" s="36" t="n">
        <v>3</v>
      </c>
      <c r="AD63" s="37" t="n">
        <v>0.6</v>
      </c>
      <c r="AE63" s="36" t="n">
        <v>6</v>
      </c>
      <c r="AF63" s="37" t="n">
        <v>1</v>
      </c>
      <c r="AG63" s="36" t="n">
        <v>2</v>
      </c>
      <c r="AH63" s="37" t="n">
        <v>0.6666666666666666</v>
      </c>
    </row>
    <row r="64">
      <c r="A64" s="53" t="n">
        <v>45749</v>
      </c>
      <c r="B64" t="inlineStr">
        <is>
          <t>R06_Jawa Timur</t>
        </is>
      </c>
      <c r="C64" t="inlineStr">
        <is>
          <t>NOP SIDOARJO</t>
        </is>
      </c>
      <c r="D64" s="38" t="n">
        <v>0.83</v>
      </c>
      <c r="E64" s="38" t="n">
        <v>0</v>
      </c>
      <c r="F64" s="36" t="n">
        <v>0</v>
      </c>
      <c r="G64" s="36" t="n">
        <v>2.658</v>
      </c>
      <c r="H64" s="36" t="n">
        <v>3</v>
      </c>
      <c r="I64" s="37" t="n">
        <v>0.75</v>
      </c>
      <c r="J64" s="36" t="n">
        <v>1</v>
      </c>
      <c r="K64" s="37" t="n">
        <v>1</v>
      </c>
      <c r="L64" s="36" t="n">
        <v>2</v>
      </c>
      <c r="M64" s="37" t="n">
        <v>0.6666666666666666</v>
      </c>
      <c r="N64" s="36" t="n">
        <v>0</v>
      </c>
      <c r="O64" s="37" t="n">
        <v>0</v>
      </c>
      <c r="P64" s="36" t="n">
        <v>0</v>
      </c>
      <c r="Q64" s="37" t="n">
        <v>0</v>
      </c>
      <c r="R64" s="36" t="n">
        <v>4</v>
      </c>
      <c r="S64" s="37" t="n">
        <v>1</v>
      </c>
      <c r="T64" s="36" t="n">
        <v>2</v>
      </c>
      <c r="U64" s="37" t="n">
        <v>0.5</v>
      </c>
      <c r="V64" s="38" t="n">
        <v>0</v>
      </c>
      <c r="W64" s="38" t="n">
        <v>1.48</v>
      </c>
      <c r="X64" s="38" t="n">
        <v>5.606000000000003</v>
      </c>
      <c r="Y64" s="38" t="n">
        <v>12.213</v>
      </c>
      <c r="Z64" s="38" t="n">
        <v>0</v>
      </c>
      <c r="AA64" s="36" t="n">
        <v>7</v>
      </c>
      <c r="AB64" s="37" t="n">
        <v>0.7</v>
      </c>
      <c r="AC64" s="36" t="n">
        <v>0</v>
      </c>
      <c r="AD64" s="37" t="n">
        <v>0</v>
      </c>
      <c r="AE64" s="36" t="n">
        <v>7</v>
      </c>
      <c r="AF64" s="37" t="n">
        <v>0.7777777777777778</v>
      </c>
      <c r="AG64" s="36" t="n">
        <v>0</v>
      </c>
      <c r="AH64" s="37" t="n">
        <v>0</v>
      </c>
    </row>
    <row r="65">
      <c r="A65" s="53" t="n">
        <v>45749</v>
      </c>
      <c r="B65" t="inlineStr">
        <is>
          <t>R06_Jawa Timur</t>
        </is>
      </c>
      <c r="C65" t="inlineStr">
        <is>
          <t>NOP SURABAYA</t>
        </is>
      </c>
      <c r="D65" s="38" t="n">
        <v>0</v>
      </c>
      <c r="E65" s="38" t="n">
        <v>0</v>
      </c>
      <c r="F65" s="36" t="n">
        <v>1.91</v>
      </c>
      <c r="G65" s="36" t="n">
        <v>2.451</v>
      </c>
      <c r="H65" s="36" t="n">
        <v>5</v>
      </c>
      <c r="I65" s="37" t="n">
        <v>0.7142857142857143</v>
      </c>
      <c r="J65" s="36" t="n">
        <v>0</v>
      </c>
      <c r="K65" s="37" t="n">
        <v>0</v>
      </c>
      <c r="L65" s="36" t="n">
        <v>5</v>
      </c>
      <c r="M65" s="37" t="n">
        <v>0.7142857142857143</v>
      </c>
      <c r="N65" s="36" t="n">
        <v>0</v>
      </c>
      <c r="O65" s="37" t="n">
        <v>0</v>
      </c>
      <c r="P65" s="36" t="n">
        <v>0</v>
      </c>
      <c r="Q65" s="37" t="n">
        <v>0</v>
      </c>
      <c r="R65" s="36" t="n">
        <v>7</v>
      </c>
      <c r="S65" s="37" t="n">
        <v>1</v>
      </c>
      <c r="T65" s="36" t="n">
        <v>3</v>
      </c>
      <c r="U65" s="37" t="n">
        <v>0.4285714285714285</v>
      </c>
      <c r="V65" s="38" t="n">
        <v>0</v>
      </c>
      <c r="W65" s="38" t="n">
        <v>0.498</v>
      </c>
      <c r="X65" s="38" t="n">
        <v>6.54</v>
      </c>
      <c r="Y65" s="38" t="n">
        <v>17.99</v>
      </c>
      <c r="Z65" s="38" t="n">
        <v>0</v>
      </c>
      <c r="AA65" s="36" t="n">
        <v>12</v>
      </c>
      <c r="AB65" s="37" t="n">
        <v>0.48</v>
      </c>
      <c r="AC65" s="36" t="n">
        <v>1</v>
      </c>
      <c r="AD65" s="37" t="n">
        <v>0.5</v>
      </c>
      <c r="AE65" s="36" t="n">
        <v>11</v>
      </c>
      <c r="AF65" s="37" t="n">
        <v>0.4782608695652174</v>
      </c>
      <c r="AG65" s="36" t="n">
        <v>0</v>
      </c>
      <c r="AH65" s="37" t="n">
        <v>0</v>
      </c>
    </row>
    <row r="66">
      <c r="A66" s="53" t="n">
        <v>45749</v>
      </c>
      <c r="B66" t="inlineStr">
        <is>
          <t>R07_Bali Nusra</t>
        </is>
      </c>
      <c r="C66" t="inlineStr">
        <is>
          <t>NOP DENPASAR</t>
        </is>
      </c>
      <c r="D66" s="38" t="n">
        <v>2.39</v>
      </c>
      <c r="E66" s="38" t="n">
        <v>0</v>
      </c>
      <c r="F66" s="36" t="n">
        <v>0</v>
      </c>
      <c r="G66" s="36" t="n">
        <v>3.33</v>
      </c>
      <c r="H66" s="36" t="n">
        <v>8</v>
      </c>
      <c r="I66" s="37" t="n">
        <v>0.8888888888888888</v>
      </c>
      <c r="J66" s="36" t="n">
        <v>3</v>
      </c>
      <c r="K66" s="37" t="n">
        <v>1</v>
      </c>
      <c r="L66" s="36" t="n">
        <v>5</v>
      </c>
      <c r="M66" s="37" t="n">
        <v>0.8333333333333334</v>
      </c>
      <c r="N66" s="36" t="n">
        <v>3</v>
      </c>
      <c r="O66" s="37" t="n">
        <v>1</v>
      </c>
      <c r="P66" s="36" t="n">
        <v>3</v>
      </c>
      <c r="Q66" s="37" t="n">
        <v>1</v>
      </c>
      <c r="R66" s="36" t="n">
        <v>9</v>
      </c>
      <c r="S66" s="37" t="n">
        <v>1</v>
      </c>
      <c r="T66" s="36" t="n">
        <v>9</v>
      </c>
      <c r="U66" s="37" t="n">
        <v>1</v>
      </c>
      <c r="V66" s="38" t="n">
        <v>0</v>
      </c>
      <c r="W66" s="38" t="n">
        <v>417.076</v>
      </c>
      <c r="X66" s="38" t="n">
        <v>19.429</v>
      </c>
      <c r="Y66" s="38" t="n">
        <v>14.404</v>
      </c>
      <c r="Z66" s="38" t="n">
        <v>0</v>
      </c>
      <c r="AA66" s="36" t="n">
        <v>15</v>
      </c>
      <c r="AB66" s="37" t="n">
        <v>0.8823529411764706</v>
      </c>
      <c r="AC66" s="36" t="n">
        <v>1</v>
      </c>
      <c r="AD66" s="37" t="n">
        <v>0.5</v>
      </c>
      <c r="AE66" s="36" t="n">
        <v>14</v>
      </c>
      <c r="AF66" s="37" t="n">
        <v>0.9333333333333333</v>
      </c>
      <c r="AG66" s="36" t="n">
        <v>1</v>
      </c>
      <c r="AH66" s="37" t="n">
        <v>1</v>
      </c>
    </row>
    <row r="67">
      <c r="A67" s="53" t="n">
        <v>45749</v>
      </c>
      <c r="B67" t="inlineStr">
        <is>
          <t>R07_Bali Nusra</t>
        </is>
      </c>
      <c r="C67" t="inlineStr">
        <is>
          <t>NOP FLORES</t>
        </is>
      </c>
      <c r="D67" s="38" t="n">
        <v>0.72</v>
      </c>
      <c r="E67" s="38" t="n">
        <v>3.208000000000001</v>
      </c>
      <c r="F67" s="36" t="n">
        <v>13</v>
      </c>
      <c r="G67" s="36" t="n">
        <v>7.430000000000001</v>
      </c>
      <c r="H67" s="36" t="n">
        <v>25</v>
      </c>
      <c r="I67" s="37" t="n">
        <v>0.3333333333333333</v>
      </c>
      <c r="J67" s="36" t="n">
        <v>5</v>
      </c>
      <c r="K67" s="37" t="n">
        <v>0.3333333333333333</v>
      </c>
      <c r="L67" s="36" t="n">
        <v>20</v>
      </c>
      <c r="M67" s="37" t="n">
        <v>0.3333333333333333</v>
      </c>
      <c r="N67" s="36" t="n">
        <v>2</v>
      </c>
      <c r="O67" s="37" t="n">
        <v>0.4</v>
      </c>
      <c r="P67" s="36" t="n">
        <v>2</v>
      </c>
      <c r="Q67" s="37" t="n">
        <v>0.4</v>
      </c>
      <c r="R67" s="36" t="n">
        <v>74</v>
      </c>
      <c r="S67" s="37" t="n">
        <v>0.9866666666666667</v>
      </c>
      <c r="T67" s="36" t="n">
        <v>14</v>
      </c>
      <c r="U67" s="37" t="n">
        <v>0.1866666666666667</v>
      </c>
      <c r="V67" s="38" t="n">
        <v>0</v>
      </c>
      <c r="W67" s="38" t="n">
        <v>17.02</v>
      </c>
      <c r="X67" s="38" t="n">
        <v>5.605</v>
      </c>
      <c r="Y67" s="38" t="n">
        <v>19.224</v>
      </c>
      <c r="Z67" s="38" t="n">
        <v>0</v>
      </c>
      <c r="AA67" s="36" t="n">
        <v>42</v>
      </c>
      <c r="AB67" s="37" t="n">
        <v>0.3818181818181818</v>
      </c>
      <c r="AC67" s="36" t="n">
        <v>28</v>
      </c>
      <c r="AD67" s="37" t="n">
        <v>0.3943661971830986</v>
      </c>
      <c r="AE67" s="36" t="n">
        <v>14</v>
      </c>
      <c r="AF67" s="37" t="n">
        <v>0.358974358974359</v>
      </c>
      <c r="AG67" s="36" t="n">
        <v>18</v>
      </c>
      <c r="AH67" s="37" t="n">
        <v>0.6428571428571429</v>
      </c>
    </row>
    <row r="68">
      <c r="A68" s="53" t="n">
        <v>45749</v>
      </c>
      <c r="B68" t="inlineStr">
        <is>
          <t>R07_Bali Nusra</t>
        </is>
      </c>
      <c r="C68" t="inlineStr">
        <is>
          <t>NOP KUPANG</t>
        </is>
      </c>
      <c r="D68" s="38" t="n">
        <v>0</v>
      </c>
      <c r="E68" s="38" t="n">
        <v>1.346</v>
      </c>
      <c r="F68" s="36" t="n">
        <v>5.148999999999996</v>
      </c>
      <c r="G68" s="36" t="n">
        <v>7.758999999999999</v>
      </c>
      <c r="H68" s="36" t="n">
        <v>16</v>
      </c>
      <c r="I68" s="37" t="n">
        <v>0.6956521739130435</v>
      </c>
      <c r="J68" s="36" t="n">
        <v>2</v>
      </c>
      <c r="K68" s="37" t="n">
        <v>0.4</v>
      </c>
      <c r="L68" s="36" t="n">
        <v>14</v>
      </c>
      <c r="M68" s="37" t="n">
        <v>0.7777777777777778</v>
      </c>
      <c r="N68" s="36" t="n">
        <v>1</v>
      </c>
      <c r="O68" s="37" t="n">
        <v>0.5</v>
      </c>
      <c r="P68" s="36" t="n">
        <v>1</v>
      </c>
      <c r="Q68" s="37" t="n">
        <v>0.5</v>
      </c>
      <c r="R68" s="36" t="n">
        <v>23</v>
      </c>
      <c r="S68" s="37" t="n">
        <v>1</v>
      </c>
      <c r="T68" s="36" t="n">
        <v>4</v>
      </c>
      <c r="U68" s="37" t="n">
        <v>0.1739130434782609</v>
      </c>
      <c r="V68" s="38" t="n">
        <v>0</v>
      </c>
      <c r="W68" s="38" t="n">
        <v>8.006000000000002</v>
      </c>
      <c r="X68" s="38" t="n">
        <v>69.05400000000004</v>
      </c>
      <c r="Y68" s="38" t="n">
        <v>85.55000000000003</v>
      </c>
      <c r="Z68" s="38" t="n">
        <v>0</v>
      </c>
      <c r="AA68" s="36" t="n">
        <v>27</v>
      </c>
      <c r="AB68" s="37" t="n">
        <v>0.7714285714285715</v>
      </c>
      <c r="AC68" s="36" t="n">
        <v>18</v>
      </c>
      <c r="AD68" s="37" t="n">
        <v>0.8181818181818182</v>
      </c>
      <c r="AE68" s="36" t="n">
        <v>9</v>
      </c>
      <c r="AF68" s="37" t="n">
        <v>0.6923076923076923</v>
      </c>
      <c r="AG68" s="36" t="n">
        <v>9</v>
      </c>
      <c r="AH68" s="37" t="n">
        <v>0.5</v>
      </c>
    </row>
    <row r="69">
      <c r="A69" s="53" t="n">
        <v>45749</v>
      </c>
      <c r="B69" t="inlineStr">
        <is>
          <t>R07_Bali Nusra</t>
        </is>
      </c>
      <c r="C69" t="inlineStr">
        <is>
          <t>NOP MATARAM</t>
        </is>
      </c>
      <c r="D69" s="38" t="n">
        <v>0</v>
      </c>
      <c r="E69" s="38" t="n">
        <v>6.78</v>
      </c>
      <c r="F69" s="36" t="n">
        <v>1.158</v>
      </c>
      <c r="G69" s="36" t="n">
        <v>1.16</v>
      </c>
      <c r="H69" s="36" t="n">
        <v>1</v>
      </c>
      <c r="I69" s="37" t="n">
        <v>0.25</v>
      </c>
      <c r="J69" s="36" t="n">
        <v>1</v>
      </c>
      <c r="K69" s="37" t="n">
        <v>1</v>
      </c>
      <c r="L69" s="36" t="n">
        <v>0</v>
      </c>
      <c r="M69" s="37" t="n">
        <v>0</v>
      </c>
      <c r="N69" s="36" t="n">
        <v>0</v>
      </c>
      <c r="O69" s="37" t="n">
        <v>0</v>
      </c>
      <c r="P69" s="36" t="n">
        <v>0</v>
      </c>
      <c r="Q69" s="37" t="n">
        <v>0</v>
      </c>
      <c r="R69" s="36" t="n">
        <v>4</v>
      </c>
      <c r="S69" s="37" t="n">
        <v>1</v>
      </c>
      <c r="T69" s="36" t="n">
        <v>1</v>
      </c>
      <c r="U69" s="37" t="n">
        <v>0.25</v>
      </c>
      <c r="V69" s="38" t="n">
        <v>0</v>
      </c>
      <c r="W69" s="38" t="n">
        <v>6.574000000000003</v>
      </c>
      <c r="X69" s="38" t="n">
        <v>13.46799999999999</v>
      </c>
      <c r="Y69" s="38" t="n">
        <v>6.63</v>
      </c>
      <c r="Z69" s="38" t="n">
        <v>0</v>
      </c>
      <c r="AA69" s="36" t="n">
        <v>10</v>
      </c>
      <c r="AB69" s="37" t="n">
        <v>0.2439024390243902</v>
      </c>
      <c r="AC69" s="36" t="n">
        <v>6</v>
      </c>
      <c r="AD69" s="37" t="n">
        <v>0.24</v>
      </c>
      <c r="AE69" s="36" t="n">
        <v>4</v>
      </c>
      <c r="AF69" s="37" t="n">
        <v>0.25</v>
      </c>
      <c r="AG69" s="36" t="n">
        <v>6</v>
      </c>
      <c r="AH69" s="37" t="n">
        <v>1</v>
      </c>
    </row>
    <row r="70">
      <c r="A70" s="53" t="n">
        <v>45750</v>
      </c>
      <c r="B70" t="inlineStr">
        <is>
          <t>R01_Sumbagut</t>
        </is>
      </c>
      <c r="C70" t="inlineStr">
        <is>
          <t>NOP ACEH</t>
        </is>
      </c>
      <c r="D70" s="38" t="n">
        <v>1.7</v>
      </c>
      <c r="E70" s="38" t="n">
        <v>3.328000000000002</v>
      </c>
      <c r="F70" s="36" t="n">
        <v>10.032</v>
      </c>
      <c r="G70" s="36" t="n">
        <v>5.65199999999999</v>
      </c>
      <c r="H70" s="36" t="n">
        <v>102</v>
      </c>
      <c r="I70" s="37" t="n">
        <v>0.8225806451612904</v>
      </c>
      <c r="J70" s="36" t="n">
        <v>28</v>
      </c>
      <c r="K70" s="37" t="n">
        <v>0.875</v>
      </c>
      <c r="L70" s="36" t="n">
        <v>74</v>
      </c>
      <c r="M70" s="37" t="n">
        <v>0.8043478260869565</v>
      </c>
      <c r="N70" s="36" t="n">
        <v>15</v>
      </c>
      <c r="O70" s="37" t="n">
        <v>0.5357142857142857</v>
      </c>
      <c r="P70" s="36" t="n">
        <v>15</v>
      </c>
      <c r="Q70" s="37" t="n">
        <v>0.5357142857142857</v>
      </c>
      <c r="R70" s="36" t="n">
        <v>124</v>
      </c>
      <c r="S70" s="37" t="n">
        <v>1</v>
      </c>
      <c r="T70" s="36" t="n">
        <v>51</v>
      </c>
      <c r="U70" s="37" t="n">
        <v>0.4112903225806452</v>
      </c>
      <c r="V70" s="38" t="n">
        <v>0</v>
      </c>
      <c r="W70" s="38" t="n">
        <v>3.903999999999999</v>
      </c>
      <c r="X70" s="38" t="n">
        <v>67.09000000000003</v>
      </c>
      <c r="Y70" s="38" t="n">
        <v>95.32900000000005</v>
      </c>
      <c r="Z70" s="38" t="n">
        <v>0</v>
      </c>
      <c r="AA70" s="36" t="n">
        <v>314</v>
      </c>
      <c r="AB70" s="37" t="n">
        <v>0.8845070422535212</v>
      </c>
      <c r="AC70" s="36" t="n">
        <v>31</v>
      </c>
      <c r="AD70" s="37" t="n">
        <v>0.8378378378378378</v>
      </c>
      <c r="AE70" s="36" t="n">
        <v>283</v>
      </c>
      <c r="AF70" s="37" t="n">
        <v>0.889937106918239</v>
      </c>
      <c r="AG70" s="36" t="n">
        <v>12</v>
      </c>
      <c r="AH70" s="37" t="n">
        <v>0.3870967741935484</v>
      </c>
    </row>
    <row r="71">
      <c r="A71" s="53" t="n">
        <v>45750</v>
      </c>
      <c r="B71" t="inlineStr">
        <is>
          <t>R01_Sumbagut</t>
        </is>
      </c>
      <c r="C71" t="inlineStr">
        <is>
          <t>NOP BINJAI</t>
        </is>
      </c>
      <c r="D71" s="38" t="n">
        <v>0</v>
      </c>
      <c r="E71" s="38" t="n">
        <v>7.250999999999999</v>
      </c>
      <c r="F71" s="36" t="n">
        <v>3.31</v>
      </c>
      <c r="G71" s="36" t="n">
        <v>2.344</v>
      </c>
      <c r="H71" s="36" t="n">
        <v>28</v>
      </c>
      <c r="I71" s="37" t="n">
        <v>0.5833333333333334</v>
      </c>
      <c r="J71" s="36" t="n">
        <v>7</v>
      </c>
      <c r="K71" s="37" t="n">
        <v>0.875</v>
      </c>
      <c r="L71" s="36" t="n">
        <v>21</v>
      </c>
      <c r="M71" s="37" t="n">
        <v>0.525</v>
      </c>
      <c r="N71" s="36" t="n">
        <v>3</v>
      </c>
      <c r="O71" s="37" t="n">
        <v>0.4285714285714285</v>
      </c>
      <c r="P71" s="36" t="n">
        <v>3</v>
      </c>
      <c r="Q71" s="37" t="n">
        <v>0.4285714285714285</v>
      </c>
      <c r="R71" s="36" t="n">
        <v>48</v>
      </c>
      <c r="S71" s="37" t="n">
        <v>1</v>
      </c>
      <c r="T71" s="36" t="n">
        <v>11</v>
      </c>
      <c r="U71" s="37" t="n">
        <v>0.2291666666666667</v>
      </c>
      <c r="V71" s="38" t="n">
        <v>0</v>
      </c>
      <c r="W71" s="38" t="n">
        <v>3.200000000000001</v>
      </c>
      <c r="X71" s="38" t="n">
        <v>21.71</v>
      </c>
      <c r="Y71" s="38" t="n">
        <v>20.80000000000001</v>
      </c>
      <c r="Z71" s="38" t="n">
        <v>0</v>
      </c>
      <c r="AA71" s="36" t="n">
        <v>70</v>
      </c>
      <c r="AB71" s="37" t="n">
        <v>0.7291666666666666</v>
      </c>
      <c r="AC71" s="36" t="n">
        <v>18</v>
      </c>
      <c r="AD71" s="37" t="n">
        <v>0.7826086956521739</v>
      </c>
      <c r="AE71" s="36" t="n">
        <v>52</v>
      </c>
      <c r="AF71" s="37" t="n">
        <v>0.7123287671232876</v>
      </c>
      <c r="AG71" s="36" t="n">
        <v>8</v>
      </c>
      <c r="AH71" s="37" t="n">
        <v>0.4444444444444444</v>
      </c>
    </row>
    <row r="72">
      <c r="A72" s="53" t="n">
        <v>45750</v>
      </c>
      <c r="B72" t="inlineStr">
        <is>
          <t>R01_Sumbagut</t>
        </is>
      </c>
      <c r="C72" t="inlineStr">
        <is>
          <t>NOP MEDAN</t>
        </is>
      </c>
      <c r="D72" s="38" t="n">
        <v>0</v>
      </c>
      <c r="E72" s="38" t="n">
        <v>4.24</v>
      </c>
      <c r="F72" s="36" t="n">
        <v>1.87</v>
      </c>
      <c r="G72" s="36" t="n">
        <v>2.965</v>
      </c>
      <c r="H72" s="36" t="n">
        <v>21</v>
      </c>
      <c r="I72" s="37" t="n">
        <v>0.4883720930232558</v>
      </c>
      <c r="J72" s="36" t="n">
        <v>6</v>
      </c>
      <c r="K72" s="37" t="n">
        <v>0.5454545454545454</v>
      </c>
      <c r="L72" s="36" t="n">
        <v>15</v>
      </c>
      <c r="M72" s="37" t="n">
        <v>0.46875</v>
      </c>
      <c r="N72" s="36" t="n">
        <v>5</v>
      </c>
      <c r="O72" s="37" t="n">
        <v>0.8333333333333334</v>
      </c>
      <c r="P72" s="36" t="n">
        <v>5</v>
      </c>
      <c r="Q72" s="37" t="n">
        <v>0.8333333333333334</v>
      </c>
      <c r="R72" s="36" t="n">
        <v>43</v>
      </c>
      <c r="S72" s="37" t="n">
        <v>1</v>
      </c>
      <c r="T72" s="36" t="n">
        <v>11</v>
      </c>
      <c r="U72" s="37" t="n">
        <v>0.2558139534883721</v>
      </c>
      <c r="V72" s="38" t="n">
        <v>0</v>
      </c>
      <c r="W72" s="38" t="n">
        <v>1.96</v>
      </c>
      <c r="X72" s="38" t="n">
        <v>25.37900000000002</v>
      </c>
      <c r="Y72" s="38" t="n">
        <v>44.16799999999997</v>
      </c>
      <c r="Z72" s="38" t="n">
        <v>0</v>
      </c>
      <c r="AA72" s="36" t="n">
        <v>13</v>
      </c>
      <c r="AB72" s="37" t="n">
        <v>0.2954545454545455</v>
      </c>
      <c r="AC72" s="36" t="n">
        <v>3</v>
      </c>
      <c r="AD72" s="37" t="n">
        <v>0.1428571428571428</v>
      </c>
      <c r="AE72" s="36" t="n">
        <v>10</v>
      </c>
      <c r="AF72" s="37" t="n">
        <v>0.4545454545454545</v>
      </c>
      <c r="AG72" s="36" t="n">
        <v>3</v>
      </c>
      <c r="AH72" s="37" t="n">
        <v>1</v>
      </c>
    </row>
    <row r="73">
      <c r="A73" s="53" t="n">
        <v>45750</v>
      </c>
      <c r="B73" t="inlineStr">
        <is>
          <t>R01_Sumbagut</t>
        </is>
      </c>
      <c r="C73" t="inlineStr">
        <is>
          <t>NOP PADANG SIDEMPUAN</t>
        </is>
      </c>
      <c r="D73" s="38" t="n">
        <v>0</v>
      </c>
      <c r="E73" s="38" t="n">
        <v>3.218000000000001</v>
      </c>
      <c r="F73" s="36" t="n">
        <v>1.914</v>
      </c>
      <c r="G73" s="36" t="n">
        <v>6.026000000000002</v>
      </c>
      <c r="H73" s="36" t="n">
        <v>18</v>
      </c>
      <c r="I73" s="37" t="n">
        <v>0.2278481012658228</v>
      </c>
      <c r="J73" s="36" t="n">
        <v>4</v>
      </c>
      <c r="K73" s="37" t="n">
        <v>0.4444444444444444</v>
      </c>
      <c r="L73" s="36" t="n">
        <v>14</v>
      </c>
      <c r="M73" s="37" t="n">
        <v>0.2</v>
      </c>
      <c r="N73" s="36" t="n">
        <v>1</v>
      </c>
      <c r="O73" s="37" t="n">
        <v>0.25</v>
      </c>
      <c r="P73" s="36" t="n">
        <v>1</v>
      </c>
      <c r="Q73" s="37" t="n">
        <v>0.25</v>
      </c>
      <c r="R73" s="36" t="n">
        <v>78</v>
      </c>
      <c r="S73" s="37" t="n">
        <v>0.9873417721518988</v>
      </c>
      <c r="T73" s="36" t="n">
        <v>7</v>
      </c>
      <c r="U73" s="37" t="n">
        <v>0.08860759493670886</v>
      </c>
      <c r="V73" s="38" t="n">
        <v>0.01</v>
      </c>
      <c r="W73" s="38" t="n">
        <v>2.16</v>
      </c>
      <c r="X73" s="38" t="n">
        <v>10.536</v>
      </c>
      <c r="Y73" s="38" t="n">
        <v>78.65000000000001</v>
      </c>
      <c r="Z73" s="38" t="n">
        <v>0</v>
      </c>
      <c r="AA73" s="36" t="n">
        <v>56</v>
      </c>
      <c r="AB73" s="37" t="n">
        <v>0.199288256227758</v>
      </c>
      <c r="AC73" s="36" t="n">
        <v>28</v>
      </c>
      <c r="AD73" s="37" t="n">
        <v>0.3733333333333334</v>
      </c>
      <c r="AE73" s="36" t="n">
        <v>28</v>
      </c>
      <c r="AF73" s="37" t="n">
        <v>0.1365853658536585</v>
      </c>
      <c r="AG73" s="36" t="n">
        <v>16</v>
      </c>
      <c r="AH73" s="37" t="n">
        <v>0.5714285714285714</v>
      </c>
    </row>
    <row r="74">
      <c r="A74" s="53" t="n">
        <v>45750</v>
      </c>
      <c r="B74" t="inlineStr">
        <is>
          <t>R01_Sumbagut</t>
        </is>
      </c>
      <c r="C74" t="inlineStr">
        <is>
          <t>NOP PEMATANG SIANTAR</t>
        </is>
      </c>
      <c r="D74" s="38" t="n">
        <v>3.89</v>
      </c>
      <c r="E74" s="38" t="n">
        <v>11.654</v>
      </c>
      <c r="F74" s="36" t="n">
        <v>5.61</v>
      </c>
      <c r="G74" s="36" t="n">
        <v>4</v>
      </c>
      <c r="H74" s="36" t="n">
        <v>46</v>
      </c>
      <c r="I74" s="37" t="n">
        <v>0.3770491803278688</v>
      </c>
      <c r="J74" s="36" t="n">
        <v>11</v>
      </c>
      <c r="K74" s="37" t="n">
        <v>0.3666666666666666</v>
      </c>
      <c r="L74" s="36" t="n">
        <v>35</v>
      </c>
      <c r="M74" s="37" t="n">
        <v>0.3804347826086957</v>
      </c>
      <c r="N74" s="36" t="n">
        <v>7</v>
      </c>
      <c r="O74" s="37" t="n">
        <v>0.6363636363636364</v>
      </c>
      <c r="P74" s="36" t="n">
        <v>7</v>
      </c>
      <c r="Q74" s="37" t="n">
        <v>0.6363636363636364</v>
      </c>
      <c r="R74" s="36" t="n">
        <v>122</v>
      </c>
      <c r="S74" s="37" t="n">
        <v>1</v>
      </c>
      <c r="T74" s="36" t="n">
        <v>24</v>
      </c>
      <c r="U74" s="37" t="n">
        <v>0.1967213114754098</v>
      </c>
      <c r="V74" s="38" t="n">
        <v>0</v>
      </c>
      <c r="W74" s="38" t="n">
        <v>2.944999999999999</v>
      </c>
      <c r="X74" s="38" t="n">
        <v>48.92700000000003</v>
      </c>
      <c r="Y74" s="38" t="n">
        <v>30.19</v>
      </c>
      <c r="Z74" s="38" t="n">
        <v>0</v>
      </c>
      <c r="AA74" s="36" t="n">
        <v>45</v>
      </c>
      <c r="AB74" s="37" t="n">
        <v>0.1056338028169014</v>
      </c>
      <c r="AC74" s="36" t="n">
        <v>20</v>
      </c>
      <c r="AD74" s="37" t="n">
        <v>0.3846153846153846</v>
      </c>
      <c r="AE74" s="36" t="n">
        <v>25</v>
      </c>
      <c r="AF74" s="37" t="n">
        <v>0.06702412868632708</v>
      </c>
      <c r="AG74" s="36" t="n">
        <v>18</v>
      </c>
      <c r="AH74" s="37" t="n">
        <v>0.9</v>
      </c>
    </row>
    <row r="75">
      <c r="A75" s="53" t="n">
        <v>45750</v>
      </c>
      <c r="B75" t="inlineStr">
        <is>
          <t>R01_Sumbagut</t>
        </is>
      </c>
      <c r="C75" t="inlineStr">
        <is>
          <t>NOP RANTAU PRAPAT</t>
        </is>
      </c>
      <c r="D75" s="38" t="n">
        <v>4.644000000000001</v>
      </c>
      <c r="E75" s="38" t="n">
        <v>7.74</v>
      </c>
      <c r="F75" s="36" t="n">
        <v>4.218000000000001</v>
      </c>
      <c r="G75" s="36" t="n">
        <v>8.579999999999998</v>
      </c>
      <c r="H75" s="36" t="n">
        <v>33</v>
      </c>
      <c r="I75" s="37" t="n">
        <v>0.1774193548387097</v>
      </c>
      <c r="J75" s="36" t="n">
        <v>8</v>
      </c>
      <c r="K75" s="37" t="n">
        <v>0.163265306122449</v>
      </c>
      <c r="L75" s="36" t="n">
        <v>25</v>
      </c>
      <c r="M75" s="37" t="n">
        <v>0.1824817518248175</v>
      </c>
      <c r="N75" s="36" t="n">
        <v>2</v>
      </c>
      <c r="O75" s="37" t="n">
        <v>0.25</v>
      </c>
      <c r="P75" s="36" t="n">
        <v>2</v>
      </c>
      <c r="Q75" s="37" t="n">
        <v>0.25</v>
      </c>
      <c r="R75" s="36" t="n">
        <v>183</v>
      </c>
      <c r="S75" s="37" t="n">
        <v>0.9838709677419355</v>
      </c>
      <c r="T75" s="36" t="n">
        <v>21</v>
      </c>
      <c r="U75" s="37" t="n">
        <v>0.1129032258064516</v>
      </c>
      <c r="V75" s="38" t="n">
        <v>0</v>
      </c>
      <c r="W75" s="38" t="n">
        <v>5.714000000000002</v>
      </c>
      <c r="X75" s="38" t="n">
        <v>22.30800000000003</v>
      </c>
      <c r="Y75" s="38" t="n">
        <v>21.7</v>
      </c>
      <c r="Z75" s="38" t="n">
        <v>0</v>
      </c>
      <c r="AA75" s="36" t="n">
        <v>24</v>
      </c>
      <c r="AB75" s="37" t="n">
        <v>0.05955334987593052</v>
      </c>
      <c r="AC75" s="36" t="n">
        <v>4</v>
      </c>
      <c r="AD75" s="37" t="n">
        <v>0.1052631578947368</v>
      </c>
      <c r="AE75" s="36" t="n">
        <v>18</v>
      </c>
      <c r="AF75" s="37" t="n">
        <v>0.04958677685950413</v>
      </c>
      <c r="AG75" s="36" t="n">
        <v>3</v>
      </c>
      <c r="AH75" s="37" t="n">
        <v>0.75</v>
      </c>
    </row>
    <row r="76">
      <c r="A76" s="53" t="n">
        <v>45750</v>
      </c>
      <c r="B76" t="inlineStr">
        <is>
          <t>R10_Sumbagteng</t>
        </is>
      </c>
      <c r="C76" t="inlineStr">
        <is>
          <t>NOP BATAM</t>
        </is>
      </c>
      <c r="D76" s="38" t="n">
        <v>0.552</v>
      </c>
      <c r="E76" s="38" t="n">
        <v>3.009999999999998</v>
      </c>
      <c r="F76" s="36" t="n">
        <v>5.58</v>
      </c>
      <c r="G76" s="36" t="n">
        <v>6.307999999999999</v>
      </c>
      <c r="H76" s="36" t="n">
        <v>32</v>
      </c>
      <c r="I76" s="37" t="n">
        <v>0.2461538461538462</v>
      </c>
      <c r="J76" s="36" t="n">
        <v>10</v>
      </c>
      <c r="K76" s="37" t="n">
        <v>0.4545454545454545</v>
      </c>
      <c r="L76" s="36" t="n">
        <v>22</v>
      </c>
      <c r="M76" s="37" t="n">
        <v>0.2037037037037037</v>
      </c>
      <c r="N76" s="36" t="n">
        <v>5</v>
      </c>
      <c r="O76" s="37" t="n">
        <v>0.5</v>
      </c>
      <c r="P76" s="36" t="n">
        <v>5</v>
      </c>
      <c r="Q76" s="37" t="n">
        <v>0.5</v>
      </c>
      <c r="R76" s="36" t="n">
        <v>129</v>
      </c>
      <c r="S76" s="37" t="n">
        <v>0.9923076923076923</v>
      </c>
      <c r="T76" s="36" t="n">
        <v>22</v>
      </c>
      <c r="U76" s="37" t="n">
        <v>0.1692307692307692</v>
      </c>
      <c r="V76" s="38" t="n">
        <v>0</v>
      </c>
      <c r="W76" s="38" t="n">
        <v>8.479000000000006</v>
      </c>
      <c r="X76" s="38" t="n">
        <v>23.82</v>
      </c>
      <c r="Y76" s="38" t="n">
        <v>91.66199999999999</v>
      </c>
      <c r="Z76" s="38" t="n">
        <v>0</v>
      </c>
      <c r="AA76" s="36" t="n">
        <v>31</v>
      </c>
      <c r="AB76" s="37" t="n">
        <v>0.09538461538461539</v>
      </c>
      <c r="AC76" s="36" t="n">
        <v>14</v>
      </c>
      <c r="AD76" s="37" t="n">
        <v>0.21875</v>
      </c>
      <c r="AE76" s="36" t="n">
        <v>17</v>
      </c>
      <c r="AF76" s="37" t="n">
        <v>0.06538461538461539</v>
      </c>
      <c r="AG76" s="36" t="n">
        <v>12</v>
      </c>
      <c r="AH76" s="37" t="n">
        <v>0.8571428571428571</v>
      </c>
    </row>
    <row r="77">
      <c r="A77" s="53" t="n">
        <v>45750</v>
      </c>
      <c r="B77" t="inlineStr">
        <is>
          <t>R10_Sumbagteng</t>
        </is>
      </c>
      <c r="C77" t="inlineStr">
        <is>
          <t>NOP BUKITTINGGI</t>
        </is>
      </c>
      <c r="D77" s="38" t="n">
        <v>0.57</v>
      </c>
      <c r="E77" s="38" t="n">
        <v>3.65</v>
      </c>
      <c r="F77" s="36" t="n">
        <v>2.27</v>
      </c>
      <c r="G77" s="36" t="n">
        <v>3.17</v>
      </c>
      <c r="H77" s="36" t="n">
        <v>27</v>
      </c>
      <c r="I77" s="37" t="n">
        <v>0.7714285714285715</v>
      </c>
      <c r="J77" s="36" t="n">
        <v>3</v>
      </c>
      <c r="K77" s="37" t="n">
        <v>1</v>
      </c>
      <c r="L77" s="36" t="n">
        <v>24</v>
      </c>
      <c r="M77" s="37" t="n">
        <v>0.75</v>
      </c>
      <c r="N77" s="36" t="n">
        <v>3</v>
      </c>
      <c r="O77" s="37" t="n">
        <v>1</v>
      </c>
      <c r="P77" s="36" t="n">
        <v>3</v>
      </c>
      <c r="Q77" s="37" t="n">
        <v>1</v>
      </c>
      <c r="R77" s="36" t="n">
        <v>35</v>
      </c>
      <c r="S77" s="37" t="n">
        <v>1</v>
      </c>
      <c r="T77" s="36" t="n">
        <v>15</v>
      </c>
      <c r="U77" s="37" t="n">
        <v>0.4285714285714285</v>
      </c>
      <c r="V77" s="38" t="n">
        <v>0</v>
      </c>
      <c r="W77" s="38" t="n">
        <v>7.878000000000001</v>
      </c>
      <c r="X77" s="38" t="n">
        <v>10.47800000000001</v>
      </c>
      <c r="Y77" s="38" t="n">
        <v>245.07</v>
      </c>
      <c r="Z77" s="38" t="n">
        <v>0</v>
      </c>
      <c r="AA77" s="36" t="n">
        <v>66</v>
      </c>
      <c r="AB77" s="37" t="n">
        <v>0.4203821656050956</v>
      </c>
      <c r="AC77" s="36" t="n">
        <v>10</v>
      </c>
      <c r="AD77" s="37" t="n">
        <v>0.8333333333333334</v>
      </c>
      <c r="AE77" s="36" t="n">
        <v>56</v>
      </c>
      <c r="AF77" s="37" t="n">
        <v>0.3862068965517241</v>
      </c>
      <c r="AG77" s="36" t="n">
        <v>5</v>
      </c>
      <c r="AH77" s="37" t="n">
        <v>0.5</v>
      </c>
    </row>
    <row r="78">
      <c r="A78" s="53" t="n">
        <v>45750</v>
      </c>
      <c r="B78" t="inlineStr">
        <is>
          <t>R10_Sumbagteng</t>
        </is>
      </c>
      <c r="C78" t="inlineStr">
        <is>
          <t>NOP DUMAI</t>
        </is>
      </c>
      <c r="D78" s="38" t="n">
        <v>4.66</v>
      </c>
      <c r="E78" s="38" t="n">
        <v>13.87500000000002</v>
      </c>
      <c r="F78" s="36" t="n">
        <v>7.188000000000001</v>
      </c>
      <c r="G78" s="36" t="n">
        <v>11.074</v>
      </c>
      <c r="H78" s="36" t="n">
        <v>141</v>
      </c>
      <c r="I78" s="37" t="n">
        <v>0.4098837209302326</v>
      </c>
      <c r="J78" s="36" t="n">
        <v>34</v>
      </c>
      <c r="K78" s="37" t="n">
        <v>0.4303797468354431</v>
      </c>
      <c r="L78" s="36" t="n">
        <v>107</v>
      </c>
      <c r="M78" s="37" t="n">
        <v>0.4037735849056604</v>
      </c>
      <c r="N78" s="36" t="n">
        <v>24</v>
      </c>
      <c r="O78" s="37" t="n">
        <v>0.7058823529411765</v>
      </c>
      <c r="P78" s="36" t="n">
        <v>24</v>
      </c>
      <c r="Q78" s="37" t="n">
        <v>0.7058823529411765</v>
      </c>
      <c r="R78" s="36" t="n">
        <v>330</v>
      </c>
      <c r="S78" s="37" t="n">
        <v>0.9593023255813954</v>
      </c>
      <c r="T78" s="36" t="n">
        <v>62</v>
      </c>
      <c r="U78" s="37" t="n">
        <v>0.1802325581395349</v>
      </c>
      <c r="V78" s="38" t="n">
        <v>0.01</v>
      </c>
      <c r="W78" s="38" t="n">
        <v>13.44800000000001</v>
      </c>
      <c r="X78" s="38" t="n">
        <v>65.44200000000001</v>
      </c>
      <c r="Y78" s="38" t="n">
        <v>78.15000000000005</v>
      </c>
      <c r="Z78" s="38" t="n">
        <v>0</v>
      </c>
      <c r="AA78" s="36" t="n">
        <v>102</v>
      </c>
      <c r="AB78" s="37" t="n">
        <v>0.2292134831460674</v>
      </c>
      <c r="AC78" s="36" t="n">
        <v>31</v>
      </c>
      <c r="AD78" s="37" t="n">
        <v>0.2605042016806723</v>
      </c>
      <c r="AE78" s="36" t="n">
        <v>69</v>
      </c>
      <c r="AF78" s="37" t="n">
        <v>0.2149532710280374</v>
      </c>
      <c r="AG78" s="36" t="n">
        <v>27</v>
      </c>
      <c r="AH78" s="37" t="n">
        <v>0.8709677419354839</v>
      </c>
    </row>
    <row r="79">
      <c r="A79" s="53" t="n">
        <v>45750</v>
      </c>
      <c r="B79" t="inlineStr">
        <is>
          <t>R10_Sumbagteng</t>
        </is>
      </c>
      <c r="C79" t="inlineStr">
        <is>
          <t>NOP PADANG</t>
        </is>
      </c>
      <c r="D79" s="38" t="n">
        <v>0</v>
      </c>
      <c r="E79" s="38" t="n">
        <v>3.177999999999998</v>
      </c>
      <c r="F79" s="36" t="n">
        <v>1.868</v>
      </c>
      <c r="G79" s="36" t="n">
        <v>1.529</v>
      </c>
      <c r="H79" s="36" t="n">
        <v>18</v>
      </c>
      <c r="I79" s="37" t="n">
        <v>0.3829787234042553</v>
      </c>
      <c r="J79" s="36" t="n">
        <v>3</v>
      </c>
      <c r="K79" s="37" t="n">
        <v>0.375</v>
      </c>
      <c r="L79" s="36" t="n">
        <v>15</v>
      </c>
      <c r="M79" s="37" t="n">
        <v>0.3846153846153846</v>
      </c>
      <c r="N79" s="36" t="n">
        <v>0</v>
      </c>
      <c r="O79" s="37" t="n">
        <v>0</v>
      </c>
      <c r="P79" s="36" t="n">
        <v>0</v>
      </c>
      <c r="Q79" s="37" t="n">
        <v>0</v>
      </c>
      <c r="R79" s="36" t="n">
        <v>47</v>
      </c>
      <c r="S79" s="37" t="n">
        <v>1</v>
      </c>
      <c r="T79" s="36" t="n">
        <v>7</v>
      </c>
      <c r="U79" s="37" t="n">
        <v>0.148936170212766</v>
      </c>
      <c r="V79" s="38" t="n">
        <v>0</v>
      </c>
      <c r="W79" s="38" t="n">
        <v>10.041</v>
      </c>
      <c r="X79" s="38" t="n">
        <v>46.09</v>
      </c>
      <c r="Y79" s="38" t="n">
        <v>21.434</v>
      </c>
      <c r="Z79" s="38" t="n">
        <v>0</v>
      </c>
      <c r="AA79" s="36" t="n">
        <v>109</v>
      </c>
      <c r="AB79" s="37" t="n">
        <v>0.5046296296296297</v>
      </c>
      <c r="AC79" s="36" t="n">
        <v>12</v>
      </c>
      <c r="AD79" s="37" t="n">
        <v>0.5454545454545454</v>
      </c>
      <c r="AE79" s="36" t="n">
        <v>97</v>
      </c>
      <c r="AF79" s="37" t="n">
        <v>0.5</v>
      </c>
      <c r="AG79" s="36" t="n">
        <v>7</v>
      </c>
      <c r="AH79" s="37" t="n">
        <v>0.5833333333333334</v>
      </c>
    </row>
    <row r="80">
      <c r="A80" s="53" t="n">
        <v>45750</v>
      </c>
      <c r="B80" t="inlineStr">
        <is>
          <t>R10_Sumbagteng</t>
        </is>
      </c>
      <c r="C80" t="inlineStr">
        <is>
          <t>NOP PEKANBARU</t>
        </is>
      </c>
      <c r="D80" s="38" t="n">
        <v>0.93</v>
      </c>
      <c r="E80" s="38" t="n">
        <v>3.694000000000003</v>
      </c>
      <c r="F80" s="36" t="n">
        <v>18.1</v>
      </c>
      <c r="G80" s="36" t="n">
        <v>19.11200000000008</v>
      </c>
      <c r="H80" s="36" t="n">
        <v>47</v>
      </c>
      <c r="I80" s="37" t="n">
        <v>0.2655367231638418</v>
      </c>
      <c r="J80" s="36" t="n">
        <v>6</v>
      </c>
      <c r="K80" s="37" t="n">
        <v>0.2307692307692308</v>
      </c>
      <c r="L80" s="36" t="n">
        <v>41</v>
      </c>
      <c r="M80" s="37" t="n">
        <v>0.271523178807947</v>
      </c>
      <c r="N80" s="36" t="n">
        <v>6</v>
      </c>
      <c r="O80" s="37" t="n">
        <v>1</v>
      </c>
      <c r="P80" s="36" t="n">
        <v>6</v>
      </c>
      <c r="Q80" s="37" t="n">
        <v>1</v>
      </c>
      <c r="R80" s="36" t="n">
        <v>177</v>
      </c>
      <c r="S80" s="37" t="n">
        <v>1</v>
      </c>
      <c r="T80" s="36" t="n">
        <v>23</v>
      </c>
      <c r="U80" s="37" t="n">
        <v>0.1299435028248588</v>
      </c>
      <c r="V80" s="38" t="n">
        <v>0.01</v>
      </c>
      <c r="W80" s="38" t="n">
        <v>2.052</v>
      </c>
      <c r="X80" s="38" t="n">
        <v>40.33800000000006</v>
      </c>
      <c r="Y80" s="38" t="n">
        <v>80.36099999999999</v>
      </c>
      <c r="Z80" s="38" t="n">
        <v>0</v>
      </c>
      <c r="AA80" s="36" t="n">
        <v>92</v>
      </c>
      <c r="AB80" s="37" t="n">
        <v>0.2902208201892745</v>
      </c>
      <c r="AC80" s="36" t="n">
        <v>37</v>
      </c>
      <c r="AD80" s="37" t="n">
        <v>0.2803030303030303</v>
      </c>
      <c r="AE80" s="36" t="n">
        <v>53</v>
      </c>
      <c r="AF80" s="37" t="n">
        <v>0.2912087912087912</v>
      </c>
      <c r="AG80" s="36" t="n">
        <v>32</v>
      </c>
      <c r="AH80" s="37" t="n">
        <v>0.8648648648648649</v>
      </c>
    </row>
    <row r="81">
      <c r="A81" s="53" t="n">
        <v>45750</v>
      </c>
      <c r="B81" t="inlineStr">
        <is>
          <t>R02_Sumbagsel</t>
        </is>
      </c>
      <c r="C81" t="inlineStr">
        <is>
          <t>NOP BENGKULU</t>
        </is>
      </c>
      <c r="D81" s="38" t="n">
        <v>0</v>
      </c>
      <c r="E81" s="38" t="n">
        <v>2.945</v>
      </c>
      <c r="F81" s="36" t="n">
        <v>3.2</v>
      </c>
      <c r="G81" s="36" t="n">
        <v>4.215</v>
      </c>
      <c r="H81" s="36" t="n">
        <v>25</v>
      </c>
      <c r="I81" s="37" t="n">
        <v>0.308641975308642</v>
      </c>
      <c r="J81" s="36" t="n">
        <v>3</v>
      </c>
      <c r="K81" s="37" t="n">
        <v>0.1875</v>
      </c>
      <c r="L81" s="36" t="n">
        <v>22</v>
      </c>
      <c r="M81" s="37" t="n">
        <v>0.3384615384615385</v>
      </c>
      <c r="N81" s="36" t="n">
        <v>2</v>
      </c>
      <c r="O81" s="37" t="n">
        <v>0.6666666666666666</v>
      </c>
      <c r="P81" s="36" t="n">
        <v>2</v>
      </c>
      <c r="Q81" s="37" t="n">
        <v>0.6666666666666666</v>
      </c>
      <c r="R81" s="36" t="n">
        <v>81</v>
      </c>
      <c r="S81" s="37" t="n">
        <v>1</v>
      </c>
      <c r="T81" s="36" t="n">
        <v>15</v>
      </c>
      <c r="U81" s="37" t="n">
        <v>0.1851851851851852</v>
      </c>
      <c r="V81" s="38" t="n">
        <v>0</v>
      </c>
      <c r="W81" s="38" t="n">
        <v>7.809999999999995</v>
      </c>
      <c r="X81" s="38" t="n">
        <v>8.992000000000004</v>
      </c>
      <c r="Y81" s="38" t="n">
        <v>11.38000000000002</v>
      </c>
      <c r="Z81" s="38" t="n">
        <v>0</v>
      </c>
      <c r="AA81" s="36" t="n">
        <v>83</v>
      </c>
      <c r="AB81" s="37" t="n">
        <v>0.5763888888888888</v>
      </c>
      <c r="AC81" s="36" t="n">
        <v>37</v>
      </c>
      <c r="AD81" s="37" t="n">
        <v>0.4457831325301205</v>
      </c>
      <c r="AE81" s="36" t="n">
        <v>45</v>
      </c>
      <c r="AF81" s="37" t="n">
        <v>0.8181818181818182</v>
      </c>
      <c r="AG81" s="36" t="n">
        <v>31</v>
      </c>
      <c r="AH81" s="37" t="n">
        <v>0.8378378378378378</v>
      </c>
    </row>
    <row r="82">
      <c r="A82" s="53" t="n">
        <v>45750</v>
      </c>
      <c r="B82" t="inlineStr">
        <is>
          <t>R02_Sumbagsel</t>
        </is>
      </c>
      <c r="C82" t="inlineStr">
        <is>
          <t>NOP JAMBI</t>
        </is>
      </c>
      <c r="D82" s="38" t="n">
        <v>2.83</v>
      </c>
      <c r="E82" s="38" t="n">
        <v>2.838</v>
      </c>
      <c r="F82" s="36" t="n">
        <v>3.100000000000001</v>
      </c>
      <c r="G82" s="36" t="n">
        <v>5.138999999999998</v>
      </c>
      <c r="H82" s="36" t="n">
        <v>34</v>
      </c>
      <c r="I82" s="37" t="n">
        <v>0.4</v>
      </c>
      <c r="J82" s="36" t="n">
        <v>11</v>
      </c>
      <c r="K82" s="37" t="n">
        <v>0.4230769230769231</v>
      </c>
      <c r="L82" s="36" t="n">
        <v>23</v>
      </c>
      <c r="M82" s="37" t="n">
        <v>0.3898305084745763</v>
      </c>
      <c r="N82" s="36" t="n">
        <v>10</v>
      </c>
      <c r="O82" s="37" t="n">
        <v>0.9090909090909091</v>
      </c>
      <c r="P82" s="36" t="n">
        <v>10</v>
      </c>
      <c r="Q82" s="37" t="n">
        <v>0.9090909090909091</v>
      </c>
      <c r="R82" s="36" t="n">
        <v>85</v>
      </c>
      <c r="S82" s="37" t="n">
        <v>1</v>
      </c>
      <c r="T82" s="36" t="n">
        <v>24</v>
      </c>
      <c r="U82" s="37" t="n">
        <v>0.2823529411764706</v>
      </c>
      <c r="V82" s="38" t="n">
        <v>0</v>
      </c>
      <c r="W82" s="38" t="n">
        <v>7.760000000000006</v>
      </c>
      <c r="X82" s="38" t="n">
        <v>18.49200000000003</v>
      </c>
      <c r="Y82" s="38" t="n">
        <v>15.91</v>
      </c>
      <c r="Z82" s="38" t="n">
        <v>0</v>
      </c>
      <c r="AA82" s="36" t="n">
        <v>104</v>
      </c>
      <c r="AB82" s="37" t="n">
        <v>0.6190476190476191</v>
      </c>
      <c r="AC82" s="36" t="n">
        <v>57</v>
      </c>
      <c r="AD82" s="37" t="n">
        <v>0.5588235294117647</v>
      </c>
      <c r="AE82" s="36" t="n">
        <v>41</v>
      </c>
      <c r="AF82" s="37" t="n">
        <v>0.6833333333333333</v>
      </c>
      <c r="AG82" s="36" t="n">
        <v>40</v>
      </c>
      <c r="AH82" s="37" t="n">
        <v>0.7017543859649122</v>
      </c>
    </row>
    <row r="83">
      <c r="A83" s="53" t="n">
        <v>45750</v>
      </c>
      <c r="B83" t="inlineStr">
        <is>
          <t>R02_Sumbagsel</t>
        </is>
      </c>
      <c r="C83" t="inlineStr">
        <is>
          <t>NOP LAMPUNG</t>
        </is>
      </c>
      <c r="D83" s="38" t="n">
        <v>0</v>
      </c>
      <c r="E83" s="38" t="n">
        <v>9.34</v>
      </c>
      <c r="F83" s="36" t="n">
        <v>4.33</v>
      </c>
      <c r="G83" s="36" t="n">
        <v>3.771999999999999</v>
      </c>
      <c r="H83" s="36" t="n">
        <v>19</v>
      </c>
      <c r="I83" s="37" t="n">
        <v>0.4634146341463415</v>
      </c>
      <c r="J83" s="36" t="n">
        <v>7</v>
      </c>
      <c r="K83" s="37" t="n">
        <v>0.7</v>
      </c>
      <c r="L83" s="36" t="n">
        <v>12</v>
      </c>
      <c r="M83" s="37" t="n">
        <v>0.3870967741935484</v>
      </c>
      <c r="N83" s="36" t="n">
        <v>4</v>
      </c>
      <c r="O83" s="37" t="n">
        <v>0.5714285714285714</v>
      </c>
      <c r="P83" s="36" t="n">
        <v>4</v>
      </c>
      <c r="Q83" s="37" t="n">
        <v>0.5714285714285714</v>
      </c>
      <c r="R83" s="36" t="n">
        <v>41</v>
      </c>
      <c r="S83" s="37" t="n">
        <v>1</v>
      </c>
      <c r="T83" s="36" t="n">
        <v>13</v>
      </c>
      <c r="U83" s="37" t="n">
        <v>0.3170731707317073</v>
      </c>
      <c r="V83" s="38" t="n">
        <v>0</v>
      </c>
      <c r="W83" s="38" t="n">
        <v>14.366</v>
      </c>
      <c r="X83" s="38" t="n">
        <v>6.696000000000003</v>
      </c>
      <c r="Y83" s="38" t="n">
        <v>21.574</v>
      </c>
      <c r="Z83" s="38" t="n">
        <v>0</v>
      </c>
      <c r="AA83" s="36" t="n">
        <v>115</v>
      </c>
      <c r="AB83" s="37" t="n">
        <v>0.9274193548387096</v>
      </c>
      <c r="AC83" s="36" t="n">
        <v>24</v>
      </c>
      <c r="AD83" s="37" t="n">
        <v>0.8275862068965517</v>
      </c>
      <c r="AE83" s="36" t="n">
        <v>90</v>
      </c>
      <c r="AF83" s="37" t="n">
        <v>0.967741935483871</v>
      </c>
      <c r="AG83" s="36" t="n">
        <v>20</v>
      </c>
      <c r="AH83" s="37" t="n">
        <v>0.8333333333333334</v>
      </c>
    </row>
    <row r="84">
      <c r="A84" s="53" t="n">
        <v>45750</v>
      </c>
      <c r="B84" t="inlineStr">
        <is>
          <t>R02_Sumbagsel</t>
        </is>
      </c>
      <c r="C84" t="inlineStr">
        <is>
          <t>NOP MUARA ENIM</t>
        </is>
      </c>
      <c r="D84" s="38" t="n">
        <v>0</v>
      </c>
      <c r="E84" s="38" t="n">
        <v>5.252</v>
      </c>
      <c r="F84" s="36" t="n">
        <v>4.768000000000003</v>
      </c>
      <c r="G84" s="36" t="n">
        <v>4.481999999999999</v>
      </c>
      <c r="H84" s="36" t="n">
        <v>30</v>
      </c>
      <c r="I84" s="37" t="n">
        <v>0.3614457831325301</v>
      </c>
      <c r="J84" s="36" t="n">
        <v>3</v>
      </c>
      <c r="K84" s="37" t="n">
        <v>0.2</v>
      </c>
      <c r="L84" s="36" t="n">
        <v>27</v>
      </c>
      <c r="M84" s="37" t="n">
        <v>0.3970588235294117</v>
      </c>
      <c r="N84" s="36" t="n">
        <v>1</v>
      </c>
      <c r="O84" s="37" t="n">
        <v>0.3333333333333333</v>
      </c>
      <c r="P84" s="36" t="n">
        <v>1</v>
      </c>
      <c r="Q84" s="37" t="n">
        <v>0.3333333333333333</v>
      </c>
      <c r="R84" s="36" t="n">
        <v>83</v>
      </c>
      <c r="S84" s="37" t="n">
        <v>1</v>
      </c>
      <c r="T84" s="36" t="n">
        <v>15</v>
      </c>
      <c r="U84" s="37" t="n">
        <v>0.1807228915662651</v>
      </c>
      <c r="V84" s="38" t="n">
        <v>0</v>
      </c>
      <c r="W84" s="38" t="n">
        <v>8.140000000000001</v>
      </c>
      <c r="X84" s="38" t="n">
        <v>6.498000000000002</v>
      </c>
      <c r="Y84" s="38" t="n">
        <v>16.79199999999999</v>
      </c>
      <c r="Z84" s="38" t="n">
        <v>0</v>
      </c>
      <c r="AA84" s="36" t="n">
        <v>90</v>
      </c>
      <c r="AB84" s="37" t="n">
        <v>0.5769230769230769</v>
      </c>
      <c r="AC84" s="36" t="n">
        <v>41</v>
      </c>
      <c r="AD84" s="37" t="n">
        <v>0.5774647887323944</v>
      </c>
      <c r="AE84" s="36" t="n">
        <v>43</v>
      </c>
      <c r="AF84" s="37" t="n">
        <v>0.6231884057971014</v>
      </c>
      <c r="AG84" s="36" t="n">
        <v>35</v>
      </c>
      <c r="AH84" s="37" t="n">
        <v>0.8536585365853658</v>
      </c>
    </row>
    <row r="85">
      <c r="A85" s="53" t="n">
        <v>45750</v>
      </c>
      <c r="B85" t="inlineStr">
        <is>
          <t>R02_Sumbagsel</t>
        </is>
      </c>
      <c r="C85" t="inlineStr">
        <is>
          <t>NOP PALEMBANG</t>
        </is>
      </c>
      <c r="D85" s="38" t="n">
        <v>0</v>
      </c>
      <c r="E85" s="38" t="n">
        <v>9.704000000000001</v>
      </c>
      <c r="F85" s="36" t="n">
        <v>17.46</v>
      </c>
      <c r="G85" s="36" t="n">
        <v>13.644</v>
      </c>
      <c r="H85" s="36" t="n">
        <v>15</v>
      </c>
      <c r="I85" s="37" t="n">
        <v>0.15625</v>
      </c>
      <c r="J85" s="36" t="n">
        <v>1</v>
      </c>
      <c r="K85" s="37" t="n">
        <v>0.1111111111111111</v>
      </c>
      <c r="L85" s="36" t="n">
        <v>14</v>
      </c>
      <c r="M85" s="37" t="n">
        <v>0.1609195402298851</v>
      </c>
      <c r="N85" s="36" t="n">
        <v>1</v>
      </c>
      <c r="O85" s="37" t="n">
        <v>1</v>
      </c>
      <c r="P85" s="36" t="n">
        <v>1</v>
      </c>
      <c r="Q85" s="37" t="n">
        <v>1</v>
      </c>
      <c r="R85" s="36" t="n">
        <v>96</v>
      </c>
      <c r="S85" s="37" t="n">
        <v>1</v>
      </c>
      <c r="T85" s="36" t="n">
        <v>11</v>
      </c>
      <c r="U85" s="37" t="n">
        <v>0.1145833333333333</v>
      </c>
      <c r="V85" s="38" t="n">
        <v>0</v>
      </c>
      <c r="W85" s="38" t="n">
        <v>7.024999999999984</v>
      </c>
      <c r="X85" s="38" t="n">
        <v>12.305</v>
      </c>
      <c r="Y85" s="38" t="n">
        <v>12.52600000000001</v>
      </c>
      <c r="Z85" s="38" t="n">
        <v>0</v>
      </c>
      <c r="AA85" s="36" t="n">
        <v>40</v>
      </c>
      <c r="AB85" s="37" t="n">
        <v>0.261437908496732</v>
      </c>
      <c r="AC85" s="36" t="n">
        <v>17</v>
      </c>
      <c r="AD85" s="37" t="n">
        <v>0.217948717948718</v>
      </c>
      <c r="AE85" s="36" t="n">
        <v>23</v>
      </c>
      <c r="AF85" s="37" t="n">
        <v>0.396551724137931</v>
      </c>
      <c r="AG85" s="36" t="n">
        <v>4</v>
      </c>
      <c r="AH85" s="37" t="n">
        <v>0.2352941176470588</v>
      </c>
    </row>
    <row r="86">
      <c r="A86" s="53" t="n">
        <v>45750</v>
      </c>
      <c r="B86" t="inlineStr">
        <is>
          <t>R02_Sumbagsel</t>
        </is>
      </c>
      <c r="C86" t="inlineStr">
        <is>
          <t>NOP PANGKAL PINANG</t>
        </is>
      </c>
      <c r="D86" s="38" t="n">
        <v>0</v>
      </c>
      <c r="E86" s="38" t="n">
        <v>0</v>
      </c>
      <c r="F86" s="36" t="n">
        <v>0.866</v>
      </c>
      <c r="G86" s="36" t="n">
        <v>6.660000000000001</v>
      </c>
      <c r="H86" s="36" t="n">
        <v>9</v>
      </c>
      <c r="I86" s="37" t="n">
        <v>0.6</v>
      </c>
      <c r="J86" s="36" t="n">
        <v>0</v>
      </c>
      <c r="K86" s="37" t="n">
        <v>0</v>
      </c>
      <c r="L86" s="36" t="n">
        <v>9</v>
      </c>
      <c r="M86" s="37" t="n">
        <v>0.6</v>
      </c>
      <c r="N86" s="36" t="n">
        <v>0</v>
      </c>
      <c r="O86" s="37" t="n">
        <v>0</v>
      </c>
      <c r="P86" s="36" t="n">
        <v>0</v>
      </c>
      <c r="Q86" s="37" t="n">
        <v>0</v>
      </c>
      <c r="R86" s="36" t="n">
        <v>15</v>
      </c>
      <c r="S86" s="37" t="n">
        <v>1</v>
      </c>
      <c r="T86" s="36" t="n">
        <v>4</v>
      </c>
      <c r="U86" s="37" t="n">
        <v>0.2666666666666667</v>
      </c>
      <c r="V86" s="38" t="n">
        <v>0</v>
      </c>
      <c r="W86" s="38" t="n">
        <v>3.338</v>
      </c>
      <c r="X86" s="38" t="n">
        <v>3.305</v>
      </c>
      <c r="Y86" s="38" t="n">
        <v>5.714</v>
      </c>
      <c r="Z86" s="38" t="n">
        <v>0</v>
      </c>
      <c r="AA86" s="36" t="n">
        <v>43</v>
      </c>
      <c r="AB86" s="37" t="n">
        <v>0.7288135593220338</v>
      </c>
      <c r="AC86" s="36" t="n">
        <v>21</v>
      </c>
      <c r="AD86" s="37" t="n">
        <v>0.6363636363636364</v>
      </c>
      <c r="AE86" s="36" t="n">
        <v>22</v>
      </c>
      <c r="AF86" s="37" t="n">
        <v>0.88</v>
      </c>
      <c r="AG86" s="36" t="n">
        <v>9</v>
      </c>
      <c r="AH86" s="37" t="n">
        <v>0.4285714285714285</v>
      </c>
    </row>
    <row r="87">
      <c r="A87" s="53" t="n">
        <v>45750</v>
      </c>
      <c r="B87" t="inlineStr">
        <is>
          <t>R05_Jawa Tengah DIY</t>
        </is>
      </c>
      <c r="C87" t="inlineStr">
        <is>
          <t>NOP MAGELANG</t>
        </is>
      </c>
      <c r="D87" s="38" t="n">
        <v>4.876</v>
      </c>
      <c r="E87" s="38" t="n">
        <v>0</v>
      </c>
      <c r="F87" s="36" t="n">
        <v>8.228000000000012</v>
      </c>
      <c r="G87" s="36" t="n">
        <v>2.74</v>
      </c>
      <c r="H87" s="36" t="n">
        <v>26</v>
      </c>
      <c r="I87" s="37" t="n">
        <v>0.7428571428571429</v>
      </c>
      <c r="J87" s="36" t="n">
        <v>4</v>
      </c>
      <c r="K87" s="37" t="n">
        <v>1</v>
      </c>
      <c r="L87" s="36" t="n">
        <v>22</v>
      </c>
      <c r="M87" s="37" t="n">
        <v>0.7096774193548387</v>
      </c>
      <c r="N87" s="36" t="n">
        <v>2</v>
      </c>
      <c r="O87" s="37" t="n">
        <v>0.5</v>
      </c>
      <c r="P87" s="36" t="n">
        <v>2</v>
      </c>
      <c r="Q87" s="37" t="n">
        <v>0.5</v>
      </c>
      <c r="R87" s="36" t="n">
        <v>35</v>
      </c>
      <c r="S87" s="37" t="n">
        <v>1</v>
      </c>
      <c r="T87" s="36" t="n">
        <v>24</v>
      </c>
      <c r="U87" s="37" t="n">
        <v>0.6857142857142857</v>
      </c>
      <c r="V87" s="38" t="n">
        <v>0</v>
      </c>
      <c r="W87" s="38" t="n">
        <v>1.934</v>
      </c>
      <c r="X87" s="38" t="n">
        <v>20.38800000000003</v>
      </c>
      <c r="Y87" s="38" t="n">
        <v>62.02</v>
      </c>
      <c r="Z87" s="38" t="n">
        <v>0</v>
      </c>
      <c r="AA87" s="36" t="n">
        <v>46</v>
      </c>
      <c r="AB87" s="37" t="n">
        <v>0.8363636363636363</v>
      </c>
      <c r="AC87" s="36" t="n">
        <v>4</v>
      </c>
      <c r="AD87" s="37" t="n">
        <v>1</v>
      </c>
      <c r="AE87" s="36" t="n">
        <v>42</v>
      </c>
      <c r="AF87" s="37" t="n">
        <v>0.8235294117647058</v>
      </c>
      <c r="AG87" s="36" t="n">
        <v>4</v>
      </c>
      <c r="AH87" s="37" t="n">
        <v>1</v>
      </c>
    </row>
    <row r="88">
      <c r="A88" s="53" t="n">
        <v>45750</v>
      </c>
      <c r="B88" t="inlineStr">
        <is>
          <t>R05_Jawa Tengah DIY</t>
        </is>
      </c>
      <c r="C88" t="inlineStr">
        <is>
          <t>NOP PEKALONGAN</t>
        </is>
      </c>
      <c r="D88" s="38" t="n">
        <v>0.38</v>
      </c>
      <c r="E88" s="38" t="n">
        <v>0</v>
      </c>
      <c r="F88" s="36" t="n">
        <v>1.728</v>
      </c>
      <c r="G88" s="36" t="n">
        <v>1.715</v>
      </c>
      <c r="H88" s="36" t="n">
        <v>4</v>
      </c>
      <c r="I88" s="37" t="n">
        <v>0.4</v>
      </c>
      <c r="J88" s="36" t="n">
        <v>1</v>
      </c>
      <c r="K88" s="37" t="n">
        <v>1</v>
      </c>
      <c r="L88" s="36" t="n">
        <v>3</v>
      </c>
      <c r="M88" s="37" t="n">
        <v>0.3333333333333333</v>
      </c>
      <c r="N88" s="36" t="n">
        <v>1</v>
      </c>
      <c r="O88" s="37" t="n">
        <v>1</v>
      </c>
      <c r="P88" s="36" t="n">
        <v>1</v>
      </c>
      <c r="Q88" s="37" t="n">
        <v>1</v>
      </c>
      <c r="R88" s="36" t="n">
        <v>10</v>
      </c>
      <c r="S88" s="37" t="n">
        <v>1</v>
      </c>
      <c r="T88" s="36" t="n">
        <v>6</v>
      </c>
      <c r="U88" s="37" t="n">
        <v>0.6</v>
      </c>
      <c r="V88" s="38" t="n">
        <v>0</v>
      </c>
      <c r="W88" s="38" t="n">
        <v>2.073</v>
      </c>
      <c r="X88" s="38" t="n">
        <v>2.57</v>
      </c>
      <c r="Y88" s="38" t="n">
        <v>66.004</v>
      </c>
      <c r="Z88" s="38" t="n">
        <v>0</v>
      </c>
      <c r="AA88" s="36" t="n">
        <v>18</v>
      </c>
      <c r="AB88" s="37" t="n">
        <v>0.9</v>
      </c>
      <c r="AC88" s="36" t="n">
        <v>1</v>
      </c>
      <c r="AD88" s="37" t="n">
        <v>0.5</v>
      </c>
      <c r="AE88" s="36" t="n">
        <v>17</v>
      </c>
      <c r="AF88" s="37" t="n">
        <v>0.9444444444444444</v>
      </c>
      <c r="AG88" s="36" t="n">
        <v>1</v>
      </c>
      <c r="AH88" s="37" t="n">
        <v>1</v>
      </c>
    </row>
    <row r="89">
      <c r="A89" s="53" t="n">
        <v>45750</v>
      </c>
      <c r="B89" t="inlineStr">
        <is>
          <t>R05_Jawa Tengah DIY</t>
        </is>
      </c>
      <c r="C89" t="inlineStr">
        <is>
          <t>NOP PURWOKERTO</t>
        </is>
      </c>
      <c r="D89" s="38" t="n">
        <v>1.648</v>
      </c>
      <c r="E89" s="38" t="n">
        <v>0</v>
      </c>
      <c r="F89" s="36" t="n">
        <v>4.85</v>
      </c>
      <c r="G89" s="36" t="n">
        <v>4.5</v>
      </c>
      <c r="H89" s="36" t="n">
        <v>10</v>
      </c>
      <c r="I89" s="37" t="n">
        <v>0.5555555555555556</v>
      </c>
      <c r="J89" s="36" t="n">
        <v>0</v>
      </c>
      <c r="K89" s="37" t="n">
        <v>0</v>
      </c>
      <c r="L89" s="36" t="n">
        <v>10</v>
      </c>
      <c r="M89" s="37" t="n">
        <v>0.6666666666666666</v>
      </c>
      <c r="N89" s="36" t="n">
        <v>0</v>
      </c>
      <c r="O89" s="37" t="n">
        <v>0</v>
      </c>
      <c r="P89" s="36" t="n">
        <v>0</v>
      </c>
      <c r="Q89" s="37" t="n">
        <v>0</v>
      </c>
      <c r="R89" s="36" t="n">
        <v>15</v>
      </c>
      <c r="S89" s="37" t="n">
        <v>0.8333333333333334</v>
      </c>
      <c r="T89" s="36" t="n">
        <v>9</v>
      </c>
      <c r="U89" s="37" t="n">
        <v>0.5</v>
      </c>
      <c r="V89" s="38" t="n">
        <v>0</v>
      </c>
      <c r="W89" s="38" t="n">
        <v>3.012</v>
      </c>
      <c r="X89" s="38" t="n">
        <v>2.74</v>
      </c>
      <c r="Y89" s="38" t="n">
        <v>17.88</v>
      </c>
      <c r="Z89" s="38" t="n">
        <v>0</v>
      </c>
      <c r="AA89" s="36" t="n">
        <v>10</v>
      </c>
      <c r="AB89" s="37" t="n">
        <v>0.5</v>
      </c>
      <c r="AC89" s="36" t="n">
        <v>1</v>
      </c>
      <c r="AD89" s="37" t="n">
        <v>0.3333333333333333</v>
      </c>
      <c r="AE89" s="36" t="n">
        <v>9</v>
      </c>
      <c r="AF89" s="37" t="n">
        <v>0.5294117647058824</v>
      </c>
      <c r="AG89" s="36" t="n">
        <v>1</v>
      </c>
      <c r="AH89" s="37" t="n">
        <v>1</v>
      </c>
    </row>
    <row r="90">
      <c r="A90" s="53" t="n">
        <v>45750</v>
      </c>
      <c r="B90" t="inlineStr">
        <is>
          <t>R05_Jawa Tengah DIY</t>
        </is>
      </c>
      <c r="C90" t="inlineStr">
        <is>
          <t>NOP SEMARANG</t>
        </is>
      </c>
      <c r="D90" s="38" t="n">
        <v>1.17</v>
      </c>
      <c r="E90" s="38" t="n">
        <v>0</v>
      </c>
      <c r="F90" s="36" t="n">
        <v>3.266</v>
      </c>
      <c r="G90" s="36" t="n">
        <v>4.69</v>
      </c>
      <c r="H90" s="36" t="n">
        <v>7</v>
      </c>
      <c r="I90" s="37" t="n">
        <v>0.5384615384615384</v>
      </c>
      <c r="J90" s="36" t="n">
        <v>1</v>
      </c>
      <c r="K90" s="37" t="n">
        <v>1</v>
      </c>
      <c r="L90" s="36" t="n">
        <v>6</v>
      </c>
      <c r="M90" s="37" t="n">
        <v>0.5</v>
      </c>
      <c r="N90" s="36" t="n">
        <v>1</v>
      </c>
      <c r="O90" s="37" t="n">
        <v>1</v>
      </c>
      <c r="P90" s="36" t="n">
        <v>1</v>
      </c>
      <c r="Q90" s="37" t="n">
        <v>1</v>
      </c>
      <c r="R90" s="36" t="n">
        <v>13</v>
      </c>
      <c r="S90" s="37" t="n">
        <v>1</v>
      </c>
      <c r="T90" s="36" t="n">
        <v>7</v>
      </c>
      <c r="U90" s="37" t="n">
        <v>0.5384615384615384</v>
      </c>
      <c r="V90" s="38" t="n">
        <v>0</v>
      </c>
      <c r="W90" s="38" t="n">
        <v>1.526</v>
      </c>
      <c r="X90" s="38" t="n">
        <v>24.32800000000001</v>
      </c>
      <c r="Y90" s="38" t="n">
        <v>42.088</v>
      </c>
      <c r="Z90" s="38" t="n">
        <v>0</v>
      </c>
      <c r="AA90" s="36" t="n">
        <v>24</v>
      </c>
      <c r="AB90" s="37" t="n">
        <v>0.5714285714285714</v>
      </c>
      <c r="AC90" s="36" t="n">
        <v>7</v>
      </c>
      <c r="AD90" s="37" t="n">
        <v>0.3181818181818182</v>
      </c>
      <c r="AE90" s="36" t="n">
        <v>17</v>
      </c>
      <c r="AF90" s="37" t="n">
        <v>0.85</v>
      </c>
      <c r="AG90" s="36" t="n">
        <v>7</v>
      </c>
      <c r="AH90" s="37" t="n">
        <v>1</v>
      </c>
    </row>
    <row r="91">
      <c r="A91" s="53" t="n">
        <v>45750</v>
      </c>
      <c r="B91" t="inlineStr">
        <is>
          <t>R05_Jawa Tengah DIY</t>
        </is>
      </c>
      <c r="C91" t="inlineStr">
        <is>
          <t>NOP SURAKARTA</t>
        </is>
      </c>
      <c r="D91" s="38" t="n">
        <v>1.63</v>
      </c>
      <c r="E91" s="38" t="n">
        <v>0</v>
      </c>
      <c r="F91" s="36" t="n">
        <v>2.636</v>
      </c>
      <c r="G91" s="36" t="n">
        <v>6.68</v>
      </c>
      <c r="H91" s="36" t="n">
        <v>21</v>
      </c>
      <c r="I91" s="37" t="n">
        <v>0.7241379310344828</v>
      </c>
      <c r="J91" s="36" t="n">
        <v>1</v>
      </c>
      <c r="K91" s="37" t="n">
        <v>1</v>
      </c>
      <c r="L91" s="36" t="n">
        <v>20</v>
      </c>
      <c r="M91" s="37" t="n">
        <v>0.7142857142857143</v>
      </c>
      <c r="N91" s="36" t="n">
        <v>1</v>
      </c>
      <c r="O91" s="37" t="n">
        <v>1</v>
      </c>
      <c r="P91" s="36" t="n">
        <v>1</v>
      </c>
      <c r="Q91" s="37" t="n">
        <v>1</v>
      </c>
      <c r="R91" s="36" t="n">
        <v>29</v>
      </c>
      <c r="S91" s="37" t="n">
        <v>1</v>
      </c>
      <c r="T91" s="36" t="n">
        <v>15</v>
      </c>
      <c r="U91" s="37" t="n">
        <v>0.5172413793103449</v>
      </c>
      <c r="V91" s="38" t="n">
        <v>0</v>
      </c>
      <c r="W91" s="38" t="n">
        <v>2.46</v>
      </c>
      <c r="X91" s="38" t="n">
        <v>4.69</v>
      </c>
      <c r="Y91" s="38" t="n">
        <v>129.417</v>
      </c>
      <c r="Z91" s="38" t="n">
        <v>0</v>
      </c>
      <c r="AA91" s="36" t="n">
        <v>20</v>
      </c>
      <c r="AB91" s="37" t="n">
        <v>0.7692307692307693</v>
      </c>
      <c r="AC91" s="36" t="n">
        <v>8</v>
      </c>
      <c r="AD91" s="37" t="n">
        <v>0.7272727272727273</v>
      </c>
      <c r="AE91" s="36" t="n">
        <v>12</v>
      </c>
      <c r="AF91" s="37" t="n">
        <v>0.8</v>
      </c>
      <c r="AG91" s="36" t="n">
        <v>6</v>
      </c>
      <c r="AH91" s="37" t="n">
        <v>0.75</v>
      </c>
    </row>
    <row r="92">
      <c r="A92" s="53" t="n">
        <v>45750</v>
      </c>
      <c r="B92" t="inlineStr">
        <is>
          <t>R05_Jawa Tengah DIY</t>
        </is>
      </c>
      <c r="C92" t="inlineStr">
        <is>
          <t>NOP YOGYAKARTA</t>
        </is>
      </c>
      <c r="D92" s="38" t="n">
        <v>0</v>
      </c>
      <c r="E92" s="38" t="n">
        <v>0</v>
      </c>
      <c r="F92" s="36" t="n">
        <v>1.74</v>
      </c>
      <c r="G92" s="36" t="n">
        <v>8.720000000000001</v>
      </c>
      <c r="H92" s="36" t="n">
        <v>4</v>
      </c>
      <c r="I92" s="37" t="n">
        <v>0.4444444444444444</v>
      </c>
      <c r="J92" s="36" t="n">
        <v>0</v>
      </c>
      <c r="K92" s="37" t="n">
        <v>0</v>
      </c>
      <c r="L92" s="36" t="n">
        <v>4</v>
      </c>
      <c r="M92" s="37" t="n">
        <v>0.4444444444444444</v>
      </c>
      <c r="N92" s="36" t="n">
        <v>0</v>
      </c>
      <c r="O92" s="37" t="n">
        <v>0</v>
      </c>
      <c r="P92" s="36" t="n">
        <v>0</v>
      </c>
      <c r="Q92" s="37" t="n">
        <v>0</v>
      </c>
      <c r="R92" s="36" t="n">
        <v>9</v>
      </c>
      <c r="S92" s="37" t="n">
        <v>1</v>
      </c>
      <c r="T92" s="36" t="n">
        <v>4</v>
      </c>
      <c r="U92" s="37" t="n">
        <v>0.4444444444444444</v>
      </c>
      <c r="V92" s="38" t="n">
        <v>0</v>
      </c>
      <c r="W92" s="38" t="n">
        <v>5.894</v>
      </c>
      <c r="X92" s="38" t="n">
        <v>13.7</v>
      </c>
      <c r="Y92" s="38" t="n">
        <v>42.58</v>
      </c>
      <c r="Z92" s="38" t="n">
        <v>0</v>
      </c>
      <c r="AA92" s="36" t="n">
        <v>62</v>
      </c>
      <c r="AB92" s="37" t="n">
        <v>0.9841269841269841</v>
      </c>
      <c r="AC92" s="36" t="n">
        <v>5</v>
      </c>
      <c r="AD92" s="37" t="n">
        <v>0.8333333333333334</v>
      </c>
      <c r="AE92" s="36" t="n">
        <v>57</v>
      </c>
      <c r="AF92" s="37" t="n">
        <v>1</v>
      </c>
      <c r="AG92" s="36" t="n">
        <v>5</v>
      </c>
      <c r="AH92" s="37" t="n">
        <v>1</v>
      </c>
    </row>
    <row r="93">
      <c r="A93" s="53" t="n">
        <v>45750</v>
      </c>
      <c r="B93" t="inlineStr">
        <is>
          <t>R06_Jawa Timur</t>
        </is>
      </c>
      <c r="C93" t="inlineStr">
        <is>
          <t>NOP JEMBER</t>
        </is>
      </c>
      <c r="D93" s="38" t="n">
        <v>2.11</v>
      </c>
      <c r="E93" s="38" t="n">
        <v>0</v>
      </c>
      <c r="F93" s="36" t="n">
        <v>1.632</v>
      </c>
      <c r="G93" s="36" t="n">
        <v>3.286</v>
      </c>
      <c r="H93" s="36" t="n">
        <v>11</v>
      </c>
      <c r="I93" s="37" t="n">
        <v>0.9166666666666666</v>
      </c>
      <c r="J93" s="36" t="n">
        <v>1</v>
      </c>
      <c r="K93" s="37" t="n">
        <v>1</v>
      </c>
      <c r="L93" s="36" t="n">
        <v>10</v>
      </c>
      <c r="M93" s="37" t="n">
        <v>0.9090909090909091</v>
      </c>
      <c r="N93" s="36" t="n">
        <v>1</v>
      </c>
      <c r="O93" s="37" t="n">
        <v>1</v>
      </c>
      <c r="P93" s="36" t="n">
        <v>1</v>
      </c>
      <c r="Q93" s="37" t="n">
        <v>1</v>
      </c>
      <c r="R93" s="36" t="n">
        <v>12</v>
      </c>
      <c r="S93" s="37" t="n">
        <v>1</v>
      </c>
      <c r="T93" s="36" t="n">
        <v>6</v>
      </c>
      <c r="U93" s="37" t="n">
        <v>0.5</v>
      </c>
      <c r="V93" s="38" t="n">
        <v>0</v>
      </c>
      <c r="W93" s="38" t="n">
        <v>1.875</v>
      </c>
      <c r="X93" s="38" t="n">
        <v>5.65</v>
      </c>
      <c r="Y93" s="38" t="n">
        <v>256.3000000000001</v>
      </c>
      <c r="Z93" s="38" t="n">
        <v>0</v>
      </c>
      <c r="AA93" s="36" t="n">
        <v>21</v>
      </c>
      <c r="AB93" s="37" t="n">
        <v>0.9130434782608695</v>
      </c>
      <c r="AC93" s="36" t="n">
        <v>5</v>
      </c>
      <c r="AD93" s="37" t="n">
        <v>0.8333333333333334</v>
      </c>
      <c r="AE93" s="36" t="n">
        <v>16</v>
      </c>
      <c r="AF93" s="37" t="n">
        <v>0.9411764705882353</v>
      </c>
      <c r="AG93" s="36" t="n">
        <v>3</v>
      </c>
      <c r="AH93" s="37" t="n">
        <v>0.6</v>
      </c>
    </row>
    <row r="94">
      <c r="A94" s="53" t="n">
        <v>45750</v>
      </c>
      <c r="B94" t="inlineStr">
        <is>
          <t>R06_Jawa Timur</t>
        </is>
      </c>
      <c r="C94" t="inlineStr">
        <is>
          <t>NOP KEDIRI</t>
        </is>
      </c>
      <c r="D94" s="38" t="n">
        <v>0</v>
      </c>
      <c r="E94" s="38" t="n">
        <v>0</v>
      </c>
      <c r="F94" s="36" t="n">
        <v>0</v>
      </c>
      <c r="G94" s="36" t="n">
        <v>2.286</v>
      </c>
      <c r="H94" s="36" t="n">
        <v>2</v>
      </c>
      <c r="I94" s="37" t="n">
        <v>1</v>
      </c>
      <c r="J94" s="36" t="n">
        <v>0</v>
      </c>
      <c r="K94" s="37" t="n">
        <v>0</v>
      </c>
      <c r="L94" s="36" t="n">
        <v>2</v>
      </c>
      <c r="M94" s="37" t="n">
        <v>1</v>
      </c>
      <c r="N94" s="36" t="n">
        <v>0</v>
      </c>
      <c r="O94" s="37" t="n">
        <v>0</v>
      </c>
      <c r="P94" s="36" t="n">
        <v>0</v>
      </c>
      <c r="Q94" s="37" t="n">
        <v>0</v>
      </c>
      <c r="R94" s="36" t="n">
        <v>2</v>
      </c>
      <c r="S94" s="37" t="n">
        <v>1</v>
      </c>
      <c r="T94" s="36" t="n">
        <v>2</v>
      </c>
      <c r="U94" s="37" t="n">
        <v>1</v>
      </c>
      <c r="V94" s="38" t="n">
        <v>0</v>
      </c>
      <c r="W94" s="38" t="n">
        <v>1.67</v>
      </c>
      <c r="X94" s="38" t="n">
        <v>3.53</v>
      </c>
      <c r="Y94" s="38" t="n">
        <v>0</v>
      </c>
      <c r="Z94" s="38" t="n">
        <v>0</v>
      </c>
      <c r="AA94" s="36" t="n">
        <v>3</v>
      </c>
      <c r="AB94" s="37" t="n">
        <v>1</v>
      </c>
      <c r="AC94" s="36" t="n">
        <v>1</v>
      </c>
      <c r="AD94" s="37" t="n">
        <v>1</v>
      </c>
      <c r="AE94" s="36" t="n">
        <v>2</v>
      </c>
      <c r="AF94" s="37" t="n">
        <v>1</v>
      </c>
      <c r="AG94" s="36" t="n">
        <v>1</v>
      </c>
      <c r="AH94" s="37" t="n">
        <v>1</v>
      </c>
    </row>
    <row r="95">
      <c r="A95" s="53" t="n">
        <v>45750</v>
      </c>
      <c r="B95" t="inlineStr">
        <is>
          <t>R06_Jawa Timur</t>
        </is>
      </c>
      <c r="C95" t="inlineStr">
        <is>
          <t>NOP LAMONGAN</t>
        </is>
      </c>
      <c r="D95" s="38" t="n">
        <v>0.87</v>
      </c>
      <c r="E95" s="38" t="n">
        <v>1.01</v>
      </c>
      <c r="F95" s="36" t="n">
        <v>3.22</v>
      </c>
      <c r="G95" s="36" t="n">
        <v>1.143</v>
      </c>
      <c r="H95" s="36" t="n">
        <v>16</v>
      </c>
      <c r="I95" s="37" t="n">
        <v>0.7619047619047619</v>
      </c>
      <c r="J95" s="36" t="n">
        <v>3</v>
      </c>
      <c r="K95" s="37" t="n">
        <v>1</v>
      </c>
      <c r="L95" s="36" t="n">
        <v>13</v>
      </c>
      <c r="M95" s="37" t="n">
        <v>0.7222222222222222</v>
      </c>
      <c r="N95" s="36" t="n">
        <v>2</v>
      </c>
      <c r="O95" s="37" t="n">
        <v>0.6666666666666666</v>
      </c>
      <c r="P95" s="36" t="n">
        <v>2</v>
      </c>
      <c r="Q95" s="37" t="n">
        <v>0.6666666666666666</v>
      </c>
      <c r="R95" s="36" t="n">
        <v>21</v>
      </c>
      <c r="S95" s="37" t="n">
        <v>1</v>
      </c>
      <c r="T95" s="36" t="n">
        <v>15</v>
      </c>
      <c r="U95" s="37" t="n">
        <v>0.7142857142857143</v>
      </c>
      <c r="V95" s="38" t="n">
        <v>0</v>
      </c>
      <c r="W95" s="38" t="n">
        <v>3.99</v>
      </c>
      <c r="X95" s="38" t="n">
        <v>4.395</v>
      </c>
      <c r="Y95" s="38" t="n">
        <v>33.322</v>
      </c>
      <c r="Z95" s="38" t="n">
        <v>0</v>
      </c>
      <c r="AA95" s="36" t="n">
        <v>13</v>
      </c>
      <c r="AB95" s="37" t="n">
        <v>0.9285714285714286</v>
      </c>
      <c r="AC95" s="36" t="n">
        <v>5</v>
      </c>
      <c r="AD95" s="37" t="n">
        <v>0.8333333333333334</v>
      </c>
      <c r="AE95" s="36" t="n">
        <v>8</v>
      </c>
      <c r="AF95" s="37" t="n">
        <v>1</v>
      </c>
      <c r="AG95" s="36" t="n">
        <v>4</v>
      </c>
      <c r="AH95" s="37" t="n">
        <v>0.8</v>
      </c>
    </row>
    <row r="96">
      <c r="A96" s="53" t="n">
        <v>45750</v>
      </c>
      <c r="B96" t="inlineStr">
        <is>
          <t>R06_Jawa Timur</t>
        </is>
      </c>
      <c r="C96" t="inlineStr">
        <is>
          <t>NOP MADIUN</t>
        </is>
      </c>
      <c r="D96" s="38" t="n">
        <v>0</v>
      </c>
      <c r="E96" s="38" t="n">
        <v>0</v>
      </c>
      <c r="F96" s="36" t="n">
        <v>3.942</v>
      </c>
      <c r="G96" s="36" t="n">
        <v>3.544</v>
      </c>
      <c r="H96" s="36" t="n">
        <v>5</v>
      </c>
      <c r="I96" s="37" t="n">
        <v>0.5</v>
      </c>
      <c r="J96" s="36" t="n">
        <v>0</v>
      </c>
      <c r="K96" s="37" t="n">
        <v>0</v>
      </c>
      <c r="L96" s="36" t="n">
        <v>5</v>
      </c>
      <c r="M96" s="37" t="n">
        <v>0.5</v>
      </c>
      <c r="N96" s="36" t="n">
        <v>0</v>
      </c>
      <c r="O96" s="37" t="n">
        <v>0</v>
      </c>
      <c r="P96" s="36" t="n">
        <v>0</v>
      </c>
      <c r="Q96" s="37" t="n">
        <v>0</v>
      </c>
      <c r="R96" s="36" t="n">
        <v>10</v>
      </c>
      <c r="S96" s="37" t="n">
        <v>1</v>
      </c>
      <c r="T96" s="36" t="n">
        <v>5</v>
      </c>
      <c r="U96" s="37" t="n">
        <v>0.5</v>
      </c>
      <c r="V96" s="38" t="n">
        <v>0</v>
      </c>
      <c r="W96" s="38" t="n">
        <v>1.377</v>
      </c>
      <c r="X96" s="38" t="n">
        <v>4.368</v>
      </c>
      <c r="Y96" s="38" t="n">
        <v>41.01</v>
      </c>
      <c r="Z96" s="38" t="n">
        <v>0</v>
      </c>
      <c r="AA96" s="36" t="n">
        <v>8</v>
      </c>
      <c r="AB96" s="37" t="n">
        <v>0.5333333333333333</v>
      </c>
      <c r="AC96" s="36" t="n">
        <v>2</v>
      </c>
      <c r="AD96" s="37" t="n">
        <v>1</v>
      </c>
      <c r="AE96" s="36" t="n">
        <v>6</v>
      </c>
      <c r="AF96" s="37" t="n">
        <v>0.4615384615384616</v>
      </c>
      <c r="AG96" s="36" t="n">
        <v>1</v>
      </c>
      <c r="AH96" s="37" t="n">
        <v>0.5</v>
      </c>
    </row>
    <row r="97">
      <c r="A97" s="53" t="n">
        <v>45750</v>
      </c>
      <c r="B97" t="inlineStr">
        <is>
          <t>R06_Jawa Timur</t>
        </is>
      </c>
      <c r="C97" t="inlineStr">
        <is>
          <t>NOP MALANG</t>
        </is>
      </c>
      <c r="D97" s="38" t="n">
        <v>0</v>
      </c>
      <c r="E97" s="38" t="n">
        <v>0</v>
      </c>
      <c r="F97" s="36" t="n">
        <v>1.988</v>
      </c>
      <c r="G97" s="36" t="n">
        <v>1.871</v>
      </c>
      <c r="H97" s="36" t="n">
        <v>4</v>
      </c>
      <c r="I97" s="37" t="n">
        <v>1</v>
      </c>
      <c r="J97" s="36" t="n">
        <v>0</v>
      </c>
      <c r="K97" s="37" t="n">
        <v>0</v>
      </c>
      <c r="L97" s="36" t="n">
        <v>4</v>
      </c>
      <c r="M97" s="37" t="n">
        <v>1</v>
      </c>
      <c r="N97" s="36" t="n">
        <v>0</v>
      </c>
      <c r="O97" s="37" t="n">
        <v>0</v>
      </c>
      <c r="P97" s="36" t="n">
        <v>0</v>
      </c>
      <c r="Q97" s="37" t="n">
        <v>0</v>
      </c>
      <c r="R97" s="36" t="n">
        <v>4</v>
      </c>
      <c r="S97" s="37" t="n">
        <v>1</v>
      </c>
      <c r="T97" s="36" t="n">
        <v>3</v>
      </c>
      <c r="U97" s="37" t="n">
        <v>0.75</v>
      </c>
      <c r="V97" s="38" t="n">
        <v>0</v>
      </c>
      <c r="W97" s="38" t="n">
        <v>1.28</v>
      </c>
      <c r="X97" s="38" t="n">
        <v>1.11</v>
      </c>
      <c r="Y97" s="38" t="n">
        <v>22.15</v>
      </c>
      <c r="Z97" s="38" t="n">
        <v>0</v>
      </c>
      <c r="AA97" s="36" t="n">
        <v>3</v>
      </c>
      <c r="AB97" s="37" t="n">
        <v>0.6</v>
      </c>
      <c r="AC97" s="36" t="n">
        <v>1</v>
      </c>
      <c r="AD97" s="37" t="n">
        <v>0.3333333333333333</v>
      </c>
      <c r="AE97" s="36" t="n">
        <v>2</v>
      </c>
      <c r="AF97" s="37" t="n">
        <v>1</v>
      </c>
      <c r="AG97" s="36" t="n">
        <v>0</v>
      </c>
      <c r="AH97" s="37" t="n">
        <v>0</v>
      </c>
    </row>
    <row r="98">
      <c r="A98" s="53" t="n">
        <v>45750</v>
      </c>
      <c r="B98" t="inlineStr">
        <is>
          <t>R06_Jawa Timur</t>
        </is>
      </c>
      <c r="C98" t="inlineStr">
        <is>
          <t>NOP SIDOARJO</t>
        </is>
      </c>
      <c r="D98" s="38" t="n">
        <v>3.594</v>
      </c>
      <c r="E98" s="38" t="n">
        <v>0</v>
      </c>
      <c r="F98" s="36" t="n">
        <v>4.78</v>
      </c>
      <c r="G98" s="36" t="n">
        <v>4.294</v>
      </c>
      <c r="H98" s="36" t="n">
        <v>13</v>
      </c>
      <c r="I98" s="37" t="n">
        <v>0.8125</v>
      </c>
      <c r="J98" s="36" t="n">
        <v>2</v>
      </c>
      <c r="K98" s="37" t="n">
        <v>1</v>
      </c>
      <c r="L98" s="36" t="n">
        <v>11</v>
      </c>
      <c r="M98" s="37" t="n">
        <v>0.7857142857142857</v>
      </c>
      <c r="N98" s="36" t="n">
        <v>2</v>
      </c>
      <c r="O98" s="37" t="n">
        <v>1</v>
      </c>
      <c r="P98" s="36" t="n">
        <v>2</v>
      </c>
      <c r="Q98" s="37" t="n">
        <v>1</v>
      </c>
      <c r="R98" s="36" t="n">
        <v>16</v>
      </c>
      <c r="S98" s="37" t="n">
        <v>1</v>
      </c>
      <c r="T98" s="36" t="n">
        <v>11</v>
      </c>
      <c r="U98" s="37" t="n">
        <v>0.6875</v>
      </c>
      <c r="V98" s="38" t="n">
        <v>0</v>
      </c>
      <c r="W98" s="38" t="n">
        <v>101.374</v>
      </c>
      <c r="X98" s="38" t="n">
        <v>4.994</v>
      </c>
      <c r="Y98" s="38" t="n">
        <v>7.67</v>
      </c>
      <c r="Z98" s="38" t="n">
        <v>0</v>
      </c>
      <c r="AA98" s="36" t="n">
        <v>13</v>
      </c>
      <c r="AB98" s="37" t="n">
        <v>0.6842105263157895</v>
      </c>
      <c r="AC98" s="36" t="n">
        <v>3</v>
      </c>
      <c r="AD98" s="37" t="n">
        <v>0.6</v>
      </c>
      <c r="AE98" s="36" t="n">
        <v>10</v>
      </c>
      <c r="AF98" s="37" t="n">
        <v>0.7142857142857143</v>
      </c>
      <c r="AG98" s="36" t="n">
        <v>2</v>
      </c>
      <c r="AH98" s="37" t="n">
        <v>0.6666666666666666</v>
      </c>
    </row>
    <row r="99">
      <c r="A99" s="53" t="n">
        <v>45750</v>
      </c>
      <c r="B99" t="inlineStr">
        <is>
          <t>R06_Jawa Timur</t>
        </is>
      </c>
      <c r="C99" t="inlineStr">
        <is>
          <t>NOP SURABAYA</t>
        </is>
      </c>
      <c r="D99" s="38" t="n">
        <v>1.143</v>
      </c>
      <c r="E99" s="38" t="n">
        <v>0</v>
      </c>
      <c r="F99" s="36" t="n">
        <v>6.312000000000008</v>
      </c>
      <c r="G99" s="36" t="n">
        <v>2.726</v>
      </c>
      <c r="H99" s="36" t="n">
        <v>11</v>
      </c>
      <c r="I99" s="37" t="n">
        <v>0.4230769230769231</v>
      </c>
      <c r="J99" s="36" t="n">
        <v>1</v>
      </c>
      <c r="K99" s="37" t="n">
        <v>0.25</v>
      </c>
      <c r="L99" s="36" t="n">
        <v>10</v>
      </c>
      <c r="M99" s="37" t="n">
        <v>0.4545454545454545</v>
      </c>
      <c r="N99" s="36" t="n">
        <v>1</v>
      </c>
      <c r="O99" s="37" t="n">
        <v>1</v>
      </c>
      <c r="P99" s="36" t="n">
        <v>1</v>
      </c>
      <c r="Q99" s="37" t="n">
        <v>1</v>
      </c>
      <c r="R99" s="36" t="n">
        <v>25</v>
      </c>
      <c r="S99" s="37" t="n">
        <v>0.9615384615384616</v>
      </c>
      <c r="T99" s="36" t="n">
        <v>7</v>
      </c>
      <c r="U99" s="37" t="n">
        <v>0.2692307692307692</v>
      </c>
      <c r="V99" s="38" t="n">
        <v>0</v>
      </c>
      <c r="W99" s="38" t="n">
        <v>16.03800000000001</v>
      </c>
      <c r="X99" s="38" t="n">
        <v>5.248000000000001</v>
      </c>
      <c r="Y99" s="38" t="n">
        <v>24.09200000000001</v>
      </c>
      <c r="Z99" s="38" t="n">
        <v>0</v>
      </c>
      <c r="AA99" s="36" t="n">
        <v>38</v>
      </c>
      <c r="AB99" s="37" t="n">
        <v>0.7169811320754716</v>
      </c>
      <c r="AC99" s="36" t="n">
        <v>3</v>
      </c>
      <c r="AD99" s="37" t="n">
        <v>0.4285714285714285</v>
      </c>
      <c r="AE99" s="36" t="n">
        <v>35</v>
      </c>
      <c r="AF99" s="37" t="n">
        <v>0.7608695652173914</v>
      </c>
      <c r="AG99" s="36" t="n">
        <v>1</v>
      </c>
      <c r="AH99" s="37" t="n">
        <v>0.3333333333333333</v>
      </c>
    </row>
    <row r="100">
      <c r="A100" s="53" t="n">
        <v>45750</v>
      </c>
      <c r="B100" t="inlineStr">
        <is>
          <t>R07_Bali Nusra</t>
        </is>
      </c>
      <c r="C100" t="inlineStr">
        <is>
          <t>NOP DENPASAR</t>
        </is>
      </c>
      <c r="D100" s="38" t="n">
        <v>1.779</v>
      </c>
      <c r="E100" s="38" t="n">
        <v>0</v>
      </c>
      <c r="F100" s="36" t="n">
        <v>4.599</v>
      </c>
      <c r="G100" s="36" t="n">
        <v>0.614</v>
      </c>
      <c r="H100" s="36" t="n">
        <v>7</v>
      </c>
      <c r="I100" s="37" t="n">
        <v>1</v>
      </c>
      <c r="J100" s="36" t="n">
        <v>2</v>
      </c>
      <c r="K100" s="37" t="n">
        <v>1</v>
      </c>
      <c r="L100" s="36" t="n">
        <v>5</v>
      </c>
      <c r="M100" s="37" t="n">
        <v>1</v>
      </c>
      <c r="N100" s="36" t="n">
        <v>2</v>
      </c>
      <c r="O100" s="37" t="n">
        <v>1</v>
      </c>
      <c r="P100" s="36" t="n">
        <v>2</v>
      </c>
      <c r="Q100" s="37" t="n">
        <v>1</v>
      </c>
      <c r="R100" s="36" t="n">
        <v>7</v>
      </c>
      <c r="S100" s="37" t="n">
        <v>1</v>
      </c>
      <c r="T100" s="36" t="n">
        <v>4</v>
      </c>
      <c r="U100" s="37" t="n">
        <v>0.5714285714285714</v>
      </c>
      <c r="V100" s="38" t="n">
        <v>0</v>
      </c>
      <c r="W100" s="38" t="n">
        <v>13.54</v>
      </c>
      <c r="X100" s="38" t="n">
        <v>167.316</v>
      </c>
      <c r="Y100" s="38" t="n">
        <v>7.23</v>
      </c>
      <c r="Z100" s="38" t="n">
        <v>0</v>
      </c>
      <c r="AA100" s="36" t="n">
        <v>12</v>
      </c>
      <c r="AB100" s="37" t="n">
        <v>0.8</v>
      </c>
      <c r="AC100" s="36" t="n">
        <v>3</v>
      </c>
      <c r="AD100" s="37" t="n">
        <v>0.6</v>
      </c>
      <c r="AE100" s="36" t="n">
        <v>9</v>
      </c>
      <c r="AF100" s="37" t="n">
        <v>0.9</v>
      </c>
      <c r="AG100" s="36" t="n">
        <v>0</v>
      </c>
      <c r="AH100" s="37" t="n">
        <v>0</v>
      </c>
    </row>
    <row r="101">
      <c r="A101" s="53" t="n">
        <v>45750</v>
      </c>
      <c r="B101" t="inlineStr">
        <is>
          <t>R07_Bali Nusra</t>
        </is>
      </c>
      <c r="C101" t="inlineStr">
        <is>
          <t>NOP FLORES</t>
        </is>
      </c>
      <c r="D101" s="38" t="n">
        <v>3.76</v>
      </c>
      <c r="E101" s="38" t="n">
        <v>4.918</v>
      </c>
      <c r="F101" s="36" t="n">
        <v>3.167</v>
      </c>
      <c r="G101" s="36" t="n">
        <v>11.63</v>
      </c>
      <c r="H101" s="36" t="n">
        <v>31</v>
      </c>
      <c r="I101" s="37" t="n">
        <v>0.4133333333333333</v>
      </c>
      <c r="J101" s="36" t="n">
        <v>12</v>
      </c>
      <c r="K101" s="37" t="n">
        <v>0.8</v>
      </c>
      <c r="L101" s="36" t="n">
        <v>19</v>
      </c>
      <c r="M101" s="37" t="n">
        <v>0.3166666666666667</v>
      </c>
      <c r="N101" s="36" t="n">
        <v>7</v>
      </c>
      <c r="O101" s="37" t="n">
        <v>0.5833333333333334</v>
      </c>
      <c r="P101" s="36" t="n">
        <v>7</v>
      </c>
      <c r="Q101" s="37" t="n">
        <v>0.5833333333333334</v>
      </c>
      <c r="R101" s="36" t="n">
        <v>75</v>
      </c>
      <c r="S101" s="37" t="n">
        <v>1</v>
      </c>
      <c r="T101" s="36" t="n">
        <v>17</v>
      </c>
      <c r="U101" s="37" t="n">
        <v>0.2266666666666667</v>
      </c>
      <c r="V101" s="38" t="n">
        <v>0</v>
      </c>
      <c r="W101" s="38" t="n">
        <v>11.50600000000001</v>
      </c>
      <c r="X101" s="38" t="n">
        <v>7.620000000000003</v>
      </c>
      <c r="Y101" s="38" t="n">
        <v>23.176</v>
      </c>
      <c r="Z101" s="38" t="n">
        <v>0</v>
      </c>
      <c r="AA101" s="36" t="n">
        <v>49</v>
      </c>
      <c r="AB101" s="37" t="n">
        <v>0.4579439252336449</v>
      </c>
      <c r="AC101" s="36" t="n">
        <v>40</v>
      </c>
      <c r="AD101" s="37" t="n">
        <v>0.5194805194805194</v>
      </c>
      <c r="AE101" s="36" t="n">
        <v>9</v>
      </c>
      <c r="AF101" s="37" t="n">
        <v>0.3</v>
      </c>
      <c r="AG101" s="36" t="n">
        <v>30</v>
      </c>
      <c r="AH101" s="37" t="n">
        <v>0.75</v>
      </c>
    </row>
    <row r="102">
      <c r="A102" s="53" t="n">
        <v>45750</v>
      </c>
      <c r="B102" t="inlineStr">
        <is>
          <t>R07_Bali Nusra</t>
        </is>
      </c>
      <c r="C102" t="inlineStr">
        <is>
          <t>NOP KUPANG</t>
        </is>
      </c>
      <c r="D102" s="38" t="n">
        <v>0</v>
      </c>
      <c r="E102" s="38" t="n">
        <v>0.671</v>
      </c>
      <c r="F102" s="36" t="n">
        <v>1.454</v>
      </c>
      <c r="G102" s="36" t="n">
        <v>5.698</v>
      </c>
      <c r="H102" s="36" t="n">
        <v>9</v>
      </c>
      <c r="I102" s="37" t="n">
        <v>0.3461538461538461</v>
      </c>
      <c r="J102" s="36" t="n">
        <v>2</v>
      </c>
      <c r="K102" s="37" t="n">
        <v>0.5</v>
      </c>
      <c r="L102" s="36" t="n">
        <v>7</v>
      </c>
      <c r="M102" s="37" t="n">
        <v>0.3181818181818182</v>
      </c>
      <c r="N102" s="36" t="n">
        <v>2</v>
      </c>
      <c r="O102" s="37" t="n">
        <v>1</v>
      </c>
      <c r="P102" s="36" t="n">
        <v>2</v>
      </c>
      <c r="Q102" s="37" t="n">
        <v>1</v>
      </c>
      <c r="R102" s="36" t="n">
        <v>26</v>
      </c>
      <c r="S102" s="37" t="n">
        <v>1</v>
      </c>
      <c r="T102" s="36" t="n">
        <v>3</v>
      </c>
      <c r="U102" s="37" t="n">
        <v>0.1153846153846154</v>
      </c>
      <c r="V102" s="38" t="n">
        <v>0.01</v>
      </c>
      <c r="W102" s="38" t="n">
        <v>103.0230000000001</v>
      </c>
      <c r="X102" s="38" t="n">
        <v>7.316</v>
      </c>
      <c r="Y102" s="38" t="n">
        <v>154.31</v>
      </c>
      <c r="Z102" s="38" t="n">
        <v>0</v>
      </c>
      <c r="AA102" s="36" t="n">
        <v>16</v>
      </c>
      <c r="AB102" s="37" t="n">
        <v>0.4848484848484849</v>
      </c>
      <c r="AC102" s="36" t="n">
        <v>9</v>
      </c>
      <c r="AD102" s="37" t="n">
        <v>0.6</v>
      </c>
      <c r="AE102" s="36" t="n">
        <v>7</v>
      </c>
      <c r="AF102" s="37" t="n">
        <v>0.3888888888888889</v>
      </c>
      <c r="AG102" s="36" t="n">
        <v>8</v>
      </c>
      <c r="AH102" s="37" t="n">
        <v>0.8888888888888888</v>
      </c>
    </row>
    <row r="103">
      <c r="A103" s="53" t="n">
        <v>45750</v>
      </c>
      <c r="B103" t="inlineStr">
        <is>
          <t>R07_Bali Nusra</t>
        </is>
      </c>
      <c r="C103" t="inlineStr">
        <is>
          <t>NOP MATARAM</t>
        </is>
      </c>
      <c r="D103" s="38" t="n">
        <v>4.95</v>
      </c>
      <c r="E103" s="38" t="n">
        <v>0.75</v>
      </c>
      <c r="F103" s="36" t="n">
        <v>2.575</v>
      </c>
      <c r="G103" s="36" t="n">
        <v>5.247999999999998</v>
      </c>
      <c r="H103" s="36" t="n">
        <v>7</v>
      </c>
      <c r="I103" s="37" t="n">
        <v>0.35</v>
      </c>
      <c r="J103" s="36" t="n">
        <v>0</v>
      </c>
      <c r="K103" s="37" t="n">
        <v>0</v>
      </c>
      <c r="L103" s="36" t="n">
        <v>7</v>
      </c>
      <c r="M103" s="37" t="n">
        <v>0.3888888888888889</v>
      </c>
      <c r="N103" s="36" t="n">
        <v>0</v>
      </c>
      <c r="O103" s="37" t="n">
        <v>0</v>
      </c>
      <c r="P103" s="36" t="n">
        <v>0</v>
      </c>
      <c r="Q103" s="37" t="n">
        <v>0</v>
      </c>
      <c r="R103" s="36" t="n">
        <v>20</v>
      </c>
      <c r="S103" s="37" t="n">
        <v>1</v>
      </c>
      <c r="T103" s="36" t="n">
        <v>4</v>
      </c>
      <c r="U103" s="37" t="n">
        <v>0.2</v>
      </c>
      <c r="V103" s="38" t="n">
        <v>0</v>
      </c>
      <c r="W103" s="38" t="n">
        <v>9.689000000000014</v>
      </c>
      <c r="X103" s="38" t="n">
        <v>9.197999999999993</v>
      </c>
      <c r="Y103" s="38" t="n">
        <v>20.2</v>
      </c>
      <c r="Z103" s="38" t="n">
        <v>0</v>
      </c>
      <c r="AA103" s="36" t="n">
        <v>18</v>
      </c>
      <c r="AB103" s="37" t="n">
        <v>0.4186046511627907</v>
      </c>
      <c r="AC103" s="36" t="n">
        <v>8</v>
      </c>
      <c r="AD103" s="37" t="n">
        <v>0.4444444444444444</v>
      </c>
      <c r="AE103" s="36" t="n">
        <v>10</v>
      </c>
      <c r="AF103" s="37" t="n">
        <v>0.4</v>
      </c>
      <c r="AG103" s="36" t="n">
        <v>6</v>
      </c>
      <c r="AH103" s="37" t="n">
        <v>0.75</v>
      </c>
    </row>
    <row r="104">
      <c r="A104" s="53" t="n">
        <v>45751</v>
      </c>
      <c r="B104" t="inlineStr">
        <is>
          <t>R01_Sumbagut</t>
        </is>
      </c>
      <c r="C104" t="inlineStr">
        <is>
          <t>NOP ACEH</t>
        </is>
      </c>
      <c r="D104" s="38" t="n">
        <v>0.41</v>
      </c>
      <c r="E104" s="38" t="n">
        <v>3.451999999999999</v>
      </c>
      <c r="F104" s="36" t="n">
        <v>22.81</v>
      </c>
      <c r="G104" s="36" t="n">
        <v>14.948</v>
      </c>
      <c r="H104" s="36" t="n">
        <v>70</v>
      </c>
      <c r="I104" s="37" t="n">
        <v>0.8045977011494253</v>
      </c>
      <c r="J104" s="36" t="n">
        <v>26</v>
      </c>
      <c r="K104" s="37" t="n">
        <v>0.8666666666666667</v>
      </c>
      <c r="L104" s="36" t="n">
        <v>44</v>
      </c>
      <c r="M104" s="37" t="n">
        <v>0.7719298245614035</v>
      </c>
      <c r="N104" s="36" t="n">
        <v>4</v>
      </c>
      <c r="O104" s="37" t="n">
        <v>0.1538461538461539</v>
      </c>
      <c r="P104" s="36" t="n">
        <v>4</v>
      </c>
      <c r="Q104" s="37" t="n">
        <v>0.1538461538461539</v>
      </c>
      <c r="R104" s="36" t="n">
        <v>87</v>
      </c>
      <c r="S104" s="37" t="n">
        <v>1</v>
      </c>
      <c r="T104" s="36" t="n">
        <v>11</v>
      </c>
      <c r="U104" s="37" t="n">
        <v>0.1264367816091954</v>
      </c>
      <c r="V104" s="38" t="n">
        <v>0.02</v>
      </c>
      <c r="W104" s="38" t="n">
        <v>6.24</v>
      </c>
      <c r="X104" s="38" t="n">
        <v>72.37199999999994</v>
      </c>
      <c r="Y104" s="38" t="n">
        <v>127.58</v>
      </c>
      <c r="Z104" s="38" t="n">
        <v>0</v>
      </c>
      <c r="AA104" s="36" t="n">
        <v>359</v>
      </c>
      <c r="AB104" s="37" t="n">
        <v>0.8842364532019704</v>
      </c>
      <c r="AC104" s="36" t="n">
        <v>33</v>
      </c>
      <c r="AD104" s="37" t="n">
        <v>0.7857142857142857</v>
      </c>
      <c r="AE104" s="36" t="n">
        <v>326</v>
      </c>
      <c r="AF104" s="37" t="n">
        <v>0.8956043956043956</v>
      </c>
      <c r="AG104" s="36" t="n">
        <v>0</v>
      </c>
      <c r="AH104" s="37" t="n">
        <v>0</v>
      </c>
    </row>
    <row r="105">
      <c r="A105" s="53" t="n">
        <v>45751</v>
      </c>
      <c r="B105" t="inlineStr">
        <is>
          <t>R01_Sumbagut</t>
        </is>
      </c>
      <c r="C105" t="inlineStr">
        <is>
          <t>NOP BINJAI</t>
        </is>
      </c>
      <c r="D105" s="38" t="n">
        <v>0</v>
      </c>
      <c r="E105" s="38" t="n">
        <v>4.563999999999999</v>
      </c>
      <c r="F105" s="36" t="n">
        <v>3.38</v>
      </c>
      <c r="G105" s="36" t="n">
        <v>3.953000000000002</v>
      </c>
      <c r="H105" s="36" t="n">
        <v>18</v>
      </c>
      <c r="I105" s="37" t="n">
        <v>0.4186046511627907</v>
      </c>
      <c r="J105" s="36" t="n">
        <v>7</v>
      </c>
      <c r="K105" s="37" t="n">
        <v>0.7</v>
      </c>
      <c r="L105" s="36" t="n">
        <v>11</v>
      </c>
      <c r="M105" s="37" t="n">
        <v>0.3333333333333333</v>
      </c>
      <c r="N105" s="36" t="n">
        <v>5</v>
      </c>
      <c r="O105" s="37" t="n">
        <v>0.7142857142857143</v>
      </c>
      <c r="P105" s="36" t="n">
        <v>5</v>
      </c>
      <c r="Q105" s="37" t="n">
        <v>0.7142857142857143</v>
      </c>
      <c r="R105" s="36" t="n">
        <v>43</v>
      </c>
      <c r="S105" s="37" t="n">
        <v>1</v>
      </c>
      <c r="T105" s="36" t="n">
        <v>13</v>
      </c>
      <c r="U105" s="37" t="n">
        <v>0.3023255813953488</v>
      </c>
      <c r="V105" s="38" t="n">
        <v>0</v>
      </c>
      <c r="W105" s="38" t="n">
        <v>3.449999999999998</v>
      </c>
      <c r="X105" s="38" t="n">
        <v>21.53</v>
      </c>
      <c r="Y105" s="38" t="n">
        <v>49.995</v>
      </c>
      <c r="Z105" s="38" t="n">
        <v>0</v>
      </c>
      <c r="AA105" s="36" t="n">
        <v>46</v>
      </c>
      <c r="AB105" s="37" t="n">
        <v>0.5609756097560976</v>
      </c>
      <c r="AC105" s="36" t="n">
        <v>12</v>
      </c>
      <c r="AD105" s="37" t="n">
        <v>0.631578947368421</v>
      </c>
      <c r="AE105" s="36" t="n">
        <v>32</v>
      </c>
      <c r="AF105" s="37" t="n">
        <v>0.5517241379310345</v>
      </c>
      <c r="AG105" s="36" t="n">
        <v>6</v>
      </c>
      <c r="AH105" s="37" t="n">
        <v>0.5</v>
      </c>
    </row>
    <row r="106">
      <c r="A106" s="53" t="n">
        <v>45751</v>
      </c>
      <c r="B106" t="inlineStr">
        <is>
          <t>R01_Sumbagut</t>
        </is>
      </c>
      <c r="C106" t="inlineStr">
        <is>
          <t>NOP MEDAN</t>
        </is>
      </c>
      <c r="D106" s="38" t="n">
        <v>0</v>
      </c>
      <c r="E106" s="38" t="n">
        <v>1.01</v>
      </c>
      <c r="F106" s="36" t="n">
        <v>0.43</v>
      </c>
      <c r="G106" s="36" t="n">
        <v>5.11</v>
      </c>
      <c r="H106" s="36" t="n">
        <v>3</v>
      </c>
      <c r="I106" s="37" t="n">
        <v>0.25</v>
      </c>
      <c r="J106" s="36" t="n">
        <v>1</v>
      </c>
      <c r="K106" s="37" t="n">
        <v>1</v>
      </c>
      <c r="L106" s="36" t="n">
        <v>2</v>
      </c>
      <c r="M106" s="37" t="n">
        <v>0.1818181818181818</v>
      </c>
      <c r="N106" s="36" t="n">
        <v>1</v>
      </c>
      <c r="O106" s="37" t="n">
        <v>1</v>
      </c>
      <c r="P106" s="36" t="n">
        <v>1</v>
      </c>
      <c r="Q106" s="37" t="n">
        <v>1</v>
      </c>
      <c r="R106" s="36" t="n">
        <v>12</v>
      </c>
      <c r="S106" s="37" t="n">
        <v>1</v>
      </c>
      <c r="T106" s="36" t="n">
        <v>3</v>
      </c>
      <c r="U106" s="37" t="n">
        <v>0.25</v>
      </c>
      <c r="V106" s="38" t="n">
        <v>0</v>
      </c>
      <c r="W106" s="38" t="n">
        <v>9.008000000000006</v>
      </c>
      <c r="X106" s="38" t="n">
        <v>19.405</v>
      </c>
      <c r="Y106" s="38" t="n">
        <v>0</v>
      </c>
      <c r="Z106" s="38" t="n">
        <v>0</v>
      </c>
      <c r="AA106" s="36" t="n">
        <v>7</v>
      </c>
      <c r="AB106" s="37" t="n">
        <v>0.2692307692307692</v>
      </c>
      <c r="AC106" s="36" t="n">
        <v>2</v>
      </c>
      <c r="AD106" s="37" t="n">
        <v>0.2857142857142857</v>
      </c>
      <c r="AE106" s="36" t="n">
        <v>5</v>
      </c>
      <c r="AF106" s="37" t="n">
        <v>0.2631578947368421</v>
      </c>
      <c r="AG106" s="36" t="n">
        <v>2</v>
      </c>
      <c r="AH106" s="37" t="n">
        <v>1</v>
      </c>
    </row>
    <row r="107">
      <c r="A107" s="53" t="n">
        <v>45751</v>
      </c>
      <c r="B107" t="inlineStr">
        <is>
          <t>R01_Sumbagut</t>
        </is>
      </c>
      <c r="C107" t="inlineStr">
        <is>
          <t>NOP PADANG SIDEMPUAN</t>
        </is>
      </c>
      <c r="D107" s="38" t="n">
        <v>0</v>
      </c>
      <c r="E107" s="38" t="n">
        <v>3.116000000000002</v>
      </c>
      <c r="F107" s="36" t="n">
        <v>4.771000000000002</v>
      </c>
      <c r="G107" s="36" t="n">
        <v>5.100000000000001</v>
      </c>
      <c r="H107" s="36" t="n">
        <v>26</v>
      </c>
      <c r="I107" s="37" t="n">
        <v>0.2574257425742574</v>
      </c>
      <c r="J107" s="36" t="n">
        <v>11</v>
      </c>
      <c r="K107" s="37" t="n">
        <v>0.6111111111111112</v>
      </c>
      <c r="L107" s="36" t="n">
        <v>15</v>
      </c>
      <c r="M107" s="37" t="n">
        <v>0.1807228915662651</v>
      </c>
      <c r="N107" s="36" t="n">
        <v>4</v>
      </c>
      <c r="O107" s="37" t="n">
        <v>0.3636363636363636</v>
      </c>
      <c r="P107" s="36" t="n">
        <v>4</v>
      </c>
      <c r="Q107" s="37" t="n">
        <v>0.3636363636363636</v>
      </c>
      <c r="R107" s="36" t="n">
        <v>101</v>
      </c>
      <c r="S107" s="37" t="n">
        <v>1</v>
      </c>
      <c r="T107" s="36" t="n">
        <v>13</v>
      </c>
      <c r="U107" s="37" t="n">
        <v>0.1287128712871287</v>
      </c>
      <c r="V107" s="38" t="n">
        <v>0.01</v>
      </c>
      <c r="W107" s="38" t="n">
        <v>2.282</v>
      </c>
      <c r="X107" s="38" t="n">
        <v>15.736</v>
      </c>
      <c r="Y107" s="38" t="n">
        <v>70.21300000000009</v>
      </c>
      <c r="Z107" s="38" t="n">
        <v>0</v>
      </c>
      <c r="AA107" s="36" t="n">
        <v>75</v>
      </c>
      <c r="AB107" s="37" t="n">
        <v>0.2604166666666667</v>
      </c>
      <c r="AC107" s="36" t="n">
        <v>39</v>
      </c>
      <c r="AD107" s="37" t="n">
        <v>0.4333333333333333</v>
      </c>
      <c r="AE107" s="36" t="n">
        <v>36</v>
      </c>
      <c r="AF107" s="37" t="n">
        <v>0.182741116751269</v>
      </c>
      <c r="AG107" s="36" t="n">
        <v>19</v>
      </c>
      <c r="AH107" s="37" t="n">
        <v>0.4871794871794872</v>
      </c>
    </row>
    <row r="108">
      <c r="A108" s="53" t="n">
        <v>45751</v>
      </c>
      <c r="B108" t="inlineStr">
        <is>
          <t>R01_Sumbagut</t>
        </is>
      </c>
      <c r="C108" t="inlineStr">
        <is>
          <t>NOP PEMATANG SIANTAR</t>
        </is>
      </c>
      <c r="D108" s="38" t="n">
        <v>0.6800000000000003</v>
      </c>
      <c r="E108" s="38" t="n">
        <v>3.73</v>
      </c>
      <c r="F108" s="36" t="n">
        <v>4.674</v>
      </c>
      <c r="G108" s="36" t="n">
        <v>1.780000000000001</v>
      </c>
      <c r="H108" s="36" t="n">
        <v>24</v>
      </c>
      <c r="I108" s="37" t="n">
        <v>0.3157894736842105</v>
      </c>
      <c r="J108" s="36" t="n">
        <v>6</v>
      </c>
      <c r="K108" s="37" t="n">
        <v>0.25</v>
      </c>
      <c r="L108" s="36" t="n">
        <v>18</v>
      </c>
      <c r="M108" s="37" t="n">
        <v>0.3461538461538461</v>
      </c>
      <c r="N108" s="36" t="n">
        <v>5</v>
      </c>
      <c r="O108" s="37" t="n">
        <v>0.8333333333333334</v>
      </c>
      <c r="P108" s="36" t="n">
        <v>5</v>
      </c>
      <c r="Q108" s="37" t="n">
        <v>0.8333333333333334</v>
      </c>
      <c r="R108" s="36" t="n">
        <v>76</v>
      </c>
      <c r="S108" s="37" t="n">
        <v>1</v>
      </c>
      <c r="T108" s="36" t="n">
        <v>12</v>
      </c>
      <c r="U108" s="37" t="n">
        <v>0.1578947368421053</v>
      </c>
      <c r="V108" s="38" t="n">
        <v>0.01</v>
      </c>
      <c r="W108" s="38" t="n">
        <v>2.8</v>
      </c>
      <c r="X108" s="38" t="n">
        <v>76.45</v>
      </c>
      <c r="Y108" s="38" t="n">
        <v>60.156</v>
      </c>
      <c r="Z108" s="38" t="n">
        <v>0</v>
      </c>
      <c r="AA108" s="36" t="n">
        <v>31</v>
      </c>
      <c r="AB108" s="37" t="n">
        <v>0.06444906444906445</v>
      </c>
      <c r="AC108" s="36" t="n">
        <v>11</v>
      </c>
      <c r="AD108" s="37" t="n">
        <v>0.3235294117647059</v>
      </c>
      <c r="AE108" s="36" t="n">
        <v>18</v>
      </c>
      <c r="AF108" s="37" t="n">
        <v>0.04044943820224719</v>
      </c>
      <c r="AG108" s="36" t="n">
        <v>10</v>
      </c>
      <c r="AH108" s="37" t="n">
        <v>0.9090909090909091</v>
      </c>
    </row>
    <row r="109">
      <c r="A109" s="53" t="n">
        <v>45751</v>
      </c>
      <c r="B109" t="inlineStr">
        <is>
          <t>R01_Sumbagut</t>
        </is>
      </c>
      <c r="C109" t="inlineStr">
        <is>
          <t>NOP RANTAU PRAPAT</t>
        </is>
      </c>
      <c r="D109" s="38" t="n">
        <v>3.187</v>
      </c>
      <c r="E109" s="38" t="n">
        <v>8.527000000000013</v>
      </c>
      <c r="F109" s="36" t="n">
        <v>9.18</v>
      </c>
      <c r="G109" s="36" t="n">
        <v>11.78</v>
      </c>
      <c r="H109" s="36" t="n">
        <v>45</v>
      </c>
      <c r="I109" s="37" t="n">
        <v>0.252808988764045</v>
      </c>
      <c r="J109" s="36" t="n">
        <v>6</v>
      </c>
      <c r="K109" s="37" t="n">
        <v>0.1428571428571428</v>
      </c>
      <c r="L109" s="36" t="n">
        <v>39</v>
      </c>
      <c r="M109" s="37" t="n">
        <v>0.2867647058823529</v>
      </c>
      <c r="N109" s="36" t="n">
        <v>3</v>
      </c>
      <c r="O109" s="37" t="n">
        <v>0.5</v>
      </c>
      <c r="P109" s="36" t="n">
        <v>3</v>
      </c>
      <c r="Q109" s="37" t="n">
        <v>0.5</v>
      </c>
      <c r="R109" s="36" t="n">
        <v>173</v>
      </c>
      <c r="S109" s="37" t="n">
        <v>0.9719101123595506</v>
      </c>
      <c r="T109" s="36" t="n">
        <v>26</v>
      </c>
      <c r="U109" s="37" t="n">
        <v>0.1460674157303371</v>
      </c>
      <c r="V109" s="38" t="n">
        <v>0</v>
      </c>
      <c r="W109" s="38" t="n">
        <v>5.950000000000001</v>
      </c>
      <c r="X109" s="38" t="n">
        <v>27.98900000000001</v>
      </c>
      <c r="Y109" s="38" t="n">
        <v>23.604</v>
      </c>
      <c r="Z109" s="38" t="n">
        <v>0</v>
      </c>
      <c r="AA109" s="36" t="n">
        <v>21</v>
      </c>
      <c r="AB109" s="37" t="n">
        <v>0.05706521739130434</v>
      </c>
      <c r="AC109" s="36" t="n">
        <v>7</v>
      </c>
      <c r="AD109" s="37" t="n">
        <v>0.1944444444444444</v>
      </c>
      <c r="AE109" s="36" t="n">
        <v>12</v>
      </c>
      <c r="AF109" s="37" t="n">
        <v>0.0364741641337386</v>
      </c>
      <c r="AG109" s="36" t="n">
        <v>5</v>
      </c>
      <c r="AH109" s="37" t="n">
        <v>0.7142857142857143</v>
      </c>
    </row>
    <row r="110">
      <c r="A110" s="53" t="n">
        <v>45751</v>
      </c>
      <c r="B110" t="inlineStr">
        <is>
          <t>R10_Sumbagteng</t>
        </is>
      </c>
      <c r="C110" t="inlineStr">
        <is>
          <t>NOP BATAM</t>
        </is>
      </c>
      <c r="D110" s="38" t="n">
        <v>0</v>
      </c>
      <c r="E110" s="38" t="n">
        <v>6.996</v>
      </c>
      <c r="F110" s="36" t="n">
        <v>4.795</v>
      </c>
      <c r="G110" s="36" t="n">
        <v>7.81200000000001</v>
      </c>
      <c r="H110" s="36" t="n">
        <v>37</v>
      </c>
      <c r="I110" s="37" t="n">
        <v>0.2341772151898734</v>
      </c>
      <c r="J110" s="36" t="n">
        <v>4</v>
      </c>
      <c r="K110" s="37" t="n">
        <v>0.1666666666666667</v>
      </c>
      <c r="L110" s="36" t="n">
        <v>33</v>
      </c>
      <c r="M110" s="37" t="n">
        <v>0.2462686567164179</v>
      </c>
      <c r="N110" s="36" t="n">
        <v>4</v>
      </c>
      <c r="O110" s="37" t="n">
        <v>1</v>
      </c>
      <c r="P110" s="36" t="n">
        <v>4</v>
      </c>
      <c r="Q110" s="37" t="n">
        <v>1</v>
      </c>
      <c r="R110" s="36" t="n">
        <v>156</v>
      </c>
      <c r="S110" s="37" t="n">
        <v>0.9873417721518988</v>
      </c>
      <c r="T110" s="36" t="n">
        <v>16</v>
      </c>
      <c r="U110" s="37" t="n">
        <v>0.1012658227848101</v>
      </c>
      <c r="V110" s="38" t="n">
        <v>0</v>
      </c>
      <c r="W110" s="38" t="n">
        <v>9.130000000000001</v>
      </c>
      <c r="X110" s="38" t="n">
        <v>43.29899999999998</v>
      </c>
      <c r="Y110" s="38" t="n">
        <v>47.60800000000003</v>
      </c>
      <c r="Z110" s="38" t="n">
        <v>0</v>
      </c>
      <c r="AA110" s="36" t="n">
        <v>29</v>
      </c>
      <c r="AB110" s="37" t="n">
        <v>0.09830508474576272</v>
      </c>
      <c r="AC110" s="36" t="n">
        <v>12</v>
      </c>
      <c r="AD110" s="37" t="n">
        <v>0.24</v>
      </c>
      <c r="AE110" s="36" t="n">
        <v>17</v>
      </c>
      <c r="AF110" s="37" t="n">
        <v>0.06938775510204082</v>
      </c>
      <c r="AG110" s="36" t="n">
        <v>10</v>
      </c>
      <c r="AH110" s="37" t="n">
        <v>0.8333333333333334</v>
      </c>
    </row>
    <row r="111">
      <c r="A111" s="53" t="n">
        <v>45751</v>
      </c>
      <c r="B111" t="inlineStr">
        <is>
          <t>R10_Sumbagteng</t>
        </is>
      </c>
      <c r="C111" t="inlineStr">
        <is>
          <t>NOP BUKITTINGGI</t>
        </is>
      </c>
      <c r="D111" s="38" t="n">
        <v>1.15</v>
      </c>
      <c r="E111" s="38" t="n">
        <v>2.356</v>
      </c>
      <c r="F111" s="36" t="n">
        <v>3.34</v>
      </c>
      <c r="G111" s="36" t="n">
        <v>4.022000000000001</v>
      </c>
      <c r="H111" s="36" t="n">
        <v>65</v>
      </c>
      <c r="I111" s="37" t="n">
        <v>0.7831325301204819</v>
      </c>
      <c r="J111" s="36" t="n">
        <v>13</v>
      </c>
      <c r="K111" s="37" t="n">
        <v>0.8125</v>
      </c>
      <c r="L111" s="36" t="n">
        <v>52</v>
      </c>
      <c r="M111" s="37" t="n">
        <v>0.7761194029850746</v>
      </c>
      <c r="N111" s="36" t="n">
        <v>11</v>
      </c>
      <c r="O111" s="37" t="n">
        <v>0.8461538461538461</v>
      </c>
      <c r="P111" s="36" t="n">
        <v>11</v>
      </c>
      <c r="Q111" s="37" t="n">
        <v>0.8461538461538461</v>
      </c>
      <c r="R111" s="36" t="n">
        <v>82</v>
      </c>
      <c r="S111" s="37" t="n">
        <v>0.9879518072289156</v>
      </c>
      <c r="T111" s="36" t="n">
        <v>36</v>
      </c>
      <c r="U111" s="37" t="n">
        <v>0.4337349397590362</v>
      </c>
      <c r="V111" s="38" t="n">
        <v>0</v>
      </c>
      <c r="W111" s="38" t="n">
        <v>2.19</v>
      </c>
      <c r="X111" s="38" t="n">
        <v>7.068000000000001</v>
      </c>
      <c r="Y111" s="38" t="n">
        <v>97.17399999999999</v>
      </c>
      <c r="Z111" s="38" t="n">
        <v>0</v>
      </c>
      <c r="AA111" s="36" t="n">
        <v>71</v>
      </c>
      <c r="AB111" s="37" t="n">
        <v>0.3858695652173913</v>
      </c>
      <c r="AC111" s="36" t="n">
        <v>17</v>
      </c>
      <c r="AD111" s="37" t="n">
        <v>0.8947368421052632</v>
      </c>
      <c r="AE111" s="36" t="n">
        <v>53</v>
      </c>
      <c r="AF111" s="37" t="n">
        <v>0.3231707317073171</v>
      </c>
      <c r="AG111" s="36" t="n">
        <v>12</v>
      </c>
      <c r="AH111" s="37" t="n">
        <v>0.7058823529411765</v>
      </c>
    </row>
    <row r="112">
      <c r="A112" s="53" t="n">
        <v>45751</v>
      </c>
      <c r="B112" t="inlineStr">
        <is>
          <t>R10_Sumbagteng</t>
        </is>
      </c>
      <c r="C112" t="inlineStr">
        <is>
          <t>NOP DUMAI</t>
        </is>
      </c>
      <c r="D112" s="38" t="n">
        <v>3.91</v>
      </c>
      <c r="E112" s="38" t="n">
        <v>8.029999999999999</v>
      </c>
      <c r="F112" s="36" t="n">
        <v>10.27</v>
      </c>
      <c r="G112" s="36" t="n">
        <v>3.675</v>
      </c>
      <c r="H112" s="36" t="n">
        <v>63</v>
      </c>
      <c r="I112" s="37" t="n">
        <v>0.3865030674846626</v>
      </c>
      <c r="J112" s="36" t="n">
        <v>25</v>
      </c>
      <c r="K112" s="37" t="n">
        <v>0.5</v>
      </c>
      <c r="L112" s="36" t="n">
        <v>38</v>
      </c>
      <c r="M112" s="37" t="n">
        <v>0.336283185840708</v>
      </c>
      <c r="N112" s="36" t="n">
        <v>21</v>
      </c>
      <c r="O112" s="37" t="n">
        <v>0.84</v>
      </c>
      <c r="P112" s="36" t="n">
        <v>21</v>
      </c>
      <c r="Q112" s="37" t="n">
        <v>0.84</v>
      </c>
      <c r="R112" s="36" t="n">
        <v>159</v>
      </c>
      <c r="S112" s="37" t="n">
        <v>0.9754601226993865</v>
      </c>
      <c r="T112" s="36" t="n">
        <v>40</v>
      </c>
      <c r="U112" s="37" t="n">
        <v>0.245398773006135</v>
      </c>
      <c r="V112" s="38" t="n">
        <v>0.1780000000000001</v>
      </c>
      <c r="W112" s="38" t="n">
        <v>7.192000000000007</v>
      </c>
      <c r="X112" s="38" t="n">
        <v>40.704</v>
      </c>
      <c r="Y112" s="38" t="n">
        <v>235.43</v>
      </c>
      <c r="Z112" s="38" t="n">
        <v>0</v>
      </c>
      <c r="AA112" s="36" t="n">
        <v>79</v>
      </c>
      <c r="AB112" s="37" t="n">
        <v>0.2523961661341853</v>
      </c>
      <c r="AC112" s="36" t="n">
        <v>12</v>
      </c>
      <c r="AD112" s="37" t="n">
        <v>0.24</v>
      </c>
      <c r="AE112" s="36" t="n">
        <v>66</v>
      </c>
      <c r="AF112" s="37" t="n">
        <v>0.2548262548262548</v>
      </c>
      <c r="AG112" s="36" t="n">
        <v>12</v>
      </c>
      <c r="AH112" s="37" t="n">
        <v>1</v>
      </c>
    </row>
    <row r="113">
      <c r="A113" s="53" t="n">
        <v>45751</v>
      </c>
      <c r="B113" t="inlineStr">
        <is>
          <t>R10_Sumbagteng</t>
        </is>
      </c>
      <c r="C113" t="inlineStr">
        <is>
          <t>NOP PADANG</t>
        </is>
      </c>
      <c r="D113" s="38" t="n">
        <v>0</v>
      </c>
      <c r="E113" s="38" t="n">
        <v>1.03</v>
      </c>
      <c r="F113" s="36" t="n">
        <v>4.18</v>
      </c>
      <c r="G113" s="36" t="n">
        <v>15.457</v>
      </c>
      <c r="H113" s="36" t="n">
        <v>59</v>
      </c>
      <c r="I113" s="37" t="n">
        <v>0.8194444444444444</v>
      </c>
      <c r="J113" s="36" t="n">
        <v>2</v>
      </c>
      <c r="K113" s="37" t="n">
        <v>0.2857142857142857</v>
      </c>
      <c r="L113" s="36" t="n">
        <v>57</v>
      </c>
      <c r="M113" s="37" t="n">
        <v>0.8769230769230769</v>
      </c>
      <c r="N113" s="36" t="n">
        <v>0</v>
      </c>
      <c r="O113" s="37" t="n">
        <v>0</v>
      </c>
      <c r="P113" s="36" t="n">
        <v>0</v>
      </c>
      <c r="Q113" s="37" t="n">
        <v>0</v>
      </c>
      <c r="R113" s="36" t="n">
        <v>72</v>
      </c>
      <c r="S113" s="37" t="n">
        <v>1</v>
      </c>
      <c r="T113" s="36" t="n">
        <v>24</v>
      </c>
      <c r="U113" s="37" t="n">
        <v>0.3333333333333333</v>
      </c>
      <c r="V113" s="38" t="n">
        <v>0</v>
      </c>
      <c r="W113" s="38" t="n">
        <v>4.68</v>
      </c>
      <c r="X113" s="38" t="n">
        <v>54.95400000000006</v>
      </c>
      <c r="Y113" s="38" t="n">
        <v>64.756</v>
      </c>
      <c r="Z113" s="38" t="n">
        <v>0</v>
      </c>
      <c r="AA113" s="36" t="n">
        <v>228</v>
      </c>
      <c r="AB113" s="37" t="n">
        <v>0.75</v>
      </c>
      <c r="AC113" s="36" t="n">
        <v>35</v>
      </c>
      <c r="AD113" s="37" t="n">
        <v>0.6862745098039216</v>
      </c>
      <c r="AE113" s="36" t="n">
        <v>193</v>
      </c>
      <c r="AF113" s="37" t="n">
        <v>0.7628458498023716</v>
      </c>
      <c r="AG113" s="36" t="n">
        <v>14</v>
      </c>
      <c r="AH113" s="37" t="n">
        <v>0.4</v>
      </c>
    </row>
    <row r="114">
      <c r="A114" s="53" t="n">
        <v>45751</v>
      </c>
      <c r="B114" t="inlineStr">
        <is>
          <t>R10_Sumbagteng</t>
        </is>
      </c>
      <c r="C114" t="inlineStr">
        <is>
          <t>NOP PEKANBARU</t>
        </is>
      </c>
      <c r="D114" s="38" t="n">
        <v>15.775</v>
      </c>
      <c r="E114" s="38" t="n">
        <v>6.085000000000004</v>
      </c>
      <c r="F114" s="36" t="n">
        <v>9.34</v>
      </c>
      <c r="G114" s="36" t="n">
        <v>5.990000000000013</v>
      </c>
      <c r="H114" s="36" t="n">
        <v>66</v>
      </c>
      <c r="I114" s="37" t="n">
        <v>0.3455497382198953</v>
      </c>
      <c r="J114" s="36" t="n">
        <v>13</v>
      </c>
      <c r="K114" s="37" t="n">
        <v>0.5</v>
      </c>
      <c r="L114" s="36" t="n">
        <v>53</v>
      </c>
      <c r="M114" s="37" t="n">
        <v>0.3212121212121212</v>
      </c>
      <c r="N114" s="36" t="n">
        <v>9</v>
      </c>
      <c r="O114" s="37" t="n">
        <v>0.6923076923076923</v>
      </c>
      <c r="P114" s="36" t="n">
        <v>9</v>
      </c>
      <c r="Q114" s="37" t="n">
        <v>0.6923076923076923</v>
      </c>
      <c r="R114" s="36" t="n">
        <v>191</v>
      </c>
      <c r="S114" s="37" t="n">
        <v>1</v>
      </c>
      <c r="T114" s="36" t="n">
        <v>38</v>
      </c>
      <c r="U114" s="37" t="n">
        <v>0.1989528795811518</v>
      </c>
      <c r="V114" s="38" t="n">
        <v>0.01</v>
      </c>
      <c r="W114" s="38" t="n">
        <v>3.528000000000002</v>
      </c>
      <c r="X114" s="38" t="n">
        <v>43.902</v>
      </c>
      <c r="Y114" s="38" t="n">
        <v>73.09</v>
      </c>
      <c r="Z114" s="38" t="n">
        <v>0</v>
      </c>
      <c r="AA114" s="36" t="n">
        <v>95</v>
      </c>
      <c r="AB114" s="37" t="n">
        <v>0.296875</v>
      </c>
      <c r="AC114" s="36" t="n">
        <v>27</v>
      </c>
      <c r="AD114" s="37" t="n">
        <v>0.28125</v>
      </c>
      <c r="AE114" s="36" t="n">
        <v>67</v>
      </c>
      <c r="AF114" s="37" t="n">
        <v>0.3004484304932735</v>
      </c>
      <c r="AG114" s="36" t="n">
        <v>23</v>
      </c>
      <c r="AH114" s="37" t="n">
        <v>0.8518518518518519</v>
      </c>
    </row>
    <row r="115">
      <c r="A115" s="53" t="n">
        <v>45751</v>
      </c>
      <c r="B115" t="inlineStr">
        <is>
          <t>R02_Sumbagsel</t>
        </is>
      </c>
      <c r="C115" t="inlineStr">
        <is>
          <t>NOP BENGKULU</t>
        </is>
      </c>
      <c r="D115" s="38" t="n">
        <v>0.6899999999999999</v>
      </c>
      <c r="E115" s="38" t="n">
        <v>1.852</v>
      </c>
      <c r="F115" s="36" t="n">
        <v>3.64</v>
      </c>
      <c r="G115" s="36" t="n">
        <v>9.699000000000005</v>
      </c>
      <c r="H115" s="36" t="n">
        <v>34</v>
      </c>
      <c r="I115" s="37" t="n">
        <v>0.4</v>
      </c>
      <c r="J115" s="36" t="n">
        <v>7</v>
      </c>
      <c r="K115" s="37" t="n">
        <v>0.5833333333333334</v>
      </c>
      <c r="L115" s="36" t="n">
        <v>27</v>
      </c>
      <c r="M115" s="37" t="n">
        <v>0.3698630136986301</v>
      </c>
      <c r="N115" s="36" t="n">
        <v>3</v>
      </c>
      <c r="O115" s="37" t="n">
        <v>0.4285714285714285</v>
      </c>
      <c r="P115" s="36" t="n">
        <v>3</v>
      </c>
      <c r="Q115" s="37" t="n">
        <v>0.4285714285714285</v>
      </c>
      <c r="R115" s="36" t="n">
        <v>85</v>
      </c>
      <c r="S115" s="37" t="n">
        <v>1</v>
      </c>
      <c r="T115" s="36" t="n">
        <v>14</v>
      </c>
      <c r="U115" s="37" t="n">
        <v>0.1647058823529412</v>
      </c>
      <c r="V115" s="38" t="n">
        <v>0</v>
      </c>
      <c r="W115" s="38" t="n">
        <v>3.228999999999998</v>
      </c>
      <c r="X115" s="38" t="n">
        <v>19.042</v>
      </c>
      <c r="Y115" s="38" t="n">
        <v>17.50800000000001</v>
      </c>
      <c r="Z115" s="38" t="n">
        <v>0</v>
      </c>
      <c r="AA115" s="36" t="n">
        <v>72</v>
      </c>
      <c r="AB115" s="37" t="n">
        <v>0.3495145631067961</v>
      </c>
      <c r="AC115" s="36" t="n">
        <v>44</v>
      </c>
      <c r="AD115" s="37" t="n">
        <v>0.275</v>
      </c>
      <c r="AE115" s="36" t="n">
        <v>28</v>
      </c>
      <c r="AF115" s="37" t="n">
        <v>0.717948717948718</v>
      </c>
      <c r="AG115" s="36" t="n">
        <v>41</v>
      </c>
      <c r="AH115" s="37" t="n">
        <v>0.9318181818181818</v>
      </c>
    </row>
    <row r="116">
      <c r="A116" s="53" t="n">
        <v>45751</v>
      </c>
      <c r="B116" t="inlineStr">
        <is>
          <t>R02_Sumbagsel</t>
        </is>
      </c>
      <c r="C116" t="inlineStr">
        <is>
          <t>NOP JAMBI</t>
        </is>
      </c>
      <c r="D116" s="38" t="n">
        <v>3.082</v>
      </c>
      <c r="E116" s="38" t="n">
        <v>3.176</v>
      </c>
      <c r="F116" s="36" t="n">
        <v>2.456000000000001</v>
      </c>
      <c r="G116" s="36" t="n">
        <v>4.212000000000002</v>
      </c>
      <c r="H116" s="36" t="n">
        <v>38</v>
      </c>
      <c r="I116" s="37" t="n">
        <v>0.3064516129032258</v>
      </c>
      <c r="J116" s="36" t="n">
        <v>21</v>
      </c>
      <c r="K116" s="37" t="n">
        <v>0.4038461538461539</v>
      </c>
      <c r="L116" s="36" t="n">
        <v>17</v>
      </c>
      <c r="M116" s="37" t="n">
        <v>0.2361111111111111</v>
      </c>
      <c r="N116" s="36" t="n">
        <v>13</v>
      </c>
      <c r="O116" s="37" t="n">
        <v>0.6190476190476191</v>
      </c>
      <c r="P116" s="36" t="n">
        <v>13</v>
      </c>
      <c r="Q116" s="37" t="n">
        <v>0.6190476190476191</v>
      </c>
      <c r="R116" s="36" t="n">
        <v>124</v>
      </c>
      <c r="S116" s="37" t="n">
        <v>1</v>
      </c>
      <c r="T116" s="36" t="n">
        <v>23</v>
      </c>
      <c r="U116" s="37" t="n">
        <v>0.1854838709677419</v>
      </c>
      <c r="V116" s="38" t="n">
        <v>0</v>
      </c>
      <c r="W116" s="38" t="n">
        <v>5.292000000000003</v>
      </c>
      <c r="X116" s="38" t="n">
        <v>11.40700000000002</v>
      </c>
      <c r="Y116" s="38" t="n">
        <v>19</v>
      </c>
      <c r="Z116" s="38" t="n">
        <v>0</v>
      </c>
      <c r="AA116" s="36" t="n">
        <v>177</v>
      </c>
      <c r="AB116" s="37" t="n">
        <v>0.7165991902834008</v>
      </c>
      <c r="AC116" s="36" t="n">
        <v>99</v>
      </c>
      <c r="AD116" s="37" t="n">
        <v>0.7674418604651163</v>
      </c>
      <c r="AE116" s="36" t="n">
        <v>68</v>
      </c>
      <c r="AF116" s="37" t="n">
        <v>0.7816091954022989</v>
      </c>
      <c r="AG116" s="36" t="n">
        <v>75</v>
      </c>
      <c r="AH116" s="37" t="n">
        <v>0.7575757575757576</v>
      </c>
    </row>
    <row r="117">
      <c r="A117" s="53" t="n">
        <v>45751</v>
      </c>
      <c r="B117" t="inlineStr">
        <is>
          <t>R02_Sumbagsel</t>
        </is>
      </c>
      <c r="C117" t="inlineStr">
        <is>
          <t>NOP LAMPUNG</t>
        </is>
      </c>
      <c r="D117" s="38" t="n">
        <v>0.555</v>
      </c>
      <c r="E117" s="38" t="n">
        <v>7.389000000000001</v>
      </c>
      <c r="F117" s="36" t="n">
        <v>6.735999999999999</v>
      </c>
      <c r="G117" s="36" t="n">
        <v>6.138000000000011</v>
      </c>
      <c r="H117" s="36" t="n">
        <v>19</v>
      </c>
      <c r="I117" s="37" t="n">
        <v>0.4130434782608696</v>
      </c>
      <c r="J117" s="36" t="n">
        <v>11</v>
      </c>
      <c r="K117" s="37" t="n">
        <v>0.7857142857142857</v>
      </c>
      <c r="L117" s="36" t="n">
        <v>8</v>
      </c>
      <c r="M117" s="37" t="n">
        <v>0.25</v>
      </c>
      <c r="N117" s="36" t="n">
        <v>8</v>
      </c>
      <c r="O117" s="37" t="n">
        <v>0.7272727272727273</v>
      </c>
      <c r="P117" s="36" t="n">
        <v>8</v>
      </c>
      <c r="Q117" s="37" t="n">
        <v>0.7272727272727273</v>
      </c>
      <c r="R117" s="36" t="n">
        <v>46</v>
      </c>
      <c r="S117" s="37" t="n">
        <v>1</v>
      </c>
      <c r="T117" s="36" t="n">
        <v>14</v>
      </c>
      <c r="U117" s="37" t="n">
        <v>0.3043478260869565</v>
      </c>
      <c r="V117" s="38" t="n">
        <v>0</v>
      </c>
      <c r="W117" s="38" t="n">
        <v>10.12400000000002</v>
      </c>
      <c r="X117" s="38" t="n">
        <v>11.848</v>
      </c>
      <c r="Y117" s="38" t="n">
        <v>22.086</v>
      </c>
      <c r="Z117" s="38" t="n">
        <v>0</v>
      </c>
      <c r="AA117" s="36" t="n">
        <v>118</v>
      </c>
      <c r="AB117" s="37" t="n">
        <v>0.8805970149253731</v>
      </c>
      <c r="AC117" s="36" t="n">
        <v>38</v>
      </c>
      <c r="AD117" s="37" t="n">
        <v>0.7916666666666666</v>
      </c>
      <c r="AE117" s="36" t="n">
        <v>78</v>
      </c>
      <c r="AF117" s="37" t="n">
        <v>0.9397590361445783</v>
      </c>
      <c r="AG117" s="36" t="n">
        <v>34</v>
      </c>
      <c r="AH117" s="37" t="n">
        <v>0.8947368421052632</v>
      </c>
    </row>
    <row r="118">
      <c r="A118" s="53" t="n">
        <v>45751</v>
      </c>
      <c r="B118" t="inlineStr">
        <is>
          <t>R02_Sumbagsel</t>
        </is>
      </c>
      <c r="C118" t="inlineStr">
        <is>
          <t>NOP MUARA ENIM</t>
        </is>
      </c>
      <c r="D118" s="38" t="n">
        <v>2.91</v>
      </c>
      <c r="E118" s="38" t="n">
        <v>4.587999999999999</v>
      </c>
      <c r="F118" s="36" t="n">
        <v>2.99</v>
      </c>
      <c r="G118" s="36" t="n">
        <v>5.179</v>
      </c>
      <c r="H118" s="36" t="n">
        <v>49</v>
      </c>
      <c r="I118" s="37" t="n">
        <v>0.355072463768116</v>
      </c>
      <c r="J118" s="36" t="n">
        <v>7</v>
      </c>
      <c r="K118" s="37" t="n">
        <v>0.2258064516129032</v>
      </c>
      <c r="L118" s="36" t="n">
        <v>42</v>
      </c>
      <c r="M118" s="37" t="n">
        <v>0.3925233644859813</v>
      </c>
      <c r="N118" s="36" t="n">
        <v>5</v>
      </c>
      <c r="O118" s="37" t="n">
        <v>0.7142857142857143</v>
      </c>
      <c r="P118" s="36" t="n">
        <v>5</v>
      </c>
      <c r="Q118" s="37" t="n">
        <v>0.7142857142857143</v>
      </c>
      <c r="R118" s="36" t="n">
        <v>134</v>
      </c>
      <c r="S118" s="37" t="n">
        <v>0.9710144927536232</v>
      </c>
      <c r="T118" s="36" t="n">
        <v>22</v>
      </c>
      <c r="U118" s="37" t="n">
        <v>0.1594202898550725</v>
      </c>
      <c r="V118" s="38" t="n">
        <v>0</v>
      </c>
      <c r="W118" s="38" t="n">
        <v>3.952</v>
      </c>
      <c r="X118" s="38" t="n">
        <v>3.418</v>
      </c>
      <c r="Y118" s="38" t="n">
        <v>8.233999999999998</v>
      </c>
      <c r="Z118" s="38" t="n">
        <v>0</v>
      </c>
      <c r="AA118" s="36" t="n">
        <v>116</v>
      </c>
      <c r="AB118" s="37" t="n">
        <v>0.5065502183406113</v>
      </c>
      <c r="AC118" s="36" t="n">
        <v>63</v>
      </c>
      <c r="AD118" s="37" t="n">
        <v>0.4883720930232558</v>
      </c>
      <c r="AE118" s="36" t="n">
        <v>46</v>
      </c>
      <c r="AF118" s="37" t="n">
        <v>0.6216216216216216</v>
      </c>
      <c r="AG118" s="36" t="n">
        <v>49</v>
      </c>
      <c r="AH118" s="37" t="n">
        <v>0.7777777777777778</v>
      </c>
    </row>
    <row r="119">
      <c r="A119" s="53" t="n">
        <v>45751</v>
      </c>
      <c r="B119" t="inlineStr">
        <is>
          <t>R02_Sumbagsel</t>
        </is>
      </c>
      <c r="C119" t="inlineStr">
        <is>
          <t>NOP PALEMBANG</t>
        </is>
      </c>
      <c r="D119" s="38" t="n">
        <v>2.39</v>
      </c>
      <c r="E119" s="38" t="n">
        <v>4.642000000000005</v>
      </c>
      <c r="F119" s="36" t="n">
        <v>9.539999999999999</v>
      </c>
      <c r="G119" s="36" t="n">
        <v>7.951999999999999</v>
      </c>
      <c r="H119" s="36" t="n">
        <v>39</v>
      </c>
      <c r="I119" s="37" t="n">
        <v>0.2727272727272727</v>
      </c>
      <c r="J119" s="36" t="n">
        <v>13</v>
      </c>
      <c r="K119" s="37" t="n">
        <v>0.4642857142857143</v>
      </c>
      <c r="L119" s="36" t="n">
        <v>26</v>
      </c>
      <c r="M119" s="37" t="n">
        <v>0.2260869565217391</v>
      </c>
      <c r="N119" s="36" t="n">
        <v>5</v>
      </c>
      <c r="O119" s="37" t="n">
        <v>0.3846153846153846</v>
      </c>
      <c r="P119" s="36" t="n">
        <v>5</v>
      </c>
      <c r="Q119" s="37" t="n">
        <v>0.3846153846153846</v>
      </c>
      <c r="R119" s="36" t="n">
        <v>143</v>
      </c>
      <c r="S119" s="37" t="n">
        <v>1</v>
      </c>
      <c r="T119" s="36" t="n">
        <v>23</v>
      </c>
      <c r="U119" s="37" t="n">
        <v>0.1608391608391608</v>
      </c>
      <c r="V119" s="38" t="n">
        <v>0</v>
      </c>
      <c r="W119" s="38" t="n">
        <v>3.814000000000001</v>
      </c>
      <c r="X119" s="38" t="n">
        <v>4.013999999999999</v>
      </c>
      <c r="Y119" s="38" t="n">
        <v>16.586</v>
      </c>
      <c r="Z119" s="38" t="n">
        <v>0</v>
      </c>
      <c r="AA119" s="36" t="n">
        <v>47</v>
      </c>
      <c r="AB119" s="37" t="n">
        <v>0.2513368983957219</v>
      </c>
      <c r="AC119" s="36" t="n">
        <v>21</v>
      </c>
      <c r="AD119" s="37" t="n">
        <v>0.2282608695652174</v>
      </c>
      <c r="AE119" s="36" t="n">
        <v>26</v>
      </c>
      <c r="AF119" s="37" t="n">
        <v>0.456140350877193</v>
      </c>
      <c r="AG119" s="36" t="n">
        <v>11</v>
      </c>
      <c r="AH119" s="37" t="n">
        <v>0.5238095238095238</v>
      </c>
    </row>
    <row r="120">
      <c r="A120" s="53" t="n">
        <v>45751</v>
      </c>
      <c r="B120" t="inlineStr">
        <is>
          <t>R02_Sumbagsel</t>
        </is>
      </c>
      <c r="C120" t="inlineStr">
        <is>
          <t>NOP PANGKAL PINANG</t>
        </is>
      </c>
      <c r="D120" s="38" t="n">
        <v>0</v>
      </c>
      <c r="E120" s="38" t="n">
        <v>0</v>
      </c>
      <c r="F120" s="36" t="n">
        <v>4.58</v>
      </c>
      <c r="G120" s="36" t="n">
        <v>9.350999999999996</v>
      </c>
      <c r="H120" s="36" t="n">
        <v>12</v>
      </c>
      <c r="I120" s="37" t="n">
        <v>0.6666666666666666</v>
      </c>
      <c r="J120" s="36" t="n">
        <v>0</v>
      </c>
      <c r="K120" s="37" t="n">
        <v>0</v>
      </c>
      <c r="L120" s="36" t="n">
        <v>12</v>
      </c>
      <c r="M120" s="37" t="n">
        <v>0.6666666666666666</v>
      </c>
      <c r="N120" s="36" t="n">
        <v>0</v>
      </c>
      <c r="O120" s="37" t="n">
        <v>0</v>
      </c>
      <c r="P120" s="36" t="n">
        <v>0</v>
      </c>
      <c r="Q120" s="37" t="n">
        <v>0</v>
      </c>
      <c r="R120" s="36" t="n">
        <v>18</v>
      </c>
      <c r="S120" s="37" t="n">
        <v>1</v>
      </c>
      <c r="T120" s="36" t="n">
        <v>5</v>
      </c>
      <c r="U120" s="37" t="n">
        <v>0.2777777777777778</v>
      </c>
      <c r="V120" s="38" t="n">
        <v>0</v>
      </c>
      <c r="W120" s="38" t="n">
        <v>6.42</v>
      </c>
      <c r="X120" s="38" t="n">
        <v>15.516</v>
      </c>
      <c r="Y120" s="38" t="n">
        <v>6.346000000000004</v>
      </c>
      <c r="Z120" s="38" t="n">
        <v>0</v>
      </c>
      <c r="AA120" s="36" t="n">
        <v>36</v>
      </c>
      <c r="AB120" s="37" t="n">
        <v>0.631578947368421</v>
      </c>
      <c r="AC120" s="36" t="n">
        <v>15</v>
      </c>
      <c r="AD120" s="37" t="n">
        <v>0.7142857142857143</v>
      </c>
      <c r="AE120" s="36" t="n">
        <v>20</v>
      </c>
      <c r="AF120" s="37" t="n">
        <v>0.6060606060606061</v>
      </c>
      <c r="AG120" s="36" t="n">
        <v>11</v>
      </c>
      <c r="AH120" s="37" t="n">
        <v>0.7333333333333333</v>
      </c>
    </row>
    <row r="121">
      <c r="A121" s="53" t="n">
        <v>45751</v>
      </c>
      <c r="B121" t="inlineStr">
        <is>
          <t>R05_Jawa Tengah DIY</t>
        </is>
      </c>
      <c r="C121" t="inlineStr">
        <is>
          <t>NOP MAGELANG</t>
        </is>
      </c>
      <c r="D121" s="38" t="n">
        <v>8.624000000000001</v>
      </c>
      <c r="E121" s="38" t="n">
        <v>0</v>
      </c>
      <c r="F121" s="36" t="n">
        <v>1.973</v>
      </c>
      <c r="G121" s="36" t="n">
        <v>6.072000000000001</v>
      </c>
      <c r="H121" s="36" t="n">
        <v>7</v>
      </c>
      <c r="I121" s="37" t="n">
        <v>0.7777777777777778</v>
      </c>
      <c r="J121" s="36" t="n">
        <v>2</v>
      </c>
      <c r="K121" s="37" t="n">
        <v>1</v>
      </c>
      <c r="L121" s="36" t="n">
        <v>5</v>
      </c>
      <c r="M121" s="37" t="n">
        <v>0.7142857142857143</v>
      </c>
      <c r="N121" s="36" t="n">
        <v>0</v>
      </c>
      <c r="O121" s="37" t="n">
        <v>0</v>
      </c>
      <c r="P121" s="36" t="n">
        <v>0</v>
      </c>
      <c r="Q121" s="37" t="n">
        <v>0</v>
      </c>
      <c r="R121" s="36" t="n">
        <v>9</v>
      </c>
      <c r="S121" s="37" t="n">
        <v>1</v>
      </c>
      <c r="T121" s="36" t="n">
        <v>6</v>
      </c>
      <c r="U121" s="37" t="n">
        <v>0.6666666666666666</v>
      </c>
      <c r="V121" s="38" t="n">
        <v>0</v>
      </c>
      <c r="W121" s="38" t="n">
        <v>89.16600000000001</v>
      </c>
      <c r="X121" s="38" t="n">
        <v>2.749</v>
      </c>
      <c r="Y121" s="38" t="n">
        <v>38.175</v>
      </c>
      <c r="Z121" s="38" t="n">
        <v>0</v>
      </c>
      <c r="AA121" s="36" t="n">
        <v>24</v>
      </c>
      <c r="AB121" s="37" t="n">
        <v>0.75</v>
      </c>
      <c r="AC121" s="36" t="n">
        <v>4</v>
      </c>
      <c r="AD121" s="37" t="n">
        <v>1</v>
      </c>
      <c r="AE121" s="36" t="n">
        <v>20</v>
      </c>
      <c r="AF121" s="37" t="n">
        <v>0.7142857142857143</v>
      </c>
      <c r="AG121" s="36" t="n">
        <v>4</v>
      </c>
      <c r="AH121" s="37" t="n">
        <v>1</v>
      </c>
    </row>
    <row r="122">
      <c r="A122" s="53" t="n">
        <v>45751</v>
      </c>
      <c r="B122" t="inlineStr">
        <is>
          <t>R05_Jawa Tengah DIY</t>
        </is>
      </c>
      <c r="C122" t="inlineStr">
        <is>
          <t>NOP PEKALONGAN</t>
        </is>
      </c>
      <c r="D122" s="38" t="n">
        <v>2.274</v>
      </c>
      <c r="E122" s="38" t="n">
        <v>0</v>
      </c>
      <c r="F122" s="36" t="n">
        <v>4.13</v>
      </c>
      <c r="G122" s="36" t="n">
        <v>4.135</v>
      </c>
      <c r="H122" s="36" t="n">
        <v>11</v>
      </c>
      <c r="I122" s="37" t="n">
        <v>0.7333333333333333</v>
      </c>
      <c r="J122" s="36" t="n">
        <v>2</v>
      </c>
      <c r="K122" s="37" t="n">
        <v>1</v>
      </c>
      <c r="L122" s="36" t="n">
        <v>9</v>
      </c>
      <c r="M122" s="37" t="n">
        <v>0.6923076923076923</v>
      </c>
      <c r="N122" s="36" t="n">
        <v>2</v>
      </c>
      <c r="O122" s="37" t="n">
        <v>1</v>
      </c>
      <c r="P122" s="36" t="n">
        <v>2</v>
      </c>
      <c r="Q122" s="37" t="n">
        <v>1</v>
      </c>
      <c r="R122" s="36" t="n">
        <v>15</v>
      </c>
      <c r="S122" s="37" t="n">
        <v>1</v>
      </c>
      <c r="T122" s="36" t="n">
        <v>12</v>
      </c>
      <c r="U122" s="37" t="n">
        <v>0.8</v>
      </c>
      <c r="V122" s="38" t="n">
        <v>0</v>
      </c>
      <c r="W122" s="38" t="n">
        <v>1.037</v>
      </c>
      <c r="X122" s="38" t="n">
        <v>5.928000000000001</v>
      </c>
      <c r="Y122" s="38" t="n">
        <v>38.145</v>
      </c>
      <c r="Z122" s="38" t="n">
        <v>0</v>
      </c>
      <c r="AA122" s="36" t="n">
        <v>20</v>
      </c>
      <c r="AB122" s="37" t="n">
        <v>0.8</v>
      </c>
      <c r="AC122" s="36" t="n">
        <v>1</v>
      </c>
      <c r="AD122" s="37" t="n">
        <v>0.5</v>
      </c>
      <c r="AE122" s="36" t="n">
        <v>19</v>
      </c>
      <c r="AF122" s="37" t="n">
        <v>0.8260869565217391</v>
      </c>
      <c r="AG122" s="36" t="n">
        <v>1</v>
      </c>
      <c r="AH122" s="37" t="n">
        <v>1</v>
      </c>
    </row>
    <row r="123">
      <c r="A123" s="53" t="n">
        <v>45751</v>
      </c>
      <c r="B123" t="inlineStr">
        <is>
          <t>R05_Jawa Tengah DIY</t>
        </is>
      </c>
      <c r="C123" t="inlineStr">
        <is>
          <t>NOP PURWOKERTO</t>
        </is>
      </c>
      <c r="D123" s="38" t="n">
        <v>2.253</v>
      </c>
      <c r="E123" s="38" t="n">
        <v>0</v>
      </c>
      <c r="F123" s="36" t="n">
        <v>1.363</v>
      </c>
      <c r="G123" s="36" t="n">
        <v>1.688</v>
      </c>
      <c r="H123" s="36" t="n">
        <v>7</v>
      </c>
      <c r="I123" s="37" t="n">
        <v>0.6363636363636364</v>
      </c>
      <c r="J123" s="36" t="n">
        <v>2</v>
      </c>
      <c r="K123" s="37" t="n">
        <v>0.5</v>
      </c>
      <c r="L123" s="36" t="n">
        <v>5</v>
      </c>
      <c r="M123" s="37" t="n">
        <v>0.7142857142857143</v>
      </c>
      <c r="N123" s="36" t="n">
        <v>2</v>
      </c>
      <c r="O123" s="37" t="n">
        <v>1</v>
      </c>
      <c r="P123" s="36" t="n">
        <v>2</v>
      </c>
      <c r="Q123" s="37" t="n">
        <v>1</v>
      </c>
      <c r="R123" s="36" t="n">
        <v>9</v>
      </c>
      <c r="S123" s="37" t="n">
        <v>0.8181818181818182</v>
      </c>
      <c r="T123" s="36" t="n">
        <v>7</v>
      </c>
      <c r="U123" s="37" t="n">
        <v>0.6363636363636364</v>
      </c>
      <c r="V123" s="38" t="n">
        <v>0</v>
      </c>
      <c r="W123" s="38" t="n">
        <v>5.308000000000001</v>
      </c>
      <c r="X123" s="38" t="n">
        <v>9.092000000000002</v>
      </c>
      <c r="Y123" s="38" t="n">
        <v>82.262</v>
      </c>
      <c r="Z123" s="38" t="n">
        <v>0</v>
      </c>
      <c r="AA123" s="36" t="n">
        <v>18</v>
      </c>
      <c r="AB123" s="37" t="n">
        <v>0.6206896551724138</v>
      </c>
      <c r="AC123" s="36" t="n">
        <v>3</v>
      </c>
      <c r="AD123" s="37" t="n">
        <v>0.6</v>
      </c>
      <c r="AE123" s="36" t="n">
        <v>15</v>
      </c>
      <c r="AF123" s="37" t="n">
        <v>0.625</v>
      </c>
      <c r="AG123" s="36" t="n">
        <v>3</v>
      </c>
      <c r="AH123" s="37" t="n">
        <v>1</v>
      </c>
    </row>
    <row r="124">
      <c r="A124" s="53" t="n">
        <v>45751</v>
      </c>
      <c r="B124" t="inlineStr">
        <is>
          <t>R05_Jawa Tengah DIY</t>
        </is>
      </c>
      <c r="C124" t="inlineStr">
        <is>
          <t>NOP SEMARANG</t>
        </is>
      </c>
      <c r="D124" s="38" t="n">
        <v>1.13</v>
      </c>
      <c r="E124" s="38" t="n">
        <v>0</v>
      </c>
      <c r="F124" s="36" t="n">
        <v>3.136</v>
      </c>
      <c r="G124" s="36" t="n">
        <v>0.33</v>
      </c>
      <c r="H124" s="36" t="n">
        <v>8</v>
      </c>
      <c r="I124" s="37" t="n">
        <v>0.8888888888888888</v>
      </c>
      <c r="J124" s="36" t="n">
        <v>1</v>
      </c>
      <c r="K124" s="37" t="n">
        <v>1</v>
      </c>
      <c r="L124" s="36" t="n">
        <v>7</v>
      </c>
      <c r="M124" s="37" t="n">
        <v>0.875</v>
      </c>
      <c r="N124" s="36" t="n">
        <v>1</v>
      </c>
      <c r="O124" s="37" t="n">
        <v>1</v>
      </c>
      <c r="P124" s="36" t="n">
        <v>1</v>
      </c>
      <c r="Q124" s="37" t="n">
        <v>1</v>
      </c>
      <c r="R124" s="36" t="n">
        <v>9</v>
      </c>
      <c r="S124" s="37" t="n">
        <v>1</v>
      </c>
      <c r="T124" s="36" t="n">
        <v>7</v>
      </c>
      <c r="U124" s="37" t="n">
        <v>0.7777777777777778</v>
      </c>
      <c r="V124" s="38" t="n">
        <v>0</v>
      </c>
      <c r="W124" s="38" t="n">
        <v>2.658</v>
      </c>
      <c r="X124" s="38" t="n">
        <v>6.886000000000001</v>
      </c>
      <c r="Y124" s="38" t="n">
        <v>67.437</v>
      </c>
      <c r="Z124" s="38" t="n">
        <v>0</v>
      </c>
      <c r="AA124" s="36" t="n">
        <v>17</v>
      </c>
      <c r="AB124" s="37" t="n">
        <v>0.7727272727272727</v>
      </c>
      <c r="AC124" s="36" t="n">
        <v>1</v>
      </c>
      <c r="AD124" s="37" t="n">
        <v>0.2</v>
      </c>
      <c r="AE124" s="36" t="n">
        <v>16</v>
      </c>
      <c r="AF124" s="37" t="n">
        <v>0.9411764705882353</v>
      </c>
      <c r="AG124" s="36" t="n">
        <v>1</v>
      </c>
      <c r="AH124" s="37" t="n">
        <v>1</v>
      </c>
    </row>
    <row r="125">
      <c r="A125" s="53" t="n">
        <v>45751</v>
      </c>
      <c r="B125" t="inlineStr">
        <is>
          <t>R05_Jawa Tengah DIY</t>
        </is>
      </c>
      <c r="C125" t="inlineStr">
        <is>
          <t>NOP SURAKARTA</t>
        </is>
      </c>
      <c r="D125" s="38" t="n">
        <v>0.9850000000000001</v>
      </c>
      <c r="E125" s="38" t="n">
        <v>0</v>
      </c>
      <c r="F125" s="36" t="n">
        <v>1.845</v>
      </c>
      <c r="G125" s="36" t="n">
        <v>4.874000000000001</v>
      </c>
      <c r="H125" s="36" t="n">
        <v>16</v>
      </c>
      <c r="I125" s="37" t="n">
        <v>0.8421052631578947</v>
      </c>
      <c r="J125" s="36" t="n">
        <v>2</v>
      </c>
      <c r="K125" s="37" t="n">
        <v>1</v>
      </c>
      <c r="L125" s="36" t="n">
        <v>14</v>
      </c>
      <c r="M125" s="37" t="n">
        <v>0.8235294117647058</v>
      </c>
      <c r="N125" s="36" t="n">
        <v>2</v>
      </c>
      <c r="O125" s="37" t="n">
        <v>1</v>
      </c>
      <c r="P125" s="36" t="n">
        <v>2</v>
      </c>
      <c r="Q125" s="37" t="n">
        <v>1</v>
      </c>
      <c r="R125" s="36" t="n">
        <v>19</v>
      </c>
      <c r="S125" s="37" t="n">
        <v>1</v>
      </c>
      <c r="T125" s="36" t="n">
        <v>12</v>
      </c>
      <c r="U125" s="37" t="n">
        <v>0.631578947368421</v>
      </c>
      <c r="V125" s="38" t="n">
        <v>0.101</v>
      </c>
      <c r="W125" s="38" t="n">
        <v>100.9360000000001</v>
      </c>
      <c r="X125" s="38" t="n">
        <v>6.093999999999998</v>
      </c>
      <c r="Y125" s="38" t="n">
        <v>123.909</v>
      </c>
      <c r="Z125" s="38" t="n">
        <v>0</v>
      </c>
      <c r="AA125" s="36" t="n">
        <v>25</v>
      </c>
      <c r="AB125" s="37" t="n">
        <v>0.8064516129032258</v>
      </c>
      <c r="AC125" s="36" t="n">
        <v>9</v>
      </c>
      <c r="AD125" s="37" t="n">
        <v>0.6</v>
      </c>
      <c r="AE125" s="36" t="n">
        <v>16</v>
      </c>
      <c r="AF125" s="37" t="n">
        <v>1</v>
      </c>
      <c r="AG125" s="36" t="n">
        <v>6</v>
      </c>
      <c r="AH125" s="37" t="n">
        <v>0.6666666666666666</v>
      </c>
    </row>
    <row r="126">
      <c r="A126" s="53" t="n">
        <v>45751</v>
      </c>
      <c r="B126" t="inlineStr">
        <is>
          <t>R05_Jawa Tengah DIY</t>
        </is>
      </c>
      <c r="C126" t="inlineStr">
        <is>
          <t>NOP YOGYAKARTA</t>
        </is>
      </c>
      <c r="D126" s="38" t="n">
        <v>0</v>
      </c>
      <c r="E126" s="38" t="n">
        <v>0</v>
      </c>
      <c r="F126" s="36" t="n">
        <v>0</v>
      </c>
      <c r="G126" s="36" t="n">
        <v>2.948</v>
      </c>
      <c r="H126" s="36" t="n">
        <v>2</v>
      </c>
      <c r="I126" s="37" t="n">
        <v>0.6666666666666666</v>
      </c>
      <c r="J126" s="36" t="n">
        <v>0</v>
      </c>
      <c r="K126" s="37" t="n">
        <v>0</v>
      </c>
      <c r="L126" s="36" t="n">
        <v>2</v>
      </c>
      <c r="M126" s="37" t="n">
        <v>0.6666666666666666</v>
      </c>
      <c r="N126" s="36" t="n">
        <v>0</v>
      </c>
      <c r="O126" s="37" t="n">
        <v>0</v>
      </c>
      <c r="P126" s="36" t="n">
        <v>0</v>
      </c>
      <c r="Q126" s="37" t="n">
        <v>0</v>
      </c>
      <c r="R126" s="36" t="n">
        <v>3</v>
      </c>
      <c r="S126" s="37" t="n">
        <v>1</v>
      </c>
      <c r="T126" s="36" t="n">
        <v>2</v>
      </c>
      <c r="U126" s="37" t="n">
        <v>0.6666666666666666</v>
      </c>
      <c r="V126" s="38" t="n">
        <v>0</v>
      </c>
      <c r="W126" s="38" t="n">
        <v>0.5230000000000001</v>
      </c>
      <c r="X126" s="38" t="n">
        <v>29.33900000000002</v>
      </c>
      <c r="Y126" s="38" t="n">
        <v>47.466</v>
      </c>
      <c r="Z126" s="38" t="n">
        <v>0</v>
      </c>
      <c r="AA126" s="36" t="n">
        <v>38</v>
      </c>
      <c r="AB126" s="37" t="n">
        <v>0.8444444444444444</v>
      </c>
      <c r="AC126" s="36" t="n">
        <v>0</v>
      </c>
      <c r="AD126" s="37" t="n">
        <v>0</v>
      </c>
      <c r="AE126" s="36" t="n">
        <v>38</v>
      </c>
      <c r="AF126" s="37" t="n">
        <v>0.8837209302325582</v>
      </c>
      <c r="AG126" s="36" t="n">
        <v>0</v>
      </c>
      <c r="AH126" s="37" t="n">
        <v>0</v>
      </c>
    </row>
    <row r="127">
      <c r="A127" s="53" t="n">
        <v>45751</v>
      </c>
      <c r="B127" t="inlineStr">
        <is>
          <t>R06_Jawa Timur</t>
        </is>
      </c>
      <c r="C127" t="inlineStr">
        <is>
          <t>NOP JEMBER</t>
        </is>
      </c>
      <c r="D127" s="38" t="n">
        <v>0.44</v>
      </c>
      <c r="E127" s="38" t="n">
        <v>0.45</v>
      </c>
      <c r="F127" s="36" t="n">
        <v>0.9000000000000001</v>
      </c>
      <c r="G127" s="36" t="n">
        <v>0.67</v>
      </c>
      <c r="H127" s="36" t="n">
        <v>2</v>
      </c>
      <c r="I127" s="37" t="n">
        <v>0.3333333333333333</v>
      </c>
      <c r="J127" s="36" t="n">
        <v>0</v>
      </c>
      <c r="K127" s="37" t="n">
        <v>0</v>
      </c>
      <c r="L127" s="36" t="n">
        <v>2</v>
      </c>
      <c r="M127" s="37" t="n">
        <v>0.5</v>
      </c>
      <c r="N127" s="36" t="n">
        <v>0</v>
      </c>
      <c r="O127" s="37" t="n">
        <v>0</v>
      </c>
      <c r="P127" s="36" t="n">
        <v>0</v>
      </c>
      <c r="Q127" s="37" t="n">
        <v>0</v>
      </c>
      <c r="R127" s="36" t="n">
        <v>6</v>
      </c>
      <c r="S127" s="37" t="n">
        <v>1</v>
      </c>
      <c r="T127" s="36" t="n">
        <v>0</v>
      </c>
      <c r="U127" s="37" t="n">
        <v>0</v>
      </c>
      <c r="V127" s="38" t="n">
        <v>0</v>
      </c>
      <c r="W127" s="38" t="n">
        <v>2.502</v>
      </c>
      <c r="X127" s="38" t="n">
        <v>22.58799999999997</v>
      </c>
      <c r="Y127" s="38" t="n">
        <v>228.664</v>
      </c>
      <c r="Z127" s="38" t="n">
        <v>0</v>
      </c>
      <c r="AA127" s="36" t="n">
        <v>23</v>
      </c>
      <c r="AB127" s="37" t="n">
        <v>0.9583333333333334</v>
      </c>
      <c r="AC127" s="36" t="n">
        <v>6</v>
      </c>
      <c r="AD127" s="37" t="n">
        <v>0.8571428571428571</v>
      </c>
      <c r="AE127" s="36" t="n">
        <v>17</v>
      </c>
      <c r="AF127" s="37" t="n">
        <v>1</v>
      </c>
      <c r="AG127" s="36" t="n">
        <v>3</v>
      </c>
      <c r="AH127" s="37" t="n">
        <v>0.5</v>
      </c>
    </row>
    <row r="128">
      <c r="A128" s="53" t="n">
        <v>45751</v>
      </c>
      <c r="B128" t="inlineStr">
        <is>
          <t>R06_Jawa Timur</t>
        </is>
      </c>
      <c r="C128" t="inlineStr">
        <is>
          <t>NOP KEDIRI</t>
        </is>
      </c>
      <c r="D128" s="38" t="n">
        <v>0</v>
      </c>
      <c r="E128" s="38" t="n">
        <v>0</v>
      </c>
      <c r="F128" s="36" t="n">
        <v>2.07</v>
      </c>
      <c r="G128" s="36" t="n">
        <v>0.39</v>
      </c>
      <c r="H128" s="36" t="n">
        <v>5</v>
      </c>
      <c r="I128" s="37" t="n">
        <v>1</v>
      </c>
      <c r="J128" s="36" t="n">
        <v>0</v>
      </c>
      <c r="K128" s="37" t="n">
        <v>0</v>
      </c>
      <c r="L128" s="36" t="n">
        <v>5</v>
      </c>
      <c r="M128" s="37" t="n">
        <v>1</v>
      </c>
      <c r="N128" s="36" t="n">
        <v>0</v>
      </c>
      <c r="O128" s="37" t="n">
        <v>0</v>
      </c>
      <c r="P128" s="36" t="n">
        <v>0</v>
      </c>
      <c r="Q128" s="37" t="n">
        <v>0</v>
      </c>
      <c r="R128" s="36" t="n">
        <v>5</v>
      </c>
      <c r="S128" s="37" t="n">
        <v>1</v>
      </c>
      <c r="T128" s="36" t="n">
        <v>3</v>
      </c>
      <c r="U128" s="37" t="n">
        <v>0.6</v>
      </c>
      <c r="V128" s="38" t="n">
        <v>0</v>
      </c>
      <c r="W128" s="38" t="n">
        <v>1.083</v>
      </c>
      <c r="X128" s="38" t="n">
        <v>1.174</v>
      </c>
      <c r="Y128" s="38" t="n">
        <v>12.95</v>
      </c>
      <c r="Z128" s="38" t="n">
        <v>0</v>
      </c>
      <c r="AA128" s="36" t="n">
        <v>8</v>
      </c>
      <c r="AB128" s="37" t="n">
        <v>0.8888888888888888</v>
      </c>
      <c r="AC128" s="36" t="n">
        <v>3</v>
      </c>
      <c r="AD128" s="37" t="n">
        <v>0.75</v>
      </c>
      <c r="AE128" s="36" t="n">
        <v>5</v>
      </c>
      <c r="AF128" s="37" t="n">
        <v>1</v>
      </c>
      <c r="AG128" s="36" t="n">
        <v>3</v>
      </c>
      <c r="AH128" s="37" t="n">
        <v>1</v>
      </c>
    </row>
    <row r="129">
      <c r="A129" s="53" t="n">
        <v>45751</v>
      </c>
      <c r="B129" t="inlineStr">
        <is>
          <t>R06_Jawa Timur</t>
        </is>
      </c>
      <c r="C129" t="inlineStr">
        <is>
          <t>NOP LAMONGAN</t>
        </is>
      </c>
      <c r="D129" s="38" t="n">
        <v>0</v>
      </c>
      <c r="E129" s="38" t="n">
        <v>0</v>
      </c>
      <c r="F129" s="36" t="n">
        <v>2.858000000000001</v>
      </c>
      <c r="G129" s="36" t="n">
        <v>3.855</v>
      </c>
      <c r="H129" s="36" t="n">
        <v>5</v>
      </c>
      <c r="I129" s="37" t="n">
        <v>1</v>
      </c>
      <c r="J129" s="36" t="n">
        <v>0</v>
      </c>
      <c r="K129" s="37" t="n">
        <v>0</v>
      </c>
      <c r="L129" s="36" t="n">
        <v>5</v>
      </c>
      <c r="M129" s="37" t="n">
        <v>1</v>
      </c>
      <c r="N129" s="36" t="n">
        <v>0</v>
      </c>
      <c r="O129" s="37" t="n">
        <v>0</v>
      </c>
      <c r="P129" s="36" t="n">
        <v>0</v>
      </c>
      <c r="Q129" s="37" t="n">
        <v>0</v>
      </c>
      <c r="R129" s="36" t="n">
        <v>5</v>
      </c>
      <c r="S129" s="37" t="n">
        <v>1</v>
      </c>
      <c r="T129" s="36" t="n">
        <v>4</v>
      </c>
      <c r="U129" s="37" t="n">
        <v>0.8</v>
      </c>
      <c r="V129" s="38" t="n">
        <v>0</v>
      </c>
      <c r="W129" s="38" t="n">
        <v>2.23</v>
      </c>
      <c r="X129" s="38" t="n">
        <v>10.708</v>
      </c>
      <c r="Y129" s="38" t="n">
        <v>43.734</v>
      </c>
      <c r="Z129" s="38" t="n">
        <v>0</v>
      </c>
      <c r="AA129" s="36" t="n">
        <v>9</v>
      </c>
      <c r="AB129" s="37" t="n">
        <v>0.6428571428571429</v>
      </c>
      <c r="AC129" s="36" t="n">
        <v>2</v>
      </c>
      <c r="AD129" s="37" t="n">
        <v>1</v>
      </c>
      <c r="AE129" s="36" t="n">
        <v>7</v>
      </c>
      <c r="AF129" s="37" t="n">
        <v>0.5833333333333334</v>
      </c>
      <c r="AG129" s="36" t="n">
        <v>2</v>
      </c>
      <c r="AH129" s="37" t="n">
        <v>1</v>
      </c>
    </row>
    <row r="130">
      <c r="A130" s="53" t="n">
        <v>45751</v>
      </c>
      <c r="B130" t="inlineStr">
        <is>
          <t>R06_Jawa Timur</t>
        </is>
      </c>
      <c r="C130" t="inlineStr">
        <is>
          <t>NOP MADIUN</t>
        </is>
      </c>
      <c r="D130" s="38" t="n">
        <v>0</v>
      </c>
      <c r="E130" s="38" t="n">
        <v>0</v>
      </c>
      <c r="F130" s="36" t="n">
        <v>2.63</v>
      </c>
      <c r="G130" s="36" t="n">
        <v>3.75</v>
      </c>
      <c r="H130" s="36" t="n">
        <v>1</v>
      </c>
      <c r="I130" s="37" t="n">
        <v>0.5</v>
      </c>
      <c r="J130" s="36" t="n">
        <v>0</v>
      </c>
      <c r="K130" s="37" t="n">
        <v>0</v>
      </c>
      <c r="L130" s="36" t="n">
        <v>1</v>
      </c>
      <c r="M130" s="37" t="n">
        <v>0.5</v>
      </c>
      <c r="N130" s="36" t="n">
        <v>0</v>
      </c>
      <c r="O130" s="37" t="n">
        <v>0</v>
      </c>
      <c r="P130" s="36" t="n">
        <v>0</v>
      </c>
      <c r="Q130" s="37" t="n">
        <v>0</v>
      </c>
      <c r="R130" s="36" t="n">
        <v>2</v>
      </c>
      <c r="S130" s="37" t="n">
        <v>1</v>
      </c>
      <c r="T130" s="36" t="n">
        <v>1</v>
      </c>
      <c r="U130" s="37" t="n">
        <v>0.5</v>
      </c>
      <c r="V130" s="38" t="n">
        <v>0</v>
      </c>
      <c r="W130" s="38" t="n">
        <v>2.459</v>
      </c>
      <c r="X130" s="38" t="n">
        <v>5.098000000000003</v>
      </c>
      <c r="Y130" s="38" t="n">
        <v>0</v>
      </c>
      <c r="Z130" s="38" t="n">
        <v>0</v>
      </c>
      <c r="AA130" s="36" t="n">
        <v>15</v>
      </c>
      <c r="AB130" s="37" t="n">
        <v>1</v>
      </c>
      <c r="AC130" s="36" t="n">
        <v>2</v>
      </c>
      <c r="AD130" s="37" t="n">
        <v>1</v>
      </c>
      <c r="AE130" s="36" t="n">
        <v>13</v>
      </c>
      <c r="AF130" s="37" t="n">
        <v>1</v>
      </c>
      <c r="AG130" s="36" t="n">
        <v>2</v>
      </c>
      <c r="AH130" s="37" t="n">
        <v>1</v>
      </c>
    </row>
    <row r="131">
      <c r="A131" s="53" t="n">
        <v>45751</v>
      </c>
      <c r="B131" t="inlineStr">
        <is>
          <t>R06_Jawa Timur</t>
        </is>
      </c>
      <c r="C131" t="inlineStr">
        <is>
          <t>NOP MALANG</t>
        </is>
      </c>
      <c r="D131" s="38" t="n">
        <v>0</v>
      </c>
      <c r="E131" s="38" t="n">
        <v>0</v>
      </c>
      <c r="F131" s="36" t="n">
        <v>3.51</v>
      </c>
      <c r="G131" s="36" t="n">
        <v>4.054</v>
      </c>
      <c r="H131" s="36" t="n">
        <v>13</v>
      </c>
      <c r="I131" s="37" t="n">
        <v>0.8666666666666667</v>
      </c>
      <c r="J131" s="36" t="n">
        <v>0</v>
      </c>
      <c r="K131" s="37" t="n">
        <v>0</v>
      </c>
      <c r="L131" s="36" t="n">
        <v>13</v>
      </c>
      <c r="M131" s="37" t="n">
        <v>0.8666666666666667</v>
      </c>
      <c r="N131" s="36" t="n">
        <v>0</v>
      </c>
      <c r="O131" s="37" t="n">
        <v>0</v>
      </c>
      <c r="P131" s="36" t="n">
        <v>0</v>
      </c>
      <c r="Q131" s="37" t="n">
        <v>0</v>
      </c>
      <c r="R131" s="36" t="n">
        <v>15</v>
      </c>
      <c r="S131" s="37" t="n">
        <v>1</v>
      </c>
      <c r="T131" s="36" t="n">
        <v>13</v>
      </c>
      <c r="U131" s="37" t="n">
        <v>0.8666666666666667</v>
      </c>
      <c r="V131" s="38" t="n">
        <v>0</v>
      </c>
      <c r="W131" s="38" t="n">
        <v>1.66</v>
      </c>
      <c r="X131" s="38" t="n">
        <v>12.638</v>
      </c>
      <c r="Y131" s="38" t="n">
        <v>24.65</v>
      </c>
      <c r="Z131" s="38" t="n">
        <v>0</v>
      </c>
      <c r="AA131" s="36" t="n">
        <v>5</v>
      </c>
      <c r="AB131" s="37" t="n">
        <v>0.8333333333333334</v>
      </c>
      <c r="AC131" s="36" t="n">
        <v>2</v>
      </c>
      <c r="AD131" s="37" t="n">
        <v>0.6666666666666666</v>
      </c>
      <c r="AE131" s="36" t="n">
        <v>3</v>
      </c>
      <c r="AF131" s="37" t="n">
        <v>1</v>
      </c>
      <c r="AG131" s="36" t="n">
        <v>1</v>
      </c>
      <c r="AH131" s="37" t="n">
        <v>0.5</v>
      </c>
    </row>
    <row r="132">
      <c r="A132" s="53" t="n">
        <v>45751</v>
      </c>
      <c r="B132" t="inlineStr">
        <is>
          <t>R06_Jawa Timur</t>
        </is>
      </c>
      <c r="C132" t="inlineStr">
        <is>
          <t>NOP SIDOARJO</t>
        </is>
      </c>
      <c r="D132" s="38" t="n">
        <v>0</v>
      </c>
      <c r="E132" s="38" t="n">
        <v>0</v>
      </c>
      <c r="F132" s="36" t="n">
        <v>0.635</v>
      </c>
      <c r="G132" s="36" t="n">
        <v>1.852</v>
      </c>
      <c r="H132" s="36" t="n">
        <v>10</v>
      </c>
      <c r="I132" s="37" t="n">
        <v>0.9090909090909091</v>
      </c>
      <c r="J132" s="36" t="n">
        <v>0</v>
      </c>
      <c r="K132" s="37" t="n">
        <v>0</v>
      </c>
      <c r="L132" s="36" t="n">
        <v>10</v>
      </c>
      <c r="M132" s="37" t="n">
        <v>0.9090909090909091</v>
      </c>
      <c r="N132" s="36" t="n">
        <v>0</v>
      </c>
      <c r="O132" s="37" t="n">
        <v>0</v>
      </c>
      <c r="P132" s="36" t="n">
        <v>0</v>
      </c>
      <c r="Q132" s="37" t="n">
        <v>0</v>
      </c>
      <c r="R132" s="36" t="n">
        <v>11</v>
      </c>
      <c r="S132" s="37" t="n">
        <v>1</v>
      </c>
      <c r="T132" s="36" t="n">
        <v>5</v>
      </c>
      <c r="U132" s="37" t="n">
        <v>0.4545454545454545</v>
      </c>
      <c r="V132" s="38" t="n">
        <v>0</v>
      </c>
      <c r="W132" s="38" t="n">
        <v>1.116</v>
      </c>
      <c r="X132" s="38" t="n">
        <v>26.6</v>
      </c>
      <c r="Y132" s="38" t="n">
        <v>12.33</v>
      </c>
      <c r="Z132" s="38" t="n">
        <v>0</v>
      </c>
      <c r="AA132" s="36" t="n">
        <v>7</v>
      </c>
      <c r="AB132" s="37" t="n">
        <v>0.7</v>
      </c>
      <c r="AC132" s="36" t="n">
        <v>0</v>
      </c>
      <c r="AD132" s="37" t="n">
        <v>0</v>
      </c>
      <c r="AE132" s="36" t="n">
        <v>7</v>
      </c>
      <c r="AF132" s="37" t="n">
        <v>1</v>
      </c>
      <c r="AG132" s="36" t="n">
        <v>0</v>
      </c>
      <c r="AH132" s="37" t="n">
        <v>0</v>
      </c>
    </row>
    <row r="133">
      <c r="A133" s="53" t="n">
        <v>45751</v>
      </c>
      <c r="B133" t="inlineStr">
        <is>
          <t>R06_Jawa Timur</t>
        </is>
      </c>
      <c r="C133" t="inlineStr">
        <is>
          <t>NOP SURABAYA</t>
        </is>
      </c>
      <c r="D133" s="38" t="n">
        <v>0.4</v>
      </c>
      <c r="E133" s="38" t="n">
        <v>0</v>
      </c>
      <c r="F133" s="36" t="n">
        <v>2.194</v>
      </c>
      <c r="G133" s="36" t="n">
        <v>6.963999999999997</v>
      </c>
      <c r="H133" s="36" t="n">
        <v>13</v>
      </c>
      <c r="I133" s="37" t="n">
        <v>0.5909090909090909</v>
      </c>
      <c r="J133" s="36" t="n">
        <v>0</v>
      </c>
      <c r="K133" s="37" t="n">
        <v>0</v>
      </c>
      <c r="L133" s="36" t="n">
        <v>13</v>
      </c>
      <c r="M133" s="37" t="n">
        <v>0.6190476190476191</v>
      </c>
      <c r="N133" s="36" t="n">
        <v>0</v>
      </c>
      <c r="O133" s="37" t="n">
        <v>0</v>
      </c>
      <c r="P133" s="36" t="n">
        <v>0</v>
      </c>
      <c r="Q133" s="37" t="n">
        <v>0</v>
      </c>
      <c r="R133" s="36" t="n">
        <v>21</v>
      </c>
      <c r="S133" s="37" t="n">
        <v>0.9545454545454546</v>
      </c>
      <c r="T133" s="36" t="n">
        <v>10</v>
      </c>
      <c r="U133" s="37" t="n">
        <v>0.4545454545454545</v>
      </c>
      <c r="V133" s="38" t="n">
        <v>0</v>
      </c>
      <c r="W133" s="38" t="n">
        <v>1.38</v>
      </c>
      <c r="X133" s="38" t="n">
        <v>8.798000000000002</v>
      </c>
      <c r="Y133" s="38" t="n">
        <v>24.364</v>
      </c>
      <c r="Z133" s="38" t="n">
        <v>0</v>
      </c>
      <c r="AA133" s="36" t="n">
        <v>25</v>
      </c>
      <c r="AB133" s="37" t="n">
        <v>0.5434782608695652</v>
      </c>
      <c r="AC133" s="36" t="n">
        <v>3</v>
      </c>
      <c r="AD133" s="37" t="n">
        <v>0.3333333333333333</v>
      </c>
      <c r="AE133" s="36" t="n">
        <v>22</v>
      </c>
      <c r="AF133" s="37" t="n">
        <v>0.5945945945945946</v>
      </c>
      <c r="AG133" s="36" t="n">
        <v>1</v>
      </c>
      <c r="AH133" s="37" t="n">
        <v>0.3333333333333333</v>
      </c>
    </row>
    <row r="134">
      <c r="A134" s="53" t="n">
        <v>45751</v>
      </c>
      <c r="B134" t="inlineStr">
        <is>
          <t>R07_Bali Nusra</t>
        </is>
      </c>
      <c r="C134" t="inlineStr">
        <is>
          <t>NOP DENPASAR</t>
        </is>
      </c>
      <c r="D134" s="38" t="n">
        <v>0.8</v>
      </c>
      <c r="E134" s="38" t="n">
        <v>0</v>
      </c>
      <c r="F134" s="36" t="n">
        <v>2.996</v>
      </c>
      <c r="G134" s="36" t="n">
        <v>2.696</v>
      </c>
      <c r="H134" s="36" t="n">
        <v>13</v>
      </c>
      <c r="I134" s="37" t="n">
        <v>1</v>
      </c>
      <c r="J134" s="36" t="n">
        <v>1</v>
      </c>
      <c r="K134" s="37" t="n">
        <v>1</v>
      </c>
      <c r="L134" s="36" t="n">
        <v>12</v>
      </c>
      <c r="M134" s="37" t="n">
        <v>1</v>
      </c>
      <c r="N134" s="36" t="n">
        <v>1</v>
      </c>
      <c r="O134" s="37" t="n">
        <v>1</v>
      </c>
      <c r="P134" s="36" t="n">
        <v>1</v>
      </c>
      <c r="Q134" s="37" t="n">
        <v>1</v>
      </c>
      <c r="R134" s="36" t="n">
        <v>13</v>
      </c>
      <c r="S134" s="37" t="n">
        <v>1</v>
      </c>
      <c r="T134" s="36" t="n">
        <v>13</v>
      </c>
      <c r="U134" s="37" t="n">
        <v>1</v>
      </c>
      <c r="V134" s="38" t="n">
        <v>0</v>
      </c>
      <c r="W134" s="38" t="n">
        <v>10.625</v>
      </c>
      <c r="X134" s="38" t="n">
        <v>21.082</v>
      </c>
      <c r="Y134" s="38" t="n">
        <v>68.092</v>
      </c>
      <c r="Z134" s="38" t="n">
        <v>0</v>
      </c>
      <c r="AA134" s="36" t="n">
        <v>18</v>
      </c>
      <c r="AB134" s="37" t="n">
        <v>0.8571428571428571</v>
      </c>
      <c r="AC134" s="36" t="n">
        <v>4</v>
      </c>
      <c r="AD134" s="37" t="n">
        <v>0.6666666666666666</v>
      </c>
      <c r="AE134" s="36" t="n">
        <v>14</v>
      </c>
      <c r="AF134" s="37" t="n">
        <v>0.9333333333333333</v>
      </c>
      <c r="AG134" s="36" t="n">
        <v>0</v>
      </c>
      <c r="AH134" s="37" t="n">
        <v>0</v>
      </c>
    </row>
    <row r="135">
      <c r="A135" s="53" t="n">
        <v>45751</v>
      </c>
      <c r="B135" t="inlineStr">
        <is>
          <t>R07_Bali Nusra</t>
        </is>
      </c>
      <c r="C135" t="inlineStr">
        <is>
          <t>NOP FLORES</t>
        </is>
      </c>
      <c r="D135" s="38" t="n">
        <v>1.274</v>
      </c>
      <c r="E135" s="38" t="n">
        <v>4.518000000000002</v>
      </c>
      <c r="F135" s="36" t="n">
        <v>1.26</v>
      </c>
      <c r="G135" s="36" t="n">
        <v>7.186999999999999</v>
      </c>
      <c r="H135" s="36" t="n">
        <v>17</v>
      </c>
      <c r="I135" s="37" t="n">
        <v>0.3148148148148148</v>
      </c>
      <c r="J135" s="36" t="n">
        <v>4</v>
      </c>
      <c r="K135" s="37" t="n">
        <v>0.2666666666666667</v>
      </c>
      <c r="L135" s="36" t="n">
        <v>13</v>
      </c>
      <c r="M135" s="37" t="n">
        <v>0.3333333333333333</v>
      </c>
      <c r="N135" s="36" t="n">
        <v>2</v>
      </c>
      <c r="O135" s="37" t="n">
        <v>0.5</v>
      </c>
      <c r="P135" s="36" t="n">
        <v>2</v>
      </c>
      <c r="Q135" s="37" t="n">
        <v>0.5</v>
      </c>
      <c r="R135" s="36" t="n">
        <v>52</v>
      </c>
      <c r="S135" s="37" t="n">
        <v>0.9629629629629629</v>
      </c>
      <c r="T135" s="36" t="n">
        <v>8</v>
      </c>
      <c r="U135" s="37" t="n">
        <v>0.1481481481481481</v>
      </c>
      <c r="V135" s="38" t="n">
        <v>0</v>
      </c>
      <c r="W135" s="38" t="n">
        <v>25.25200000000002</v>
      </c>
      <c r="X135" s="38" t="n">
        <v>11.291</v>
      </c>
      <c r="Y135" s="38" t="n">
        <v>72.94400000000005</v>
      </c>
      <c r="Z135" s="38" t="n">
        <v>0</v>
      </c>
      <c r="AA135" s="36" t="n">
        <v>52</v>
      </c>
      <c r="AB135" s="37" t="n">
        <v>0.5</v>
      </c>
      <c r="AC135" s="36" t="n">
        <v>42</v>
      </c>
      <c r="AD135" s="37" t="n">
        <v>0.6086956521739131</v>
      </c>
      <c r="AE135" s="36" t="n">
        <v>10</v>
      </c>
      <c r="AF135" s="37" t="n">
        <v>0.2857142857142857</v>
      </c>
      <c r="AG135" s="36" t="n">
        <v>20</v>
      </c>
      <c r="AH135" s="37" t="n">
        <v>0.4761904761904762</v>
      </c>
    </row>
    <row r="136">
      <c r="A136" s="53" t="n">
        <v>45751</v>
      </c>
      <c r="B136" t="inlineStr">
        <is>
          <t>R07_Bali Nusra</t>
        </is>
      </c>
      <c r="C136" t="inlineStr">
        <is>
          <t>NOP KUPANG</t>
        </is>
      </c>
      <c r="D136" s="38" t="n">
        <v>0</v>
      </c>
      <c r="E136" s="38" t="n">
        <v>6.080000000000001</v>
      </c>
      <c r="F136" s="36" t="n">
        <v>3.9</v>
      </c>
      <c r="G136" s="36" t="n">
        <v>4.09</v>
      </c>
      <c r="H136" s="36" t="n">
        <v>7</v>
      </c>
      <c r="I136" s="37" t="n">
        <v>0.3333333333333333</v>
      </c>
      <c r="J136" s="36" t="n">
        <v>1</v>
      </c>
      <c r="K136" s="37" t="n">
        <v>0.3333333333333333</v>
      </c>
      <c r="L136" s="36" t="n">
        <v>6</v>
      </c>
      <c r="M136" s="37" t="n">
        <v>0.3333333333333333</v>
      </c>
      <c r="N136" s="36" t="n">
        <v>0</v>
      </c>
      <c r="O136" s="37" t="n">
        <v>0</v>
      </c>
      <c r="P136" s="36" t="n">
        <v>0</v>
      </c>
      <c r="Q136" s="37" t="n">
        <v>0</v>
      </c>
      <c r="R136" s="36" t="n">
        <v>21</v>
      </c>
      <c r="S136" s="37" t="n">
        <v>1</v>
      </c>
      <c r="T136" s="36" t="n">
        <v>4</v>
      </c>
      <c r="U136" s="37" t="n">
        <v>0.1904761904761905</v>
      </c>
      <c r="V136" s="38" t="n">
        <v>0</v>
      </c>
      <c r="W136" s="38" t="n">
        <v>20.56800000000004</v>
      </c>
      <c r="X136" s="38" t="n">
        <v>78.36499999999999</v>
      </c>
      <c r="Y136" s="38" t="n">
        <v>101.127</v>
      </c>
      <c r="Z136" s="38" t="n">
        <v>0</v>
      </c>
      <c r="AA136" s="36" t="n">
        <v>21</v>
      </c>
      <c r="AB136" s="37" t="n">
        <v>0.4468085106382979</v>
      </c>
      <c r="AC136" s="36" t="n">
        <v>13</v>
      </c>
      <c r="AD136" s="37" t="n">
        <v>0.4814814814814815</v>
      </c>
      <c r="AE136" s="36" t="n">
        <v>8</v>
      </c>
      <c r="AF136" s="37" t="n">
        <v>0.4</v>
      </c>
      <c r="AG136" s="36" t="n">
        <v>11</v>
      </c>
      <c r="AH136" s="37" t="n">
        <v>0.8461538461538461</v>
      </c>
    </row>
    <row r="137">
      <c r="A137" s="53" t="n">
        <v>45751</v>
      </c>
      <c r="B137" t="inlineStr">
        <is>
          <t>R07_Bali Nusra</t>
        </is>
      </c>
      <c r="C137" t="inlineStr">
        <is>
          <t>NOP MATARAM</t>
        </is>
      </c>
      <c r="D137" s="38" t="n">
        <v>0</v>
      </c>
      <c r="E137" s="38" t="n">
        <v>0</v>
      </c>
      <c r="F137" s="36" t="n">
        <v>3.542</v>
      </c>
      <c r="G137" s="36" t="n">
        <v>11.567</v>
      </c>
      <c r="H137" s="36" t="n">
        <v>5</v>
      </c>
      <c r="I137" s="37" t="n">
        <v>0.3846153846153846</v>
      </c>
      <c r="J137" s="36" t="n">
        <v>0</v>
      </c>
      <c r="K137" s="37" t="n">
        <v>0</v>
      </c>
      <c r="L137" s="36" t="n">
        <v>5</v>
      </c>
      <c r="M137" s="37" t="n">
        <v>0.3846153846153846</v>
      </c>
      <c r="N137" s="36" t="n">
        <v>0</v>
      </c>
      <c r="O137" s="37" t="n">
        <v>0</v>
      </c>
      <c r="P137" s="36" t="n">
        <v>0</v>
      </c>
      <c r="Q137" s="37" t="n">
        <v>0</v>
      </c>
      <c r="R137" s="36" t="n">
        <v>13</v>
      </c>
      <c r="S137" s="37" t="n">
        <v>1</v>
      </c>
      <c r="T137" s="36" t="n">
        <v>2</v>
      </c>
      <c r="U137" s="37" t="n">
        <v>0.1538461538461539</v>
      </c>
      <c r="V137" s="38" t="n">
        <v>0</v>
      </c>
      <c r="W137" s="38" t="n">
        <v>37.91</v>
      </c>
      <c r="X137" s="38" t="n">
        <v>4.969999999999997</v>
      </c>
      <c r="Y137" s="38" t="n">
        <v>12.13</v>
      </c>
      <c r="Z137" s="38" t="n">
        <v>0</v>
      </c>
      <c r="AA137" s="36" t="n">
        <v>11</v>
      </c>
      <c r="AB137" s="37" t="n">
        <v>0.2156862745098039</v>
      </c>
      <c r="AC137" s="36" t="n">
        <v>1</v>
      </c>
      <c r="AD137" s="37" t="n">
        <v>0.04761904761904762</v>
      </c>
      <c r="AE137" s="36" t="n">
        <v>10</v>
      </c>
      <c r="AF137" s="37" t="n">
        <v>0.3333333333333333</v>
      </c>
      <c r="AG137" s="36" t="n">
        <v>0</v>
      </c>
      <c r="AH137" s="37" t="n">
        <v>0</v>
      </c>
    </row>
    <row r="138">
      <c r="A138" s="53" t="n">
        <v>45752</v>
      </c>
      <c r="B138" t="inlineStr">
        <is>
          <t>R01_Sumbagut</t>
        </is>
      </c>
      <c r="C138" t="inlineStr">
        <is>
          <t>NOP ACEH</t>
        </is>
      </c>
      <c r="D138" s="38" t="n">
        <v>1.22</v>
      </c>
      <c r="E138" s="38" t="n">
        <v>2.17</v>
      </c>
      <c r="F138" s="36" t="n">
        <v>43.64</v>
      </c>
      <c r="G138" s="36" t="n">
        <v>7.205000000000013</v>
      </c>
      <c r="H138" s="36" t="n">
        <v>71</v>
      </c>
      <c r="I138" s="37" t="n">
        <v>0.8554216867469879</v>
      </c>
      <c r="J138" s="36" t="n">
        <v>20</v>
      </c>
      <c r="K138" s="37" t="n">
        <v>0.8695652173913043</v>
      </c>
      <c r="L138" s="36" t="n">
        <v>51</v>
      </c>
      <c r="M138" s="37" t="n">
        <v>0.85</v>
      </c>
      <c r="N138" s="36" t="n">
        <v>7</v>
      </c>
      <c r="O138" s="37" t="n">
        <v>0.35</v>
      </c>
      <c r="P138" s="36" t="n">
        <v>7</v>
      </c>
      <c r="Q138" s="37" t="n">
        <v>0.35</v>
      </c>
      <c r="R138" s="36" t="n">
        <v>83</v>
      </c>
      <c r="S138" s="37" t="n">
        <v>1</v>
      </c>
      <c r="T138" s="36" t="n">
        <v>20</v>
      </c>
      <c r="U138" s="37" t="n">
        <v>0.2409638554216867</v>
      </c>
      <c r="V138" s="38" t="n">
        <v>0.05599999999999999</v>
      </c>
      <c r="W138" s="38" t="n">
        <v>7.929999999999998</v>
      </c>
      <c r="X138" s="38" t="n">
        <v>47.12</v>
      </c>
      <c r="Y138" s="38" t="n">
        <v>57.362</v>
      </c>
      <c r="Z138" s="38" t="n">
        <v>0</v>
      </c>
      <c r="AA138" s="36" t="n">
        <v>282</v>
      </c>
      <c r="AB138" s="37" t="n">
        <v>0.8367952522255193</v>
      </c>
      <c r="AC138" s="36" t="n">
        <v>24</v>
      </c>
      <c r="AD138" s="37" t="n">
        <v>0.7741935483870968</v>
      </c>
      <c r="AE138" s="36" t="n">
        <v>258</v>
      </c>
      <c r="AF138" s="37" t="n">
        <v>0.8431372549019608</v>
      </c>
      <c r="AG138" s="36" t="n">
        <v>9</v>
      </c>
      <c r="AH138" s="37" t="n">
        <v>0.375</v>
      </c>
    </row>
    <row r="139">
      <c r="A139" s="53" t="n">
        <v>45752</v>
      </c>
      <c r="B139" t="inlineStr">
        <is>
          <t>R01_Sumbagut</t>
        </is>
      </c>
      <c r="C139" t="inlineStr">
        <is>
          <t>NOP BINJAI</t>
        </is>
      </c>
      <c r="D139" s="38" t="n">
        <v>0</v>
      </c>
      <c r="E139" s="38" t="n">
        <v>4.026000000000001</v>
      </c>
      <c r="F139" s="36" t="n">
        <v>2.94</v>
      </c>
      <c r="G139" s="36" t="n">
        <v>13.08</v>
      </c>
      <c r="H139" s="36" t="n">
        <v>20</v>
      </c>
      <c r="I139" s="37" t="n">
        <v>0.5555555555555556</v>
      </c>
      <c r="J139" s="36" t="n">
        <v>4</v>
      </c>
      <c r="K139" s="37" t="n">
        <v>0.5714285714285714</v>
      </c>
      <c r="L139" s="36" t="n">
        <v>16</v>
      </c>
      <c r="M139" s="37" t="n">
        <v>0.5517241379310345</v>
      </c>
      <c r="N139" s="36" t="n">
        <v>2</v>
      </c>
      <c r="O139" s="37" t="n">
        <v>0.5</v>
      </c>
      <c r="P139" s="36" t="n">
        <v>2</v>
      </c>
      <c r="Q139" s="37" t="n">
        <v>0.5</v>
      </c>
      <c r="R139" s="36" t="n">
        <v>36</v>
      </c>
      <c r="S139" s="37" t="n">
        <v>1</v>
      </c>
      <c r="T139" s="36" t="n">
        <v>12</v>
      </c>
      <c r="U139" s="37" t="n">
        <v>0.3333333333333333</v>
      </c>
      <c r="V139" s="38" t="n">
        <v>0</v>
      </c>
      <c r="W139" s="38" t="n">
        <v>2.79</v>
      </c>
      <c r="X139" s="38" t="n">
        <v>23.076</v>
      </c>
      <c r="Y139" s="38" t="n">
        <v>114.134</v>
      </c>
      <c r="Z139" s="38" t="n">
        <v>0</v>
      </c>
      <c r="AA139" s="36" t="n">
        <v>50</v>
      </c>
      <c r="AB139" s="37" t="n">
        <v>0.5813953488372093</v>
      </c>
      <c r="AC139" s="36" t="n">
        <v>9</v>
      </c>
      <c r="AD139" s="37" t="n">
        <v>0.5625</v>
      </c>
      <c r="AE139" s="36" t="n">
        <v>38</v>
      </c>
      <c r="AF139" s="37" t="n">
        <v>0.5671641791044776</v>
      </c>
      <c r="AG139" s="36" t="n">
        <v>2</v>
      </c>
      <c r="AH139" s="37" t="n">
        <v>0.2222222222222222</v>
      </c>
    </row>
    <row r="140">
      <c r="A140" s="53" t="n">
        <v>45752</v>
      </c>
      <c r="B140" t="inlineStr">
        <is>
          <t>R01_Sumbagut</t>
        </is>
      </c>
      <c r="C140" t="inlineStr">
        <is>
          <t>NOP MEDAN</t>
        </is>
      </c>
      <c r="D140" s="38" t="n">
        <v>0</v>
      </c>
      <c r="E140" s="38" t="n">
        <v>5.568</v>
      </c>
      <c r="F140" s="36" t="n">
        <v>1.41</v>
      </c>
      <c r="G140" s="36" t="n">
        <v>2.275</v>
      </c>
      <c r="H140" s="36" t="n">
        <v>6</v>
      </c>
      <c r="I140" s="37" t="n">
        <v>0.375</v>
      </c>
      <c r="J140" s="36" t="n">
        <v>1</v>
      </c>
      <c r="K140" s="37" t="n">
        <v>0.3333333333333333</v>
      </c>
      <c r="L140" s="36" t="n">
        <v>5</v>
      </c>
      <c r="M140" s="37" t="n">
        <v>0.3846153846153846</v>
      </c>
      <c r="N140" s="36" t="n">
        <v>1</v>
      </c>
      <c r="O140" s="37" t="n">
        <v>1</v>
      </c>
      <c r="P140" s="36" t="n">
        <v>1</v>
      </c>
      <c r="Q140" s="37" t="n">
        <v>1</v>
      </c>
      <c r="R140" s="36" t="n">
        <v>16</v>
      </c>
      <c r="S140" s="37" t="n">
        <v>1</v>
      </c>
      <c r="T140" s="36" t="n">
        <v>3</v>
      </c>
      <c r="U140" s="37" t="n">
        <v>0.1875</v>
      </c>
      <c r="V140" s="38" t="n">
        <v>0</v>
      </c>
      <c r="W140" s="38" t="n">
        <v>21.81</v>
      </c>
      <c r="X140" s="38" t="n">
        <v>12.48600000000001</v>
      </c>
      <c r="Y140" s="38" t="n">
        <v>15.22</v>
      </c>
      <c r="Z140" s="38" t="n">
        <v>0</v>
      </c>
      <c r="AA140" s="36" t="n">
        <v>7</v>
      </c>
      <c r="AB140" s="37" t="n">
        <v>0.25</v>
      </c>
      <c r="AC140" s="36" t="n">
        <v>2</v>
      </c>
      <c r="AD140" s="37" t="n">
        <v>0.4</v>
      </c>
      <c r="AE140" s="36" t="n">
        <v>5</v>
      </c>
      <c r="AF140" s="37" t="n">
        <v>0.2272727272727273</v>
      </c>
      <c r="AG140" s="36" t="n">
        <v>2</v>
      </c>
      <c r="AH140" s="37" t="n">
        <v>1</v>
      </c>
    </row>
    <row r="141">
      <c r="A141" s="53" t="n">
        <v>45752</v>
      </c>
      <c r="B141" t="inlineStr">
        <is>
          <t>R01_Sumbagut</t>
        </is>
      </c>
      <c r="C141" t="inlineStr">
        <is>
          <t>NOP PADANG SIDEMPUAN</t>
        </is>
      </c>
      <c r="D141" s="38" t="n">
        <v>0</v>
      </c>
      <c r="E141" s="38" t="n">
        <v>1.478</v>
      </c>
      <c r="F141" s="36" t="n">
        <v>2.311</v>
      </c>
      <c r="G141" s="36" t="n">
        <v>2.42</v>
      </c>
      <c r="H141" s="36" t="n">
        <v>4</v>
      </c>
      <c r="I141" s="37" t="n">
        <v>0.07692307692307693</v>
      </c>
      <c r="J141" s="36" t="n">
        <v>0</v>
      </c>
      <c r="K141" s="37" t="n">
        <v>0</v>
      </c>
      <c r="L141" s="36" t="n">
        <v>4</v>
      </c>
      <c r="M141" s="37" t="n">
        <v>0.0851063829787234</v>
      </c>
      <c r="N141" s="36" t="n">
        <v>0</v>
      </c>
      <c r="O141" s="37" t="n">
        <v>0</v>
      </c>
      <c r="P141" s="36" t="n">
        <v>0</v>
      </c>
      <c r="Q141" s="37" t="n">
        <v>0</v>
      </c>
      <c r="R141" s="36" t="n">
        <v>52</v>
      </c>
      <c r="S141" s="37" t="n">
        <v>1</v>
      </c>
      <c r="T141" s="36" t="n">
        <v>2</v>
      </c>
      <c r="U141" s="37" t="n">
        <v>0.03846153846153846</v>
      </c>
      <c r="V141" s="38" t="n">
        <v>0.01</v>
      </c>
      <c r="W141" s="38" t="n">
        <v>1.910000000000001</v>
      </c>
      <c r="X141" s="38" t="n">
        <v>12.132</v>
      </c>
      <c r="Y141" s="38" t="n">
        <v>272.2190000000024</v>
      </c>
      <c r="Z141" s="38" t="n">
        <v>0</v>
      </c>
      <c r="AA141" s="36" t="n">
        <v>72</v>
      </c>
      <c r="AB141" s="37" t="n">
        <v>0.28125</v>
      </c>
      <c r="AC141" s="36" t="n">
        <v>19</v>
      </c>
      <c r="AD141" s="37" t="n">
        <v>0.3877551020408163</v>
      </c>
      <c r="AE141" s="36" t="n">
        <v>53</v>
      </c>
      <c r="AF141" s="37" t="n">
        <v>0.2560386473429952</v>
      </c>
      <c r="AG141" s="36" t="n">
        <v>12</v>
      </c>
      <c r="AH141" s="37" t="n">
        <v>0.631578947368421</v>
      </c>
    </row>
    <row r="142">
      <c r="A142" s="53" t="n">
        <v>45752</v>
      </c>
      <c r="B142" t="inlineStr">
        <is>
          <t>R01_Sumbagut</t>
        </is>
      </c>
      <c r="C142" t="inlineStr">
        <is>
          <t>NOP PEMATANG SIANTAR</t>
        </is>
      </c>
      <c r="D142" s="38" t="n">
        <v>0.978</v>
      </c>
      <c r="E142" s="38" t="n">
        <v>12.988</v>
      </c>
      <c r="F142" s="36" t="n">
        <v>2.935</v>
      </c>
      <c r="G142" s="36" t="n">
        <v>2.850000000000002</v>
      </c>
      <c r="H142" s="36" t="n">
        <v>63</v>
      </c>
      <c r="I142" s="37" t="n">
        <v>0.5575221238938053</v>
      </c>
      <c r="J142" s="36" t="n">
        <v>11</v>
      </c>
      <c r="K142" s="37" t="n">
        <v>0.5789473684210527</v>
      </c>
      <c r="L142" s="36" t="n">
        <v>52</v>
      </c>
      <c r="M142" s="37" t="n">
        <v>0.5531914893617021</v>
      </c>
      <c r="N142" s="36" t="n">
        <v>7</v>
      </c>
      <c r="O142" s="37" t="n">
        <v>0.6363636363636364</v>
      </c>
      <c r="P142" s="36" t="n">
        <v>7</v>
      </c>
      <c r="Q142" s="37" t="n">
        <v>0.6363636363636364</v>
      </c>
      <c r="R142" s="36" t="n">
        <v>113</v>
      </c>
      <c r="S142" s="37" t="n">
        <v>1</v>
      </c>
      <c r="T142" s="36" t="n">
        <v>21</v>
      </c>
      <c r="U142" s="37" t="n">
        <v>0.1858407079646018</v>
      </c>
      <c r="V142" s="38" t="n">
        <v>0</v>
      </c>
      <c r="W142" s="38" t="n">
        <v>5.265</v>
      </c>
      <c r="X142" s="38" t="n">
        <v>74.10899999999999</v>
      </c>
      <c r="Y142" s="38" t="n">
        <v>53.43399999999998</v>
      </c>
      <c r="Z142" s="38" t="n">
        <v>0</v>
      </c>
      <c r="AA142" s="36" t="n">
        <v>39</v>
      </c>
      <c r="AB142" s="37" t="n">
        <v>0.103448275862069</v>
      </c>
      <c r="AC142" s="36" t="n">
        <v>7</v>
      </c>
      <c r="AD142" s="37" t="n">
        <v>0.1666666666666667</v>
      </c>
      <c r="AE142" s="36" t="n">
        <v>31</v>
      </c>
      <c r="AF142" s="37" t="n">
        <v>0.09309309309309309</v>
      </c>
      <c r="AG142" s="36" t="n">
        <v>6</v>
      </c>
      <c r="AH142" s="37" t="n">
        <v>0.8571428571428571</v>
      </c>
    </row>
    <row r="143">
      <c r="A143" s="53" t="n">
        <v>45752</v>
      </c>
      <c r="B143" t="inlineStr">
        <is>
          <t>R01_Sumbagut</t>
        </is>
      </c>
      <c r="C143" t="inlineStr">
        <is>
          <t>NOP RANTAU PRAPAT</t>
        </is>
      </c>
      <c r="D143" s="38" t="n">
        <v>1.48</v>
      </c>
      <c r="E143" s="38" t="n">
        <v>6.561999999999994</v>
      </c>
      <c r="F143" s="36" t="n">
        <v>6.526</v>
      </c>
      <c r="G143" s="36" t="n">
        <v>2.594000000000001</v>
      </c>
      <c r="H143" s="36" t="n">
        <v>53</v>
      </c>
      <c r="I143" s="37" t="n">
        <v>0.3605442176870748</v>
      </c>
      <c r="J143" s="36" t="n">
        <v>11</v>
      </c>
      <c r="K143" s="37" t="n">
        <v>0.3666666666666666</v>
      </c>
      <c r="L143" s="36" t="n">
        <v>42</v>
      </c>
      <c r="M143" s="37" t="n">
        <v>0.358974358974359</v>
      </c>
      <c r="N143" s="36" t="n">
        <v>9</v>
      </c>
      <c r="O143" s="37" t="n">
        <v>0.8181818181818182</v>
      </c>
      <c r="P143" s="36" t="n">
        <v>9</v>
      </c>
      <c r="Q143" s="37" t="n">
        <v>0.8181818181818182</v>
      </c>
      <c r="R143" s="36" t="n">
        <v>147</v>
      </c>
      <c r="S143" s="37" t="n">
        <v>1</v>
      </c>
      <c r="T143" s="36" t="n">
        <v>28</v>
      </c>
      <c r="U143" s="37" t="n">
        <v>0.1904761904761905</v>
      </c>
      <c r="V143" s="38" t="n">
        <v>0</v>
      </c>
      <c r="W143" s="38" t="n">
        <v>3.635</v>
      </c>
      <c r="X143" s="38" t="n">
        <v>37.84700000000002</v>
      </c>
      <c r="Y143" s="38" t="n">
        <v>30.746</v>
      </c>
      <c r="Z143" s="38" t="n">
        <v>0</v>
      </c>
      <c r="AA143" s="36" t="n">
        <v>19</v>
      </c>
      <c r="AB143" s="37" t="n">
        <v>0.0581039755351682</v>
      </c>
      <c r="AC143" s="36" t="n">
        <v>5</v>
      </c>
      <c r="AD143" s="37" t="n">
        <v>0.08928571428571429</v>
      </c>
      <c r="AE143" s="36" t="n">
        <v>14</v>
      </c>
      <c r="AF143" s="37" t="n">
        <v>0.05166051660516605</v>
      </c>
      <c r="AG143" s="36" t="n">
        <v>5</v>
      </c>
      <c r="AH143" s="37" t="n">
        <v>1</v>
      </c>
    </row>
    <row r="144">
      <c r="A144" s="53" t="n">
        <v>45752</v>
      </c>
      <c r="B144" t="inlineStr">
        <is>
          <t>R10_Sumbagteng</t>
        </is>
      </c>
      <c r="C144" t="inlineStr">
        <is>
          <t>NOP BATAM</t>
        </is>
      </c>
      <c r="D144" s="38" t="n">
        <v>0</v>
      </c>
      <c r="E144" s="38" t="n">
        <v>7.559999999999998</v>
      </c>
      <c r="F144" s="36" t="n">
        <v>5.667999999999999</v>
      </c>
      <c r="G144" s="36" t="n">
        <v>9.789999999999999</v>
      </c>
      <c r="H144" s="36" t="n">
        <v>24</v>
      </c>
      <c r="I144" s="37" t="n">
        <v>0.2474226804123711</v>
      </c>
      <c r="J144" s="36" t="n">
        <v>7</v>
      </c>
      <c r="K144" s="37" t="n">
        <v>0.2413793103448276</v>
      </c>
      <c r="L144" s="36" t="n">
        <v>17</v>
      </c>
      <c r="M144" s="37" t="n">
        <v>0.25</v>
      </c>
      <c r="N144" s="36" t="n">
        <v>6</v>
      </c>
      <c r="O144" s="37" t="n">
        <v>0.8571428571428571</v>
      </c>
      <c r="P144" s="36" t="n">
        <v>6</v>
      </c>
      <c r="Q144" s="37" t="n">
        <v>0.8571428571428571</v>
      </c>
      <c r="R144" s="36" t="n">
        <v>97</v>
      </c>
      <c r="S144" s="37" t="n">
        <v>1</v>
      </c>
      <c r="T144" s="36" t="n">
        <v>21</v>
      </c>
      <c r="U144" s="37" t="n">
        <v>0.2164948453608248</v>
      </c>
      <c r="V144" s="38" t="n">
        <v>0</v>
      </c>
      <c r="W144" s="38" t="n">
        <v>9.054</v>
      </c>
      <c r="X144" s="38" t="n">
        <v>48.903</v>
      </c>
      <c r="Y144" s="38" t="n">
        <v>9.593999999999999</v>
      </c>
      <c r="Z144" s="38" t="n">
        <v>0</v>
      </c>
      <c r="AA144" s="36" t="n">
        <v>26</v>
      </c>
      <c r="AB144" s="37" t="n">
        <v>0.07951070336391437</v>
      </c>
      <c r="AC144" s="36" t="n">
        <v>11</v>
      </c>
      <c r="AD144" s="37" t="n">
        <v>0.2244897959183673</v>
      </c>
      <c r="AE144" s="36" t="n">
        <v>15</v>
      </c>
      <c r="AF144" s="37" t="n">
        <v>0.05415162454873646</v>
      </c>
      <c r="AG144" s="36" t="n">
        <v>11</v>
      </c>
      <c r="AH144" s="37" t="n">
        <v>1</v>
      </c>
    </row>
    <row r="145">
      <c r="A145" s="53" t="n">
        <v>45752</v>
      </c>
      <c r="B145" t="inlineStr">
        <is>
          <t>R10_Sumbagteng</t>
        </is>
      </c>
      <c r="C145" t="inlineStr">
        <is>
          <t>NOP BUKITTINGGI</t>
        </is>
      </c>
      <c r="D145" s="38" t="n">
        <v>0</v>
      </c>
      <c r="E145" s="38" t="n">
        <v>6.672</v>
      </c>
      <c r="F145" s="36" t="n">
        <v>1.23</v>
      </c>
      <c r="G145" s="36" t="n">
        <v>5.316000000000002</v>
      </c>
      <c r="H145" s="36" t="n">
        <v>18</v>
      </c>
      <c r="I145" s="37" t="n">
        <v>0.6666666666666666</v>
      </c>
      <c r="J145" s="36" t="n">
        <v>5</v>
      </c>
      <c r="K145" s="37" t="n">
        <v>1</v>
      </c>
      <c r="L145" s="36" t="n">
        <v>13</v>
      </c>
      <c r="M145" s="37" t="n">
        <v>0.5909090909090909</v>
      </c>
      <c r="N145" s="36" t="n">
        <v>4</v>
      </c>
      <c r="O145" s="37" t="n">
        <v>0.8</v>
      </c>
      <c r="P145" s="36" t="n">
        <v>4</v>
      </c>
      <c r="Q145" s="37" t="n">
        <v>0.8</v>
      </c>
      <c r="R145" s="36" t="n">
        <v>27</v>
      </c>
      <c r="S145" s="37" t="n">
        <v>1</v>
      </c>
      <c r="T145" s="36" t="n">
        <v>11</v>
      </c>
      <c r="U145" s="37" t="n">
        <v>0.4074074074074074</v>
      </c>
      <c r="V145" s="38" t="n">
        <v>0</v>
      </c>
      <c r="W145" s="38" t="n">
        <v>2.224</v>
      </c>
      <c r="X145" s="38" t="n">
        <v>7.688000000000001</v>
      </c>
      <c r="Y145" s="38" t="n">
        <v>121.98</v>
      </c>
      <c r="Z145" s="38" t="n">
        <v>0</v>
      </c>
      <c r="AA145" s="36" t="n">
        <v>34</v>
      </c>
      <c r="AB145" s="37" t="n">
        <v>0.1770833333333333</v>
      </c>
      <c r="AC145" s="36" t="n">
        <v>11</v>
      </c>
      <c r="AD145" s="37" t="n">
        <v>0.6470588235294118</v>
      </c>
      <c r="AE145" s="36" t="n">
        <v>23</v>
      </c>
      <c r="AF145" s="37" t="n">
        <v>0.1314285714285714</v>
      </c>
      <c r="AG145" s="36" t="n">
        <v>7</v>
      </c>
      <c r="AH145" s="37" t="n">
        <v>0.6363636363636364</v>
      </c>
    </row>
    <row r="146">
      <c r="A146" s="53" t="n">
        <v>45752</v>
      </c>
      <c r="B146" t="inlineStr">
        <is>
          <t>R10_Sumbagteng</t>
        </is>
      </c>
      <c r="C146" t="inlineStr">
        <is>
          <t>NOP DUMAI</t>
        </is>
      </c>
      <c r="D146" s="38" t="n">
        <v>10.27</v>
      </c>
      <c r="E146" s="38" t="n">
        <v>6.494000000000002</v>
      </c>
      <c r="F146" s="36" t="n">
        <v>10.26</v>
      </c>
      <c r="G146" s="36" t="n">
        <v>5.493000000000001</v>
      </c>
      <c r="H146" s="36" t="n">
        <v>30</v>
      </c>
      <c r="I146" s="37" t="n">
        <v>0.2479338842975207</v>
      </c>
      <c r="J146" s="36" t="n">
        <v>11</v>
      </c>
      <c r="K146" s="37" t="n">
        <v>0.2894736842105263</v>
      </c>
      <c r="L146" s="36" t="n">
        <v>19</v>
      </c>
      <c r="M146" s="37" t="n">
        <v>0.2289156626506024</v>
      </c>
      <c r="N146" s="36" t="n">
        <v>7</v>
      </c>
      <c r="O146" s="37" t="n">
        <v>0.6363636363636364</v>
      </c>
      <c r="P146" s="36" t="n">
        <v>7</v>
      </c>
      <c r="Q146" s="37" t="n">
        <v>0.6363636363636364</v>
      </c>
      <c r="R146" s="36" t="n">
        <v>118</v>
      </c>
      <c r="S146" s="37" t="n">
        <v>0.9752066115702479</v>
      </c>
      <c r="T146" s="36" t="n">
        <v>20</v>
      </c>
      <c r="U146" s="37" t="n">
        <v>0.1652892561983471</v>
      </c>
      <c r="V146" s="38" t="n">
        <v>0.351</v>
      </c>
      <c r="W146" s="38" t="n">
        <v>3.906</v>
      </c>
      <c r="X146" s="38" t="n">
        <v>50.21</v>
      </c>
      <c r="Y146" s="38" t="n">
        <v>147.842</v>
      </c>
      <c r="Z146" s="38" t="n">
        <v>0</v>
      </c>
      <c r="AA146" s="36" t="n">
        <v>73</v>
      </c>
      <c r="AB146" s="37" t="n">
        <v>0.2796934865900383</v>
      </c>
      <c r="AC146" s="36" t="n">
        <v>15</v>
      </c>
      <c r="AD146" s="37" t="n">
        <v>0.3061224489795918</v>
      </c>
      <c r="AE146" s="36" t="n">
        <v>57</v>
      </c>
      <c r="AF146" s="37" t="n">
        <v>0.2727272727272727</v>
      </c>
      <c r="AG146" s="36" t="n">
        <v>12</v>
      </c>
      <c r="AH146" s="37" t="n">
        <v>0.8</v>
      </c>
    </row>
    <row r="147">
      <c r="A147" s="53" t="n">
        <v>45752</v>
      </c>
      <c r="B147" t="inlineStr">
        <is>
          <t>R10_Sumbagteng</t>
        </is>
      </c>
      <c r="C147" t="inlineStr">
        <is>
          <t>NOP PADANG</t>
        </is>
      </c>
      <c r="D147" s="38" t="n">
        <v>0</v>
      </c>
      <c r="E147" s="38" t="n">
        <v>1.48</v>
      </c>
      <c r="F147" s="36" t="n">
        <v>5.48</v>
      </c>
      <c r="G147" s="36" t="n">
        <v>7.992000000000003</v>
      </c>
      <c r="H147" s="36" t="n">
        <v>48</v>
      </c>
      <c r="I147" s="37" t="n">
        <v>0.8</v>
      </c>
      <c r="J147" s="36" t="n">
        <v>3</v>
      </c>
      <c r="K147" s="37" t="n">
        <v>0.6</v>
      </c>
      <c r="L147" s="36" t="n">
        <v>45</v>
      </c>
      <c r="M147" s="37" t="n">
        <v>0.8181818181818182</v>
      </c>
      <c r="N147" s="36" t="n">
        <v>1</v>
      </c>
      <c r="O147" s="37" t="n">
        <v>0.3333333333333333</v>
      </c>
      <c r="P147" s="36" t="n">
        <v>1</v>
      </c>
      <c r="Q147" s="37" t="n">
        <v>0.3333333333333333</v>
      </c>
      <c r="R147" s="36" t="n">
        <v>60</v>
      </c>
      <c r="S147" s="37" t="n">
        <v>1</v>
      </c>
      <c r="T147" s="36" t="n">
        <v>13</v>
      </c>
      <c r="U147" s="37" t="n">
        <v>0.2166666666666667</v>
      </c>
      <c r="V147" s="38" t="n">
        <v>0</v>
      </c>
      <c r="W147" s="38" t="n">
        <v>6.768</v>
      </c>
      <c r="X147" s="38" t="n">
        <v>60.74</v>
      </c>
      <c r="Y147" s="38" t="n">
        <v>95.48800000000006</v>
      </c>
      <c r="Z147" s="38" t="n">
        <v>0</v>
      </c>
      <c r="AA147" s="36" t="n">
        <v>169</v>
      </c>
      <c r="AB147" s="37" t="n">
        <v>0.6377358490566037</v>
      </c>
      <c r="AC147" s="36" t="n">
        <v>16</v>
      </c>
      <c r="AD147" s="37" t="n">
        <v>0.4705882352941176</v>
      </c>
      <c r="AE147" s="36" t="n">
        <v>152</v>
      </c>
      <c r="AF147" s="37" t="n">
        <v>0.6608695652173913</v>
      </c>
      <c r="AG147" s="36" t="n">
        <v>8</v>
      </c>
      <c r="AH147" s="37" t="n">
        <v>0.5</v>
      </c>
    </row>
    <row r="148">
      <c r="A148" s="53" t="n">
        <v>45752</v>
      </c>
      <c r="B148" t="inlineStr">
        <is>
          <t>R10_Sumbagteng</t>
        </is>
      </c>
      <c r="C148" t="inlineStr">
        <is>
          <t>NOP PEKANBARU</t>
        </is>
      </c>
      <c r="D148" s="38" t="n">
        <v>6.71</v>
      </c>
      <c r="E148" s="38" t="n">
        <v>5.44</v>
      </c>
      <c r="F148" s="36" t="n">
        <v>6.717</v>
      </c>
      <c r="G148" s="36" t="n">
        <v>9.140000000000001</v>
      </c>
      <c r="H148" s="36" t="n">
        <v>138</v>
      </c>
      <c r="I148" s="37" t="n">
        <v>0.5227272727272727</v>
      </c>
      <c r="J148" s="36" t="n">
        <v>21</v>
      </c>
      <c r="K148" s="37" t="n">
        <v>0.4883720930232558</v>
      </c>
      <c r="L148" s="36" t="n">
        <v>117</v>
      </c>
      <c r="M148" s="37" t="n">
        <v>0.5294117647058824</v>
      </c>
      <c r="N148" s="36" t="n">
        <v>19</v>
      </c>
      <c r="O148" s="37" t="n">
        <v>0.9047619047619048</v>
      </c>
      <c r="P148" s="36" t="n">
        <v>19</v>
      </c>
      <c r="Q148" s="37" t="n">
        <v>0.9047619047619048</v>
      </c>
      <c r="R148" s="36" t="n">
        <v>264</v>
      </c>
      <c r="S148" s="37" t="n">
        <v>1</v>
      </c>
      <c r="T148" s="36" t="n">
        <v>71</v>
      </c>
      <c r="U148" s="37" t="n">
        <v>0.2689393939393939</v>
      </c>
      <c r="V148" s="38" t="n">
        <v>0</v>
      </c>
      <c r="W148" s="38" t="n">
        <v>6.54</v>
      </c>
      <c r="X148" s="38" t="n">
        <v>33.81600000000001</v>
      </c>
      <c r="Y148" s="38" t="n">
        <v>120.8240000000002</v>
      </c>
      <c r="Z148" s="38" t="n">
        <v>0</v>
      </c>
      <c r="AA148" s="36" t="n">
        <v>83</v>
      </c>
      <c r="AB148" s="37" t="n">
        <v>0.2492492492492492</v>
      </c>
      <c r="AC148" s="36" t="n">
        <v>37</v>
      </c>
      <c r="AD148" s="37" t="n">
        <v>0.3333333333333333</v>
      </c>
      <c r="AE148" s="36" t="n">
        <v>46</v>
      </c>
      <c r="AF148" s="37" t="n">
        <v>0.2119815668202765</v>
      </c>
      <c r="AG148" s="36" t="n">
        <v>35</v>
      </c>
      <c r="AH148" s="37" t="n">
        <v>0.9459459459459459</v>
      </c>
    </row>
    <row r="149">
      <c r="A149" s="53" t="n">
        <v>45752</v>
      </c>
      <c r="B149" t="inlineStr">
        <is>
          <t>R02_Sumbagsel</t>
        </is>
      </c>
      <c r="C149" t="inlineStr">
        <is>
          <t>NOP BENGKULU</t>
        </is>
      </c>
      <c r="D149" s="38" t="n">
        <v>0</v>
      </c>
      <c r="E149" s="38" t="n">
        <v>2.912</v>
      </c>
      <c r="F149" s="36" t="n">
        <v>3.289</v>
      </c>
      <c r="G149" s="36" t="n">
        <v>9.48</v>
      </c>
      <c r="H149" s="36" t="n">
        <v>15</v>
      </c>
      <c r="I149" s="37" t="n">
        <v>0.2542372881355932</v>
      </c>
      <c r="J149" s="36" t="n">
        <v>4</v>
      </c>
      <c r="K149" s="37" t="n">
        <v>0.2857142857142857</v>
      </c>
      <c r="L149" s="36" t="n">
        <v>11</v>
      </c>
      <c r="M149" s="37" t="n">
        <v>0.2444444444444444</v>
      </c>
      <c r="N149" s="36" t="n">
        <v>3</v>
      </c>
      <c r="O149" s="37" t="n">
        <v>0.75</v>
      </c>
      <c r="P149" s="36" t="n">
        <v>3</v>
      </c>
      <c r="Q149" s="37" t="n">
        <v>0.75</v>
      </c>
      <c r="R149" s="36" t="n">
        <v>53</v>
      </c>
      <c r="S149" s="37" t="n">
        <v>0.8983050847457628</v>
      </c>
      <c r="T149" s="36" t="n">
        <v>12</v>
      </c>
      <c r="U149" s="37" t="n">
        <v>0.2033898305084746</v>
      </c>
      <c r="V149" s="38" t="n">
        <v>0</v>
      </c>
      <c r="W149" s="38" t="n">
        <v>4.69</v>
      </c>
      <c r="X149" s="38" t="n">
        <v>4.388000000000002</v>
      </c>
      <c r="Y149" s="38" t="n">
        <v>13.094</v>
      </c>
      <c r="Z149" s="38" t="n">
        <v>0</v>
      </c>
      <c r="AA149" s="36" t="n">
        <v>65</v>
      </c>
      <c r="AB149" s="37" t="n">
        <v>0.3494623655913979</v>
      </c>
      <c r="AC149" s="36" t="n">
        <v>43</v>
      </c>
      <c r="AD149" s="37" t="n">
        <v>0.3049645390070922</v>
      </c>
      <c r="AE149" s="36" t="n">
        <v>22</v>
      </c>
      <c r="AF149" s="37" t="n">
        <v>0.5238095238095238</v>
      </c>
      <c r="AG149" s="36" t="n">
        <v>37</v>
      </c>
      <c r="AH149" s="37" t="n">
        <v>0.8604651162790697</v>
      </c>
    </row>
    <row r="150">
      <c r="A150" s="53" t="n">
        <v>45752</v>
      </c>
      <c r="B150" t="inlineStr">
        <is>
          <t>R02_Sumbagsel</t>
        </is>
      </c>
      <c r="C150" t="inlineStr">
        <is>
          <t>NOP JAMBI</t>
        </is>
      </c>
      <c r="D150" s="38" t="n">
        <v>3.58</v>
      </c>
      <c r="E150" s="38" t="n">
        <v>2.89</v>
      </c>
      <c r="F150" s="36" t="n">
        <v>6.594</v>
      </c>
      <c r="G150" s="36" t="n">
        <v>7.522000000000007</v>
      </c>
      <c r="H150" s="36" t="n">
        <v>66</v>
      </c>
      <c r="I150" s="37" t="n">
        <v>0.4258064516129032</v>
      </c>
      <c r="J150" s="36" t="n">
        <v>22</v>
      </c>
      <c r="K150" s="37" t="n">
        <v>0.5116279069767442</v>
      </c>
      <c r="L150" s="36" t="n">
        <v>44</v>
      </c>
      <c r="M150" s="37" t="n">
        <v>0.3928571428571428</v>
      </c>
      <c r="N150" s="36" t="n">
        <v>16</v>
      </c>
      <c r="O150" s="37" t="n">
        <v>0.7272727272727273</v>
      </c>
      <c r="P150" s="36" t="n">
        <v>16</v>
      </c>
      <c r="Q150" s="37" t="n">
        <v>0.7272727272727273</v>
      </c>
      <c r="R150" s="36" t="n">
        <v>155</v>
      </c>
      <c r="S150" s="37" t="n">
        <v>1</v>
      </c>
      <c r="T150" s="36" t="n">
        <v>39</v>
      </c>
      <c r="U150" s="37" t="n">
        <v>0.2516129032258064</v>
      </c>
      <c r="V150" s="38" t="n">
        <v>0</v>
      </c>
      <c r="W150" s="38" t="n">
        <v>6.67</v>
      </c>
      <c r="X150" s="38" t="n">
        <v>9.33</v>
      </c>
      <c r="Y150" s="38" t="n">
        <v>66.383</v>
      </c>
      <c r="Z150" s="38" t="n">
        <v>0</v>
      </c>
      <c r="AA150" s="36" t="n">
        <v>136</v>
      </c>
      <c r="AB150" s="37" t="n">
        <v>0.6296296296296297</v>
      </c>
      <c r="AC150" s="36" t="n">
        <v>72</v>
      </c>
      <c r="AD150" s="37" t="n">
        <v>0.6486486486486487</v>
      </c>
      <c r="AE150" s="36" t="n">
        <v>54</v>
      </c>
      <c r="AF150" s="37" t="n">
        <v>0.6067415730337079</v>
      </c>
      <c r="AG150" s="36" t="n">
        <v>36</v>
      </c>
      <c r="AH150" s="37" t="n">
        <v>0.5</v>
      </c>
    </row>
    <row r="151">
      <c r="A151" s="53" t="n">
        <v>45752</v>
      </c>
      <c r="B151" t="inlineStr">
        <is>
          <t>R02_Sumbagsel</t>
        </is>
      </c>
      <c r="C151" t="inlineStr">
        <is>
          <t>NOP LAMPUNG</t>
        </is>
      </c>
      <c r="D151" s="38" t="n">
        <v>0</v>
      </c>
      <c r="E151" s="38" t="n">
        <v>6.126000000000005</v>
      </c>
      <c r="F151" s="36" t="n">
        <v>2.604000000000001</v>
      </c>
      <c r="G151" s="36" t="n">
        <v>1.048</v>
      </c>
      <c r="H151" s="36" t="n">
        <v>15</v>
      </c>
      <c r="I151" s="37" t="n">
        <v>0.5172413793103449</v>
      </c>
      <c r="J151" s="36" t="n">
        <v>4</v>
      </c>
      <c r="K151" s="37" t="n">
        <v>0.5714285714285714</v>
      </c>
      <c r="L151" s="36" t="n">
        <v>11</v>
      </c>
      <c r="M151" s="37" t="n">
        <v>0.5</v>
      </c>
      <c r="N151" s="36" t="n">
        <v>4</v>
      </c>
      <c r="O151" s="37" t="n">
        <v>1</v>
      </c>
      <c r="P151" s="36" t="n">
        <v>4</v>
      </c>
      <c r="Q151" s="37" t="n">
        <v>1</v>
      </c>
      <c r="R151" s="36" t="n">
        <v>29</v>
      </c>
      <c r="S151" s="37" t="n">
        <v>1</v>
      </c>
      <c r="T151" s="36" t="n">
        <v>6</v>
      </c>
      <c r="U151" s="37" t="n">
        <v>0.2068965517241379</v>
      </c>
      <c r="V151" s="38" t="n">
        <v>0</v>
      </c>
      <c r="W151" s="38" t="n">
        <v>4.446000000000008</v>
      </c>
      <c r="X151" s="38" t="n">
        <v>12.75</v>
      </c>
      <c r="Y151" s="38" t="n">
        <v>34.562</v>
      </c>
      <c r="Z151" s="38" t="n">
        <v>0</v>
      </c>
      <c r="AA151" s="36" t="n">
        <v>89</v>
      </c>
      <c r="AB151" s="37" t="n">
        <v>0.8090909090909091</v>
      </c>
      <c r="AC151" s="36" t="n">
        <v>13</v>
      </c>
      <c r="AD151" s="37" t="n">
        <v>0.65</v>
      </c>
      <c r="AE151" s="36" t="n">
        <v>71</v>
      </c>
      <c r="AF151" s="37" t="n">
        <v>0.9466666666666667</v>
      </c>
      <c r="AG151" s="36" t="n">
        <v>11</v>
      </c>
      <c r="AH151" s="37" t="n">
        <v>0.8461538461538461</v>
      </c>
    </row>
    <row r="152">
      <c r="A152" s="53" t="n">
        <v>45752</v>
      </c>
      <c r="B152" t="inlineStr">
        <is>
          <t>R02_Sumbagsel</t>
        </is>
      </c>
      <c r="C152" t="inlineStr">
        <is>
          <t>NOP MUARA ENIM</t>
        </is>
      </c>
      <c r="D152" s="38" t="n">
        <v>0</v>
      </c>
      <c r="E152" s="38" t="n">
        <v>2.497</v>
      </c>
      <c r="F152" s="36" t="n">
        <v>11.616</v>
      </c>
      <c r="G152" s="36" t="n">
        <v>9.416000000000004</v>
      </c>
      <c r="H152" s="36" t="n">
        <v>39</v>
      </c>
      <c r="I152" s="37" t="n">
        <v>0.2932330827067669</v>
      </c>
      <c r="J152" s="36" t="n">
        <v>4</v>
      </c>
      <c r="K152" s="37" t="n">
        <v>0.1666666666666667</v>
      </c>
      <c r="L152" s="36" t="n">
        <v>35</v>
      </c>
      <c r="M152" s="37" t="n">
        <v>0.3211009174311927</v>
      </c>
      <c r="N152" s="36" t="n">
        <v>4</v>
      </c>
      <c r="O152" s="37" t="n">
        <v>1</v>
      </c>
      <c r="P152" s="36" t="n">
        <v>4</v>
      </c>
      <c r="Q152" s="37" t="n">
        <v>1</v>
      </c>
      <c r="R152" s="36" t="n">
        <v>133</v>
      </c>
      <c r="S152" s="37" t="n">
        <v>1</v>
      </c>
      <c r="T152" s="36" t="n">
        <v>20</v>
      </c>
      <c r="U152" s="37" t="n">
        <v>0.1503759398496241</v>
      </c>
      <c r="V152" s="38" t="n">
        <v>0</v>
      </c>
      <c r="W152" s="38" t="n">
        <v>9.869999999999999</v>
      </c>
      <c r="X152" s="38" t="n">
        <v>5.539000000000002</v>
      </c>
      <c r="Y152" s="38" t="n">
        <v>10.47999999999999</v>
      </c>
      <c r="Z152" s="38" t="n">
        <v>0</v>
      </c>
      <c r="AA152" s="36" t="n">
        <v>76</v>
      </c>
      <c r="AB152" s="37" t="n">
        <v>0.4550898203592814</v>
      </c>
      <c r="AC152" s="36" t="n">
        <v>34</v>
      </c>
      <c r="AD152" s="37" t="n">
        <v>0.5151515151515151</v>
      </c>
      <c r="AE152" s="36" t="n">
        <v>39</v>
      </c>
      <c r="AF152" s="37" t="n">
        <v>0.4936708860759494</v>
      </c>
      <c r="AG152" s="36" t="n">
        <v>30</v>
      </c>
      <c r="AH152" s="37" t="n">
        <v>0.8823529411764706</v>
      </c>
    </row>
    <row r="153">
      <c r="A153" s="53" t="n">
        <v>45752</v>
      </c>
      <c r="B153" t="inlineStr">
        <is>
          <t>R02_Sumbagsel</t>
        </is>
      </c>
      <c r="C153" t="inlineStr">
        <is>
          <t>NOP PALEMBANG</t>
        </is>
      </c>
      <c r="D153" s="38" t="n">
        <v>1.701</v>
      </c>
      <c r="E153" s="38" t="n">
        <v>4.667999999999999</v>
      </c>
      <c r="F153" s="36" t="n">
        <v>5.738</v>
      </c>
      <c r="G153" s="36" t="n">
        <v>6.92</v>
      </c>
      <c r="H153" s="36" t="n">
        <v>68</v>
      </c>
      <c r="I153" s="37" t="n">
        <v>0.3269230769230769</v>
      </c>
      <c r="J153" s="36" t="n">
        <v>5</v>
      </c>
      <c r="K153" s="37" t="n">
        <v>0.1851851851851852</v>
      </c>
      <c r="L153" s="36" t="n">
        <v>63</v>
      </c>
      <c r="M153" s="37" t="n">
        <v>0.3480662983425414</v>
      </c>
      <c r="N153" s="36" t="n">
        <v>3</v>
      </c>
      <c r="O153" s="37" t="n">
        <v>0.6</v>
      </c>
      <c r="P153" s="36" t="n">
        <v>3</v>
      </c>
      <c r="Q153" s="37" t="n">
        <v>0.6</v>
      </c>
      <c r="R153" s="36" t="n">
        <v>208</v>
      </c>
      <c r="S153" s="37" t="n">
        <v>1</v>
      </c>
      <c r="T153" s="36" t="n">
        <v>32</v>
      </c>
      <c r="U153" s="37" t="n">
        <v>0.1538461538461539</v>
      </c>
      <c r="V153" s="38" t="n">
        <v>0</v>
      </c>
      <c r="W153" s="38" t="n">
        <v>4.235</v>
      </c>
      <c r="X153" s="38" t="n">
        <v>9.269000000000002</v>
      </c>
      <c r="Y153" s="38" t="n">
        <v>14.1</v>
      </c>
      <c r="Z153" s="38" t="n">
        <v>0</v>
      </c>
      <c r="AA153" s="36" t="n">
        <v>50</v>
      </c>
      <c r="AB153" s="37" t="n">
        <v>0.2325581395348837</v>
      </c>
      <c r="AC153" s="36" t="n">
        <v>27</v>
      </c>
      <c r="AD153" s="37" t="n">
        <v>0.2014925373134328</v>
      </c>
      <c r="AE153" s="36" t="n">
        <v>23</v>
      </c>
      <c r="AF153" s="37" t="n">
        <v>0.3833333333333334</v>
      </c>
      <c r="AG153" s="36" t="n">
        <v>12</v>
      </c>
      <c r="AH153" s="37" t="n">
        <v>0.4444444444444444</v>
      </c>
    </row>
    <row r="154">
      <c r="A154" s="53" t="n">
        <v>45752</v>
      </c>
      <c r="B154" t="inlineStr">
        <is>
          <t>R02_Sumbagsel</t>
        </is>
      </c>
      <c r="C154" t="inlineStr">
        <is>
          <t>NOP PANGKAL PINANG</t>
        </is>
      </c>
      <c r="D154" s="38" t="n">
        <v>0</v>
      </c>
      <c r="E154" s="38" t="n">
        <v>0.99</v>
      </c>
      <c r="F154" s="36" t="n">
        <v>2.47</v>
      </c>
      <c r="G154" s="36" t="n">
        <v>2.258</v>
      </c>
      <c r="H154" s="36" t="n">
        <v>9</v>
      </c>
      <c r="I154" s="37" t="n">
        <v>0.75</v>
      </c>
      <c r="J154" s="36" t="n">
        <v>1</v>
      </c>
      <c r="K154" s="37" t="n">
        <v>1</v>
      </c>
      <c r="L154" s="36" t="n">
        <v>8</v>
      </c>
      <c r="M154" s="37" t="n">
        <v>0.7272727272727273</v>
      </c>
      <c r="N154" s="36" t="n">
        <v>1</v>
      </c>
      <c r="O154" s="37" t="n">
        <v>1</v>
      </c>
      <c r="P154" s="36" t="n">
        <v>1</v>
      </c>
      <c r="Q154" s="37" t="n">
        <v>1</v>
      </c>
      <c r="R154" s="36" t="n">
        <v>12</v>
      </c>
      <c r="S154" s="37" t="n">
        <v>1</v>
      </c>
      <c r="T154" s="36" t="n">
        <v>6</v>
      </c>
      <c r="U154" s="37" t="n">
        <v>0.5</v>
      </c>
      <c r="V154" s="38" t="n">
        <v>0</v>
      </c>
      <c r="W154" s="38" t="n">
        <v>2.921000000000001</v>
      </c>
      <c r="X154" s="38" t="n">
        <v>4.936000000000001</v>
      </c>
      <c r="Y154" s="38" t="n">
        <v>5.98</v>
      </c>
      <c r="Z154" s="38" t="n">
        <v>0</v>
      </c>
      <c r="AA154" s="36" t="n">
        <v>66</v>
      </c>
      <c r="AB154" s="37" t="n">
        <v>0.8571428571428571</v>
      </c>
      <c r="AC154" s="36" t="n">
        <v>24</v>
      </c>
      <c r="AD154" s="37" t="n">
        <v>0.8</v>
      </c>
      <c r="AE154" s="36" t="n">
        <v>42</v>
      </c>
      <c r="AF154" s="37" t="n">
        <v>0.9130434782608695</v>
      </c>
      <c r="AG154" s="36" t="n">
        <v>20</v>
      </c>
      <c r="AH154" s="37" t="n">
        <v>0.8333333333333334</v>
      </c>
    </row>
    <row r="155">
      <c r="A155" s="53" t="n">
        <v>45752</v>
      </c>
      <c r="B155" t="inlineStr">
        <is>
          <t>R05_Jawa Tengah DIY</t>
        </is>
      </c>
      <c r="C155" t="inlineStr">
        <is>
          <t>NOP MAGELANG</t>
        </is>
      </c>
      <c r="D155" s="38" t="n">
        <v>0</v>
      </c>
      <c r="E155" s="38" t="n">
        <v>0</v>
      </c>
      <c r="F155" s="36" t="n">
        <v>1.28</v>
      </c>
      <c r="G155" s="36" t="n">
        <v>8.088000000000001</v>
      </c>
      <c r="H155" s="36" t="n">
        <v>2</v>
      </c>
      <c r="I155" s="37" t="n">
        <v>0.3333333333333333</v>
      </c>
      <c r="J155" s="36" t="n">
        <v>0</v>
      </c>
      <c r="K155" s="37" t="n">
        <v>0</v>
      </c>
      <c r="L155" s="36" t="n">
        <v>2</v>
      </c>
      <c r="M155" s="37" t="n">
        <v>0.3333333333333333</v>
      </c>
      <c r="N155" s="36" t="n">
        <v>0</v>
      </c>
      <c r="O155" s="37" t="n">
        <v>0</v>
      </c>
      <c r="P155" s="36" t="n">
        <v>0</v>
      </c>
      <c r="Q155" s="37" t="n">
        <v>0</v>
      </c>
      <c r="R155" s="36" t="n">
        <v>6</v>
      </c>
      <c r="S155" s="37" t="n">
        <v>1</v>
      </c>
      <c r="T155" s="36" t="n">
        <v>1</v>
      </c>
      <c r="U155" s="37" t="n">
        <v>0.1666666666666667</v>
      </c>
      <c r="V155" s="38" t="n">
        <v>0</v>
      </c>
      <c r="W155" s="38" t="n">
        <v>6.333</v>
      </c>
      <c r="X155" s="38" t="n">
        <v>15.75</v>
      </c>
      <c r="Y155" s="38" t="n">
        <v>22.748</v>
      </c>
      <c r="Z155" s="38" t="n">
        <v>0</v>
      </c>
      <c r="AA155" s="36" t="n">
        <v>14</v>
      </c>
      <c r="AB155" s="37" t="n">
        <v>0.875</v>
      </c>
      <c r="AC155" s="36" t="n">
        <v>3</v>
      </c>
      <c r="AD155" s="37" t="n">
        <v>0.75</v>
      </c>
      <c r="AE155" s="36" t="n">
        <v>11</v>
      </c>
      <c r="AF155" s="37" t="n">
        <v>0.9166666666666666</v>
      </c>
      <c r="AG155" s="36" t="n">
        <v>3</v>
      </c>
      <c r="AH155" s="37" t="n">
        <v>1</v>
      </c>
    </row>
    <row r="156">
      <c r="A156" s="53" t="n">
        <v>45752</v>
      </c>
      <c r="B156" t="inlineStr">
        <is>
          <t>R05_Jawa Tengah DIY</t>
        </is>
      </c>
      <c r="C156" t="inlineStr">
        <is>
          <t>NOP PEKALONGAN</t>
        </is>
      </c>
      <c r="D156" s="38" t="n">
        <v>0</v>
      </c>
      <c r="E156" s="38" t="n">
        <v>0</v>
      </c>
      <c r="F156" s="36" t="n">
        <v>2.07</v>
      </c>
      <c r="G156" s="36" t="n">
        <v>2.31</v>
      </c>
      <c r="H156" s="36" t="n">
        <v>10</v>
      </c>
      <c r="I156" s="37" t="n">
        <v>0.5</v>
      </c>
      <c r="J156" s="36" t="n">
        <v>0</v>
      </c>
      <c r="K156" s="37" t="n">
        <v>0</v>
      </c>
      <c r="L156" s="36" t="n">
        <v>10</v>
      </c>
      <c r="M156" s="37" t="n">
        <v>0.5</v>
      </c>
      <c r="N156" s="36" t="n">
        <v>0</v>
      </c>
      <c r="O156" s="37" t="n">
        <v>0</v>
      </c>
      <c r="P156" s="36" t="n">
        <v>0</v>
      </c>
      <c r="Q156" s="37" t="n">
        <v>0</v>
      </c>
      <c r="R156" s="36" t="n">
        <v>20</v>
      </c>
      <c r="S156" s="37" t="n">
        <v>1</v>
      </c>
      <c r="T156" s="36" t="n">
        <v>12</v>
      </c>
      <c r="U156" s="37" t="n">
        <v>0.6</v>
      </c>
      <c r="V156" s="38" t="n">
        <v>0</v>
      </c>
      <c r="W156" s="38" t="n">
        <v>1.586</v>
      </c>
      <c r="X156" s="38" t="n">
        <v>6.039</v>
      </c>
      <c r="Y156" s="38" t="n">
        <v>30.106</v>
      </c>
      <c r="Z156" s="38" t="n">
        <v>0</v>
      </c>
      <c r="AA156" s="36" t="n">
        <v>13</v>
      </c>
      <c r="AB156" s="37" t="n">
        <v>0.8666666666666667</v>
      </c>
      <c r="AC156" s="36" t="n">
        <v>4</v>
      </c>
      <c r="AD156" s="37" t="n">
        <v>0.8</v>
      </c>
      <c r="AE156" s="36" t="n">
        <v>9</v>
      </c>
      <c r="AF156" s="37" t="n">
        <v>0.9</v>
      </c>
      <c r="AG156" s="36" t="n">
        <v>3</v>
      </c>
      <c r="AH156" s="37" t="n">
        <v>0.75</v>
      </c>
    </row>
    <row r="157">
      <c r="A157" s="53" t="n">
        <v>45752</v>
      </c>
      <c r="B157" t="inlineStr">
        <is>
          <t>R05_Jawa Tengah DIY</t>
        </is>
      </c>
      <c r="C157" t="inlineStr">
        <is>
          <t>NOP PURWOKERTO</t>
        </is>
      </c>
      <c r="D157" s="38" t="n">
        <v>0.953</v>
      </c>
      <c r="E157" s="38" t="n">
        <v>0</v>
      </c>
      <c r="F157" s="36" t="n">
        <v>1.902</v>
      </c>
      <c r="G157" s="36" t="n">
        <v>2.083</v>
      </c>
      <c r="H157" s="36" t="n">
        <v>12</v>
      </c>
      <c r="I157" s="37" t="n">
        <v>0.9230769230769231</v>
      </c>
      <c r="J157" s="36" t="n">
        <v>2</v>
      </c>
      <c r="K157" s="37" t="n">
        <v>1</v>
      </c>
      <c r="L157" s="36" t="n">
        <v>10</v>
      </c>
      <c r="M157" s="37" t="n">
        <v>0.9090909090909091</v>
      </c>
      <c r="N157" s="36" t="n">
        <v>2</v>
      </c>
      <c r="O157" s="37" t="n">
        <v>1</v>
      </c>
      <c r="P157" s="36" t="n">
        <v>2</v>
      </c>
      <c r="Q157" s="37" t="n">
        <v>1</v>
      </c>
      <c r="R157" s="36" t="n">
        <v>13</v>
      </c>
      <c r="S157" s="37" t="n">
        <v>1</v>
      </c>
      <c r="T157" s="36" t="n">
        <v>8</v>
      </c>
      <c r="U157" s="37" t="n">
        <v>0.6153846153846154</v>
      </c>
      <c r="V157" s="38" t="n">
        <v>0.15</v>
      </c>
      <c r="W157" s="38" t="n">
        <v>0</v>
      </c>
      <c r="X157" s="38" t="n">
        <v>46.82799999999997</v>
      </c>
      <c r="Y157" s="38" t="n">
        <v>41.08199999999999</v>
      </c>
      <c r="Z157" s="38" t="n">
        <v>0</v>
      </c>
      <c r="AA157" s="36" t="n">
        <v>17</v>
      </c>
      <c r="AB157" s="37" t="n">
        <v>0.8095238095238095</v>
      </c>
      <c r="AC157" s="36" t="n">
        <v>1</v>
      </c>
      <c r="AD157" s="37" t="n">
        <v>1</v>
      </c>
      <c r="AE157" s="36" t="n">
        <v>16</v>
      </c>
      <c r="AF157" s="37" t="n">
        <v>0.8</v>
      </c>
      <c r="AG157" s="36" t="n">
        <v>1</v>
      </c>
      <c r="AH157" s="37" t="n">
        <v>1</v>
      </c>
    </row>
    <row r="158">
      <c r="A158" s="53" t="n">
        <v>45752</v>
      </c>
      <c r="B158" t="inlineStr">
        <is>
          <t>R05_Jawa Tengah DIY</t>
        </is>
      </c>
      <c r="C158" t="inlineStr">
        <is>
          <t>NOP SEMARANG</t>
        </is>
      </c>
      <c r="D158" s="38" t="n">
        <v>2.673</v>
      </c>
      <c r="E158" s="38" t="n">
        <v>0</v>
      </c>
      <c r="F158" s="36" t="n">
        <v>0.988</v>
      </c>
      <c r="G158" s="36" t="n">
        <v>2.175</v>
      </c>
      <c r="H158" s="36" t="n">
        <v>2</v>
      </c>
      <c r="I158" s="37" t="n">
        <v>0.1818181818181818</v>
      </c>
      <c r="J158" s="36" t="n">
        <v>1</v>
      </c>
      <c r="K158" s="37" t="n">
        <v>0.5</v>
      </c>
      <c r="L158" s="36" t="n">
        <v>1</v>
      </c>
      <c r="M158" s="37" t="n">
        <v>0.1111111111111111</v>
      </c>
      <c r="N158" s="36" t="n">
        <v>1</v>
      </c>
      <c r="O158" s="37" t="n">
        <v>1</v>
      </c>
      <c r="P158" s="36" t="n">
        <v>1</v>
      </c>
      <c r="Q158" s="37" t="n">
        <v>1</v>
      </c>
      <c r="R158" s="36" t="n">
        <v>10</v>
      </c>
      <c r="S158" s="37" t="n">
        <v>0.9090909090909091</v>
      </c>
      <c r="T158" s="36" t="n">
        <v>1</v>
      </c>
      <c r="U158" s="37" t="n">
        <v>0.09090909090909091</v>
      </c>
      <c r="V158" s="38" t="n">
        <v>0</v>
      </c>
      <c r="W158" s="38" t="n">
        <v>0.63</v>
      </c>
      <c r="X158" s="38" t="n">
        <v>40.62</v>
      </c>
      <c r="Y158" s="38" t="n">
        <v>24.158</v>
      </c>
      <c r="Z158" s="38" t="n">
        <v>0</v>
      </c>
      <c r="AA158" s="36" t="n">
        <v>21</v>
      </c>
      <c r="AB158" s="37" t="n">
        <v>0.8076923076923077</v>
      </c>
      <c r="AC158" s="36" t="n">
        <v>0</v>
      </c>
      <c r="AD158" s="37" t="n">
        <v>0</v>
      </c>
      <c r="AE158" s="36" t="n">
        <v>21</v>
      </c>
      <c r="AF158" s="37" t="n">
        <v>0.84</v>
      </c>
      <c r="AG158" s="36" t="n">
        <v>0</v>
      </c>
      <c r="AH158" s="37" t="n">
        <v>0</v>
      </c>
    </row>
    <row r="159">
      <c r="A159" s="53" t="n">
        <v>45752</v>
      </c>
      <c r="B159" t="inlineStr">
        <is>
          <t>R05_Jawa Tengah DIY</t>
        </is>
      </c>
      <c r="C159" t="inlineStr">
        <is>
          <t>NOP SURAKARTA</t>
        </is>
      </c>
      <c r="D159" s="38" t="n">
        <v>1.52</v>
      </c>
      <c r="E159" s="38" t="n">
        <v>0</v>
      </c>
      <c r="F159" s="36" t="n">
        <v>0.92</v>
      </c>
      <c r="G159" s="36" t="n">
        <v>3.966</v>
      </c>
      <c r="H159" s="36" t="n">
        <v>9</v>
      </c>
      <c r="I159" s="37" t="n">
        <v>0.3461538461538461</v>
      </c>
      <c r="J159" s="36" t="n">
        <v>1</v>
      </c>
      <c r="K159" s="37" t="n">
        <v>1</v>
      </c>
      <c r="L159" s="36" t="n">
        <v>8</v>
      </c>
      <c r="M159" s="37" t="n">
        <v>0.32</v>
      </c>
      <c r="N159" s="36" t="n">
        <v>1</v>
      </c>
      <c r="O159" s="37" t="n">
        <v>1</v>
      </c>
      <c r="P159" s="36" t="n">
        <v>1</v>
      </c>
      <c r="Q159" s="37" t="n">
        <v>1</v>
      </c>
      <c r="R159" s="36" t="n">
        <v>26</v>
      </c>
      <c r="S159" s="37" t="n">
        <v>1</v>
      </c>
      <c r="T159" s="36" t="n">
        <v>9</v>
      </c>
      <c r="U159" s="37" t="n">
        <v>0.3461538461538461</v>
      </c>
      <c r="V159" s="38" t="n">
        <v>0.12</v>
      </c>
      <c r="W159" s="38" t="n">
        <v>3.161</v>
      </c>
      <c r="X159" s="38" t="n">
        <v>20.948</v>
      </c>
      <c r="Y159" s="38" t="n">
        <v>79.953</v>
      </c>
      <c r="Z159" s="38" t="n">
        <v>0</v>
      </c>
      <c r="AA159" s="36" t="n">
        <v>20</v>
      </c>
      <c r="AB159" s="37" t="n">
        <v>0.8333333333333334</v>
      </c>
      <c r="AC159" s="36" t="n">
        <v>7</v>
      </c>
      <c r="AD159" s="37" t="n">
        <v>0.7777777777777778</v>
      </c>
      <c r="AE159" s="36" t="n">
        <v>13</v>
      </c>
      <c r="AF159" s="37" t="n">
        <v>0.8666666666666667</v>
      </c>
      <c r="AG159" s="36" t="n">
        <v>6</v>
      </c>
      <c r="AH159" s="37" t="n">
        <v>0.8571428571428571</v>
      </c>
    </row>
    <row r="160">
      <c r="A160" s="53" t="n">
        <v>45752</v>
      </c>
      <c r="B160" t="inlineStr">
        <is>
          <t>R05_Jawa Tengah DIY</t>
        </is>
      </c>
      <c r="C160" t="inlineStr">
        <is>
          <t>NOP YOGYAKARTA</t>
        </is>
      </c>
      <c r="D160" s="38" t="n">
        <v>0.63</v>
      </c>
      <c r="E160" s="38" t="n">
        <v>0</v>
      </c>
      <c r="F160" s="36" t="n">
        <v>2.427</v>
      </c>
      <c r="G160" s="36" t="n">
        <v>1.448</v>
      </c>
      <c r="H160" s="36" t="n">
        <v>9</v>
      </c>
      <c r="I160" s="37" t="n">
        <v>0.75</v>
      </c>
      <c r="J160" s="36" t="n">
        <v>1</v>
      </c>
      <c r="K160" s="37" t="n">
        <v>1</v>
      </c>
      <c r="L160" s="36" t="n">
        <v>8</v>
      </c>
      <c r="M160" s="37" t="n">
        <v>0.7272727272727273</v>
      </c>
      <c r="N160" s="36" t="n">
        <v>1</v>
      </c>
      <c r="O160" s="37" t="n">
        <v>1</v>
      </c>
      <c r="P160" s="36" t="n">
        <v>1</v>
      </c>
      <c r="Q160" s="37" t="n">
        <v>1</v>
      </c>
      <c r="R160" s="36" t="n">
        <v>12</v>
      </c>
      <c r="S160" s="37" t="n">
        <v>1</v>
      </c>
      <c r="T160" s="36" t="n">
        <v>8</v>
      </c>
      <c r="U160" s="37" t="n">
        <v>0.6666666666666666</v>
      </c>
      <c r="V160" s="38" t="n">
        <v>0</v>
      </c>
      <c r="W160" s="38" t="n">
        <v>2.113</v>
      </c>
      <c r="X160" s="38" t="n">
        <v>1.514</v>
      </c>
      <c r="Y160" s="38" t="n">
        <v>46.84999999999999</v>
      </c>
      <c r="Z160" s="38" t="n">
        <v>0</v>
      </c>
      <c r="AA160" s="36" t="n">
        <v>28</v>
      </c>
      <c r="AB160" s="37" t="n">
        <v>0.9032258064516129</v>
      </c>
      <c r="AC160" s="36" t="n">
        <v>1</v>
      </c>
      <c r="AD160" s="37" t="n">
        <v>0.5</v>
      </c>
      <c r="AE160" s="36" t="n">
        <v>27</v>
      </c>
      <c r="AF160" s="37" t="n">
        <v>0.9310344827586207</v>
      </c>
      <c r="AG160" s="36" t="n">
        <v>1</v>
      </c>
      <c r="AH160" s="37" t="n">
        <v>1</v>
      </c>
    </row>
    <row r="161">
      <c r="A161" s="53" t="n">
        <v>45752</v>
      </c>
      <c r="B161" t="inlineStr">
        <is>
          <t>R06_Jawa Timur</t>
        </is>
      </c>
      <c r="C161" t="inlineStr">
        <is>
          <t>NOP JEMBER</t>
        </is>
      </c>
      <c r="D161" s="38" t="n">
        <v>0.679</v>
      </c>
      <c r="E161" s="38" t="n">
        <v>0.42</v>
      </c>
      <c r="F161" s="36" t="n">
        <v>0</v>
      </c>
      <c r="G161" s="36" t="n">
        <v>0.79</v>
      </c>
      <c r="H161" s="36" t="n">
        <v>1</v>
      </c>
      <c r="I161" s="37" t="n">
        <v>0.1666666666666667</v>
      </c>
      <c r="J161" s="36" t="n">
        <v>1</v>
      </c>
      <c r="K161" s="37" t="n">
        <v>0.3333333333333333</v>
      </c>
      <c r="L161" s="36" t="n">
        <v>0</v>
      </c>
      <c r="M161" s="37" t="n">
        <v>0</v>
      </c>
      <c r="N161" s="36" t="n">
        <v>1</v>
      </c>
      <c r="O161" s="37" t="n">
        <v>1</v>
      </c>
      <c r="P161" s="36" t="n">
        <v>1</v>
      </c>
      <c r="Q161" s="37" t="n">
        <v>1</v>
      </c>
      <c r="R161" s="36" t="n">
        <v>6</v>
      </c>
      <c r="S161" s="37" t="n">
        <v>1</v>
      </c>
      <c r="T161" s="36" t="n">
        <v>1</v>
      </c>
      <c r="U161" s="37" t="n">
        <v>0.1666666666666667</v>
      </c>
      <c r="V161" s="38" t="n">
        <v>0</v>
      </c>
      <c r="W161" s="38" t="n">
        <v>0.238</v>
      </c>
      <c r="X161" s="38" t="n">
        <v>8.366</v>
      </c>
      <c r="Y161" s="38" t="n">
        <v>9.562000000000001</v>
      </c>
      <c r="Z161" s="38" t="n">
        <v>0</v>
      </c>
      <c r="AA161" s="36" t="n">
        <v>12</v>
      </c>
      <c r="AB161" s="37" t="n">
        <v>0.7058823529411765</v>
      </c>
      <c r="AC161" s="36" t="n">
        <v>0</v>
      </c>
      <c r="AD161" s="37" t="n">
        <v>0</v>
      </c>
      <c r="AE161" s="36" t="n">
        <v>12</v>
      </c>
      <c r="AF161" s="37" t="n">
        <v>0.8</v>
      </c>
      <c r="AG161" s="36" t="n">
        <v>0</v>
      </c>
      <c r="AH161" s="37" t="n">
        <v>0</v>
      </c>
    </row>
    <row r="162">
      <c r="A162" s="53" t="n">
        <v>45752</v>
      </c>
      <c r="B162" t="inlineStr">
        <is>
          <t>R06_Jawa Timur</t>
        </is>
      </c>
      <c r="C162" t="inlineStr">
        <is>
          <t>NOP KEDIRI</t>
        </is>
      </c>
      <c r="D162" s="38" t="n">
        <v>0</v>
      </c>
      <c r="E162" s="38" t="n">
        <v>0</v>
      </c>
      <c r="F162" s="36" t="n">
        <v>0</v>
      </c>
      <c r="G162" s="36" t="n">
        <v>1.44</v>
      </c>
      <c r="H162" s="36" t="n">
        <v>2</v>
      </c>
      <c r="I162" s="37" t="n">
        <v>1</v>
      </c>
      <c r="J162" s="36" t="n">
        <v>0</v>
      </c>
      <c r="K162" s="37" t="n">
        <v>0</v>
      </c>
      <c r="L162" s="36" t="n">
        <v>2</v>
      </c>
      <c r="M162" s="37" t="n">
        <v>1</v>
      </c>
      <c r="N162" s="36" t="n">
        <v>0</v>
      </c>
      <c r="O162" s="37" t="n">
        <v>0</v>
      </c>
      <c r="P162" s="36" t="n">
        <v>0</v>
      </c>
      <c r="Q162" s="37" t="n">
        <v>0</v>
      </c>
      <c r="R162" s="36" t="n">
        <v>2</v>
      </c>
      <c r="S162" s="37" t="n">
        <v>1</v>
      </c>
      <c r="T162" s="36" t="n">
        <v>1</v>
      </c>
      <c r="U162" s="37" t="n">
        <v>0.5</v>
      </c>
      <c r="V162" s="38" t="n">
        <v>0</v>
      </c>
      <c r="W162" s="38" t="n">
        <v>0</v>
      </c>
      <c r="X162" s="38" t="n">
        <v>0</v>
      </c>
      <c r="Y162" s="38" t="n">
        <v>0</v>
      </c>
      <c r="Z162" s="38" t="n">
        <v>0</v>
      </c>
      <c r="AA162" s="36" t="n">
        <v>0</v>
      </c>
      <c r="AB162" s="37" t="n">
        <v>0</v>
      </c>
      <c r="AC162" s="36" t="n">
        <v>0</v>
      </c>
      <c r="AD162" s="37" t="n">
        <v>0</v>
      </c>
      <c r="AE162" s="36" t="n">
        <v>0</v>
      </c>
      <c r="AF162" s="37" t="n">
        <v>0</v>
      </c>
      <c r="AG162" s="36" t="n">
        <v>0</v>
      </c>
      <c r="AH162" s="37" t="n">
        <v>0</v>
      </c>
    </row>
    <row r="163">
      <c r="A163" s="53" t="n">
        <v>45752</v>
      </c>
      <c r="B163" t="inlineStr">
        <is>
          <t>R06_Jawa Timur</t>
        </is>
      </c>
      <c r="C163" t="inlineStr">
        <is>
          <t>NOP LAMONGAN</t>
        </is>
      </c>
      <c r="D163" s="38" t="n">
        <v>0</v>
      </c>
      <c r="E163" s="38" t="n">
        <v>0</v>
      </c>
      <c r="F163" s="36" t="n">
        <v>0</v>
      </c>
      <c r="G163" s="36" t="n">
        <v>3.612000000000001</v>
      </c>
      <c r="H163" s="36" t="n">
        <v>3</v>
      </c>
      <c r="I163" s="37" t="n">
        <v>1</v>
      </c>
      <c r="J163" s="36" t="n">
        <v>0</v>
      </c>
      <c r="K163" s="37" t="n">
        <v>0</v>
      </c>
      <c r="L163" s="36" t="n">
        <v>3</v>
      </c>
      <c r="M163" s="37" t="n">
        <v>1</v>
      </c>
      <c r="N163" s="36" t="n">
        <v>0</v>
      </c>
      <c r="O163" s="37" t="n">
        <v>0</v>
      </c>
      <c r="P163" s="36" t="n">
        <v>0</v>
      </c>
      <c r="Q163" s="37" t="n">
        <v>0</v>
      </c>
      <c r="R163" s="36" t="n">
        <v>3</v>
      </c>
      <c r="S163" s="37" t="n">
        <v>1</v>
      </c>
      <c r="T163" s="36" t="n">
        <v>1</v>
      </c>
      <c r="U163" s="37" t="n">
        <v>0.3333333333333333</v>
      </c>
      <c r="V163" s="38" t="n">
        <v>0</v>
      </c>
      <c r="W163" s="38" t="n">
        <v>7.49</v>
      </c>
      <c r="X163" s="38" t="n">
        <v>10.546</v>
      </c>
      <c r="Y163" s="38" t="n">
        <v>13.56</v>
      </c>
      <c r="Z163" s="38" t="n">
        <v>0</v>
      </c>
      <c r="AA163" s="36" t="n">
        <v>6</v>
      </c>
      <c r="AB163" s="37" t="n">
        <v>0.5454545454545454</v>
      </c>
      <c r="AC163" s="36" t="n">
        <v>2</v>
      </c>
      <c r="AD163" s="37" t="n">
        <v>0.3333333333333333</v>
      </c>
      <c r="AE163" s="36" t="n">
        <v>4</v>
      </c>
      <c r="AF163" s="37" t="n">
        <v>0.8</v>
      </c>
      <c r="AG163" s="36" t="n">
        <v>2</v>
      </c>
      <c r="AH163" s="37" t="n">
        <v>1</v>
      </c>
    </row>
    <row r="164">
      <c r="A164" s="53" t="n">
        <v>45752</v>
      </c>
      <c r="B164" t="inlineStr">
        <is>
          <t>R06_Jawa Timur</t>
        </is>
      </c>
      <c r="C164" t="inlineStr">
        <is>
          <t>NOP MADIUN</t>
        </is>
      </c>
      <c r="D164" s="38" t="n">
        <v>0</v>
      </c>
      <c r="E164" s="38" t="n">
        <v>0</v>
      </c>
      <c r="F164" s="36" t="n">
        <v>1.84</v>
      </c>
      <c r="G164" s="36" t="n">
        <v>1.08</v>
      </c>
      <c r="H164" s="36" t="n">
        <v>2</v>
      </c>
      <c r="I164" s="37" t="n">
        <v>0.5</v>
      </c>
      <c r="J164" s="36" t="n">
        <v>0</v>
      </c>
      <c r="K164" s="37" t="n">
        <v>0</v>
      </c>
      <c r="L164" s="36" t="n">
        <v>2</v>
      </c>
      <c r="M164" s="37" t="n">
        <v>0.5</v>
      </c>
      <c r="N164" s="36" t="n">
        <v>0</v>
      </c>
      <c r="O164" s="37" t="n">
        <v>0</v>
      </c>
      <c r="P164" s="36" t="n">
        <v>0</v>
      </c>
      <c r="Q164" s="37" t="n">
        <v>0</v>
      </c>
      <c r="R164" s="36" t="n">
        <v>4</v>
      </c>
      <c r="S164" s="37" t="n">
        <v>1</v>
      </c>
      <c r="T164" s="36" t="n">
        <v>1</v>
      </c>
      <c r="U164" s="37" t="n">
        <v>0.25</v>
      </c>
      <c r="V164" s="38" t="n">
        <v>0</v>
      </c>
      <c r="W164" s="38" t="n">
        <v>1.374</v>
      </c>
      <c r="X164" s="38" t="n">
        <v>4.69</v>
      </c>
      <c r="Y164" s="38" t="n">
        <v>6.53</v>
      </c>
      <c r="Z164" s="38" t="n">
        <v>0</v>
      </c>
      <c r="AA164" s="36" t="n">
        <v>4</v>
      </c>
      <c r="AB164" s="37" t="n">
        <v>0.5714285714285714</v>
      </c>
      <c r="AC164" s="36" t="n">
        <v>2</v>
      </c>
      <c r="AD164" s="37" t="n">
        <v>0.6666666666666666</v>
      </c>
      <c r="AE164" s="36" t="n">
        <v>2</v>
      </c>
      <c r="AF164" s="37" t="n">
        <v>0.5</v>
      </c>
      <c r="AG164" s="36" t="n">
        <v>2</v>
      </c>
      <c r="AH164" s="37" t="n">
        <v>1</v>
      </c>
    </row>
    <row r="165">
      <c r="A165" s="53" t="n">
        <v>45752</v>
      </c>
      <c r="B165" t="inlineStr">
        <is>
          <t>R06_Jawa Timur</t>
        </is>
      </c>
      <c r="C165" t="inlineStr">
        <is>
          <t>NOP MALANG</t>
        </is>
      </c>
      <c r="D165" s="38" t="n">
        <v>0</v>
      </c>
      <c r="E165" s="38" t="n">
        <v>0</v>
      </c>
      <c r="F165" s="36" t="n">
        <v>2.342</v>
      </c>
      <c r="G165" s="36" t="n">
        <v>1.224</v>
      </c>
      <c r="H165" s="36" t="n">
        <v>9</v>
      </c>
      <c r="I165" s="37" t="n">
        <v>0.9</v>
      </c>
      <c r="J165" s="36" t="n">
        <v>0</v>
      </c>
      <c r="K165" s="37" t="n">
        <v>0</v>
      </c>
      <c r="L165" s="36" t="n">
        <v>9</v>
      </c>
      <c r="M165" s="37" t="n">
        <v>0.9</v>
      </c>
      <c r="N165" s="36" t="n">
        <v>0</v>
      </c>
      <c r="O165" s="37" t="n">
        <v>0</v>
      </c>
      <c r="P165" s="36" t="n">
        <v>0</v>
      </c>
      <c r="Q165" s="37" t="n">
        <v>0</v>
      </c>
      <c r="R165" s="36" t="n">
        <v>10</v>
      </c>
      <c r="S165" s="37" t="n">
        <v>1</v>
      </c>
      <c r="T165" s="36" t="n">
        <v>10</v>
      </c>
      <c r="U165" s="37" t="n">
        <v>1</v>
      </c>
      <c r="V165" s="38" t="n">
        <v>0</v>
      </c>
      <c r="W165" s="38" t="n">
        <v>0.414</v>
      </c>
      <c r="X165" s="38" t="n">
        <v>1.385</v>
      </c>
      <c r="Y165" s="38" t="n">
        <v>37.767</v>
      </c>
      <c r="Z165" s="38" t="n">
        <v>0</v>
      </c>
      <c r="AA165" s="36" t="n">
        <v>8</v>
      </c>
      <c r="AB165" s="37" t="n">
        <v>0.8</v>
      </c>
      <c r="AC165" s="36" t="n">
        <v>1</v>
      </c>
      <c r="AD165" s="37" t="n">
        <v>0.5</v>
      </c>
      <c r="AE165" s="36" t="n">
        <v>7</v>
      </c>
      <c r="AF165" s="37" t="n">
        <v>0.875</v>
      </c>
      <c r="AG165" s="36" t="n">
        <v>0</v>
      </c>
      <c r="AH165" s="37" t="n">
        <v>0</v>
      </c>
    </row>
    <row r="166">
      <c r="A166" s="53" t="n">
        <v>45752</v>
      </c>
      <c r="B166" t="inlineStr">
        <is>
          <t>R06_Jawa Timur</t>
        </is>
      </c>
      <c r="C166" t="inlineStr">
        <is>
          <t>NOP SIDOARJO</t>
        </is>
      </c>
      <c r="D166" s="38" t="n">
        <v>1.33</v>
      </c>
      <c r="E166" s="38" t="n">
        <v>0</v>
      </c>
      <c r="F166" s="36" t="n">
        <v>0</v>
      </c>
      <c r="G166" s="36" t="n">
        <v>1.566</v>
      </c>
      <c r="H166" s="36" t="n">
        <v>4</v>
      </c>
      <c r="I166" s="37" t="n">
        <v>0.6666666666666666</v>
      </c>
      <c r="J166" s="36" t="n">
        <v>1</v>
      </c>
      <c r="K166" s="37" t="n">
        <v>1</v>
      </c>
      <c r="L166" s="36" t="n">
        <v>3</v>
      </c>
      <c r="M166" s="37" t="n">
        <v>0.6</v>
      </c>
      <c r="N166" s="36" t="n">
        <v>1</v>
      </c>
      <c r="O166" s="37" t="n">
        <v>1</v>
      </c>
      <c r="P166" s="36" t="n">
        <v>1</v>
      </c>
      <c r="Q166" s="37" t="n">
        <v>1</v>
      </c>
      <c r="R166" s="36" t="n">
        <v>6</v>
      </c>
      <c r="S166" s="37" t="n">
        <v>1</v>
      </c>
      <c r="T166" s="36" t="n">
        <v>3</v>
      </c>
      <c r="U166" s="37" t="n">
        <v>0.5</v>
      </c>
      <c r="V166" s="38" t="n">
        <v>0</v>
      </c>
      <c r="W166" s="38" t="n">
        <v>1.957</v>
      </c>
      <c r="X166" s="38" t="n">
        <v>4.540999999999999</v>
      </c>
      <c r="Y166" s="38" t="n">
        <v>88.21799999999999</v>
      </c>
      <c r="Z166" s="38" t="n">
        <v>0</v>
      </c>
      <c r="AA166" s="36" t="n">
        <v>10</v>
      </c>
      <c r="AB166" s="37" t="n">
        <v>0.7692307692307693</v>
      </c>
      <c r="AC166" s="36" t="n">
        <v>1</v>
      </c>
      <c r="AD166" s="37" t="n">
        <v>0.5</v>
      </c>
      <c r="AE166" s="36" t="n">
        <v>9</v>
      </c>
      <c r="AF166" s="37" t="n">
        <v>0.8181818181818182</v>
      </c>
      <c r="AG166" s="36" t="n">
        <v>0</v>
      </c>
      <c r="AH166" s="37" t="n">
        <v>0</v>
      </c>
    </row>
    <row r="167">
      <c r="A167" s="53" t="n">
        <v>45752</v>
      </c>
      <c r="B167" t="inlineStr">
        <is>
          <t>R06_Jawa Timur</t>
        </is>
      </c>
      <c r="C167" t="inlineStr">
        <is>
          <t>NOP SURABAYA</t>
        </is>
      </c>
      <c r="D167" s="38" t="n">
        <v>3.32</v>
      </c>
      <c r="E167" s="38" t="n">
        <v>0</v>
      </c>
      <c r="F167" s="36" t="n">
        <v>6.6</v>
      </c>
      <c r="G167" s="36" t="n">
        <v>2.477</v>
      </c>
      <c r="H167" s="36" t="n">
        <v>12</v>
      </c>
      <c r="I167" s="37" t="n">
        <v>0.5714285714285714</v>
      </c>
      <c r="J167" s="36" t="n">
        <v>0</v>
      </c>
      <c r="K167" s="37" t="n">
        <v>0</v>
      </c>
      <c r="L167" s="36" t="n">
        <v>12</v>
      </c>
      <c r="M167" s="37" t="n">
        <v>0.6666666666666666</v>
      </c>
      <c r="N167" s="36" t="n">
        <v>0</v>
      </c>
      <c r="O167" s="37" t="n">
        <v>0</v>
      </c>
      <c r="P167" s="36" t="n">
        <v>0</v>
      </c>
      <c r="Q167" s="37" t="n">
        <v>0</v>
      </c>
      <c r="R167" s="36" t="n">
        <v>20</v>
      </c>
      <c r="S167" s="37" t="n">
        <v>0.9523809523809523</v>
      </c>
      <c r="T167" s="36" t="n">
        <v>11</v>
      </c>
      <c r="U167" s="37" t="n">
        <v>0.5238095238095238</v>
      </c>
      <c r="V167" s="38" t="n">
        <v>0.04</v>
      </c>
      <c r="W167" s="38" t="n">
        <v>1.256</v>
      </c>
      <c r="X167" s="38" t="n">
        <v>11.278</v>
      </c>
      <c r="Y167" s="38" t="n">
        <v>40.634</v>
      </c>
      <c r="Z167" s="38" t="n">
        <v>0</v>
      </c>
      <c r="AA167" s="36" t="n">
        <v>9</v>
      </c>
      <c r="AB167" s="37" t="n">
        <v>0.36</v>
      </c>
      <c r="AC167" s="36" t="n">
        <v>1</v>
      </c>
      <c r="AD167" s="37" t="n">
        <v>0.1666666666666667</v>
      </c>
      <c r="AE167" s="36" t="n">
        <v>8</v>
      </c>
      <c r="AF167" s="37" t="n">
        <v>0.4210526315789473</v>
      </c>
      <c r="AG167" s="36" t="n">
        <v>1</v>
      </c>
      <c r="AH167" s="37" t="n">
        <v>1</v>
      </c>
    </row>
    <row r="168">
      <c r="A168" s="53" t="n">
        <v>45752</v>
      </c>
      <c r="B168" t="inlineStr">
        <is>
          <t>R07_Bali Nusra</t>
        </is>
      </c>
      <c r="C168" t="inlineStr">
        <is>
          <t>NOP DENPASAR</t>
        </is>
      </c>
      <c r="D168" s="38" t="n">
        <v>1.76</v>
      </c>
      <c r="E168" s="38" t="n">
        <v>0</v>
      </c>
      <c r="F168" s="36" t="n">
        <v>0</v>
      </c>
      <c r="G168" s="36" t="n">
        <v>2.362</v>
      </c>
      <c r="H168" s="36" t="n">
        <v>4</v>
      </c>
      <c r="I168" s="37" t="n">
        <v>1</v>
      </c>
      <c r="J168" s="36" t="n">
        <v>1</v>
      </c>
      <c r="K168" s="37" t="n">
        <v>1</v>
      </c>
      <c r="L168" s="36" t="n">
        <v>3</v>
      </c>
      <c r="M168" s="37" t="n">
        <v>1</v>
      </c>
      <c r="N168" s="36" t="n">
        <v>1</v>
      </c>
      <c r="O168" s="37" t="n">
        <v>1</v>
      </c>
      <c r="P168" s="36" t="n">
        <v>1</v>
      </c>
      <c r="Q168" s="37" t="n">
        <v>1</v>
      </c>
      <c r="R168" s="36" t="n">
        <v>4</v>
      </c>
      <c r="S168" s="37" t="n">
        <v>1</v>
      </c>
      <c r="T168" s="36" t="n">
        <v>4</v>
      </c>
      <c r="U168" s="37" t="n">
        <v>1</v>
      </c>
      <c r="V168" s="38" t="n">
        <v>0</v>
      </c>
      <c r="W168" s="38" t="n">
        <v>487.5700000000001</v>
      </c>
      <c r="X168" s="38" t="n">
        <v>20.994</v>
      </c>
      <c r="Y168" s="38" t="n">
        <v>118.52</v>
      </c>
      <c r="Z168" s="38" t="n">
        <v>0</v>
      </c>
      <c r="AA168" s="36" t="n">
        <v>13</v>
      </c>
      <c r="AB168" s="37" t="n">
        <v>0.9285714285714286</v>
      </c>
      <c r="AC168" s="36" t="n">
        <v>5</v>
      </c>
      <c r="AD168" s="37" t="n">
        <v>1</v>
      </c>
      <c r="AE168" s="36" t="n">
        <v>8</v>
      </c>
      <c r="AF168" s="37" t="n">
        <v>0.8888888888888888</v>
      </c>
      <c r="AG168" s="36" t="n">
        <v>2</v>
      </c>
      <c r="AH168" s="37" t="n">
        <v>0.4</v>
      </c>
    </row>
    <row r="169">
      <c r="A169" s="53" t="n">
        <v>45752</v>
      </c>
      <c r="B169" t="inlineStr">
        <is>
          <t>R07_Bali Nusra</t>
        </is>
      </c>
      <c r="C169" t="inlineStr">
        <is>
          <t>NOP FLORES</t>
        </is>
      </c>
      <c r="D169" s="38" t="n">
        <v>0.52</v>
      </c>
      <c r="E169" s="38" t="n">
        <v>24.59</v>
      </c>
      <c r="F169" s="36" t="n">
        <v>5.538000000000002</v>
      </c>
      <c r="G169" s="36" t="n">
        <v>7.744000000000001</v>
      </c>
      <c r="H169" s="36" t="n">
        <v>5</v>
      </c>
      <c r="I169" s="37" t="n">
        <v>0.1724137931034483</v>
      </c>
      <c r="J169" s="36" t="n">
        <v>2</v>
      </c>
      <c r="K169" s="37" t="n">
        <v>0.2857142857142857</v>
      </c>
      <c r="L169" s="36" t="n">
        <v>3</v>
      </c>
      <c r="M169" s="37" t="n">
        <v>0.1363636363636364</v>
      </c>
      <c r="N169" s="36" t="n">
        <v>1</v>
      </c>
      <c r="O169" s="37" t="n">
        <v>0.5</v>
      </c>
      <c r="P169" s="36" t="n">
        <v>1</v>
      </c>
      <c r="Q169" s="37" t="n">
        <v>0.5</v>
      </c>
      <c r="R169" s="36" t="n">
        <v>28</v>
      </c>
      <c r="S169" s="37" t="n">
        <v>0.9655172413793104</v>
      </c>
      <c r="T169" s="36" t="n">
        <v>6</v>
      </c>
      <c r="U169" s="37" t="n">
        <v>0.2068965517241379</v>
      </c>
      <c r="V169" s="38" t="n">
        <v>0</v>
      </c>
      <c r="W169" s="38" t="n">
        <v>15.78</v>
      </c>
      <c r="X169" s="38" t="n">
        <v>9.455</v>
      </c>
      <c r="Y169" s="38" t="n">
        <v>21.95200000000001</v>
      </c>
      <c r="Z169" s="38" t="n">
        <v>0</v>
      </c>
      <c r="AA169" s="36" t="n">
        <v>22</v>
      </c>
      <c r="AB169" s="37" t="n">
        <v>0.3013698630136986</v>
      </c>
      <c r="AC169" s="36" t="n">
        <v>18</v>
      </c>
      <c r="AD169" s="37" t="n">
        <v>0.3396226415094339</v>
      </c>
      <c r="AE169" s="36" t="n">
        <v>4</v>
      </c>
      <c r="AF169" s="37" t="n">
        <v>0.2</v>
      </c>
      <c r="AG169" s="36" t="n">
        <v>16</v>
      </c>
      <c r="AH169" s="37" t="n">
        <v>0.8888888888888888</v>
      </c>
    </row>
    <row r="170">
      <c r="A170" s="53" t="n">
        <v>45752</v>
      </c>
      <c r="B170" t="inlineStr">
        <is>
          <t>R07_Bali Nusra</t>
        </is>
      </c>
      <c r="C170" t="inlineStr">
        <is>
          <t>NOP KUPANG</t>
        </is>
      </c>
      <c r="D170" s="38" t="n">
        <v>0.8100000000000001</v>
      </c>
      <c r="E170" s="38" t="n">
        <v>3.912</v>
      </c>
      <c r="F170" s="36" t="n">
        <v>3.71</v>
      </c>
      <c r="G170" s="36" t="n">
        <v>5.76</v>
      </c>
      <c r="H170" s="36" t="n">
        <v>27</v>
      </c>
      <c r="I170" s="37" t="n">
        <v>0.5869565217391305</v>
      </c>
      <c r="J170" s="36" t="n">
        <v>4</v>
      </c>
      <c r="K170" s="37" t="n">
        <v>0.8</v>
      </c>
      <c r="L170" s="36" t="n">
        <v>23</v>
      </c>
      <c r="M170" s="37" t="n">
        <v>0.5609756097560976</v>
      </c>
      <c r="N170" s="36" t="n">
        <v>2</v>
      </c>
      <c r="O170" s="37" t="n">
        <v>0.5</v>
      </c>
      <c r="P170" s="36" t="n">
        <v>2</v>
      </c>
      <c r="Q170" s="37" t="n">
        <v>0.5</v>
      </c>
      <c r="R170" s="36" t="n">
        <v>46</v>
      </c>
      <c r="S170" s="37" t="n">
        <v>1</v>
      </c>
      <c r="T170" s="36" t="n">
        <v>13</v>
      </c>
      <c r="U170" s="37" t="n">
        <v>0.2826086956521739</v>
      </c>
      <c r="V170" s="38" t="n">
        <v>0</v>
      </c>
      <c r="W170" s="38" t="n">
        <v>20.23</v>
      </c>
      <c r="X170" s="38" t="n">
        <v>58.84</v>
      </c>
      <c r="Y170" s="38" t="n">
        <v>18.21</v>
      </c>
      <c r="Z170" s="38" t="n">
        <v>0</v>
      </c>
      <c r="AA170" s="36" t="n">
        <v>37</v>
      </c>
      <c r="AB170" s="37" t="n">
        <v>0.7551020408163265</v>
      </c>
      <c r="AC170" s="36" t="n">
        <v>29</v>
      </c>
      <c r="AD170" s="37" t="n">
        <v>0.8285714285714286</v>
      </c>
      <c r="AE170" s="36" t="n">
        <v>8</v>
      </c>
      <c r="AF170" s="37" t="n">
        <v>0.5714285714285714</v>
      </c>
      <c r="AG170" s="36" t="n">
        <v>18</v>
      </c>
      <c r="AH170" s="37" t="n">
        <v>0.6206896551724138</v>
      </c>
    </row>
    <row r="171">
      <c r="A171" s="53" t="n">
        <v>45752</v>
      </c>
      <c r="B171" t="inlineStr">
        <is>
          <t>R07_Bali Nusra</t>
        </is>
      </c>
      <c r="C171" t="inlineStr">
        <is>
          <t>NOP MATARAM</t>
        </is>
      </c>
      <c r="D171" s="38" t="n">
        <v>1.21</v>
      </c>
      <c r="E171" s="38" t="n">
        <v>4.13</v>
      </c>
      <c r="F171" s="36" t="n">
        <v>1.14</v>
      </c>
      <c r="G171" s="36" t="n">
        <v>3.558</v>
      </c>
      <c r="H171" s="36" t="n">
        <v>9</v>
      </c>
      <c r="I171" s="37" t="n">
        <v>0.75</v>
      </c>
      <c r="J171" s="36" t="n">
        <v>5</v>
      </c>
      <c r="K171" s="37" t="n">
        <v>1</v>
      </c>
      <c r="L171" s="36" t="n">
        <v>4</v>
      </c>
      <c r="M171" s="37" t="n">
        <v>0.5714285714285714</v>
      </c>
      <c r="N171" s="36" t="n">
        <v>4</v>
      </c>
      <c r="O171" s="37" t="n">
        <v>0.8</v>
      </c>
      <c r="P171" s="36" t="n">
        <v>4</v>
      </c>
      <c r="Q171" s="37" t="n">
        <v>0.8</v>
      </c>
      <c r="R171" s="36" t="n">
        <v>12</v>
      </c>
      <c r="S171" s="37" t="n">
        <v>1</v>
      </c>
      <c r="T171" s="36" t="n">
        <v>6</v>
      </c>
      <c r="U171" s="37" t="n">
        <v>0.5</v>
      </c>
      <c r="V171" s="38" t="n">
        <v>0</v>
      </c>
      <c r="W171" s="38" t="n">
        <v>223.7120000000001</v>
      </c>
      <c r="X171" s="38" t="n">
        <v>9.17800000000001</v>
      </c>
      <c r="Y171" s="38" t="n">
        <v>22.318</v>
      </c>
      <c r="Z171" s="38" t="n">
        <v>0</v>
      </c>
      <c r="AA171" s="36" t="n">
        <v>17</v>
      </c>
      <c r="AB171" s="37" t="n">
        <v>0.3269230769230769</v>
      </c>
      <c r="AC171" s="36" t="n">
        <v>10</v>
      </c>
      <c r="AD171" s="37" t="n">
        <v>0.4347826086956522</v>
      </c>
      <c r="AE171" s="36" t="n">
        <v>7</v>
      </c>
      <c r="AF171" s="37" t="n">
        <v>0.2413793103448276</v>
      </c>
      <c r="AG171" s="36" t="n">
        <v>6</v>
      </c>
      <c r="AH171" s="37" t="n">
        <v>0.6</v>
      </c>
    </row>
    <row r="172">
      <c r="A172" s="53" t="n">
        <v>45753</v>
      </c>
      <c r="B172" t="inlineStr">
        <is>
          <t>R01_Sumbagut</t>
        </is>
      </c>
      <c r="C172" t="inlineStr">
        <is>
          <t>NOP ACEH</t>
        </is>
      </c>
      <c r="D172" s="38" t="n">
        <v>0.86</v>
      </c>
      <c r="E172" s="38" t="n">
        <v>3.658000000000004</v>
      </c>
      <c r="F172" s="36" t="n">
        <v>13.84</v>
      </c>
      <c r="G172" s="36" t="n">
        <v>6.84</v>
      </c>
      <c r="H172" s="36" t="n">
        <v>110</v>
      </c>
      <c r="I172" s="37" t="n">
        <v>0.8943089430894309</v>
      </c>
      <c r="J172" s="36" t="n">
        <v>57</v>
      </c>
      <c r="K172" s="37" t="n">
        <v>0.9047619047619048</v>
      </c>
      <c r="L172" s="36" t="n">
        <v>53</v>
      </c>
      <c r="M172" s="37" t="n">
        <v>0.8833333333333333</v>
      </c>
      <c r="N172" s="36" t="n">
        <v>25</v>
      </c>
      <c r="O172" s="37" t="n">
        <v>0.4385964912280702</v>
      </c>
      <c r="P172" s="36" t="n">
        <v>25</v>
      </c>
      <c r="Q172" s="37" t="n">
        <v>0.4385964912280702</v>
      </c>
      <c r="R172" s="36" t="n">
        <v>123</v>
      </c>
      <c r="S172" s="37" t="n">
        <v>1</v>
      </c>
      <c r="T172" s="36" t="n">
        <v>42</v>
      </c>
      <c r="U172" s="37" t="n">
        <v>0.3414634146341464</v>
      </c>
      <c r="V172" s="38" t="n">
        <v>0.02</v>
      </c>
      <c r="W172" s="38" t="n">
        <v>3.640000000000001</v>
      </c>
      <c r="X172" s="38" t="n">
        <v>56.23</v>
      </c>
      <c r="Y172" s="38" t="n">
        <v>175.772</v>
      </c>
      <c r="Z172" s="38" t="n">
        <v>0</v>
      </c>
      <c r="AA172" s="36" t="n">
        <v>362</v>
      </c>
      <c r="AB172" s="37" t="n">
        <v>0.9329896907216495</v>
      </c>
      <c r="AC172" s="36" t="n">
        <v>43</v>
      </c>
      <c r="AD172" s="37" t="n">
        <v>0.86</v>
      </c>
      <c r="AE172" s="36" t="n">
        <v>319</v>
      </c>
      <c r="AF172" s="37" t="n">
        <v>0.9437869822485208</v>
      </c>
      <c r="AG172" s="36" t="n">
        <v>5</v>
      </c>
      <c r="AH172" s="37" t="n">
        <v>0.1162790697674419</v>
      </c>
    </row>
    <row r="173">
      <c r="A173" s="53" t="n">
        <v>45753</v>
      </c>
      <c r="B173" t="inlineStr">
        <is>
          <t>R01_Sumbagut</t>
        </is>
      </c>
      <c r="C173" t="inlineStr">
        <is>
          <t>NOP BINJAI</t>
        </is>
      </c>
      <c r="D173" s="38" t="n">
        <v>0</v>
      </c>
      <c r="E173" s="38" t="n">
        <v>2.544</v>
      </c>
      <c r="F173" s="36" t="n">
        <v>0.728</v>
      </c>
      <c r="G173" s="36" t="n">
        <v>7.18</v>
      </c>
      <c r="H173" s="36" t="n">
        <v>9</v>
      </c>
      <c r="I173" s="37" t="n">
        <v>0.5294117647058824</v>
      </c>
      <c r="J173" s="36" t="n">
        <v>3</v>
      </c>
      <c r="K173" s="37" t="n">
        <v>0.75</v>
      </c>
      <c r="L173" s="36" t="n">
        <v>6</v>
      </c>
      <c r="M173" s="37" t="n">
        <v>0.4615384615384616</v>
      </c>
      <c r="N173" s="36" t="n">
        <v>1</v>
      </c>
      <c r="O173" s="37" t="n">
        <v>0.3333333333333333</v>
      </c>
      <c r="P173" s="36" t="n">
        <v>1</v>
      </c>
      <c r="Q173" s="37" t="n">
        <v>0.3333333333333333</v>
      </c>
      <c r="R173" s="36" t="n">
        <v>17</v>
      </c>
      <c r="S173" s="37" t="n">
        <v>1</v>
      </c>
      <c r="T173" s="36" t="n">
        <v>5</v>
      </c>
      <c r="U173" s="37" t="n">
        <v>0.2941176470588235</v>
      </c>
      <c r="V173" s="38" t="n">
        <v>0</v>
      </c>
      <c r="W173" s="38" t="n">
        <v>3.02</v>
      </c>
      <c r="X173" s="38" t="n">
        <v>24.856</v>
      </c>
      <c r="Y173" s="38" t="n">
        <v>45.54900000000005</v>
      </c>
      <c r="Z173" s="38" t="n">
        <v>0</v>
      </c>
      <c r="AA173" s="36" t="n">
        <v>46</v>
      </c>
      <c r="AB173" s="37" t="n">
        <v>0.5609756097560976</v>
      </c>
      <c r="AC173" s="36" t="n">
        <v>8</v>
      </c>
      <c r="AD173" s="37" t="n">
        <v>0.4210526315789473</v>
      </c>
      <c r="AE173" s="36" t="n">
        <v>38</v>
      </c>
      <c r="AF173" s="37" t="n">
        <v>0.6031746031746031</v>
      </c>
      <c r="AG173" s="36" t="n">
        <v>3</v>
      </c>
      <c r="AH173" s="37" t="n">
        <v>0.375</v>
      </c>
    </row>
    <row r="174">
      <c r="A174" s="53" t="n">
        <v>45753</v>
      </c>
      <c r="B174" t="inlineStr">
        <is>
          <t>R01_Sumbagut</t>
        </is>
      </c>
      <c r="C174" t="inlineStr">
        <is>
          <t>NOP MEDAN</t>
        </is>
      </c>
      <c r="D174" s="38" t="n">
        <v>0</v>
      </c>
      <c r="E174" s="38" t="n">
        <v>2.332</v>
      </c>
      <c r="F174" s="36" t="n">
        <v>5.87</v>
      </c>
      <c r="G174" s="36" t="n">
        <v>1.893</v>
      </c>
      <c r="H174" s="36" t="n">
        <v>9</v>
      </c>
      <c r="I174" s="37" t="n">
        <v>0.3461538461538461</v>
      </c>
      <c r="J174" s="36" t="n">
        <v>5</v>
      </c>
      <c r="K174" s="37" t="n">
        <v>0.5555555555555556</v>
      </c>
      <c r="L174" s="36" t="n">
        <v>4</v>
      </c>
      <c r="M174" s="37" t="n">
        <v>0.2352941176470588</v>
      </c>
      <c r="N174" s="36" t="n">
        <v>5</v>
      </c>
      <c r="O174" s="37" t="n">
        <v>1</v>
      </c>
      <c r="P174" s="36" t="n">
        <v>5</v>
      </c>
      <c r="Q174" s="37" t="n">
        <v>1</v>
      </c>
      <c r="R174" s="36" t="n">
        <v>26</v>
      </c>
      <c r="S174" s="37" t="n">
        <v>1</v>
      </c>
      <c r="T174" s="36" t="n">
        <v>8</v>
      </c>
      <c r="U174" s="37" t="n">
        <v>0.3076923076923077</v>
      </c>
      <c r="V174" s="38" t="n">
        <v>0</v>
      </c>
      <c r="W174" s="38" t="n">
        <v>20.465</v>
      </c>
      <c r="X174" s="38" t="n">
        <v>14.27</v>
      </c>
      <c r="Y174" s="38" t="n">
        <v>0</v>
      </c>
      <c r="Z174" s="38" t="n">
        <v>0</v>
      </c>
      <c r="AA174" s="36" t="n">
        <v>5</v>
      </c>
      <c r="AB174" s="37" t="n">
        <v>0.2777777777777778</v>
      </c>
      <c r="AC174" s="36" t="n">
        <v>0</v>
      </c>
      <c r="AD174" s="37" t="n">
        <v>0</v>
      </c>
      <c r="AE174" s="36" t="n">
        <v>5</v>
      </c>
      <c r="AF174" s="37" t="n">
        <v>0.3571428571428572</v>
      </c>
      <c r="AG174" s="36" t="n">
        <v>0</v>
      </c>
      <c r="AH174" s="37" t="n">
        <v>0</v>
      </c>
    </row>
    <row r="175">
      <c r="A175" s="53" t="n">
        <v>45753</v>
      </c>
      <c r="B175" t="inlineStr">
        <is>
          <t>R01_Sumbagut</t>
        </is>
      </c>
      <c r="C175" t="inlineStr">
        <is>
          <t>NOP PADANG SIDEMPUAN</t>
        </is>
      </c>
      <c r="D175" s="38" t="n">
        <v>0.84</v>
      </c>
      <c r="E175" s="38" t="n">
        <v>7.118</v>
      </c>
      <c r="F175" s="36" t="n">
        <v>7.14</v>
      </c>
      <c r="G175" s="36" t="n">
        <v>14.36</v>
      </c>
      <c r="H175" s="36" t="n">
        <v>51</v>
      </c>
      <c r="I175" s="37" t="n">
        <v>0.5666666666666667</v>
      </c>
      <c r="J175" s="36" t="n">
        <v>6</v>
      </c>
      <c r="K175" s="37" t="n">
        <v>0.6666666666666666</v>
      </c>
      <c r="L175" s="36" t="n">
        <v>45</v>
      </c>
      <c r="M175" s="37" t="n">
        <v>0.5555555555555556</v>
      </c>
      <c r="N175" s="36" t="n">
        <v>4</v>
      </c>
      <c r="O175" s="37" t="n">
        <v>0.6666666666666666</v>
      </c>
      <c r="P175" s="36" t="n">
        <v>4</v>
      </c>
      <c r="Q175" s="37" t="n">
        <v>0.6666666666666666</v>
      </c>
      <c r="R175" s="36" t="n">
        <v>88</v>
      </c>
      <c r="S175" s="37" t="n">
        <v>0.9777777777777777</v>
      </c>
      <c r="T175" s="36" t="n">
        <v>18</v>
      </c>
      <c r="U175" s="37" t="n">
        <v>0.2</v>
      </c>
      <c r="V175" s="38" t="n">
        <v>0.01</v>
      </c>
      <c r="W175" s="38" t="n">
        <v>2.758</v>
      </c>
      <c r="X175" s="38" t="n">
        <v>15.756</v>
      </c>
      <c r="Y175" s="38" t="n">
        <v>43.84</v>
      </c>
      <c r="Z175" s="38" t="n">
        <v>0</v>
      </c>
      <c r="AA175" s="36" t="n">
        <v>83</v>
      </c>
      <c r="AB175" s="37" t="n">
        <v>0.2964285714285714</v>
      </c>
      <c r="AC175" s="36" t="n">
        <v>36</v>
      </c>
      <c r="AD175" s="37" t="n">
        <v>0.4864864864864865</v>
      </c>
      <c r="AE175" s="36" t="n">
        <v>47</v>
      </c>
      <c r="AF175" s="37" t="n">
        <v>0.2281553398058253</v>
      </c>
      <c r="AG175" s="36" t="n">
        <v>12</v>
      </c>
      <c r="AH175" s="37" t="n">
        <v>0.3333333333333333</v>
      </c>
    </row>
    <row r="176">
      <c r="A176" s="53" t="n">
        <v>45753</v>
      </c>
      <c r="B176" t="inlineStr">
        <is>
          <t>R01_Sumbagut</t>
        </is>
      </c>
      <c r="C176" t="inlineStr">
        <is>
          <t>NOP PEMATANG SIANTAR</t>
        </is>
      </c>
      <c r="D176" s="38" t="n">
        <v>0</v>
      </c>
      <c r="E176" s="38" t="n">
        <v>1.592</v>
      </c>
      <c r="F176" s="36" t="n">
        <v>2.395</v>
      </c>
      <c r="G176" s="36" t="n">
        <v>2.82</v>
      </c>
      <c r="H176" s="36" t="n">
        <v>20</v>
      </c>
      <c r="I176" s="37" t="n">
        <v>0.2898550724637681</v>
      </c>
      <c r="J176" s="36" t="n">
        <v>3</v>
      </c>
      <c r="K176" s="37" t="n">
        <v>0.2142857142857143</v>
      </c>
      <c r="L176" s="36" t="n">
        <v>17</v>
      </c>
      <c r="M176" s="37" t="n">
        <v>0.3090909090909091</v>
      </c>
      <c r="N176" s="36" t="n">
        <v>2</v>
      </c>
      <c r="O176" s="37" t="n">
        <v>0.6666666666666666</v>
      </c>
      <c r="P176" s="36" t="n">
        <v>2</v>
      </c>
      <c r="Q176" s="37" t="n">
        <v>0.6666666666666666</v>
      </c>
      <c r="R176" s="36" t="n">
        <v>69</v>
      </c>
      <c r="S176" s="37" t="n">
        <v>1</v>
      </c>
      <c r="T176" s="36" t="n">
        <v>10</v>
      </c>
      <c r="U176" s="37" t="n">
        <v>0.1449275362318841</v>
      </c>
      <c r="V176" s="38" t="n">
        <v>0.01</v>
      </c>
      <c r="W176" s="38" t="n">
        <v>2.695999999999999</v>
      </c>
      <c r="X176" s="38" t="n">
        <v>56.71199999999997</v>
      </c>
      <c r="Y176" s="38" t="n">
        <v>47.33200000000011</v>
      </c>
      <c r="Z176" s="38" t="n">
        <v>0</v>
      </c>
      <c r="AA176" s="36" t="n">
        <v>58</v>
      </c>
      <c r="AB176" s="37" t="n">
        <v>0.1153081510934394</v>
      </c>
      <c r="AC176" s="36" t="n">
        <v>25</v>
      </c>
      <c r="AD176" s="37" t="n">
        <v>0.3968253968253968</v>
      </c>
      <c r="AE176" s="36" t="n">
        <v>32</v>
      </c>
      <c r="AF176" s="37" t="n">
        <v>0.07289293849658314</v>
      </c>
      <c r="AG176" s="36" t="n">
        <v>21</v>
      </c>
      <c r="AH176" s="37" t="n">
        <v>0.84</v>
      </c>
    </row>
    <row r="177">
      <c r="A177" s="53" t="n">
        <v>45753</v>
      </c>
      <c r="B177" t="inlineStr">
        <is>
          <t>R01_Sumbagut</t>
        </is>
      </c>
      <c r="C177" t="inlineStr">
        <is>
          <t>NOP RANTAU PRAPAT</t>
        </is>
      </c>
      <c r="D177" s="38" t="n">
        <v>6.418000000000005</v>
      </c>
      <c r="E177" s="38" t="n">
        <v>15.56</v>
      </c>
      <c r="F177" s="36" t="n">
        <v>5.29</v>
      </c>
      <c r="G177" s="36" t="n">
        <v>4.156000000000001</v>
      </c>
      <c r="H177" s="36" t="n">
        <v>32</v>
      </c>
      <c r="I177" s="37" t="n">
        <v>0.2162162162162162</v>
      </c>
      <c r="J177" s="36" t="n">
        <v>5</v>
      </c>
      <c r="K177" s="37" t="n">
        <v>0.1612903225806452</v>
      </c>
      <c r="L177" s="36" t="n">
        <v>27</v>
      </c>
      <c r="M177" s="37" t="n">
        <v>0.2307692307692308</v>
      </c>
      <c r="N177" s="36" t="n">
        <v>4</v>
      </c>
      <c r="O177" s="37" t="n">
        <v>0.8</v>
      </c>
      <c r="P177" s="36" t="n">
        <v>4</v>
      </c>
      <c r="Q177" s="37" t="n">
        <v>0.8</v>
      </c>
      <c r="R177" s="36" t="n">
        <v>144</v>
      </c>
      <c r="S177" s="37" t="n">
        <v>0.972972972972973</v>
      </c>
      <c r="T177" s="36" t="n">
        <v>21</v>
      </c>
      <c r="U177" s="37" t="n">
        <v>0.1418918918918919</v>
      </c>
      <c r="V177" s="38" t="n">
        <v>0</v>
      </c>
      <c r="W177" s="38" t="n">
        <v>3.89</v>
      </c>
      <c r="X177" s="38" t="n">
        <v>41.28000000000003</v>
      </c>
      <c r="Y177" s="38" t="n">
        <v>25.433</v>
      </c>
      <c r="Z177" s="38" t="n">
        <v>0</v>
      </c>
      <c r="AA177" s="36" t="n">
        <v>17</v>
      </c>
      <c r="AB177" s="37" t="n">
        <v>0.05230769230769231</v>
      </c>
      <c r="AC177" s="36" t="n">
        <v>5</v>
      </c>
      <c r="AD177" s="37" t="n">
        <v>0.08928571428571429</v>
      </c>
      <c r="AE177" s="36" t="n">
        <v>10</v>
      </c>
      <c r="AF177" s="37" t="n">
        <v>0.03745318352059925</v>
      </c>
      <c r="AG177" s="36" t="n">
        <v>5</v>
      </c>
      <c r="AH177" s="37" t="n">
        <v>1</v>
      </c>
    </row>
    <row r="178">
      <c r="A178" s="53" t="n">
        <v>45753</v>
      </c>
      <c r="B178" t="inlineStr">
        <is>
          <t>R10_Sumbagteng</t>
        </is>
      </c>
      <c r="C178" t="inlineStr">
        <is>
          <t>NOP BATAM</t>
        </is>
      </c>
      <c r="D178" s="38" t="n">
        <v>4.014</v>
      </c>
      <c r="E178" s="38" t="n">
        <v>6.22</v>
      </c>
      <c r="F178" s="36" t="n">
        <v>4.023000000000002</v>
      </c>
      <c r="G178" s="36" t="n">
        <v>7.316999999999998</v>
      </c>
      <c r="H178" s="36" t="n">
        <v>17</v>
      </c>
      <c r="I178" s="37" t="n">
        <v>0.1619047619047619</v>
      </c>
      <c r="J178" s="36" t="n">
        <v>2</v>
      </c>
      <c r="K178" s="37" t="n">
        <v>0.08695652173913043</v>
      </c>
      <c r="L178" s="36" t="n">
        <v>15</v>
      </c>
      <c r="M178" s="37" t="n">
        <v>0.1829268292682927</v>
      </c>
      <c r="N178" s="36" t="n">
        <v>2</v>
      </c>
      <c r="O178" s="37" t="n">
        <v>1</v>
      </c>
      <c r="P178" s="36" t="n">
        <v>2</v>
      </c>
      <c r="Q178" s="37" t="n">
        <v>1</v>
      </c>
      <c r="R178" s="36" t="n">
        <v>102</v>
      </c>
      <c r="S178" s="37" t="n">
        <v>0.9714285714285714</v>
      </c>
      <c r="T178" s="36" t="n">
        <v>11</v>
      </c>
      <c r="U178" s="37" t="n">
        <v>0.1047619047619048</v>
      </c>
      <c r="V178" s="38" t="n">
        <v>0</v>
      </c>
      <c r="W178" s="38" t="n">
        <v>9.113</v>
      </c>
      <c r="X178" s="38" t="n">
        <v>45.806</v>
      </c>
      <c r="Y178" s="38" t="n">
        <v>29.33</v>
      </c>
      <c r="Z178" s="38" t="n">
        <v>0</v>
      </c>
      <c r="AA178" s="36" t="n">
        <v>24</v>
      </c>
      <c r="AB178" s="37" t="n">
        <v>0.07207207207207207</v>
      </c>
      <c r="AC178" s="36" t="n">
        <v>11</v>
      </c>
      <c r="AD178" s="37" t="n">
        <v>0.1896551724137931</v>
      </c>
      <c r="AE178" s="36" t="n">
        <v>13</v>
      </c>
      <c r="AF178" s="37" t="n">
        <v>0.04727272727272727</v>
      </c>
      <c r="AG178" s="36" t="n">
        <v>11</v>
      </c>
      <c r="AH178" s="37" t="n">
        <v>1</v>
      </c>
    </row>
    <row r="179">
      <c r="A179" s="53" t="n">
        <v>45753</v>
      </c>
      <c r="B179" t="inlineStr">
        <is>
          <t>R10_Sumbagteng</t>
        </is>
      </c>
      <c r="C179" t="inlineStr">
        <is>
          <t>NOP BUKITTINGGI</t>
        </is>
      </c>
      <c r="D179" s="38" t="n">
        <v>0</v>
      </c>
      <c r="E179" s="38" t="n">
        <v>5.540000000000003</v>
      </c>
      <c r="F179" s="36" t="n">
        <v>3.51</v>
      </c>
      <c r="G179" s="36" t="n">
        <v>5.295999999999999</v>
      </c>
      <c r="H179" s="36" t="n">
        <v>38</v>
      </c>
      <c r="I179" s="37" t="n">
        <v>0.7307692307692307</v>
      </c>
      <c r="J179" s="36" t="n">
        <v>11</v>
      </c>
      <c r="K179" s="37" t="n">
        <v>0.6470588235294118</v>
      </c>
      <c r="L179" s="36" t="n">
        <v>27</v>
      </c>
      <c r="M179" s="37" t="n">
        <v>0.7714285714285715</v>
      </c>
      <c r="N179" s="36" t="n">
        <v>2</v>
      </c>
      <c r="O179" s="37" t="n">
        <v>0.1818181818181818</v>
      </c>
      <c r="P179" s="36" t="n">
        <v>2</v>
      </c>
      <c r="Q179" s="37" t="n">
        <v>0.1818181818181818</v>
      </c>
      <c r="R179" s="36" t="n">
        <v>51</v>
      </c>
      <c r="S179" s="37" t="n">
        <v>0.9807692307692307</v>
      </c>
      <c r="T179" s="36" t="n">
        <v>16</v>
      </c>
      <c r="U179" s="37" t="n">
        <v>0.3076923076923077</v>
      </c>
      <c r="V179" s="38" t="n">
        <v>0</v>
      </c>
      <c r="W179" s="38" t="n">
        <v>2.215</v>
      </c>
      <c r="X179" s="38" t="n">
        <v>11.68100000000001</v>
      </c>
      <c r="Y179" s="38" t="n">
        <v>182.294</v>
      </c>
      <c r="Z179" s="38" t="n">
        <v>0</v>
      </c>
      <c r="AA179" s="36" t="n">
        <v>54</v>
      </c>
      <c r="AB179" s="37" t="n">
        <v>0.2535211267605634</v>
      </c>
      <c r="AC179" s="36" t="n">
        <v>10</v>
      </c>
      <c r="AD179" s="37" t="n">
        <v>0.625</v>
      </c>
      <c r="AE179" s="36" t="n">
        <v>44</v>
      </c>
      <c r="AF179" s="37" t="n">
        <v>0.2233502538071066</v>
      </c>
      <c r="AG179" s="36" t="n">
        <v>5</v>
      </c>
      <c r="AH179" s="37" t="n">
        <v>0.5</v>
      </c>
    </row>
    <row r="180">
      <c r="A180" s="53" t="n">
        <v>45753</v>
      </c>
      <c r="B180" t="inlineStr">
        <is>
          <t>R10_Sumbagteng</t>
        </is>
      </c>
      <c r="C180" t="inlineStr">
        <is>
          <t>NOP DUMAI</t>
        </is>
      </c>
      <c r="D180" s="38" t="n">
        <v>19.45</v>
      </c>
      <c r="E180" s="38" t="n">
        <v>7.57700000000003</v>
      </c>
      <c r="F180" s="36" t="n">
        <v>9.469999999999999</v>
      </c>
      <c r="G180" s="36" t="n">
        <v>6.83</v>
      </c>
      <c r="H180" s="36" t="n">
        <v>97</v>
      </c>
      <c r="I180" s="37" t="n">
        <v>0.407563025210084</v>
      </c>
      <c r="J180" s="36" t="n">
        <v>34</v>
      </c>
      <c r="K180" s="37" t="n">
        <v>0.53125</v>
      </c>
      <c r="L180" s="36" t="n">
        <v>63</v>
      </c>
      <c r="M180" s="37" t="n">
        <v>0.3620689655172414</v>
      </c>
      <c r="N180" s="36" t="n">
        <v>22</v>
      </c>
      <c r="O180" s="37" t="n">
        <v>0.6470588235294118</v>
      </c>
      <c r="P180" s="36" t="n">
        <v>21</v>
      </c>
      <c r="Q180" s="37" t="n">
        <v>0.7777777777777778</v>
      </c>
      <c r="R180" s="36" t="n">
        <v>225</v>
      </c>
      <c r="S180" s="37" t="n">
        <v>0.9453781512605042</v>
      </c>
      <c r="T180" s="36" t="n">
        <v>59</v>
      </c>
      <c r="U180" s="37" t="n">
        <v>0.2478991596638656</v>
      </c>
      <c r="V180" s="38" t="n">
        <v>0.01</v>
      </c>
      <c r="W180" s="38" t="n">
        <v>3.871</v>
      </c>
      <c r="X180" s="38" t="n">
        <v>49.794</v>
      </c>
      <c r="Y180" s="38" t="n">
        <v>107.403</v>
      </c>
      <c r="Z180" s="38" t="n">
        <v>0</v>
      </c>
      <c r="AA180" s="36" t="n">
        <v>79</v>
      </c>
      <c r="AB180" s="37" t="n">
        <v>0.206266318537859</v>
      </c>
      <c r="AC180" s="36" t="n">
        <v>10</v>
      </c>
      <c r="AD180" s="37" t="n">
        <v>0.1204819277108434</v>
      </c>
      <c r="AE180" s="36" t="n">
        <v>69</v>
      </c>
      <c r="AF180" s="37" t="n">
        <v>0.2307692307692308</v>
      </c>
      <c r="AG180" s="36" t="n">
        <v>9</v>
      </c>
      <c r="AH180" s="37" t="n">
        <v>0.9</v>
      </c>
    </row>
    <row r="181">
      <c r="A181" s="53" t="n">
        <v>45753</v>
      </c>
      <c r="B181" t="inlineStr">
        <is>
          <t>R10_Sumbagteng</t>
        </is>
      </c>
      <c r="C181" t="inlineStr">
        <is>
          <t>NOP PADANG</t>
        </is>
      </c>
      <c r="D181" s="38" t="n">
        <v>0</v>
      </c>
      <c r="E181" s="38" t="n">
        <v>3.239</v>
      </c>
      <c r="F181" s="36" t="n">
        <v>5.573</v>
      </c>
      <c r="G181" s="36" t="n">
        <v>6.024000000000001</v>
      </c>
      <c r="H181" s="36" t="n">
        <v>33</v>
      </c>
      <c r="I181" s="37" t="n">
        <v>0.75</v>
      </c>
      <c r="J181" s="36" t="n">
        <v>4</v>
      </c>
      <c r="K181" s="37" t="n">
        <v>1</v>
      </c>
      <c r="L181" s="36" t="n">
        <v>29</v>
      </c>
      <c r="M181" s="37" t="n">
        <v>0.725</v>
      </c>
      <c r="N181" s="36" t="n">
        <v>3</v>
      </c>
      <c r="O181" s="37" t="n">
        <v>0.75</v>
      </c>
      <c r="P181" s="36" t="n">
        <v>3</v>
      </c>
      <c r="Q181" s="37" t="n">
        <v>0.75</v>
      </c>
      <c r="R181" s="36" t="n">
        <v>42</v>
      </c>
      <c r="S181" s="37" t="n">
        <v>0.9545454545454546</v>
      </c>
      <c r="T181" s="36" t="n">
        <v>19</v>
      </c>
      <c r="U181" s="37" t="n">
        <v>0.4318181818181818</v>
      </c>
      <c r="V181" s="38" t="n">
        <v>0</v>
      </c>
      <c r="W181" s="38" t="n">
        <v>4.419</v>
      </c>
      <c r="X181" s="38" t="n">
        <v>49.824</v>
      </c>
      <c r="Y181" s="38" t="n">
        <v>17.01100000000001</v>
      </c>
      <c r="Z181" s="38" t="n">
        <v>0</v>
      </c>
      <c r="AA181" s="36" t="n">
        <v>164</v>
      </c>
      <c r="AB181" s="37" t="n">
        <v>0.7224669603524229</v>
      </c>
      <c r="AC181" s="36" t="n">
        <v>19</v>
      </c>
      <c r="AD181" s="37" t="n">
        <v>0.6333333333333333</v>
      </c>
      <c r="AE181" s="36" t="n">
        <v>145</v>
      </c>
      <c r="AF181" s="37" t="n">
        <v>0.7360406091370558</v>
      </c>
      <c r="AG181" s="36" t="n">
        <v>11</v>
      </c>
      <c r="AH181" s="37" t="n">
        <v>0.5789473684210527</v>
      </c>
    </row>
    <row r="182">
      <c r="A182" s="53" t="n">
        <v>45753</v>
      </c>
      <c r="B182" t="inlineStr">
        <is>
          <t>R10_Sumbagteng</t>
        </is>
      </c>
      <c r="C182" t="inlineStr">
        <is>
          <t>NOP PEKANBARU</t>
        </is>
      </c>
      <c r="D182" s="38" t="n">
        <v>6.625000000000002</v>
      </c>
      <c r="E182" s="38" t="n">
        <v>5.88</v>
      </c>
      <c r="F182" s="36" t="n">
        <v>2.928000000000001</v>
      </c>
      <c r="G182" s="36" t="n">
        <v>2.803000000000001</v>
      </c>
      <c r="H182" s="36" t="n">
        <v>104</v>
      </c>
      <c r="I182" s="37" t="n">
        <v>0.3537414965986395</v>
      </c>
      <c r="J182" s="36" t="n">
        <v>36</v>
      </c>
      <c r="K182" s="37" t="n">
        <v>0.6923076923076923</v>
      </c>
      <c r="L182" s="36" t="n">
        <v>68</v>
      </c>
      <c r="M182" s="37" t="n">
        <v>0.2809917355371901</v>
      </c>
      <c r="N182" s="36" t="n">
        <v>23</v>
      </c>
      <c r="O182" s="37" t="n">
        <v>0.6388888888888888</v>
      </c>
      <c r="P182" s="36" t="n">
        <v>22</v>
      </c>
      <c r="Q182" s="37" t="n">
        <v>0.6470588235294118</v>
      </c>
      <c r="R182" s="36" t="n">
        <v>288</v>
      </c>
      <c r="S182" s="37" t="n">
        <v>0.9795918367346939</v>
      </c>
      <c r="T182" s="36" t="n">
        <v>44</v>
      </c>
      <c r="U182" s="37" t="n">
        <v>0.1496598639455782</v>
      </c>
      <c r="V182" s="38" t="n">
        <v>0.02</v>
      </c>
      <c r="W182" s="38" t="n">
        <v>2.704000000000001</v>
      </c>
      <c r="X182" s="38" t="n">
        <v>49.24800000000001</v>
      </c>
      <c r="Y182" s="38" t="n">
        <v>39.40799999999999</v>
      </c>
      <c r="Z182" s="38" t="n">
        <v>0</v>
      </c>
      <c r="AA182" s="36" t="n">
        <v>78</v>
      </c>
      <c r="AB182" s="37" t="n">
        <v>0.2125340599455041</v>
      </c>
      <c r="AC182" s="36" t="n">
        <v>30</v>
      </c>
      <c r="AD182" s="37" t="n">
        <v>0.2608695652173913</v>
      </c>
      <c r="AE182" s="36" t="n">
        <v>48</v>
      </c>
      <c r="AF182" s="37" t="n">
        <v>0.1935483870967742</v>
      </c>
      <c r="AG182" s="36" t="n">
        <v>23</v>
      </c>
      <c r="AH182" s="37" t="n">
        <v>0.7666666666666667</v>
      </c>
    </row>
    <row r="183">
      <c r="A183" s="53" t="n">
        <v>45753</v>
      </c>
      <c r="B183" t="inlineStr">
        <is>
          <t>R02_Sumbagsel</t>
        </is>
      </c>
      <c r="C183" t="inlineStr">
        <is>
          <t>NOP BENGKULU</t>
        </is>
      </c>
      <c r="D183" s="38" t="n">
        <v>0</v>
      </c>
      <c r="E183" s="38" t="n">
        <v>5.046000000000001</v>
      </c>
      <c r="F183" s="36" t="n">
        <v>3.5</v>
      </c>
      <c r="G183" s="36" t="n">
        <v>9.394000000000005</v>
      </c>
      <c r="H183" s="36" t="n">
        <v>20</v>
      </c>
      <c r="I183" s="37" t="n">
        <v>0.3636363636363636</v>
      </c>
      <c r="J183" s="36" t="n">
        <v>10</v>
      </c>
      <c r="K183" s="37" t="n">
        <v>0.4347826086956522</v>
      </c>
      <c r="L183" s="36" t="n">
        <v>10</v>
      </c>
      <c r="M183" s="37" t="n">
        <v>0.3125</v>
      </c>
      <c r="N183" s="36" t="n">
        <v>8</v>
      </c>
      <c r="O183" s="37" t="n">
        <v>0.8</v>
      </c>
      <c r="P183" s="36" t="n">
        <v>8</v>
      </c>
      <c r="Q183" s="37" t="n">
        <v>0.8</v>
      </c>
      <c r="R183" s="36" t="n">
        <v>55</v>
      </c>
      <c r="S183" s="37" t="n">
        <v>1</v>
      </c>
      <c r="T183" s="36" t="n">
        <v>15</v>
      </c>
      <c r="U183" s="37" t="n">
        <v>0.2727272727272727</v>
      </c>
      <c r="V183" s="38" t="n">
        <v>0</v>
      </c>
      <c r="W183" s="38" t="n">
        <v>5.375</v>
      </c>
      <c r="X183" s="38" t="n">
        <v>3.84</v>
      </c>
      <c r="Y183" s="38" t="n">
        <v>21.60999999999999</v>
      </c>
      <c r="Z183" s="38" t="n">
        <v>0</v>
      </c>
      <c r="AA183" s="36" t="n">
        <v>58</v>
      </c>
      <c r="AB183" s="37" t="n">
        <v>0.3866666666666667</v>
      </c>
      <c r="AC183" s="36" t="n">
        <v>41</v>
      </c>
      <c r="AD183" s="37" t="n">
        <v>0.353448275862069</v>
      </c>
      <c r="AE183" s="36" t="n">
        <v>17</v>
      </c>
      <c r="AF183" s="37" t="n">
        <v>0.5483870967741935</v>
      </c>
      <c r="AG183" s="36" t="n">
        <v>35</v>
      </c>
      <c r="AH183" s="37" t="n">
        <v>0.8536585365853658</v>
      </c>
    </row>
    <row r="184">
      <c r="A184" s="53" t="n">
        <v>45753</v>
      </c>
      <c r="B184" t="inlineStr">
        <is>
          <t>R02_Sumbagsel</t>
        </is>
      </c>
      <c r="C184" t="inlineStr">
        <is>
          <t>NOP JAMBI</t>
        </is>
      </c>
      <c r="D184" s="38" t="n">
        <v>0.36</v>
      </c>
      <c r="E184" s="38" t="n">
        <v>4.069</v>
      </c>
      <c r="F184" s="36" t="n">
        <v>6.348</v>
      </c>
      <c r="G184" s="36" t="n">
        <v>6.251</v>
      </c>
      <c r="H184" s="36" t="n">
        <v>57</v>
      </c>
      <c r="I184" s="37" t="n">
        <v>0.475</v>
      </c>
      <c r="J184" s="36" t="n">
        <v>16</v>
      </c>
      <c r="K184" s="37" t="n">
        <v>0.4848484848484849</v>
      </c>
      <c r="L184" s="36" t="n">
        <v>41</v>
      </c>
      <c r="M184" s="37" t="n">
        <v>0.4712643678160919</v>
      </c>
      <c r="N184" s="36" t="n">
        <v>10</v>
      </c>
      <c r="O184" s="37" t="n">
        <v>0.625</v>
      </c>
      <c r="P184" s="36" t="n">
        <v>10</v>
      </c>
      <c r="Q184" s="37" t="n">
        <v>0.625</v>
      </c>
      <c r="R184" s="36" t="n">
        <v>120</v>
      </c>
      <c r="S184" s="37" t="n">
        <v>1</v>
      </c>
      <c r="T184" s="36" t="n">
        <v>36</v>
      </c>
      <c r="U184" s="37" t="n">
        <v>0.3</v>
      </c>
      <c r="V184" s="38" t="n">
        <v>0</v>
      </c>
      <c r="W184" s="38" t="n">
        <v>3.915</v>
      </c>
      <c r="X184" s="38" t="n">
        <v>4.481999999999998</v>
      </c>
      <c r="Y184" s="38" t="n">
        <v>61.69800000000001</v>
      </c>
      <c r="Z184" s="38" t="n">
        <v>0</v>
      </c>
      <c r="AA184" s="36" t="n">
        <v>102</v>
      </c>
      <c r="AB184" s="37" t="n">
        <v>0.6415094339622641</v>
      </c>
      <c r="AC184" s="36" t="n">
        <v>60</v>
      </c>
      <c r="AD184" s="37" t="n">
        <v>0.625</v>
      </c>
      <c r="AE184" s="36" t="n">
        <v>33</v>
      </c>
      <c r="AF184" s="37" t="n">
        <v>0.66</v>
      </c>
      <c r="AG184" s="36" t="n">
        <v>46</v>
      </c>
      <c r="AH184" s="37" t="n">
        <v>0.7666666666666667</v>
      </c>
    </row>
    <row r="185">
      <c r="A185" s="53" t="n">
        <v>45753</v>
      </c>
      <c r="B185" t="inlineStr">
        <is>
          <t>R02_Sumbagsel</t>
        </is>
      </c>
      <c r="C185" t="inlineStr">
        <is>
          <t>NOP LAMPUNG</t>
        </is>
      </c>
      <c r="D185" s="38" t="n">
        <v>0</v>
      </c>
      <c r="E185" s="38" t="n">
        <v>3.374000000000001</v>
      </c>
      <c r="F185" s="36" t="n">
        <v>2.590000000000001</v>
      </c>
      <c r="G185" s="36" t="n">
        <v>1.176</v>
      </c>
      <c r="H185" s="36" t="n">
        <v>13</v>
      </c>
      <c r="I185" s="37" t="n">
        <v>0.3939393939393939</v>
      </c>
      <c r="J185" s="36" t="n">
        <v>6</v>
      </c>
      <c r="K185" s="37" t="n">
        <v>0.6666666666666666</v>
      </c>
      <c r="L185" s="36" t="n">
        <v>7</v>
      </c>
      <c r="M185" s="37" t="n">
        <v>0.2916666666666667</v>
      </c>
      <c r="N185" s="36" t="n">
        <v>3</v>
      </c>
      <c r="O185" s="37" t="n">
        <v>0.5</v>
      </c>
      <c r="P185" s="36" t="n">
        <v>3</v>
      </c>
      <c r="Q185" s="37" t="n">
        <v>0.5</v>
      </c>
      <c r="R185" s="36" t="n">
        <v>33</v>
      </c>
      <c r="S185" s="37" t="n">
        <v>1</v>
      </c>
      <c r="T185" s="36" t="n">
        <v>11</v>
      </c>
      <c r="U185" s="37" t="n">
        <v>0.3333333333333333</v>
      </c>
      <c r="V185" s="38" t="n">
        <v>0</v>
      </c>
      <c r="W185" s="38" t="n">
        <v>12.1</v>
      </c>
      <c r="X185" s="38" t="n">
        <v>5.322</v>
      </c>
      <c r="Y185" s="38" t="n">
        <v>14.231</v>
      </c>
      <c r="Z185" s="38" t="n">
        <v>0</v>
      </c>
      <c r="AA185" s="36" t="n">
        <v>92</v>
      </c>
      <c r="AB185" s="37" t="n">
        <v>0.9108910891089109</v>
      </c>
      <c r="AC185" s="36" t="n">
        <v>11</v>
      </c>
      <c r="AD185" s="37" t="n">
        <v>0.6875</v>
      </c>
      <c r="AE185" s="36" t="n">
        <v>77</v>
      </c>
      <c r="AF185" s="37" t="n">
        <v>0.9506172839506173</v>
      </c>
      <c r="AG185" s="36" t="n">
        <v>8</v>
      </c>
      <c r="AH185" s="37" t="n">
        <v>0.7272727272727273</v>
      </c>
    </row>
    <row r="186">
      <c r="A186" s="53" t="n">
        <v>45753</v>
      </c>
      <c r="B186" t="inlineStr">
        <is>
          <t>R02_Sumbagsel</t>
        </is>
      </c>
      <c r="C186" t="inlineStr">
        <is>
          <t>NOP MUARA ENIM</t>
        </is>
      </c>
      <c r="D186" s="38" t="n">
        <v>5.258</v>
      </c>
      <c r="E186" s="38" t="n">
        <v>7.531000000000001</v>
      </c>
      <c r="F186" s="36" t="n">
        <v>6.005999999999998</v>
      </c>
      <c r="G186" s="36" t="n">
        <v>6.886000000000001</v>
      </c>
      <c r="H186" s="36" t="n">
        <v>43</v>
      </c>
      <c r="I186" s="37" t="n">
        <v>0.4056603773584906</v>
      </c>
      <c r="J186" s="36" t="n">
        <v>5</v>
      </c>
      <c r="K186" s="37" t="n">
        <v>0.2380952380952381</v>
      </c>
      <c r="L186" s="36" t="n">
        <v>38</v>
      </c>
      <c r="M186" s="37" t="n">
        <v>0.4470588235294118</v>
      </c>
      <c r="N186" s="36" t="n">
        <v>3</v>
      </c>
      <c r="O186" s="37" t="n">
        <v>0.6</v>
      </c>
      <c r="P186" s="36" t="n">
        <v>3</v>
      </c>
      <c r="Q186" s="37" t="n">
        <v>0.6</v>
      </c>
      <c r="R186" s="36" t="n">
        <v>106</v>
      </c>
      <c r="S186" s="37" t="n">
        <v>1</v>
      </c>
      <c r="T186" s="36" t="n">
        <v>21</v>
      </c>
      <c r="U186" s="37" t="n">
        <v>0.1981132075471698</v>
      </c>
      <c r="V186" s="38" t="n">
        <v>0</v>
      </c>
      <c r="W186" s="38" t="n">
        <v>20.226</v>
      </c>
      <c r="X186" s="38" t="n">
        <v>8.148000000000003</v>
      </c>
      <c r="Y186" s="38" t="n">
        <v>21.364</v>
      </c>
      <c r="Z186" s="38" t="n">
        <v>0</v>
      </c>
      <c r="AA186" s="36" t="n">
        <v>78</v>
      </c>
      <c r="AB186" s="37" t="n">
        <v>0.475609756097561</v>
      </c>
      <c r="AC186" s="36" t="n">
        <v>41</v>
      </c>
      <c r="AD186" s="37" t="n">
        <v>0.6119402985074627</v>
      </c>
      <c r="AE186" s="36" t="n">
        <v>32</v>
      </c>
      <c r="AF186" s="37" t="n">
        <v>0.4210526315789473</v>
      </c>
      <c r="AG186" s="36" t="n">
        <v>37</v>
      </c>
      <c r="AH186" s="37" t="n">
        <v>0.9024390243902439</v>
      </c>
    </row>
    <row r="187">
      <c r="A187" s="53" t="n">
        <v>45753</v>
      </c>
      <c r="B187" t="inlineStr">
        <is>
          <t>R02_Sumbagsel</t>
        </is>
      </c>
      <c r="C187" t="inlineStr">
        <is>
          <t>NOP PALEMBANG</t>
        </is>
      </c>
      <c r="D187" s="38" t="n">
        <v>0</v>
      </c>
      <c r="E187" s="38" t="n">
        <v>21.995</v>
      </c>
      <c r="F187" s="36" t="n">
        <v>9.077000000000004</v>
      </c>
      <c r="G187" s="36" t="n">
        <v>6.204000000000002</v>
      </c>
      <c r="H187" s="36" t="n">
        <v>23</v>
      </c>
      <c r="I187" s="37" t="n">
        <v>0.2346938775510204</v>
      </c>
      <c r="J187" s="36" t="n">
        <v>2</v>
      </c>
      <c r="K187" s="37" t="n">
        <v>0.2</v>
      </c>
      <c r="L187" s="36" t="n">
        <v>21</v>
      </c>
      <c r="M187" s="37" t="n">
        <v>0.2386363636363636</v>
      </c>
      <c r="N187" s="36" t="n">
        <v>1</v>
      </c>
      <c r="O187" s="37" t="n">
        <v>0.5</v>
      </c>
      <c r="P187" s="36" t="n">
        <v>1</v>
      </c>
      <c r="Q187" s="37" t="n">
        <v>0.5</v>
      </c>
      <c r="R187" s="36" t="n">
        <v>98</v>
      </c>
      <c r="S187" s="37" t="n">
        <v>1</v>
      </c>
      <c r="T187" s="36" t="n">
        <v>15</v>
      </c>
      <c r="U187" s="37" t="n">
        <v>0.1530612244897959</v>
      </c>
      <c r="V187" s="38" t="n">
        <v>0</v>
      </c>
      <c r="W187" s="38" t="n">
        <v>3.897999999999997</v>
      </c>
      <c r="X187" s="38" t="n">
        <v>15.174</v>
      </c>
      <c r="Y187" s="38" t="n">
        <v>12.04800000000001</v>
      </c>
      <c r="Z187" s="38" t="n">
        <v>0</v>
      </c>
      <c r="AA187" s="36" t="n">
        <v>45</v>
      </c>
      <c r="AB187" s="37" t="n">
        <v>0.2586206896551724</v>
      </c>
      <c r="AC187" s="36" t="n">
        <v>25</v>
      </c>
      <c r="AD187" s="37" t="n">
        <v>0.2688172043010753</v>
      </c>
      <c r="AE187" s="36" t="n">
        <v>20</v>
      </c>
      <c r="AF187" s="37" t="n">
        <v>0.3389830508474576</v>
      </c>
      <c r="AG187" s="36" t="n">
        <v>11</v>
      </c>
      <c r="AH187" s="37" t="n">
        <v>0.44</v>
      </c>
    </row>
    <row r="188">
      <c r="A188" s="53" t="n">
        <v>45753</v>
      </c>
      <c r="B188" t="inlineStr">
        <is>
          <t>R02_Sumbagsel</t>
        </is>
      </c>
      <c r="C188" t="inlineStr">
        <is>
          <t>NOP PANGKAL PINANG</t>
        </is>
      </c>
      <c r="D188" s="38" t="n">
        <v>0</v>
      </c>
      <c r="E188" s="38" t="n">
        <v>2.64</v>
      </c>
      <c r="F188" s="36" t="n">
        <v>0.91</v>
      </c>
      <c r="G188" s="36" t="n">
        <v>4.225</v>
      </c>
      <c r="H188" s="36" t="n">
        <v>7</v>
      </c>
      <c r="I188" s="37" t="n">
        <v>0.3333333333333333</v>
      </c>
      <c r="J188" s="36" t="n">
        <v>2</v>
      </c>
      <c r="K188" s="37" t="n">
        <v>1</v>
      </c>
      <c r="L188" s="36" t="n">
        <v>5</v>
      </c>
      <c r="M188" s="37" t="n">
        <v>0.2631578947368421</v>
      </c>
      <c r="N188" s="36" t="n">
        <v>1</v>
      </c>
      <c r="O188" s="37" t="n">
        <v>0.5</v>
      </c>
      <c r="P188" s="36" t="n">
        <v>1</v>
      </c>
      <c r="Q188" s="37" t="n">
        <v>0.5</v>
      </c>
      <c r="R188" s="36" t="n">
        <v>20</v>
      </c>
      <c r="S188" s="37" t="n">
        <v>0.9523809523809523</v>
      </c>
      <c r="T188" s="36" t="n">
        <v>3</v>
      </c>
      <c r="U188" s="37" t="n">
        <v>0.1428571428571428</v>
      </c>
      <c r="V188" s="38" t="n">
        <v>0</v>
      </c>
      <c r="W188" s="38" t="n">
        <v>16.756</v>
      </c>
      <c r="X188" s="38" t="n">
        <v>4.399000000000002</v>
      </c>
      <c r="Y188" s="38" t="n">
        <v>4.58</v>
      </c>
      <c r="Z188" s="38" t="n">
        <v>0</v>
      </c>
      <c r="AA188" s="36" t="n">
        <v>40</v>
      </c>
      <c r="AB188" s="37" t="n">
        <v>0.7142857142857143</v>
      </c>
      <c r="AC188" s="36" t="n">
        <v>15</v>
      </c>
      <c r="AD188" s="37" t="n">
        <v>1</v>
      </c>
      <c r="AE188" s="36" t="n">
        <v>23</v>
      </c>
      <c r="AF188" s="37" t="n">
        <v>0.92</v>
      </c>
      <c r="AG188" s="36" t="n">
        <v>11</v>
      </c>
      <c r="AH188" s="37" t="n">
        <v>0.7333333333333333</v>
      </c>
    </row>
    <row r="189">
      <c r="A189" s="53" t="n">
        <v>45753</v>
      </c>
      <c r="B189" t="inlineStr">
        <is>
          <t>R05_Jawa Tengah DIY</t>
        </is>
      </c>
      <c r="C189" t="inlineStr">
        <is>
          <t>NOP MAGELANG</t>
        </is>
      </c>
      <c r="D189" s="38" t="n">
        <v>0</v>
      </c>
      <c r="E189" s="38" t="n">
        <v>0</v>
      </c>
      <c r="F189" s="36" t="n">
        <v>0</v>
      </c>
      <c r="G189" s="36" t="n">
        <v>10.724</v>
      </c>
      <c r="H189" s="36" t="n">
        <v>1</v>
      </c>
      <c r="I189" s="37" t="n">
        <v>0.5</v>
      </c>
      <c r="J189" s="36" t="n">
        <v>0</v>
      </c>
      <c r="K189" s="37" t="n">
        <v>0</v>
      </c>
      <c r="L189" s="36" t="n">
        <v>1</v>
      </c>
      <c r="M189" s="37" t="n">
        <v>0.5</v>
      </c>
      <c r="N189" s="36" t="n">
        <v>0</v>
      </c>
      <c r="O189" s="37" t="n">
        <v>0</v>
      </c>
      <c r="P189" s="36" t="n">
        <v>0</v>
      </c>
      <c r="Q189" s="37" t="n">
        <v>0</v>
      </c>
      <c r="R189" s="36" t="n">
        <v>2</v>
      </c>
      <c r="S189" s="37" t="n">
        <v>1</v>
      </c>
      <c r="T189" s="36" t="n">
        <v>1</v>
      </c>
      <c r="U189" s="37" t="n">
        <v>0.5</v>
      </c>
      <c r="V189" s="38" t="n">
        <v>0</v>
      </c>
      <c r="W189" s="38" t="n">
        <v>17.21</v>
      </c>
      <c r="X189" s="38" t="n">
        <v>13.47</v>
      </c>
      <c r="Y189" s="38" t="n">
        <v>48.771</v>
      </c>
      <c r="Z189" s="38" t="n">
        <v>0</v>
      </c>
      <c r="AA189" s="36" t="n">
        <v>21</v>
      </c>
      <c r="AB189" s="37" t="n">
        <v>0.8076923076923077</v>
      </c>
      <c r="AC189" s="36" t="n">
        <v>1</v>
      </c>
      <c r="AD189" s="37" t="n">
        <v>0.5</v>
      </c>
      <c r="AE189" s="36" t="n">
        <v>20</v>
      </c>
      <c r="AF189" s="37" t="n">
        <v>0.8333333333333334</v>
      </c>
      <c r="AG189" s="36" t="n">
        <v>1</v>
      </c>
      <c r="AH189" s="37" t="n">
        <v>1</v>
      </c>
    </row>
    <row r="190">
      <c r="A190" s="53" t="n">
        <v>45753</v>
      </c>
      <c r="B190" t="inlineStr">
        <is>
          <t>R05_Jawa Tengah DIY</t>
        </is>
      </c>
      <c r="C190" t="inlineStr">
        <is>
          <t>NOP PEKALONGAN</t>
        </is>
      </c>
      <c r="D190" s="38" t="n">
        <v>0</v>
      </c>
      <c r="E190" s="38" t="n">
        <v>0</v>
      </c>
      <c r="F190" s="36" t="n">
        <v>2.064</v>
      </c>
      <c r="G190" s="36" t="n">
        <v>2.265</v>
      </c>
      <c r="H190" s="36" t="n">
        <v>11</v>
      </c>
      <c r="I190" s="37" t="n">
        <v>0.5238095238095238</v>
      </c>
      <c r="J190" s="36" t="n">
        <v>0</v>
      </c>
      <c r="K190" s="37" t="n">
        <v>0</v>
      </c>
      <c r="L190" s="36" t="n">
        <v>11</v>
      </c>
      <c r="M190" s="37" t="n">
        <v>0.5238095238095238</v>
      </c>
      <c r="N190" s="36" t="n">
        <v>0</v>
      </c>
      <c r="O190" s="37" t="n">
        <v>0</v>
      </c>
      <c r="P190" s="36" t="n">
        <v>0</v>
      </c>
      <c r="Q190" s="37" t="n">
        <v>0</v>
      </c>
      <c r="R190" s="36" t="n">
        <v>19</v>
      </c>
      <c r="S190" s="37" t="n">
        <v>0.9047619047619048</v>
      </c>
      <c r="T190" s="36" t="n">
        <v>11</v>
      </c>
      <c r="U190" s="37" t="n">
        <v>0.5238095238095238</v>
      </c>
      <c r="V190" s="38" t="n">
        <v>0</v>
      </c>
      <c r="W190" s="38" t="n">
        <v>4.497999999999999</v>
      </c>
      <c r="X190" s="38" t="n">
        <v>8.925000000000001</v>
      </c>
      <c r="Y190" s="38" t="n">
        <v>46.164</v>
      </c>
      <c r="Z190" s="38" t="n">
        <v>0</v>
      </c>
      <c r="AA190" s="36" t="n">
        <v>27</v>
      </c>
      <c r="AB190" s="37" t="n">
        <v>0.9</v>
      </c>
      <c r="AC190" s="36" t="n">
        <v>12</v>
      </c>
      <c r="AD190" s="37" t="n">
        <v>0.8</v>
      </c>
      <c r="AE190" s="36" t="n">
        <v>15</v>
      </c>
      <c r="AF190" s="37" t="n">
        <v>1</v>
      </c>
      <c r="AG190" s="36" t="n">
        <v>10</v>
      </c>
      <c r="AH190" s="37" t="n">
        <v>0.8333333333333334</v>
      </c>
    </row>
    <row r="191">
      <c r="A191" s="53" t="n">
        <v>45753</v>
      </c>
      <c r="B191" t="inlineStr">
        <is>
          <t>R05_Jawa Tengah DIY</t>
        </is>
      </c>
      <c r="C191" t="inlineStr">
        <is>
          <t>NOP PURWOKERTO</t>
        </is>
      </c>
      <c r="D191" s="38" t="n">
        <v>1.466</v>
      </c>
      <c r="E191" s="38" t="n">
        <v>0</v>
      </c>
      <c r="F191" s="36" t="n">
        <v>2.593</v>
      </c>
      <c r="G191" s="36" t="n">
        <v>3.206</v>
      </c>
      <c r="H191" s="36" t="n">
        <v>6</v>
      </c>
      <c r="I191" s="37" t="n">
        <v>0.8571428571428571</v>
      </c>
      <c r="J191" s="36" t="n">
        <v>1</v>
      </c>
      <c r="K191" s="37" t="n">
        <v>0.5</v>
      </c>
      <c r="L191" s="36" t="n">
        <v>5</v>
      </c>
      <c r="M191" s="37" t="n">
        <v>1</v>
      </c>
      <c r="N191" s="36" t="n">
        <v>1</v>
      </c>
      <c r="O191" s="37" t="n">
        <v>1</v>
      </c>
      <c r="P191" s="36" t="n">
        <v>1</v>
      </c>
      <c r="Q191" s="37" t="n">
        <v>1</v>
      </c>
      <c r="R191" s="36" t="n">
        <v>6</v>
      </c>
      <c r="S191" s="37" t="n">
        <v>0.8571428571428571</v>
      </c>
      <c r="T191" s="36" t="n">
        <v>5</v>
      </c>
      <c r="U191" s="37" t="n">
        <v>0.7142857142857143</v>
      </c>
      <c r="V191" s="38" t="n">
        <v>0</v>
      </c>
      <c r="W191" s="38" t="n">
        <v>1.476</v>
      </c>
      <c r="X191" s="38" t="n">
        <v>8.718999999999994</v>
      </c>
      <c r="Y191" s="38" t="n">
        <v>65.90000000000001</v>
      </c>
      <c r="Z191" s="38" t="n">
        <v>0</v>
      </c>
      <c r="AA191" s="36" t="n">
        <v>17</v>
      </c>
      <c r="AB191" s="37" t="n">
        <v>0.8947368421052632</v>
      </c>
      <c r="AC191" s="36" t="n">
        <v>3</v>
      </c>
      <c r="AD191" s="37" t="n">
        <v>1</v>
      </c>
      <c r="AE191" s="36" t="n">
        <v>14</v>
      </c>
      <c r="AF191" s="37" t="n">
        <v>0.875</v>
      </c>
      <c r="AG191" s="36" t="n">
        <v>3</v>
      </c>
      <c r="AH191" s="37" t="n">
        <v>1</v>
      </c>
    </row>
    <row r="192">
      <c r="A192" s="53" t="n">
        <v>45753</v>
      </c>
      <c r="B192" t="inlineStr">
        <is>
          <t>R05_Jawa Tengah DIY</t>
        </is>
      </c>
      <c r="C192" t="inlineStr">
        <is>
          <t>NOP SEMARANG</t>
        </is>
      </c>
      <c r="D192" s="38" t="n">
        <v>0</v>
      </c>
      <c r="E192" s="38" t="n">
        <v>0</v>
      </c>
      <c r="F192" s="36" t="n">
        <v>1.35</v>
      </c>
      <c r="G192" s="36" t="n">
        <v>0.887</v>
      </c>
      <c r="H192" s="36" t="n">
        <v>14</v>
      </c>
      <c r="I192" s="37" t="n">
        <v>0.4827586206896552</v>
      </c>
      <c r="J192" s="36" t="n">
        <v>0</v>
      </c>
      <c r="K192" s="37" t="n">
        <v>0</v>
      </c>
      <c r="L192" s="36" t="n">
        <v>14</v>
      </c>
      <c r="M192" s="37" t="n">
        <v>0.4827586206896552</v>
      </c>
      <c r="N192" s="36" t="n">
        <v>0</v>
      </c>
      <c r="O192" s="37" t="n">
        <v>0</v>
      </c>
      <c r="P192" s="36" t="n">
        <v>0</v>
      </c>
      <c r="Q192" s="37" t="n">
        <v>0</v>
      </c>
      <c r="R192" s="36" t="n">
        <v>29</v>
      </c>
      <c r="S192" s="37" t="n">
        <v>1</v>
      </c>
      <c r="T192" s="36" t="n">
        <v>10</v>
      </c>
      <c r="U192" s="37" t="n">
        <v>0.3448275862068966</v>
      </c>
      <c r="V192" s="38" t="n">
        <v>0</v>
      </c>
      <c r="W192" s="38" t="n">
        <v>91.87</v>
      </c>
      <c r="X192" s="38" t="n">
        <v>16.37</v>
      </c>
      <c r="Y192" s="38" t="n">
        <v>103.57</v>
      </c>
      <c r="Z192" s="38" t="n">
        <v>0</v>
      </c>
      <c r="AA192" s="36" t="n">
        <v>32</v>
      </c>
      <c r="AB192" s="37" t="n">
        <v>0.9411764705882353</v>
      </c>
      <c r="AC192" s="36" t="n">
        <v>9</v>
      </c>
      <c r="AD192" s="37" t="n">
        <v>0.8181818181818182</v>
      </c>
      <c r="AE192" s="36" t="n">
        <v>23</v>
      </c>
      <c r="AF192" s="37" t="n">
        <v>1</v>
      </c>
      <c r="AG192" s="36" t="n">
        <v>9</v>
      </c>
      <c r="AH192" s="37" t="n">
        <v>1</v>
      </c>
    </row>
    <row r="193">
      <c r="A193" s="53" t="n">
        <v>45753</v>
      </c>
      <c r="B193" t="inlineStr">
        <is>
          <t>R05_Jawa Tengah DIY</t>
        </is>
      </c>
      <c r="C193" t="inlineStr">
        <is>
          <t>NOP SURAKARTA</t>
        </is>
      </c>
      <c r="D193" s="38" t="n">
        <v>0</v>
      </c>
      <c r="E193" s="38" t="n">
        <v>0</v>
      </c>
      <c r="F193" s="36" t="n">
        <v>3.366</v>
      </c>
      <c r="G193" s="36" t="n">
        <v>2.868</v>
      </c>
      <c r="H193" s="36" t="n">
        <v>2</v>
      </c>
      <c r="I193" s="37" t="n">
        <v>0.1666666666666667</v>
      </c>
      <c r="J193" s="36" t="n">
        <v>0</v>
      </c>
      <c r="K193" s="37" t="n">
        <v>0</v>
      </c>
      <c r="L193" s="36" t="n">
        <v>2</v>
      </c>
      <c r="M193" s="37" t="n">
        <v>0.1666666666666667</v>
      </c>
      <c r="N193" s="36" t="n">
        <v>0</v>
      </c>
      <c r="O193" s="37" t="n">
        <v>0</v>
      </c>
      <c r="P193" s="36" t="n">
        <v>0</v>
      </c>
      <c r="Q193" s="37" t="n">
        <v>0</v>
      </c>
      <c r="R193" s="36" t="n">
        <v>12</v>
      </c>
      <c r="S193" s="37" t="n">
        <v>1</v>
      </c>
      <c r="T193" s="36" t="n">
        <v>0</v>
      </c>
      <c r="U193" s="37" t="n">
        <v>0</v>
      </c>
      <c r="V193" s="38" t="n">
        <v>0</v>
      </c>
      <c r="W193" s="38" t="n">
        <v>2.01</v>
      </c>
      <c r="X193" s="38" t="n">
        <v>27.646</v>
      </c>
      <c r="Y193" s="38" t="n">
        <v>83.57700000000001</v>
      </c>
      <c r="Z193" s="38" t="n">
        <v>0</v>
      </c>
      <c r="AA193" s="36" t="n">
        <v>30</v>
      </c>
      <c r="AB193" s="37" t="n">
        <v>0.6521739130434783</v>
      </c>
      <c r="AC193" s="36" t="n">
        <v>5</v>
      </c>
      <c r="AD193" s="37" t="n">
        <v>0.4545454545454545</v>
      </c>
      <c r="AE193" s="36" t="n">
        <v>25</v>
      </c>
      <c r="AF193" s="37" t="n">
        <v>0.7142857142857143</v>
      </c>
      <c r="AG193" s="36" t="n">
        <v>4</v>
      </c>
      <c r="AH193" s="37" t="n">
        <v>0.8</v>
      </c>
    </row>
    <row r="194">
      <c r="A194" s="53" t="n">
        <v>45753</v>
      </c>
      <c r="B194" t="inlineStr">
        <is>
          <t>R05_Jawa Tengah DIY</t>
        </is>
      </c>
      <c r="C194" t="inlineStr">
        <is>
          <t>NOP YOGYAKARTA</t>
        </is>
      </c>
      <c r="D194" s="38" t="n">
        <v>0</v>
      </c>
      <c r="E194" s="38" t="n">
        <v>0</v>
      </c>
      <c r="F194" s="36" t="n">
        <v>1.61</v>
      </c>
      <c r="G194" s="36" t="n">
        <v>3.608000000000001</v>
      </c>
      <c r="H194" s="36" t="n">
        <v>4</v>
      </c>
      <c r="I194" s="37" t="n">
        <v>0.5</v>
      </c>
      <c r="J194" s="36" t="n">
        <v>0</v>
      </c>
      <c r="K194" s="37" t="n">
        <v>0</v>
      </c>
      <c r="L194" s="36" t="n">
        <v>4</v>
      </c>
      <c r="M194" s="37" t="n">
        <v>0.5</v>
      </c>
      <c r="N194" s="36" t="n">
        <v>0</v>
      </c>
      <c r="O194" s="37" t="n">
        <v>0</v>
      </c>
      <c r="P194" s="36" t="n">
        <v>0</v>
      </c>
      <c r="Q194" s="37" t="n">
        <v>0</v>
      </c>
      <c r="R194" s="36" t="n">
        <v>8</v>
      </c>
      <c r="S194" s="37" t="n">
        <v>1</v>
      </c>
      <c r="T194" s="36" t="n">
        <v>2</v>
      </c>
      <c r="U194" s="37" t="n">
        <v>0.25</v>
      </c>
      <c r="V194" s="38" t="n">
        <v>0</v>
      </c>
      <c r="W194" s="38" t="n">
        <v>1.295</v>
      </c>
      <c r="X194" s="38" t="n">
        <v>42.20799999999998</v>
      </c>
      <c r="Y194" s="38" t="n">
        <v>35.473</v>
      </c>
      <c r="Z194" s="38" t="n">
        <v>0</v>
      </c>
      <c r="AA194" s="36" t="n">
        <v>22</v>
      </c>
      <c r="AB194" s="37" t="n">
        <v>1</v>
      </c>
      <c r="AC194" s="36" t="n">
        <v>2</v>
      </c>
      <c r="AD194" s="37" t="n">
        <v>1</v>
      </c>
      <c r="AE194" s="36" t="n">
        <v>20</v>
      </c>
      <c r="AF194" s="37" t="n">
        <v>1</v>
      </c>
      <c r="AG194" s="36" t="n">
        <v>2</v>
      </c>
      <c r="AH194" s="37" t="n">
        <v>1</v>
      </c>
    </row>
    <row r="195">
      <c r="A195" s="53" t="n">
        <v>45753</v>
      </c>
      <c r="B195" t="inlineStr">
        <is>
          <t>R06_Jawa Timur</t>
        </is>
      </c>
      <c r="C195" t="inlineStr">
        <is>
          <t>NOP JEMBER</t>
        </is>
      </c>
      <c r="D195" s="38" t="n">
        <v>1.17</v>
      </c>
      <c r="E195" s="38" t="n">
        <v>1.158</v>
      </c>
      <c r="F195" s="36" t="n">
        <v>0.5</v>
      </c>
      <c r="G195" s="36" t="n">
        <v>0</v>
      </c>
      <c r="H195" s="36" t="n">
        <v>6</v>
      </c>
      <c r="I195" s="37" t="n">
        <v>0.8571428571428571</v>
      </c>
      <c r="J195" s="36" t="n">
        <v>2</v>
      </c>
      <c r="K195" s="37" t="n">
        <v>0.6666666666666666</v>
      </c>
      <c r="L195" s="36" t="n">
        <v>4</v>
      </c>
      <c r="M195" s="37" t="n">
        <v>1</v>
      </c>
      <c r="N195" s="36" t="n">
        <v>1</v>
      </c>
      <c r="O195" s="37" t="n">
        <v>0.5</v>
      </c>
      <c r="P195" s="36" t="n">
        <v>1</v>
      </c>
      <c r="Q195" s="37" t="n">
        <v>0.5</v>
      </c>
      <c r="R195" s="36" t="n">
        <v>7</v>
      </c>
      <c r="S195" s="37" t="n">
        <v>1</v>
      </c>
      <c r="T195" s="36" t="n">
        <v>3</v>
      </c>
      <c r="U195" s="37" t="n">
        <v>0.4285714285714285</v>
      </c>
      <c r="V195" s="38" t="n">
        <v>0</v>
      </c>
      <c r="W195" s="38" t="n">
        <v>0</v>
      </c>
      <c r="X195" s="38" t="n">
        <v>3</v>
      </c>
      <c r="Y195" s="38" t="n">
        <v>13.15</v>
      </c>
      <c r="Z195" s="38" t="n">
        <v>0</v>
      </c>
      <c r="AA195" s="36" t="n">
        <v>10</v>
      </c>
      <c r="AB195" s="37" t="n">
        <v>0.7142857142857143</v>
      </c>
      <c r="AC195" s="36" t="n">
        <v>0</v>
      </c>
      <c r="AD195" s="37" t="n">
        <v>0</v>
      </c>
      <c r="AE195" s="36" t="n">
        <v>10</v>
      </c>
      <c r="AF195" s="37" t="n">
        <v>0.7142857142857143</v>
      </c>
      <c r="AG195" s="36" t="n">
        <v>0</v>
      </c>
      <c r="AH195" s="37" t="n">
        <v>0</v>
      </c>
    </row>
    <row r="196">
      <c r="A196" s="53" t="n">
        <v>45753</v>
      </c>
      <c r="B196" t="inlineStr">
        <is>
          <t>R06_Jawa Timur</t>
        </is>
      </c>
      <c r="C196" t="inlineStr">
        <is>
          <t>NOP KEDIRI</t>
        </is>
      </c>
      <c r="D196" s="38" t="n">
        <v>0</v>
      </c>
      <c r="E196" s="38" t="n">
        <v>0</v>
      </c>
      <c r="F196" s="36" t="n">
        <v>0</v>
      </c>
      <c r="G196" s="36" t="n">
        <v>0.4</v>
      </c>
      <c r="H196" s="36" t="n">
        <v>1</v>
      </c>
      <c r="I196" s="37" t="n">
        <v>1</v>
      </c>
      <c r="J196" s="36" t="n">
        <v>0</v>
      </c>
      <c r="K196" s="37" t="n">
        <v>0</v>
      </c>
      <c r="L196" s="36" t="n">
        <v>1</v>
      </c>
      <c r="M196" s="37" t="n">
        <v>1</v>
      </c>
      <c r="N196" s="36" t="n">
        <v>0</v>
      </c>
      <c r="O196" s="37" t="n">
        <v>0</v>
      </c>
      <c r="P196" s="36" t="n">
        <v>0</v>
      </c>
      <c r="Q196" s="37" t="n">
        <v>0</v>
      </c>
      <c r="R196" s="36" t="n">
        <v>1</v>
      </c>
      <c r="S196" s="37" t="n">
        <v>1</v>
      </c>
      <c r="T196" s="36" t="n">
        <v>0</v>
      </c>
      <c r="U196" s="37" t="n">
        <v>0</v>
      </c>
      <c r="V196" s="38" t="n">
        <v>0</v>
      </c>
      <c r="W196" s="38" t="n">
        <v>0</v>
      </c>
      <c r="X196" s="38" t="n">
        <v>6.457000000000001</v>
      </c>
      <c r="Y196" s="38" t="n">
        <v>0</v>
      </c>
      <c r="Z196" s="38" t="n">
        <v>0</v>
      </c>
      <c r="AA196" s="36" t="n">
        <v>4</v>
      </c>
      <c r="AB196" s="37" t="n">
        <v>1</v>
      </c>
      <c r="AC196" s="36" t="n">
        <v>0</v>
      </c>
      <c r="AD196" s="37" t="n">
        <v>0</v>
      </c>
      <c r="AE196" s="36" t="n">
        <v>4</v>
      </c>
      <c r="AF196" s="37" t="n">
        <v>1</v>
      </c>
      <c r="AG196" s="36" t="n">
        <v>0</v>
      </c>
      <c r="AH196" s="37" t="n">
        <v>0</v>
      </c>
    </row>
    <row r="197">
      <c r="A197" s="53" t="n">
        <v>45753</v>
      </c>
      <c r="B197" t="inlineStr">
        <is>
          <t>R06_Jawa Timur</t>
        </is>
      </c>
      <c r="C197" t="inlineStr">
        <is>
          <t>NOP LAMONGAN</t>
        </is>
      </c>
      <c r="D197" s="38" t="n">
        <v>0</v>
      </c>
      <c r="E197" s="38" t="n">
        <v>0</v>
      </c>
      <c r="F197" s="36" t="n">
        <v>0</v>
      </c>
      <c r="G197" s="36" t="n">
        <v>1.579</v>
      </c>
      <c r="H197" s="36" t="n">
        <v>3</v>
      </c>
      <c r="I197" s="37" t="n">
        <v>0.75</v>
      </c>
      <c r="J197" s="36" t="n">
        <v>0</v>
      </c>
      <c r="K197" s="37" t="n">
        <v>0</v>
      </c>
      <c r="L197" s="36" t="n">
        <v>3</v>
      </c>
      <c r="M197" s="37" t="n">
        <v>0.75</v>
      </c>
      <c r="N197" s="36" t="n">
        <v>0</v>
      </c>
      <c r="O197" s="37" t="n">
        <v>0</v>
      </c>
      <c r="P197" s="36" t="n">
        <v>0</v>
      </c>
      <c r="Q197" s="37" t="n">
        <v>0</v>
      </c>
      <c r="R197" s="36" t="n">
        <v>4</v>
      </c>
      <c r="S197" s="37" t="n">
        <v>1</v>
      </c>
      <c r="T197" s="36" t="n">
        <v>3</v>
      </c>
      <c r="U197" s="37" t="n">
        <v>0.75</v>
      </c>
      <c r="V197" s="38" t="n">
        <v>0</v>
      </c>
      <c r="W197" s="38" t="n">
        <v>0.047</v>
      </c>
      <c r="X197" s="38" t="n">
        <v>7.724000000000001</v>
      </c>
      <c r="Y197" s="38" t="n">
        <v>14.409</v>
      </c>
      <c r="Z197" s="38" t="n">
        <v>0</v>
      </c>
      <c r="AA197" s="36" t="n">
        <v>4</v>
      </c>
      <c r="AB197" s="37" t="n">
        <v>0.5714285714285714</v>
      </c>
      <c r="AC197" s="36" t="n">
        <v>0</v>
      </c>
      <c r="AD197" s="37" t="n">
        <v>0</v>
      </c>
      <c r="AE197" s="36" t="n">
        <v>4</v>
      </c>
      <c r="AF197" s="37" t="n">
        <v>0.8</v>
      </c>
      <c r="AG197" s="36" t="n">
        <v>0</v>
      </c>
      <c r="AH197" s="37" t="n">
        <v>0</v>
      </c>
    </row>
    <row r="198">
      <c r="A198" s="53" t="n">
        <v>45753</v>
      </c>
      <c r="B198" t="inlineStr">
        <is>
          <t>R06_Jawa Timur</t>
        </is>
      </c>
      <c r="C198" t="inlineStr">
        <is>
          <t>NOP MADIUN</t>
        </is>
      </c>
      <c r="D198" s="38" t="n">
        <v>0</v>
      </c>
      <c r="E198" s="38" t="n">
        <v>0</v>
      </c>
      <c r="F198" s="36" t="n">
        <v>0.53</v>
      </c>
      <c r="G198" s="36" t="n">
        <v>2.3</v>
      </c>
      <c r="H198" s="36" t="n">
        <v>5</v>
      </c>
      <c r="I198" s="37" t="n">
        <v>1</v>
      </c>
      <c r="J198" s="36" t="n">
        <v>0</v>
      </c>
      <c r="K198" s="37" t="n">
        <v>0</v>
      </c>
      <c r="L198" s="36" t="n">
        <v>5</v>
      </c>
      <c r="M198" s="37" t="n">
        <v>1</v>
      </c>
      <c r="N198" s="36" t="n">
        <v>0</v>
      </c>
      <c r="O198" s="37" t="n">
        <v>0</v>
      </c>
      <c r="P198" s="36" t="n">
        <v>0</v>
      </c>
      <c r="Q198" s="37" t="n">
        <v>0</v>
      </c>
      <c r="R198" s="36" t="n">
        <v>5</v>
      </c>
      <c r="S198" s="37" t="n">
        <v>1</v>
      </c>
      <c r="T198" s="36" t="n">
        <v>1</v>
      </c>
      <c r="U198" s="37" t="n">
        <v>0.2</v>
      </c>
      <c r="V198" s="38" t="n">
        <v>0</v>
      </c>
      <c r="W198" s="38" t="n">
        <v>1.885</v>
      </c>
      <c r="X198" s="38" t="n">
        <v>5.714</v>
      </c>
      <c r="Y198" s="38" t="n">
        <v>8.800000000000001</v>
      </c>
      <c r="Z198" s="38" t="n">
        <v>0</v>
      </c>
      <c r="AA198" s="36" t="n">
        <v>13</v>
      </c>
      <c r="AB198" s="37" t="n">
        <v>0.6842105263157895</v>
      </c>
      <c r="AC198" s="36" t="n">
        <v>4</v>
      </c>
      <c r="AD198" s="37" t="n">
        <v>0.6666666666666666</v>
      </c>
      <c r="AE198" s="36" t="n">
        <v>9</v>
      </c>
      <c r="AF198" s="37" t="n">
        <v>0.6923076923076923</v>
      </c>
      <c r="AG198" s="36" t="n">
        <v>3</v>
      </c>
      <c r="AH198" s="37" t="n">
        <v>0.75</v>
      </c>
    </row>
    <row r="199">
      <c r="A199" s="53" t="n">
        <v>45753</v>
      </c>
      <c r="B199" t="inlineStr">
        <is>
          <t>R06_Jawa Timur</t>
        </is>
      </c>
      <c r="C199" t="inlineStr">
        <is>
          <t>NOP MALANG</t>
        </is>
      </c>
      <c r="D199" s="38" t="n">
        <v>0</v>
      </c>
      <c r="E199" s="38" t="n">
        <v>0</v>
      </c>
      <c r="F199" s="36" t="n">
        <v>0.44</v>
      </c>
      <c r="G199" s="36" t="n">
        <v>1.308</v>
      </c>
      <c r="H199" s="36" t="n">
        <v>5</v>
      </c>
      <c r="I199" s="37" t="n">
        <v>0.5555555555555556</v>
      </c>
      <c r="J199" s="36" t="n">
        <v>0</v>
      </c>
      <c r="K199" s="37" t="n">
        <v>0</v>
      </c>
      <c r="L199" s="36" t="n">
        <v>5</v>
      </c>
      <c r="M199" s="37" t="n">
        <v>0.5555555555555556</v>
      </c>
      <c r="N199" s="36" t="n">
        <v>0</v>
      </c>
      <c r="O199" s="37" t="n">
        <v>0</v>
      </c>
      <c r="P199" s="36" t="n">
        <v>0</v>
      </c>
      <c r="Q199" s="37" t="n">
        <v>0</v>
      </c>
      <c r="R199" s="36" t="n">
        <v>9</v>
      </c>
      <c r="S199" s="37" t="n">
        <v>1</v>
      </c>
      <c r="T199" s="36" t="n">
        <v>7</v>
      </c>
      <c r="U199" s="37" t="n">
        <v>0.7777777777777778</v>
      </c>
      <c r="V199" s="38" t="n">
        <v>0</v>
      </c>
      <c r="W199" s="38" t="n">
        <v>2.705</v>
      </c>
      <c r="X199" s="38" t="n">
        <v>1.428</v>
      </c>
      <c r="Y199" s="38" t="n">
        <v>37.35899999999999</v>
      </c>
      <c r="Z199" s="38" t="n">
        <v>0</v>
      </c>
      <c r="AA199" s="36" t="n">
        <v>11</v>
      </c>
      <c r="AB199" s="37" t="n">
        <v>0.7857142857142857</v>
      </c>
      <c r="AC199" s="36" t="n">
        <v>5</v>
      </c>
      <c r="AD199" s="37" t="n">
        <v>0.8333333333333334</v>
      </c>
      <c r="AE199" s="36" t="n">
        <v>6</v>
      </c>
      <c r="AF199" s="37" t="n">
        <v>0.75</v>
      </c>
      <c r="AG199" s="36" t="n">
        <v>3</v>
      </c>
      <c r="AH199" s="37" t="n">
        <v>0.6</v>
      </c>
    </row>
    <row r="200">
      <c r="A200" s="53" t="n">
        <v>45753</v>
      </c>
      <c r="B200" t="inlineStr">
        <is>
          <t>R06_Jawa Timur</t>
        </is>
      </c>
      <c r="C200" t="inlineStr">
        <is>
          <t>NOP SIDOARJO</t>
        </is>
      </c>
      <c r="D200" s="38" t="n">
        <v>0</v>
      </c>
      <c r="E200" s="38" t="n">
        <v>0</v>
      </c>
      <c r="F200" s="36" t="n">
        <v>1.74</v>
      </c>
      <c r="G200" s="36" t="n">
        <v>0.829</v>
      </c>
      <c r="H200" s="36" t="n">
        <v>2</v>
      </c>
      <c r="I200" s="37" t="n">
        <v>0.6666666666666666</v>
      </c>
      <c r="J200" s="36" t="n">
        <v>0</v>
      </c>
      <c r="K200" s="37" t="n">
        <v>0</v>
      </c>
      <c r="L200" s="36" t="n">
        <v>2</v>
      </c>
      <c r="M200" s="37" t="n">
        <v>0.6666666666666666</v>
      </c>
      <c r="N200" s="36" t="n">
        <v>0</v>
      </c>
      <c r="O200" s="37" t="n">
        <v>0</v>
      </c>
      <c r="P200" s="36" t="n">
        <v>0</v>
      </c>
      <c r="Q200" s="37" t="n">
        <v>0</v>
      </c>
      <c r="R200" s="36" t="n">
        <v>3</v>
      </c>
      <c r="S200" s="37" t="n">
        <v>1</v>
      </c>
      <c r="T200" s="36" t="n">
        <v>1</v>
      </c>
      <c r="U200" s="37" t="n">
        <v>0.3333333333333333</v>
      </c>
      <c r="V200" s="38" t="n">
        <v>0</v>
      </c>
      <c r="W200" s="38" t="n">
        <v>0</v>
      </c>
      <c r="X200" s="38" t="n">
        <v>7.032</v>
      </c>
      <c r="Y200" s="38" t="n">
        <v>9.17</v>
      </c>
      <c r="Z200" s="38" t="n">
        <v>0</v>
      </c>
      <c r="AA200" s="36" t="n">
        <v>7</v>
      </c>
      <c r="AB200" s="37" t="n">
        <v>0.875</v>
      </c>
      <c r="AC200" s="36" t="n">
        <v>0</v>
      </c>
      <c r="AD200" s="37" t="n">
        <v>0</v>
      </c>
      <c r="AE200" s="36" t="n">
        <v>7</v>
      </c>
      <c r="AF200" s="37" t="n">
        <v>0.875</v>
      </c>
      <c r="AG200" s="36" t="n">
        <v>0</v>
      </c>
      <c r="AH200" s="37" t="n">
        <v>0</v>
      </c>
    </row>
    <row r="201">
      <c r="A201" s="53" t="n">
        <v>45753</v>
      </c>
      <c r="B201" t="inlineStr">
        <is>
          <t>R06_Jawa Timur</t>
        </is>
      </c>
      <c r="C201" t="inlineStr">
        <is>
          <t>NOP SURABAYA</t>
        </is>
      </c>
      <c r="D201" s="38" t="n">
        <v>0.51</v>
      </c>
      <c r="E201" s="38" t="n">
        <v>0</v>
      </c>
      <c r="F201" s="36" t="n">
        <v>2.042999999999999</v>
      </c>
      <c r="G201" s="36" t="n">
        <v>1.25</v>
      </c>
      <c r="H201" s="36" t="n">
        <v>12</v>
      </c>
      <c r="I201" s="37" t="n">
        <v>0.7058823529411765</v>
      </c>
      <c r="J201" s="36" t="n">
        <v>1</v>
      </c>
      <c r="K201" s="37" t="n">
        <v>1</v>
      </c>
      <c r="L201" s="36" t="n">
        <v>11</v>
      </c>
      <c r="M201" s="37" t="n">
        <v>0.6875</v>
      </c>
      <c r="N201" s="36" t="n">
        <v>1</v>
      </c>
      <c r="O201" s="37" t="n">
        <v>1</v>
      </c>
      <c r="P201" s="36" t="n">
        <v>1</v>
      </c>
      <c r="Q201" s="37" t="n">
        <v>1</v>
      </c>
      <c r="R201" s="36" t="n">
        <v>17</v>
      </c>
      <c r="S201" s="37" t="n">
        <v>1</v>
      </c>
      <c r="T201" s="36" t="n">
        <v>5</v>
      </c>
      <c r="U201" s="37" t="n">
        <v>0.2941176470588235</v>
      </c>
      <c r="V201" s="38" t="n">
        <v>0</v>
      </c>
      <c r="W201" s="38" t="n">
        <v>0.79</v>
      </c>
      <c r="X201" s="38" t="n">
        <v>6.304</v>
      </c>
      <c r="Y201" s="38" t="n">
        <v>76.685</v>
      </c>
      <c r="Z201" s="38" t="n">
        <v>0</v>
      </c>
      <c r="AA201" s="36" t="n">
        <v>19</v>
      </c>
      <c r="AB201" s="37" t="n">
        <v>0.7037037037037037</v>
      </c>
      <c r="AC201" s="36" t="n">
        <v>2</v>
      </c>
      <c r="AD201" s="37" t="n">
        <v>0.6666666666666666</v>
      </c>
      <c r="AE201" s="36" t="n">
        <v>17</v>
      </c>
      <c r="AF201" s="37" t="n">
        <v>0.7083333333333334</v>
      </c>
      <c r="AG201" s="36" t="n">
        <v>1</v>
      </c>
      <c r="AH201" s="37" t="n">
        <v>0.5</v>
      </c>
    </row>
    <row r="202">
      <c r="A202" s="53" t="n">
        <v>45753</v>
      </c>
      <c r="B202" t="inlineStr">
        <is>
          <t>R07_Bali Nusra</t>
        </is>
      </c>
      <c r="C202" t="inlineStr">
        <is>
          <t>NOP DENPASAR</t>
        </is>
      </c>
      <c r="D202" s="38" t="n">
        <v>0.37</v>
      </c>
      <c r="E202" s="38" t="n">
        <v>0</v>
      </c>
      <c r="F202" s="36" t="n">
        <v>2.256</v>
      </c>
      <c r="G202" s="36" t="n">
        <v>4.25</v>
      </c>
      <c r="H202" s="36" t="n">
        <v>5</v>
      </c>
      <c r="I202" s="37" t="n">
        <v>1</v>
      </c>
      <c r="J202" s="36" t="n">
        <v>1</v>
      </c>
      <c r="K202" s="37" t="n">
        <v>1</v>
      </c>
      <c r="L202" s="36" t="n">
        <v>4</v>
      </c>
      <c r="M202" s="37" t="n">
        <v>1</v>
      </c>
      <c r="N202" s="36" t="n">
        <v>0</v>
      </c>
      <c r="O202" s="37" t="n">
        <v>0</v>
      </c>
      <c r="P202" s="36" t="n">
        <v>0</v>
      </c>
      <c r="Q202" s="37" t="n">
        <v>0</v>
      </c>
      <c r="R202" s="36" t="n">
        <v>5</v>
      </c>
      <c r="S202" s="37" t="n">
        <v>1</v>
      </c>
      <c r="T202" s="36" t="n">
        <v>4</v>
      </c>
      <c r="U202" s="37" t="n">
        <v>0.8</v>
      </c>
      <c r="V202" s="38" t="n">
        <v>0</v>
      </c>
      <c r="W202" s="38" t="n">
        <v>5.188</v>
      </c>
      <c r="X202" s="38" t="n">
        <v>44.46</v>
      </c>
      <c r="Y202" s="38" t="n">
        <v>8.5</v>
      </c>
      <c r="Z202" s="38" t="n">
        <v>0</v>
      </c>
      <c r="AA202" s="36" t="n">
        <v>8</v>
      </c>
      <c r="AB202" s="37" t="n">
        <v>0.8</v>
      </c>
      <c r="AC202" s="36" t="n">
        <v>1</v>
      </c>
      <c r="AD202" s="37" t="n">
        <v>0.5</v>
      </c>
      <c r="AE202" s="36" t="n">
        <v>7</v>
      </c>
      <c r="AF202" s="37" t="n">
        <v>0.875</v>
      </c>
      <c r="AG202" s="36" t="n">
        <v>1</v>
      </c>
      <c r="AH202" s="37" t="n">
        <v>1</v>
      </c>
    </row>
    <row r="203">
      <c r="A203" s="53" t="n">
        <v>45753</v>
      </c>
      <c r="B203" t="inlineStr">
        <is>
          <t>R07_Bali Nusra</t>
        </is>
      </c>
      <c r="C203" t="inlineStr">
        <is>
          <t>NOP FLORES</t>
        </is>
      </c>
      <c r="D203" s="38" t="n">
        <v>0</v>
      </c>
      <c r="E203" s="38" t="n">
        <v>2.26</v>
      </c>
      <c r="F203" s="36" t="n">
        <v>10.4</v>
      </c>
      <c r="G203" s="36" t="n">
        <v>5.745000000000005</v>
      </c>
      <c r="H203" s="36" t="n">
        <v>7</v>
      </c>
      <c r="I203" s="37" t="n">
        <v>0.2258064516129032</v>
      </c>
      <c r="J203" s="36" t="n">
        <v>3</v>
      </c>
      <c r="K203" s="37" t="n">
        <v>0.3333333333333333</v>
      </c>
      <c r="L203" s="36" t="n">
        <v>4</v>
      </c>
      <c r="M203" s="37" t="n">
        <v>0.1818181818181818</v>
      </c>
      <c r="N203" s="36" t="n">
        <v>1</v>
      </c>
      <c r="O203" s="37" t="n">
        <v>0.3333333333333333</v>
      </c>
      <c r="P203" s="36" t="n">
        <v>1</v>
      </c>
      <c r="Q203" s="37" t="n">
        <v>0.3333333333333333</v>
      </c>
      <c r="R203" s="36" t="n">
        <v>31</v>
      </c>
      <c r="S203" s="37" t="n">
        <v>1</v>
      </c>
      <c r="T203" s="36" t="n">
        <v>3</v>
      </c>
      <c r="U203" s="37" t="n">
        <v>0.09677419354838709</v>
      </c>
      <c r="V203" s="38" t="n">
        <v>0</v>
      </c>
      <c r="W203" s="38" t="n">
        <v>10.812</v>
      </c>
      <c r="X203" s="38" t="n">
        <v>7.918999999999995</v>
      </c>
      <c r="Y203" s="38" t="n">
        <v>18.47</v>
      </c>
      <c r="Z203" s="38" t="n">
        <v>0</v>
      </c>
      <c r="AA203" s="36" t="n">
        <v>19</v>
      </c>
      <c r="AB203" s="37" t="n">
        <v>0.2021276595744681</v>
      </c>
      <c r="AC203" s="36" t="n">
        <v>16</v>
      </c>
      <c r="AD203" s="37" t="n">
        <v>0.2318840579710145</v>
      </c>
      <c r="AE203" s="36" t="n">
        <v>3</v>
      </c>
      <c r="AF203" s="37" t="n">
        <v>0.12</v>
      </c>
      <c r="AG203" s="36" t="n">
        <v>12</v>
      </c>
      <c r="AH203" s="37" t="n">
        <v>0.75</v>
      </c>
    </row>
    <row r="204">
      <c r="A204" s="53" t="n">
        <v>45753</v>
      </c>
      <c r="B204" t="inlineStr">
        <is>
          <t>R07_Bali Nusra</t>
        </is>
      </c>
      <c r="C204" t="inlineStr">
        <is>
          <t>NOP KUPANG</t>
        </is>
      </c>
      <c r="D204" s="38" t="n">
        <v>0</v>
      </c>
      <c r="E204" s="38" t="n">
        <v>0.66</v>
      </c>
      <c r="F204" s="36" t="n">
        <v>2.01</v>
      </c>
      <c r="G204" s="36" t="n">
        <v>3.323999999999999</v>
      </c>
      <c r="H204" s="36" t="n">
        <v>14</v>
      </c>
      <c r="I204" s="37" t="n">
        <v>0.4242424242424243</v>
      </c>
      <c r="J204" s="36" t="n">
        <v>0</v>
      </c>
      <c r="K204" s="37" t="n">
        <v>0</v>
      </c>
      <c r="L204" s="36" t="n">
        <v>14</v>
      </c>
      <c r="M204" s="37" t="n">
        <v>0.4666666666666667</v>
      </c>
      <c r="N204" s="36" t="n">
        <v>0</v>
      </c>
      <c r="O204" s="37" t="n">
        <v>0</v>
      </c>
      <c r="P204" s="36" t="n">
        <v>0</v>
      </c>
      <c r="Q204" s="37" t="n">
        <v>0</v>
      </c>
      <c r="R204" s="36" t="n">
        <v>33</v>
      </c>
      <c r="S204" s="37" t="n">
        <v>1</v>
      </c>
      <c r="T204" s="36" t="n">
        <v>0</v>
      </c>
      <c r="U204" s="37" t="n">
        <v>0</v>
      </c>
      <c r="V204" s="38" t="n">
        <v>0.01</v>
      </c>
      <c r="W204" s="38" t="n">
        <v>46.55</v>
      </c>
      <c r="X204" s="38" t="n">
        <v>6.170000000000002</v>
      </c>
      <c r="Y204" s="38" t="n">
        <v>0</v>
      </c>
      <c r="Z204" s="38" t="n">
        <v>0</v>
      </c>
      <c r="AA204" s="36" t="n">
        <v>13</v>
      </c>
      <c r="AB204" s="37" t="n">
        <v>0.3333333333333333</v>
      </c>
      <c r="AC204" s="36" t="n">
        <v>11</v>
      </c>
      <c r="AD204" s="37" t="n">
        <v>0.34375</v>
      </c>
      <c r="AE204" s="36" t="n">
        <v>2</v>
      </c>
      <c r="AF204" s="37" t="n">
        <v>0.2857142857142857</v>
      </c>
      <c r="AG204" s="36" t="n">
        <v>6</v>
      </c>
      <c r="AH204" s="37" t="n">
        <v>0.5454545454545454</v>
      </c>
    </row>
    <row r="205">
      <c r="A205" s="53" t="n">
        <v>45753</v>
      </c>
      <c r="B205" t="inlineStr">
        <is>
          <t>R07_Bali Nusra</t>
        </is>
      </c>
      <c r="C205" t="inlineStr">
        <is>
          <t>NOP MATARAM</t>
        </is>
      </c>
      <c r="D205" s="38" t="n">
        <v>0</v>
      </c>
      <c r="E205" s="38" t="n">
        <v>0</v>
      </c>
      <c r="F205" s="36" t="n">
        <v>2.688</v>
      </c>
      <c r="G205" s="36" t="n">
        <v>5.518000000000001</v>
      </c>
      <c r="H205" s="36" t="n">
        <v>0</v>
      </c>
      <c r="I205" s="37" t="n">
        <v>0</v>
      </c>
      <c r="J205" s="36" t="n">
        <v>0</v>
      </c>
      <c r="K205" s="37" t="n">
        <v>0</v>
      </c>
      <c r="L205" s="36" t="n">
        <v>0</v>
      </c>
      <c r="M205" s="37" t="n">
        <v>0</v>
      </c>
      <c r="N205" s="36" t="n">
        <v>0</v>
      </c>
      <c r="O205" s="37" t="n">
        <v>0</v>
      </c>
      <c r="P205" s="36" t="n">
        <v>0</v>
      </c>
      <c r="Q205" s="37" t="n">
        <v>0</v>
      </c>
      <c r="R205" s="36" t="n">
        <v>10</v>
      </c>
      <c r="S205" s="37" t="n">
        <v>1</v>
      </c>
      <c r="T205" s="36" t="n">
        <v>0</v>
      </c>
      <c r="U205" s="37" t="n">
        <v>0</v>
      </c>
      <c r="V205" s="38" t="n">
        <v>0</v>
      </c>
      <c r="W205" s="38" t="n">
        <v>22.33200000000001</v>
      </c>
      <c r="X205" s="38" t="n">
        <v>10.455</v>
      </c>
      <c r="Y205" s="38" t="n">
        <v>48.71499999999998</v>
      </c>
      <c r="Z205" s="38" t="n">
        <v>0</v>
      </c>
      <c r="AA205" s="36" t="n">
        <v>18</v>
      </c>
      <c r="AB205" s="37" t="n">
        <v>0.3529411764705883</v>
      </c>
      <c r="AC205" s="36" t="n">
        <v>8</v>
      </c>
      <c r="AD205" s="37" t="n">
        <v>0.32</v>
      </c>
      <c r="AE205" s="36" t="n">
        <v>10</v>
      </c>
      <c r="AF205" s="37" t="n">
        <v>0.3846153846153846</v>
      </c>
      <c r="AG205" s="36" t="n">
        <v>4</v>
      </c>
      <c r="AH205" s="37" t="n">
        <v>0.5</v>
      </c>
    </row>
    <row r="206">
      <c r="A206" s="53" t="n">
        <v>45754</v>
      </c>
      <c r="B206" t="inlineStr">
        <is>
          <t>R01_Sumbagut</t>
        </is>
      </c>
      <c r="C206" t="inlineStr">
        <is>
          <t>NOP ACEH</t>
        </is>
      </c>
      <c r="D206" s="38" t="n">
        <v>0</v>
      </c>
      <c r="E206" s="38" t="n">
        <v>3.784</v>
      </c>
      <c r="F206" s="36" t="n">
        <v>15.1</v>
      </c>
      <c r="G206" s="36" t="n">
        <v>6.629999999999998</v>
      </c>
      <c r="H206" s="36" t="n">
        <v>53</v>
      </c>
      <c r="I206" s="37" t="n">
        <v>0.8688524590163934</v>
      </c>
      <c r="J206" s="36" t="n">
        <v>11</v>
      </c>
      <c r="K206" s="37" t="n">
        <v>0.8461538461538461</v>
      </c>
      <c r="L206" s="36" t="n">
        <v>42</v>
      </c>
      <c r="M206" s="37" t="n">
        <v>0.875</v>
      </c>
      <c r="N206" s="36" t="n">
        <v>4</v>
      </c>
      <c r="O206" s="37" t="n">
        <v>0.3636363636363636</v>
      </c>
      <c r="P206" s="36" t="n">
        <v>4</v>
      </c>
      <c r="Q206" s="37" t="n">
        <v>0.3636363636363636</v>
      </c>
      <c r="R206" s="36" t="n">
        <v>61</v>
      </c>
      <c r="S206" s="37" t="n">
        <v>1</v>
      </c>
      <c r="T206" s="36" t="n">
        <v>16</v>
      </c>
      <c r="U206" s="37" t="n">
        <v>0.2622950819672131</v>
      </c>
      <c r="V206" s="38" t="n">
        <v>0</v>
      </c>
      <c r="W206" s="38" t="n">
        <v>2.13</v>
      </c>
      <c r="X206" s="38" t="n">
        <v>65.92200000000004</v>
      </c>
      <c r="Y206" s="38" t="n">
        <v>171.5169999999999</v>
      </c>
      <c r="Z206" s="38" t="n">
        <v>0</v>
      </c>
      <c r="AA206" s="36" t="n">
        <v>320</v>
      </c>
      <c r="AB206" s="37" t="n">
        <v>0.8398950131233596</v>
      </c>
      <c r="AC206" s="36" t="n">
        <v>29</v>
      </c>
      <c r="AD206" s="37" t="n">
        <v>0.4677419354838709</v>
      </c>
      <c r="AE206" s="36" t="n">
        <v>291</v>
      </c>
      <c r="AF206" s="37" t="n">
        <v>0.9122257053291536</v>
      </c>
      <c r="AG206" s="36" t="n">
        <v>7</v>
      </c>
      <c r="AH206" s="37" t="n">
        <v>0.2413793103448276</v>
      </c>
    </row>
    <row r="207">
      <c r="A207" s="53" t="n">
        <v>45754</v>
      </c>
      <c r="B207" t="inlineStr">
        <is>
          <t>R01_Sumbagut</t>
        </is>
      </c>
      <c r="C207" t="inlineStr">
        <is>
          <t>NOP BINJAI</t>
        </is>
      </c>
      <c r="D207" s="38" t="n">
        <v>0</v>
      </c>
      <c r="E207" s="38" t="n">
        <v>0.9989999999999999</v>
      </c>
      <c r="F207" s="36" t="n">
        <v>2.456000000000003</v>
      </c>
      <c r="G207" s="36" t="n">
        <v>2.356</v>
      </c>
      <c r="H207" s="36" t="n">
        <v>26</v>
      </c>
      <c r="I207" s="37" t="n">
        <v>0.5531914893617021</v>
      </c>
      <c r="J207" s="36" t="n">
        <v>2</v>
      </c>
      <c r="K207" s="37" t="n">
        <v>0.2</v>
      </c>
      <c r="L207" s="36" t="n">
        <v>24</v>
      </c>
      <c r="M207" s="37" t="n">
        <v>0.6486486486486487</v>
      </c>
      <c r="N207" s="36" t="n">
        <v>0</v>
      </c>
      <c r="O207" s="37" t="n">
        <v>0</v>
      </c>
      <c r="P207" s="36" t="n">
        <v>0</v>
      </c>
      <c r="Q207" s="37" t="n">
        <v>0</v>
      </c>
      <c r="R207" s="36" t="n">
        <v>47</v>
      </c>
      <c r="S207" s="37" t="n">
        <v>1</v>
      </c>
      <c r="T207" s="36" t="n">
        <v>10</v>
      </c>
      <c r="U207" s="37" t="n">
        <v>0.2127659574468085</v>
      </c>
      <c r="V207" s="38" t="n">
        <v>0.01</v>
      </c>
      <c r="W207" s="38" t="n">
        <v>1.89</v>
      </c>
      <c r="X207" s="38" t="n">
        <v>61.49000000000004</v>
      </c>
      <c r="Y207" s="38" t="n">
        <v>378.568</v>
      </c>
      <c r="Z207" s="38" t="n">
        <v>0</v>
      </c>
      <c r="AA207" s="36" t="n">
        <v>48</v>
      </c>
      <c r="AB207" s="37" t="n">
        <v>0.676056338028169</v>
      </c>
      <c r="AC207" s="36" t="n">
        <v>11</v>
      </c>
      <c r="AD207" s="37" t="n">
        <v>0.6470588235294118</v>
      </c>
      <c r="AE207" s="36" t="n">
        <v>35</v>
      </c>
      <c r="AF207" s="37" t="n">
        <v>0.6730769230769231</v>
      </c>
      <c r="AG207" s="36" t="n">
        <v>3</v>
      </c>
      <c r="AH207" s="37" t="n">
        <v>0.2727272727272727</v>
      </c>
    </row>
    <row r="208">
      <c r="A208" s="53" t="n">
        <v>45754</v>
      </c>
      <c r="B208" t="inlineStr">
        <is>
          <t>R01_Sumbagut</t>
        </is>
      </c>
      <c r="C208" t="inlineStr">
        <is>
          <t>NOP MEDAN</t>
        </is>
      </c>
      <c r="D208" s="38" t="n">
        <v>0</v>
      </c>
      <c r="E208" s="38" t="n">
        <v>1.699</v>
      </c>
      <c r="F208" s="36" t="n">
        <v>4.45</v>
      </c>
      <c r="G208" s="36" t="n">
        <v>3.882000000000001</v>
      </c>
      <c r="H208" s="36" t="n">
        <v>19</v>
      </c>
      <c r="I208" s="37" t="n">
        <v>0.6129032258064516</v>
      </c>
      <c r="J208" s="36" t="n">
        <v>7</v>
      </c>
      <c r="K208" s="37" t="n">
        <v>0.5833333333333334</v>
      </c>
      <c r="L208" s="36" t="n">
        <v>12</v>
      </c>
      <c r="M208" s="37" t="n">
        <v>0.631578947368421</v>
      </c>
      <c r="N208" s="36" t="n">
        <v>4</v>
      </c>
      <c r="O208" s="37" t="n">
        <v>0.5714285714285714</v>
      </c>
      <c r="P208" s="36" t="n">
        <v>4</v>
      </c>
      <c r="Q208" s="37" t="n">
        <v>0.5714285714285714</v>
      </c>
      <c r="R208" s="36" t="n">
        <v>31</v>
      </c>
      <c r="S208" s="37" t="n">
        <v>1</v>
      </c>
      <c r="T208" s="36" t="n">
        <v>9</v>
      </c>
      <c r="U208" s="37" t="n">
        <v>0.2903225806451613</v>
      </c>
      <c r="V208" s="38" t="n">
        <v>0</v>
      </c>
      <c r="W208" s="38" t="n">
        <v>14.74800000000001</v>
      </c>
      <c r="X208" s="38" t="n">
        <v>4.547000000000001</v>
      </c>
      <c r="Y208" s="38" t="n">
        <v>22.21</v>
      </c>
      <c r="Z208" s="38" t="n">
        <v>0</v>
      </c>
      <c r="AA208" s="36" t="n">
        <v>9</v>
      </c>
      <c r="AB208" s="37" t="n">
        <v>0.2368421052631579</v>
      </c>
      <c r="AC208" s="36" t="n">
        <v>3</v>
      </c>
      <c r="AD208" s="37" t="n">
        <v>0.4285714285714285</v>
      </c>
      <c r="AE208" s="36" t="n">
        <v>6</v>
      </c>
      <c r="AF208" s="37" t="n">
        <v>0.2222222222222222</v>
      </c>
      <c r="AG208" s="36" t="n">
        <v>2</v>
      </c>
      <c r="AH208" s="37" t="n">
        <v>0.6666666666666666</v>
      </c>
    </row>
    <row r="209">
      <c r="A209" s="53" t="n">
        <v>45754</v>
      </c>
      <c r="B209" t="inlineStr">
        <is>
          <t>R01_Sumbagut</t>
        </is>
      </c>
      <c r="C209" t="inlineStr">
        <is>
          <t>NOP PADANG SIDEMPUAN</t>
        </is>
      </c>
      <c r="D209" s="38" t="n">
        <v>0</v>
      </c>
      <c r="E209" s="38" t="n">
        <v>2.224</v>
      </c>
      <c r="F209" s="36" t="n">
        <v>4.864000000000001</v>
      </c>
      <c r="G209" s="36" t="n">
        <v>6.202</v>
      </c>
      <c r="H209" s="36" t="n">
        <v>24</v>
      </c>
      <c r="I209" s="37" t="n">
        <v>0.3380281690140845</v>
      </c>
      <c r="J209" s="36" t="n">
        <v>7</v>
      </c>
      <c r="K209" s="37" t="n">
        <v>0.5384615384615384</v>
      </c>
      <c r="L209" s="36" t="n">
        <v>17</v>
      </c>
      <c r="M209" s="37" t="n">
        <v>0.293103448275862</v>
      </c>
      <c r="N209" s="36" t="n">
        <v>4</v>
      </c>
      <c r="O209" s="37" t="n">
        <v>0.5714285714285714</v>
      </c>
      <c r="P209" s="36" t="n">
        <v>4</v>
      </c>
      <c r="Q209" s="37" t="n">
        <v>0.5714285714285714</v>
      </c>
      <c r="R209" s="36" t="n">
        <v>71</v>
      </c>
      <c r="S209" s="37" t="n">
        <v>1</v>
      </c>
      <c r="T209" s="36" t="n">
        <v>12</v>
      </c>
      <c r="U209" s="37" t="n">
        <v>0.1690140845070423</v>
      </c>
      <c r="V209" s="38" t="n">
        <v>0.01</v>
      </c>
      <c r="W209" s="38" t="n">
        <v>3.16</v>
      </c>
      <c r="X209" s="38" t="n">
        <v>6.762000000000002</v>
      </c>
      <c r="Y209" s="38" t="n">
        <v>195.6950000000001</v>
      </c>
      <c r="Z209" s="38" t="n">
        <v>0</v>
      </c>
      <c r="AA209" s="36" t="n">
        <v>76</v>
      </c>
      <c r="AB209" s="37" t="n">
        <v>0.2980392156862745</v>
      </c>
      <c r="AC209" s="36" t="n">
        <v>23</v>
      </c>
      <c r="AD209" s="37" t="n">
        <v>0.3382352941176471</v>
      </c>
      <c r="AE209" s="36" t="n">
        <v>53</v>
      </c>
      <c r="AF209" s="37" t="n">
        <v>0.2834224598930482</v>
      </c>
      <c r="AG209" s="36" t="n">
        <v>13</v>
      </c>
      <c r="AH209" s="37" t="n">
        <v>0.5652173913043478</v>
      </c>
    </row>
    <row r="210">
      <c r="A210" s="53" t="n">
        <v>45754</v>
      </c>
      <c r="B210" t="inlineStr">
        <is>
          <t>R01_Sumbagut</t>
        </is>
      </c>
      <c r="C210" t="inlineStr">
        <is>
          <t>NOP PEMATANG SIANTAR</t>
        </is>
      </c>
      <c r="D210" s="38" t="n">
        <v>0.5760000000000001</v>
      </c>
      <c r="E210" s="38" t="n">
        <v>2.661000000000001</v>
      </c>
      <c r="F210" s="36" t="n">
        <v>2.504</v>
      </c>
      <c r="G210" s="36" t="n">
        <v>4.48</v>
      </c>
      <c r="H210" s="36" t="n">
        <v>21</v>
      </c>
      <c r="I210" s="37" t="n">
        <v>0.2413793103448276</v>
      </c>
      <c r="J210" s="36" t="n">
        <v>7</v>
      </c>
      <c r="K210" s="37" t="n">
        <v>0.2592592592592592</v>
      </c>
      <c r="L210" s="36" t="n">
        <v>14</v>
      </c>
      <c r="M210" s="37" t="n">
        <v>0.2333333333333333</v>
      </c>
      <c r="N210" s="36" t="n">
        <v>3</v>
      </c>
      <c r="O210" s="37" t="n">
        <v>0.4285714285714285</v>
      </c>
      <c r="P210" s="36" t="n">
        <v>3</v>
      </c>
      <c r="Q210" s="37" t="n">
        <v>0.4285714285714285</v>
      </c>
      <c r="R210" s="36" t="n">
        <v>87</v>
      </c>
      <c r="S210" s="37" t="n">
        <v>1</v>
      </c>
      <c r="T210" s="36" t="n">
        <v>12</v>
      </c>
      <c r="U210" s="37" t="n">
        <v>0.1379310344827586</v>
      </c>
      <c r="V210" s="38" t="n">
        <v>0</v>
      </c>
      <c r="W210" s="38" t="n">
        <v>2.668</v>
      </c>
      <c r="X210" s="38" t="n">
        <v>28.63200000000001</v>
      </c>
      <c r="Y210" s="38" t="n">
        <v>60.39</v>
      </c>
      <c r="Z210" s="38" t="n">
        <v>0</v>
      </c>
      <c r="AA210" s="36" t="n">
        <v>57</v>
      </c>
      <c r="AB210" s="37" t="n">
        <v>0.1117647058823529</v>
      </c>
      <c r="AC210" s="36" t="n">
        <v>17</v>
      </c>
      <c r="AD210" s="37" t="n">
        <v>0.3269230769230769</v>
      </c>
      <c r="AE210" s="36" t="n">
        <v>38</v>
      </c>
      <c r="AF210" s="37" t="n">
        <v>0.08351648351648351</v>
      </c>
      <c r="AG210" s="36" t="n">
        <v>10</v>
      </c>
      <c r="AH210" s="37" t="n">
        <v>0.5882352941176471</v>
      </c>
    </row>
    <row r="211">
      <c r="A211" s="53" t="n">
        <v>45754</v>
      </c>
      <c r="B211" t="inlineStr">
        <is>
          <t>R01_Sumbagut</t>
        </is>
      </c>
      <c r="C211" t="inlineStr">
        <is>
          <t>NOP RANTAU PRAPAT</t>
        </is>
      </c>
      <c r="D211" s="38" t="n">
        <v>3.52</v>
      </c>
      <c r="E211" s="38" t="n">
        <v>1.084</v>
      </c>
      <c r="F211" s="36" t="n">
        <v>3.347000000000001</v>
      </c>
      <c r="G211" s="36" t="n">
        <v>8.958000000000004</v>
      </c>
      <c r="H211" s="36" t="n">
        <v>26</v>
      </c>
      <c r="I211" s="37" t="n">
        <v>0.2680412371134021</v>
      </c>
      <c r="J211" s="36" t="n">
        <v>4</v>
      </c>
      <c r="K211" s="37" t="n">
        <v>0.2857142857142857</v>
      </c>
      <c r="L211" s="36" t="n">
        <v>22</v>
      </c>
      <c r="M211" s="37" t="n">
        <v>0.2650602409638554</v>
      </c>
      <c r="N211" s="36" t="n">
        <v>1</v>
      </c>
      <c r="O211" s="37" t="n">
        <v>0.25</v>
      </c>
      <c r="P211" s="36" t="n">
        <v>1</v>
      </c>
      <c r="Q211" s="37" t="n">
        <v>0.25</v>
      </c>
      <c r="R211" s="36" t="n">
        <v>94</v>
      </c>
      <c r="S211" s="37" t="n">
        <v>0.9690721649484536</v>
      </c>
      <c r="T211" s="36" t="n">
        <v>18</v>
      </c>
      <c r="U211" s="37" t="n">
        <v>0.1855670103092784</v>
      </c>
      <c r="V211" s="38" t="n">
        <v>0</v>
      </c>
      <c r="W211" s="38" t="n">
        <v>4.979000000000005</v>
      </c>
      <c r="X211" s="38" t="n">
        <v>36.32</v>
      </c>
      <c r="Y211" s="38" t="n">
        <v>56.215</v>
      </c>
      <c r="Z211" s="38" t="n">
        <v>0</v>
      </c>
      <c r="AA211" s="36" t="n">
        <v>22</v>
      </c>
      <c r="AB211" s="37" t="n">
        <v>0.07801418439716312</v>
      </c>
      <c r="AC211" s="36" t="n">
        <v>3</v>
      </c>
      <c r="AD211" s="37" t="n">
        <v>0.1071428571428571</v>
      </c>
      <c r="AE211" s="36" t="n">
        <v>18</v>
      </c>
      <c r="AF211" s="37" t="n">
        <v>0.07142857142857142</v>
      </c>
      <c r="AG211" s="36" t="n">
        <v>2</v>
      </c>
      <c r="AH211" s="37" t="n">
        <v>0.6666666666666666</v>
      </c>
    </row>
    <row r="212">
      <c r="A212" s="53" t="n">
        <v>45754</v>
      </c>
      <c r="B212" t="inlineStr">
        <is>
          <t>R10_Sumbagteng</t>
        </is>
      </c>
      <c r="C212" t="inlineStr">
        <is>
          <t>NOP BATAM</t>
        </is>
      </c>
      <c r="D212" s="38" t="n">
        <v>1.151</v>
      </c>
      <c r="E212" s="38" t="n">
        <v>6.68</v>
      </c>
      <c r="F212" s="36" t="n">
        <v>6.018000000000001</v>
      </c>
      <c r="G212" s="36" t="n">
        <v>13.12199999999999</v>
      </c>
      <c r="H212" s="36" t="n">
        <v>28</v>
      </c>
      <c r="I212" s="37" t="n">
        <v>0.28</v>
      </c>
      <c r="J212" s="36" t="n">
        <v>12</v>
      </c>
      <c r="K212" s="37" t="n">
        <v>0.48</v>
      </c>
      <c r="L212" s="36" t="n">
        <v>16</v>
      </c>
      <c r="M212" s="37" t="n">
        <v>0.2133333333333333</v>
      </c>
      <c r="N212" s="36" t="n">
        <v>6</v>
      </c>
      <c r="O212" s="37" t="n">
        <v>0.5</v>
      </c>
      <c r="P212" s="36" t="n">
        <v>6</v>
      </c>
      <c r="Q212" s="37" t="n">
        <v>0.5</v>
      </c>
      <c r="R212" s="36" t="n">
        <v>99</v>
      </c>
      <c r="S212" s="37" t="n">
        <v>0.99</v>
      </c>
      <c r="T212" s="36" t="n">
        <v>20</v>
      </c>
      <c r="U212" s="37" t="n">
        <v>0.2</v>
      </c>
      <c r="V212" s="38" t="n">
        <v>0</v>
      </c>
      <c r="W212" s="38" t="n">
        <v>9.07</v>
      </c>
      <c r="X212" s="38" t="n">
        <v>31.41999999999999</v>
      </c>
      <c r="Y212" s="38" t="n">
        <v>80.05800000000008</v>
      </c>
      <c r="Z212" s="38" t="n">
        <v>0</v>
      </c>
      <c r="AA212" s="36" t="n">
        <v>28</v>
      </c>
      <c r="AB212" s="37" t="n">
        <v>0.1044776119402985</v>
      </c>
      <c r="AC212" s="36" t="n">
        <v>7</v>
      </c>
      <c r="AD212" s="37" t="n">
        <v>0.1372549019607843</v>
      </c>
      <c r="AE212" s="36" t="n">
        <v>21</v>
      </c>
      <c r="AF212" s="37" t="n">
        <v>0.09767441860465116</v>
      </c>
      <c r="AG212" s="36" t="n">
        <v>7</v>
      </c>
      <c r="AH212" s="37" t="n">
        <v>1</v>
      </c>
    </row>
    <row r="213">
      <c r="A213" s="53" t="n">
        <v>45754</v>
      </c>
      <c r="B213" t="inlineStr">
        <is>
          <t>R10_Sumbagteng</t>
        </is>
      </c>
      <c r="C213" t="inlineStr">
        <is>
          <t>NOP BUKITTINGGI</t>
        </is>
      </c>
      <c r="D213" s="38" t="n">
        <v>2.46</v>
      </c>
      <c r="E213" s="38" t="n">
        <v>4.06</v>
      </c>
      <c r="F213" s="36" t="n">
        <v>3.311</v>
      </c>
      <c r="G213" s="36" t="n">
        <v>6.858000000000002</v>
      </c>
      <c r="H213" s="36" t="n">
        <v>47</v>
      </c>
      <c r="I213" s="37" t="n">
        <v>0.9038461538461539</v>
      </c>
      <c r="J213" s="36" t="n">
        <v>12</v>
      </c>
      <c r="K213" s="37" t="n">
        <v>0.8</v>
      </c>
      <c r="L213" s="36" t="n">
        <v>35</v>
      </c>
      <c r="M213" s="37" t="n">
        <v>0.9459459459459459</v>
      </c>
      <c r="N213" s="36" t="n">
        <v>6</v>
      </c>
      <c r="O213" s="37" t="n">
        <v>0.5</v>
      </c>
      <c r="P213" s="36" t="n">
        <v>6</v>
      </c>
      <c r="Q213" s="37" t="n">
        <v>0.5</v>
      </c>
      <c r="R213" s="36" t="n">
        <v>52</v>
      </c>
      <c r="S213" s="37" t="n">
        <v>1</v>
      </c>
      <c r="T213" s="36" t="n">
        <v>22</v>
      </c>
      <c r="U213" s="37" t="n">
        <v>0.4230769230769231</v>
      </c>
      <c r="V213" s="38" t="n">
        <v>0</v>
      </c>
      <c r="W213" s="38" t="n">
        <v>3.077000000000001</v>
      </c>
      <c r="X213" s="38" t="n">
        <v>7</v>
      </c>
      <c r="Y213" s="38" t="n">
        <v>136.96</v>
      </c>
      <c r="Z213" s="38" t="n">
        <v>0</v>
      </c>
      <c r="AA213" s="36" t="n">
        <v>59</v>
      </c>
      <c r="AB213" s="37" t="n">
        <v>0.3933333333333333</v>
      </c>
      <c r="AC213" s="36" t="n">
        <v>13</v>
      </c>
      <c r="AD213" s="37" t="n">
        <v>0.7222222222222222</v>
      </c>
      <c r="AE213" s="36" t="n">
        <v>46</v>
      </c>
      <c r="AF213" s="37" t="n">
        <v>0.3484848484848485</v>
      </c>
      <c r="AG213" s="36" t="n">
        <v>3</v>
      </c>
      <c r="AH213" s="37" t="n">
        <v>0.2307692307692308</v>
      </c>
    </row>
    <row r="214">
      <c r="A214" s="53" t="n">
        <v>45754</v>
      </c>
      <c r="B214" t="inlineStr">
        <is>
          <t>R10_Sumbagteng</t>
        </is>
      </c>
      <c r="C214" t="inlineStr">
        <is>
          <t>NOP DUMAI</t>
        </is>
      </c>
      <c r="D214" s="38" t="n">
        <v>6.41</v>
      </c>
      <c r="E214" s="38" t="n">
        <v>3.394</v>
      </c>
      <c r="F214" s="36" t="n">
        <v>3.362</v>
      </c>
      <c r="G214" s="36" t="n">
        <v>3.771</v>
      </c>
      <c r="H214" s="36" t="n">
        <v>35</v>
      </c>
      <c r="I214" s="37" t="n">
        <v>0.2160493827160494</v>
      </c>
      <c r="J214" s="36" t="n">
        <v>14</v>
      </c>
      <c r="K214" s="37" t="n">
        <v>0.3783783783783784</v>
      </c>
      <c r="L214" s="36" t="n">
        <v>21</v>
      </c>
      <c r="M214" s="37" t="n">
        <v>0.168</v>
      </c>
      <c r="N214" s="36" t="n">
        <v>10</v>
      </c>
      <c r="O214" s="37" t="n">
        <v>0.7142857142857143</v>
      </c>
      <c r="P214" s="36" t="n">
        <v>10</v>
      </c>
      <c r="Q214" s="37" t="n">
        <v>0.7142857142857143</v>
      </c>
      <c r="R214" s="36" t="n">
        <v>160</v>
      </c>
      <c r="S214" s="37" t="n">
        <v>0.9876543209876543</v>
      </c>
      <c r="T214" s="36" t="n">
        <v>23</v>
      </c>
      <c r="U214" s="37" t="n">
        <v>0.1419753086419753</v>
      </c>
      <c r="V214" s="38" t="n">
        <v>0.01</v>
      </c>
      <c r="W214" s="38" t="n">
        <v>4.061000000000002</v>
      </c>
      <c r="X214" s="38" t="n">
        <v>71.60500000000003</v>
      </c>
      <c r="Y214" s="38" t="n">
        <v>130.318</v>
      </c>
      <c r="Z214" s="38" t="n">
        <v>0</v>
      </c>
      <c r="AA214" s="36" t="n">
        <v>86</v>
      </c>
      <c r="AB214" s="37" t="n">
        <v>0.3385826771653543</v>
      </c>
      <c r="AC214" s="36" t="n">
        <v>12</v>
      </c>
      <c r="AD214" s="37" t="n">
        <v>0.2181818181818182</v>
      </c>
      <c r="AE214" s="36" t="n">
        <v>73</v>
      </c>
      <c r="AF214" s="37" t="n">
        <v>0.3705583756345178</v>
      </c>
      <c r="AG214" s="36" t="n">
        <v>12</v>
      </c>
      <c r="AH214" s="37" t="n">
        <v>1</v>
      </c>
    </row>
    <row r="215">
      <c r="A215" s="53" t="n">
        <v>45754</v>
      </c>
      <c r="B215" t="inlineStr">
        <is>
          <t>R10_Sumbagteng</t>
        </is>
      </c>
      <c r="C215" t="inlineStr">
        <is>
          <t>NOP PADANG</t>
        </is>
      </c>
      <c r="D215" s="38" t="n">
        <v>3.58</v>
      </c>
      <c r="E215" s="38" t="n">
        <v>1.722</v>
      </c>
      <c r="F215" s="36" t="n">
        <v>13.58</v>
      </c>
      <c r="G215" s="36" t="n">
        <v>5.75</v>
      </c>
      <c r="H215" s="36" t="n">
        <v>73</v>
      </c>
      <c r="I215" s="37" t="n">
        <v>0.8295454545454546</v>
      </c>
      <c r="J215" s="36" t="n">
        <v>14</v>
      </c>
      <c r="K215" s="37" t="n">
        <v>0.8235294117647058</v>
      </c>
      <c r="L215" s="36" t="n">
        <v>59</v>
      </c>
      <c r="M215" s="37" t="n">
        <v>0.8309859154929577</v>
      </c>
      <c r="N215" s="36" t="n">
        <v>7</v>
      </c>
      <c r="O215" s="37" t="n">
        <v>0.5</v>
      </c>
      <c r="P215" s="36" t="n">
        <v>7</v>
      </c>
      <c r="Q215" s="37" t="n">
        <v>0.5</v>
      </c>
      <c r="R215" s="36" t="n">
        <v>83</v>
      </c>
      <c r="S215" s="37" t="n">
        <v>0.9431818181818182</v>
      </c>
      <c r="T215" s="36" t="n">
        <v>39</v>
      </c>
      <c r="U215" s="37" t="n">
        <v>0.4431818181818182</v>
      </c>
      <c r="V215" s="38" t="n">
        <v>0</v>
      </c>
      <c r="W215" s="38" t="n">
        <v>3.732000000000001</v>
      </c>
      <c r="X215" s="38" t="n">
        <v>44.01500000000004</v>
      </c>
      <c r="Y215" s="38" t="n">
        <v>83.5</v>
      </c>
      <c r="Z215" s="38" t="n">
        <v>0</v>
      </c>
      <c r="AA215" s="36" t="n">
        <v>241</v>
      </c>
      <c r="AB215" s="37" t="n">
        <v>0.7484472049689441</v>
      </c>
      <c r="AC215" s="36" t="n">
        <v>14</v>
      </c>
      <c r="AD215" s="37" t="n">
        <v>0.5185185185185185</v>
      </c>
      <c r="AE215" s="36" t="n">
        <v>226</v>
      </c>
      <c r="AF215" s="37" t="n">
        <v>0.7687074829931972</v>
      </c>
      <c r="AG215" s="36" t="n">
        <v>8</v>
      </c>
      <c r="AH215" s="37" t="n">
        <v>0.5714285714285714</v>
      </c>
    </row>
    <row r="216">
      <c r="A216" s="53" t="n">
        <v>45754</v>
      </c>
      <c r="B216" t="inlineStr">
        <is>
          <t>R10_Sumbagteng</t>
        </is>
      </c>
      <c r="C216" t="inlineStr">
        <is>
          <t>NOP PEKANBARU</t>
        </is>
      </c>
      <c r="D216" s="38" t="n">
        <v>2.36</v>
      </c>
      <c r="E216" s="38" t="n">
        <v>5.334</v>
      </c>
      <c r="F216" s="36" t="n">
        <v>4.079999999999999</v>
      </c>
      <c r="G216" s="36" t="n">
        <v>7.54</v>
      </c>
      <c r="H216" s="36" t="n">
        <v>63</v>
      </c>
      <c r="I216" s="37" t="n">
        <v>0.3480662983425414</v>
      </c>
      <c r="J216" s="36" t="n">
        <v>12</v>
      </c>
      <c r="K216" s="37" t="n">
        <v>0.4444444444444444</v>
      </c>
      <c r="L216" s="36" t="n">
        <v>51</v>
      </c>
      <c r="M216" s="37" t="n">
        <v>0.3311688311688312</v>
      </c>
      <c r="N216" s="36" t="n">
        <v>11</v>
      </c>
      <c r="O216" s="37" t="n">
        <v>0.9166666666666666</v>
      </c>
      <c r="P216" s="36" t="n">
        <v>11</v>
      </c>
      <c r="Q216" s="37" t="n">
        <v>0.9166666666666666</v>
      </c>
      <c r="R216" s="36" t="n">
        <v>181</v>
      </c>
      <c r="S216" s="37" t="n">
        <v>1</v>
      </c>
      <c r="T216" s="36" t="n">
        <v>42</v>
      </c>
      <c r="U216" s="37" t="n">
        <v>0.2320441988950276</v>
      </c>
      <c r="V216" s="38" t="n">
        <v>0.01</v>
      </c>
      <c r="W216" s="38" t="n">
        <v>2.804</v>
      </c>
      <c r="X216" s="38" t="n">
        <v>45.76</v>
      </c>
      <c r="Y216" s="38" t="n">
        <v>20.80400000000002</v>
      </c>
      <c r="Z216" s="38" t="n">
        <v>0</v>
      </c>
      <c r="AA216" s="36" t="n">
        <v>82</v>
      </c>
      <c r="AB216" s="37" t="n">
        <v>0.296028880866426</v>
      </c>
      <c r="AC216" s="36" t="n">
        <v>23</v>
      </c>
      <c r="AD216" s="37" t="n">
        <v>0.2875</v>
      </c>
      <c r="AE216" s="36" t="n">
        <v>58</v>
      </c>
      <c r="AF216" s="37" t="n">
        <v>0.3005181347150259</v>
      </c>
      <c r="AG216" s="36" t="n">
        <v>19</v>
      </c>
      <c r="AH216" s="37" t="n">
        <v>0.8260869565217391</v>
      </c>
    </row>
    <row r="217">
      <c r="A217" s="53" t="n">
        <v>45754</v>
      </c>
      <c r="B217" t="inlineStr">
        <is>
          <t>R02_Sumbagsel</t>
        </is>
      </c>
      <c r="C217" t="inlineStr">
        <is>
          <t>NOP BENGKULU</t>
        </is>
      </c>
      <c r="D217" s="38" t="n">
        <v>0</v>
      </c>
      <c r="E217" s="38" t="n">
        <v>4.747</v>
      </c>
      <c r="F217" s="36" t="n">
        <v>3.42</v>
      </c>
      <c r="G217" s="36" t="n">
        <v>7.734</v>
      </c>
      <c r="H217" s="36" t="n">
        <v>24</v>
      </c>
      <c r="I217" s="37" t="n">
        <v>0.3037974683544304</v>
      </c>
      <c r="J217" s="36" t="n">
        <v>8</v>
      </c>
      <c r="K217" s="37" t="n">
        <v>0.3636363636363636</v>
      </c>
      <c r="L217" s="36" t="n">
        <v>16</v>
      </c>
      <c r="M217" s="37" t="n">
        <v>0.2807017543859649</v>
      </c>
      <c r="N217" s="36" t="n">
        <v>7</v>
      </c>
      <c r="O217" s="37" t="n">
        <v>0.875</v>
      </c>
      <c r="P217" s="36" t="n">
        <v>7</v>
      </c>
      <c r="Q217" s="37" t="n">
        <v>0.875</v>
      </c>
      <c r="R217" s="36" t="n">
        <v>79</v>
      </c>
      <c r="S217" s="37" t="n">
        <v>1</v>
      </c>
      <c r="T217" s="36" t="n">
        <v>15</v>
      </c>
      <c r="U217" s="37" t="n">
        <v>0.189873417721519</v>
      </c>
      <c r="V217" s="38" t="n">
        <v>0</v>
      </c>
      <c r="W217" s="38" t="n">
        <v>6.555999999999996</v>
      </c>
      <c r="X217" s="38" t="n">
        <v>6.961</v>
      </c>
      <c r="Y217" s="38" t="n">
        <v>18.372</v>
      </c>
      <c r="Z217" s="38" t="n">
        <v>0</v>
      </c>
      <c r="AA217" s="36" t="n">
        <v>83</v>
      </c>
      <c r="AB217" s="37" t="n">
        <v>0.3878504672897196</v>
      </c>
      <c r="AC217" s="36" t="n">
        <v>40</v>
      </c>
      <c r="AD217" s="37" t="n">
        <v>0.2666666666666667</v>
      </c>
      <c r="AE217" s="36" t="n">
        <v>37</v>
      </c>
      <c r="AF217" s="37" t="n">
        <v>0.6607142857142857</v>
      </c>
      <c r="AG217" s="36" t="n">
        <v>34</v>
      </c>
      <c r="AH217" s="37" t="n">
        <v>0.85</v>
      </c>
    </row>
    <row r="218">
      <c r="A218" s="53" t="n">
        <v>45754</v>
      </c>
      <c r="B218" t="inlineStr">
        <is>
          <t>R02_Sumbagsel</t>
        </is>
      </c>
      <c r="C218" t="inlineStr">
        <is>
          <t>NOP JAMBI</t>
        </is>
      </c>
      <c r="D218" s="38" t="n">
        <v>2.468</v>
      </c>
      <c r="E218" s="38" t="n">
        <v>5.702</v>
      </c>
      <c r="F218" s="36" t="n">
        <v>3.268000000000001</v>
      </c>
      <c r="G218" s="36" t="n">
        <v>8.26</v>
      </c>
      <c r="H218" s="36" t="n">
        <v>75</v>
      </c>
      <c r="I218" s="37" t="n">
        <v>0.4966887417218543</v>
      </c>
      <c r="J218" s="36" t="n">
        <v>29</v>
      </c>
      <c r="K218" s="37" t="n">
        <v>0.6170212765957447</v>
      </c>
      <c r="L218" s="36" t="n">
        <v>46</v>
      </c>
      <c r="M218" s="37" t="n">
        <v>0.4423076923076923</v>
      </c>
      <c r="N218" s="36" t="n">
        <v>19</v>
      </c>
      <c r="O218" s="37" t="n">
        <v>0.6551724137931034</v>
      </c>
      <c r="P218" s="36" t="n">
        <v>19</v>
      </c>
      <c r="Q218" s="37" t="n">
        <v>0.6551724137931034</v>
      </c>
      <c r="R218" s="36" t="n">
        <v>151</v>
      </c>
      <c r="S218" s="37" t="n">
        <v>1</v>
      </c>
      <c r="T218" s="36" t="n">
        <v>40</v>
      </c>
      <c r="U218" s="37" t="n">
        <v>0.2649006622516556</v>
      </c>
      <c r="V218" s="38" t="n">
        <v>0</v>
      </c>
      <c r="W218" s="38" t="n">
        <v>6.076000000000004</v>
      </c>
      <c r="X218" s="38" t="n">
        <v>9.639000000000014</v>
      </c>
      <c r="Y218" s="38" t="n">
        <v>9.514000000000001</v>
      </c>
      <c r="Z218" s="38" t="n">
        <v>0</v>
      </c>
      <c r="AA218" s="36" t="n">
        <v>172</v>
      </c>
      <c r="AB218" s="37" t="n">
        <v>0.6539923954372624</v>
      </c>
      <c r="AC218" s="36" t="n">
        <v>87</v>
      </c>
      <c r="AD218" s="37" t="n">
        <v>0.6444444444444445</v>
      </c>
      <c r="AE218" s="36" t="n">
        <v>74</v>
      </c>
      <c r="AF218" s="37" t="n">
        <v>0.6666666666666666</v>
      </c>
      <c r="AG218" s="36" t="n">
        <v>57</v>
      </c>
      <c r="AH218" s="37" t="n">
        <v>0.6551724137931034</v>
      </c>
    </row>
    <row r="219">
      <c r="A219" s="53" t="n">
        <v>45754</v>
      </c>
      <c r="B219" t="inlineStr">
        <is>
          <t>R02_Sumbagsel</t>
        </is>
      </c>
      <c r="C219" t="inlineStr">
        <is>
          <t>NOP LAMPUNG</t>
        </is>
      </c>
      <c r="D219" s="38" t="n">
        <v>0.79</v>
      </c>
      <c r="E219" s="38" t="n">
        <v>1.608</v>
      </c>
      <c r="F219" s="36" t="n">
        <v>2.46</v>
      </c>
      <c r="G219" s="36" t="n">
        <v>4.163000000000003</v>
      </c>
      <c r="H219" s="36" t="n">
        <v>24</v>
      </c>
      <c r="I219" s="37" t="n">
        <v>0.6486486486486487</v>
      </c>
      <c r="J219" s="36" t="n">
        <v>14</v>
      </c>
      <c r="K219" s="37" t="n">
        <v>0.9333333333333333</v>
      </c>
      <c r="L219" s="36" t="n">
        <v>10</v>
      </c>
      <c r="M219" s="37" t="n">
        <v>0.4545454545454545</v>
      </c>
      <c r="N219" s="36" t="n">
        <v>12</v>
      </c>
      <c r="O219" s="37" t="n">
        <v>0.8571428571428571</v>
      </c>
      <c r="P219" s="36" t="n">
        <v>12</v>
      </c>
      <c r="Q219" s="37" t="n">
        <v>0.8571428571428571</v>
      </c>
      <c r="R219" s="36" t="n">
        <v>37</v>
      </c>
      <c r="S219" s="37" t="n">
        <v>1</v>
      </c>
      <c r="T219" s="36" t="n">
        <v>20</v>
      </c>
      <c r="U219" s="37" t="n">
        <v>0.5405405405405406</v>
      </c>
      <c r="V219" s="38" t="n">
        <v>0</v>
      </c>
      <c r="W219" s="38" t="n">
        <v>4.855999999999996</v>
      </c>
      <c r="X219" s="38" t="n">
        <v>5.764</v>
      </c>
      <c r="Y219" s="38" t="n">
        <v>22.158</v>
      </c>
      <c r="Z219" s="38" t="n">
        <v>0</v>
      </c>
      <c r="AA219" s="36" t="n">
        <v>132</v>
      </c>
      <c r="AB219" s="37" t="n">
        <v>0.9635036496350365</v>
      </c>
      <c r="AC219" s="36" t="n">
        <v>27</v>
      </c>
      <c r="AD219" s="37" t="n">
        <v>0.9310344827586207</v>
      </c>
      <c r="AE219" s="36" t="n">
        <v>101</v>
      </c>
      <c r="AF219" s="37" t="n">
        <v>0.9711538461538461</v>
      </c>
      <c r="AG219" s="36" t="n">
        <v>23</v>
      </c>
      <c r="AH219" s="37" t="n">
        <v>0.8518518518518519</v>
      </c>
    </row>
    <row r="220">
      <c r="A220" s="53" t="n">
        <v>45754</v>
      </c>
      <c r="B220" t="inlineStr">
        <is>
          <t>R02_Sumbagsel</t>
        </is>
      </c>
      <c r="C220" t="inlineStr">
        <is>
          <t>NOP MUARA ENIM</t>
        </is>
      </c>
      <c r="D220" s="38" t="n">
        <v>2.168</v>
      </c>
      <c r="E220" s="38" t="n">
        <v>9.276000000000002</v>
      </c>
      <c r="F220" s="36" t="n">
        <v>8.098000000000006</v>
      </c>
      <c r="G220" s="36" t="n">
        <v>3.19</v>
      </c>
      <c r="H220" s="36" t="n">
        <v>57</v>
      </c>
      <c r="I220" s="37" t="n">
        <v>0.3064516129032258</v>
      </c>
      <c r="J220" s="36" t="n">
        <v>5</v>
      </c>
      <c r="K220" s="37" t="n">
        <v>0.2</v>
      </c>
      <c r="L220" s="36" t="n">
        <v>52</v>
      </c>
      <c r="M220" s="37" t="n">
        <v>0.3229813664596273</v>
      </c>
      <c r="N220" s="36" t="n">
        <v>3</v>
      </c>
      <c r="O220" s="37" t="n">
        <v>0.6</v>
      </c>
      <c r="P220" s="36" t="n">
        <v>3</v>
      </c>
      <c r="Q220" s="37" t="n">
        <v>0.6</v>
      </c>
      <c r="R220" s="36" t="n">
        <v>183</v>
      </c>
      <c r="S220" s="37" t="n">
        <v>0.9838709677419355</v>
      </c>
      <c r="T220" s="36" t="n">
        <v>29</v>
      </c>
      <c r="U220" s="37" t="n">
        <v>0.1559139784946237</v>
      </c>
      <c r="V220" s="38" t="n">
        <v>0</v>
      </c>
      <c r="W220" s="38" t="n">
        <v>10.72400000000001</v>
      </c>
      <c r="X220" s="38" t="n">
        <v>6.189000000000002</v>
      </c>
      <c r="Y220" s="38" t="n">
        <v>15.608</v>
      </c>
      <c r="Z220" s="38" t="n">
        <v>0</v>
      </c>
      <c r="AA220" s="36" t="n">
        <v>123</v>
      </c>
      <c r="AB220" s="37" t="n">
        <v>0.6029411764705882</v>
      </c>
      <c r="AC220" s="36" t="n">
        <v>61</v>
      </c>
      <c r="AD220" s="37" t="n">
        <v>0.6161616161616161</v>
      </c>
      <c r="AE220" s="36" t="n">
        <v>55</v>
      </c>
      <c r="AF220" s="37" t="n">
        <v>0.6470588235294118</v>
      </c>
      <c r="AG220" s="36" t="n">
        <v>48</v>
      </c>
      <c r="AH220" s="37" t="n">
        <v>0.7868852459016393</v>
      </c>
    </row>
    <row r="221">
      <c r="A221" s="53" t="n">
        <v>45754</v>
      </c>
      <c r="B221" t="inlineStr">
        <is>
          <t>R02_Sumbagsel</t>
        </is>
      </c>
      <c r="C221" t="inlineStr">
        <is>
          <t>NOP PALEMBANG</t>
        </is>
      </c>
      <c r="D221" s="38" t="n">
        <v>0</v>
      </c>
      <c r="E221" s="38" t="n">
        <v>2.9</v>
      </c>
      <c r="F221" s="36" t="n">
        <v>10.89</v>
      </c>
      <c r="G221" s="36" t="n">
        <v>12.155</v>
      </c>
      <c r="H221" s="36" t="n">
        <v>93</v>
      </c>
      <c r="I221" s="37" t="n">
        <v>0.3991416309012876</v>
      </c>
      <c r="J221" s="36" t="n">
        <v>3</v>
      </c>
      <c r="K221" s="37" t="n">
        <v>0.5</v>
      </c>
      <c r="L221" s="36" t="n">
        <v>90</v>
      </c>
      <c r="M221" s="37" t="n">
        <v>0.3964757709251101</v>
      </c>
      <c r="N221" s="36" t="n">
        <v>1</v>
      </c>
      <c r="O221" s="37" t="n">
        <v>0.3333333333333333</v>
      </c>
      <c r="P221" s="36" t="n">
        <v>1</v>
      </c>
      <c r="Q221" s="37" t="n">
        <v>0.3333333333333333</v>
      </c>
      <c r="R221" s="36" t="n">
        <v>233</v>
      </c>
      <c r="S221" s="37" t="n">
        <v>1</v>
      </c>
      <c r="T221" s="36" t="n">
        <v>31</v>
      </c>
      <c r="U221" s="37" t="n">
        <v>0.1330472103004292</v>
      </c>
      <c r="V221" s="38" t="n">
        <v>0</v>
      </c>
      <c r="W221" s="38" t="n">
        <v>11.266</v>
      </c>
      <c r="X221" s="38" t="n">
        <v>12.17</v>
      </c>
      <c r="Y221" s="38" t="n">
        <v>4.700000000000003</v>
      </c>
      <c r="Z221" s="38" t="n">
        <v>0</v>
      </c>
      <c r="AA221" s="36" t="n">
        <v>107</v>
      </c>
      <c r="AB221" s="37" t="n">
        <v>0.3848920863309352</v>
      </c>
      <c r="AC221" s="36" t="n">
        <v>41</v>
      </c>
      <c r="AD221" s="37" t="n">
        <v>0.4183673469387755</v>
      </c>
      <c r="AE221" s="36" t="n">
        <v>66</v>
      </c>
      <c r="AF221" s="37" t="n">
        <v>0.5739130434782609</v>
      </c>
      <c r="AG221" s="36" t="n">
        <v>16</v>
      </c>
      <c r="AH221" s="37" t="n">
        <v>0.3902439024390244</v>
      </c>
    </row>
    <row r="222">
      <c r="A222" s="53" t="n">
        <v>45754</v>
      </c>
      <c r="B222" t="inlineStr">
        <is>
          <t>R02_Sumbagsel</t>
        </is>
      </c>
      <c r="C222" t="inlineStr">
        <is>
          <t>NOP PANGKAL PINANG</t>
        </is>
      </c>
      <c r="D222" s="38" t="n">
        <v>0</v>
      </c>
      <c r="E222" s="38" t="n">
        <v>0</v>
      </c>
      <c r="F222" s="36" t="n">
        <v>0</v>
      </c>
      <c r="G222" s="36" t="n">
        <v>3.384</v>
      </c>
      <c r="H222" s="36" t="n">
        <v>4</v>
      </c>
      <c r="I222" s="37" t="n">
        <v>0.5714285714285714</v>
      </c>
      <c r="J222" s="36" t="n">
        <v>0</v>
      </c>
      <c r="K222" s="37" t="n">
        <v>0</v>
      </c>
      <c r="L222" s="36" t="n">
        <v>4</v>
      </c>
      <c r="M222" s="37" t="n">
        <v>0.5714285714285714</v>
      </c>
      <c r="N222" s="36" t="n">
        <v>0</v>
      </c>
      <c r="O222" s="37" t="n">
        <v>0</v>
      </c>
      <c r="P222" s="36" t="n">
        <v>0</v>
      </c>
      <c r="Q222" s="37" t="n">
        <v>0</v>
      </c>
      <c r="R222" s="36" t="n">
        <v>7</v>
      </c>
      <c r="S222" s="37" t="n">
        <v>1</v>
      </c>
      <c r="T222" s="36" t="n">
        <v>3</v>
      </c>
      <c r="U222" s="37" t="n">
        <v>0.4285714285714285</v>
      </c>
      <c r="V222" s="38" t="n">
        <v>0</v>
      </c>
      <c r="W222" s="38" t="n">
        <v>3.516000000000004</v>
      </c>
      <c r="X222" s="38" t="n">
        <v>4.567999999999991</v>
      </c>
      <c r="Y222" s="38" t="n">
        <v>2.186</v>
      </c>
      <c r="Z222" s="38" t="n">
        <v>0</v>
      </c>
      <c r="AA222" s="36" t="n">
        <v>49</v>
      </c>
      <c r="AB222" s="37" t="n">
        <v>0.9245283018867925</v>
      </c>
      <c r="AC222" s="36" t="n">
        <v>24</v>
      </c>
      <c r="AD222" s="37" t="n">
        <v>0.96</v>
      </c>
      <c r="AE222" s="36" t="n">
        <v>25</v>
      </c>
      <c r="AF222" s="37" t="n">
        <v>0.9259259259259259</v>
      </c>
      <c r="AG222" s="36" t="n">
        <v>18</v>
      </c>
      <c r="AH222" s="37" t="n">
        <v>0.75</v>
      </c>
    </row>
    <row r="223">
      <c r="A223" s="53" t="n">
        <v>45754</v>
      </c>
      <c r="B223" t="inlineStr">
        <is>
          <t>R05_Jawa Tengah DIY</t>
        </is>
      </c>
      <c r="C223" t="inlineStr">
        <is>
          <t>NOP MAGELANG</t>
        </is>
      </c>
      <c r="D223" s="38" t="n">
        <v>1.652</v>
      </c>
      <c r="E223" s="38" t="n">
        <v>0</v>
      </c>
      <c r="F223" s="36" t="n">
        <v>3.414</v>
      </c>
      <c r="G223" s="36" t="n">
        <v>1.654</v>
      </c>
      <c r="H223" s="36" t="n">
        <v>14</v>
      </c>
      <c r="I223" s="37" t="n">
        <v>0.7777777777777778</v>
      </c>
      <c r="J223" s="36" t="n">
        <v>3</v>
      </c>
      <c r="K223" s="37" t="n">
        <v>1</v>
      </c>
      <c r="L223" s="36" t="n">
        <v>11</v>
      </c>
      <c r="M223" s="37" t="n">
        <v>0.7333333333333333</v>
      </c>
      <c r="N223" s="36" t="n">
        <v>2</v>
      </c>
      <c r="O223" s="37" t="n">
        <v>0.6666666666666666</v>
      </c>
      <c r="P223" s="36" t="n">
        <v>2</v>
      </c>
      <c r="Q223" s="37" t="n">
        <v>0.6666666666666666</v>
      </c>
      <c r="R223" s="36" t="n">
        <v>18</v>
      </c>
      <c r="S223" s="37" t="n">
        <v>1</v>
      </c>
      <c r="T223" s="36" t="n">
        <v>10</v>
      </c>
      <c r="U223" s="37" t="n">
        <v>0.5555555555555556</v>
      </c>
      <c r="V223" s="38" t="n">
        <v>0</v>
      </c>
      <c r="W223" s="38" t="n">
        <v>2.459</v>
      </c>
      <c r="X223" s="38" t="n">
        <v>3.79</v>
      </c>
      <c r="Y223" s="38" t="n">
        <v>1.439</v>
      </c>
      <c r="Z223" s="38" t="n">
        <v>0</v>
      </c>
      <c r="AA223" s="36" t="n">
        <v>21</v>
      </c>
      <c r="AB223" s="37" t="n">
        <v>0.875</v>
      </c>
      <c r="AC223" s="36" t="n">
        <v>7</v>
      </c>
      <c r="AD223" s="37" t="n">
        <v>0.7777777777777778</v>
      </c>
      <c r="AE223" s="36" t="n">
        <v>14</v>
      </c>
      <c r="AF223" s="37" t="n">
        <v>0.9333333333333333</v>
      </c>
      <c r="AG223" s="36" t="n">
        <v>3</v>
      </c>
      <c r="AH223" s="37" t="n">
        <v>0.4285714285714285</v>
      </c>
    </row>
    <row r="224">
      <c r="A224" s="53" t="n">
        <v>45754</v>
      </c>
      <c r="B224" t="inlineStr">
        <is>
          <t>R05_Jawa Tengah DIY</t>
        </is>
      </c>
      <c r="C224" t="inlineStr">
        <is>
          <t>NOP PEKALONGAN</t>
        </is>
      </c>
      <c r="D224" s="38" t="n">
        <v>0</v>
      </c>
      <c r="E224" s="38" t="n">
        <v>0</v>
      </c>
      <c r="F224" s="36" t="n">
        <v>1.86</v>
      </c>
      <c r="G224" s="36" t="n">
        <v>2.874000000000001</v>
      </c>
      <c r="H224" s="36" t="n">
        <v>11</v>
      </c>
      <c r="I224" s="37" t="n">
        <v>0.7857142857142857</v>
      </c>
      <c r="J224" s="36" t="n">
        <v>0</v>
      </c>
      <c r="K224" s="37" t="n">
        <v>0</v>
      </c>
      <c r="L224" s="36" t="n">
        <v>11</v>
      </c>
      <c r="M224" s="37" t="n">
        <v>0.7857142857142857</v>
      </c>
      <c r="N224" s="36" t="n">
        <v>0</v>
      </c>
      <c r="O224" s="37" t="n">
        <v>0</v>
      </c>
      <c r="P224" s="36" t="n">
        <v>0</v>
      </c>
      <c r="Q224" s="37" t="n">
        <v>0</v>
      </c>
      <c r="R224" s="36" t="n">
        <v>14</v>
      </c>
      <c r="S224" s="37" t="n">
        <v>1</v>
      </c>
      <c r="T224" s="36" t="n">
        <v>10</v>
      </c>
      <c r="U224" s="37" t="n">
        <v>0.7142857142857143</v>
      </c>
      <c r="V224" s="38" t="n">
        <v>0</v>
      </c>
      <c r="W224" s="38" t="n">
        <v>1.782</v>
      </c>
      <c r="X224" s="38" t="n">
        <v>3.586999999999999</v>
      </c>
      <c r="Y224" s="38" t="n">
        <v>50.3</v>
      </c>
      <c r="Z224" s="38" t="n">
        <v>0</v>
      </c>
      <c r="AA224" s="36" t="n">
        <v>22</v>
      </c>
      <c r="AB224" s="37" t="n">
        <v>0.7857142857142857</v>
      </c>
      <c r="AC224" s="36" t="n">
        <v>7</v>
      </c>
      <c r="AD224" s="37" t="n">
        <v>0.7777777777777778</v>
      </c>
      <c r="AE224" s="36" t="n">
        <v>15</v>
      </c>
      <c r="AF224" s="37" t="n">
        <v>0.7894736842105263</v>
      </c>
      <c r="AG224" s="36" t="n">
        <v>6</v>
      </c>
      <c r="AH224" s="37" t="n">
        <v>0.8571428571428571</v>
      </c>
    </row>
    <row r="225">
      <c r="A225" s="53" t="n">
        <v>45754</v>
      </c>
      <c r="B225" t="inlineStr">
        <is>
          <t>R05_Jawa Tengah DIY</t>
        </is>
      </c>
      <c r="C225" t="inlineStr">
        <is>
          <t>NOP PURWOKERTO</t>
        </is>
      </c>
      <c r="D225" s="38" t="n">
        <v>3.022</v>
      </c>
      <c r="E225" s="38" t="n">
        <v>0</v>
      </c>
      <c r="F225" s="36" t="n">
        <v>1.224</v>
      </c>
      <c r="G225" s="36" t="n">
        <v>1.492</v>
      </c>
      <c r="H225" s="36" t="n">
        <v>4</v>
      </c>
      <c r="I225" s="37" t="n">
        <v>0.5</v>
      </c>
      <c r="J225" s="36" t="n">
        <v>2</v>
      </c>
      <c r="K225" s="37" t="n">
        <v>1</v>
      </c>
      <c r="L225" s="36" t="n">
        <v>2</v>
      </c>
      <c r="M225" s="37" t="n">
        <v>0.3333333333333333</v>
      </c>
      <c r="N225" s="36" t="n">
        <v>2</v>
      </c>
      <c r="O225" s="37" t="n">
        <v>1</v>
      </c>
      <c r="P225" s="36" t="n">
        <v>2</v>
      </c>
      <c r="Q225" s="37" t="n">
        <v>1</v>
      </c>
      <c r="R225" s="36" t="n">
        <v>8</v>
      </c>
      <c r="S225" s="37" t="n">
        <v>1</v>
      </c>
      <c r="T225" s="36" t="n">
        <v>3</v>
      </c>
      <c r="U225" s="37" t="n">
        <v>0.375</v>
      </c>
      <c r="V225" s="38" t="n">
        <v>0</v>
      </c>
      <c r="W225" s="38" t="n">
        <v>1.77</v>
      </c>
      <c r="X225" s="38" t="n">
        <v>3.409</v>
      </c>
      <c r="Y225" s="38" t="n">
        <v>5.050000000000001</v>
      </c>
      <c r="Z225" s="38" t="n">
        <v>0</v>
      </c>
      <c r="AA225" s="36" t="n">
        <v>7</v>
      </c>
      <c r="AB225" s="37" t="n">
        <v>0.6363636363636364</v>
      </c>
      <c r="AC225" s="36" t="n">
        <v>3</v>
      </c>
      <c r="AD225" s="37" t="n">
        <v>1</v>
      </c>
      <c r="AE225" s="36" t="n">
        <v>4</v>
      </c>
      <c r="AF225" s="37" t="n">
        <v>0.5</v>
      </c>
      <c r="AG225" s="36" t="n">
        <v>3</v>
      </c>
      <c r="AH225" s="37" t="n">
        <v>1</v>
      </c>
    </row>
    <row r="226">
      <c r="A226" s="53" t="n">
        <v>45754</v>
      </c>
      <c r="B226" t="inlineStr">
        <is>
          <t>R05_Jawa Tengah DIY</t>
        </is>
      </c>
      <c r="C226" t="inlineStr">
        <is>
          <t>NOP SEMARANG</t>
        </is>
      </c>
      <c r="D226" s="38" t="n">
        <v>0.927</v>
      </c>
      <c r="E226" s="38" t="n">
        <v>0</v>
      </c>
      <c r="F226" s="36" t="n">
        <v>2.049999999999999</v>
      </c>
      <c r="G226" s="36" t="n">
        <v>2.274</v>
      </c>
      <c r="H226" s="36" t="n">
        <v>9</v>
      </c>
      <c r="I226" s="37" t="n">
        <v>0.6</v>
      </c>
      <c r="J226" s="36" t="n">
        <v>2</v>
      </c>
      <c r="K226" s="37" t="n">
        <v>1</v>
      </c>
      <c r="L226" s="36" t="n">
        <v>7</v>
      </c>
      <c r="M226" s="37" t="n">
        <v>0.5384615384615384</v>
      </c>
      <c r="N226" s="36" t="n">
        <v>2</v>
      </c>
      <c r="O226" s="37" t="n">
        <v>1</v>
      </c>
      <c r="P226" s="36" t="n">
        <v>2</v>
      </c>
      <c r="Q226" s="37" t="n">
        <v>1</v>
      </c>
      <c r="R226" s="36" t="n">
        <v>14</v>
      </c>
      <c r="S226" s="37" t="n">
        <v>0.9333333333333333</v>
      </c>
      <c r="T226" s="36" t="n">
        <v>7</v>
      </c>
      <c r="U226" s="37" t="n">
        <v>0.4666666666666667</v>
      </c>
      <c r="V226" s="38" t="n">
        <v>0</v>
      </c>
      <c r="W226" s="38" t="n">
        <v>8.148000000000001</v>
      </c>
      <c r="X226" s="38" t="n">
        <v>9.00200000000001</v>
      </c>
      <c r="Y226" s="38" t="n">
        <v>37.76799999999999</v>
      </c>
      <c r="Z226" s="38" t="n">
        <v>0</v>
      </c>
      <c r="AA226" s="36" t="n">
        <v>26</v>
      </c>
      <c r="AB226" s="37" t="n">
        <v>0.7428571428571429</v>
      </c>
      <c r="AC226" s="36" t="n">
        <v>1</v>
      </c>
      <c r="AD226" s="37" t="n">
        <v>0.2</v>
      </c>
      <c r="AE226" s="36" t="n">
        <v>25</v>
      </c>
      <c r="AF226" s="37" t="n">
        <v>0.8333333333333334</v>
      </c>
      <c r="AG226" s="36" t="n">
        <v>1</v>
      </c>
      <c r="AH226" s="37" t="n">
        <v>1</v>
      </c>
    </row>
    <row r="227">
      <c r="A227" s="53" t="n">
        <v>45754</v>
      </c>
      <c r="B227" t="inlineStr">
        <is>
          <t>R05_Jawa Tengah DIY</t>
        </is>
      </c>
      <c r="C227" t="inlineStr">
        <is>
          <t>NOP SURAKARTA</t>
        </is>
      </c>
      <c r="D227" s="38" t="n">
        <v>1.866</v>
      </c>
      <c r="E227" s="38" t="n">
        <v>0</v>
      </c>
      <c r="F227" s="36" t="n">
        <v>2.2</v>
      </c>
      <c r="G227" s="36" t="n">
        <v>1.028</v>
      </c>
      <c r="H227" s="36" t="n">
        <v>11</v>
      </c>
      <c r="I227" s="37" t="n">
        <v>0.6875</v>
      </c>
      <c r="J227" s="36" t="n">
        <v>2</v>
      </c>
      <c r="K227" s="37" t="n">
        <v>0.6666666666666666</v>
      </c>
      <c r="L227" s="36" t="n">
        <v>9</v>
      </c>
      <c r="M227" s="37" t="n">
        <v>0.6923076923076923</v>
      </c>
      <c r="N227" s="36" t="n">
        <v>2</v>
      </c>
      <c r="O227" s="37" t="n">
        <v>1</v>
      </c>
      <c r="P227" s="36" t="n">
        <v>2</v>
      </c>
      <c r="Q227" s="37" t="n">
        <v>1</v>
      </c>
      <c r="R227" s="36" t="n">
        <v>15</v>
      </c>
      <c r="S227" s="37" t="n">
        <v>0.9375</v>
      </c>
      <c r="T227" s="36" t="n">
        <v>8</v>
      </c>
      <c r="U227" s="37" t="n">
        <v>0.5</v>
      </c>
      <c r="V227" s="38" t="n">
        <v>0</v>
      </c>
      <c r="W227" s="38" t="n">
        <v>25.95200000000001</v>
      </c>
      <c r="X227" s="38" t="n">
        <v>16.20300000000002</v>
      </c>
      <c r="Y227" s="38" t="n">
        <v>45.48700000000001</v>
      </c>
      <c r="Z227" s="38" t="n">
        <v>0</v>
      </c>
      <c r="AA227" s="36" t="n">
        <v>16</v>
      </c>
      <c r="AB227" s="37" t="n">
        <v>0.7619047619047619</v>
      </c>
      <c r="AC227" s="36" t="n">
        <v>3</v>
      </c>
      <c r="AD227" s="37" t="n">
        <v>1</v>
      </c>
      <c r="AE227" s="36" t="n">
        <v>13</v>
      </c>
      <c r="AF227" s="37" t="n">
        <v>0.7222222222222222</v>
      </c>
      <c r="AG227" s="36" t="n">
        <v>2</v>
      </c>
      <c r="AH227" s="37" t="n">
        <v>0.6666666666666666</v>
      </c>
    </row>
    <row r="228">
      <c r="A228" s="53" t="n">
        <v>45754</v>
      </c>
      <c r="B228" t="inlineStr">
        <is>
          <t>R05_Jawa Tengah DIY</t>
        </is>
      </c>
      <c r="C228" t="inlineStr">
        <is>
          <t>NOP YOGYAKARTA</t>
        </is>
      </c>
      <c r="D228" s="38" t="n">
        <v>0.74</v>
      </c>
      <c r="E228" s="38" t="n">
        <v>0</v>
      </c>
      <c r="F228" s="36" t="n">
        <v>3.34</v>
      </c>
      <c r="G228" s="36" t="n">
        <v>2.848</v>
      </c>
      <c r="H228" s="36" t="n">
        <v>11</v>
      </c>
      <c r="I228" s="37" t="n">
        <v>1</v>
      </c>
      <c r="J228" s="36" t="n">
        <v>1</v>
      </c>
      <c r="K228" s="37" t="n">
        <v>1</v>
      </c>
      <c r="L228" s="36" t="n">
        <v>10</v>
      </c>
      <c r="M228" s="37" t="n">
        <v>1</v>
      </c>
      <c r="N228" s="36" t="n">
        <v>1</v>
      </c>
      <c r="O228" s="37" t="n">
        <v>1</v>
      </c>
      <c r="P228" s="36" t="n">
        <v>1</v>
      </c>
      <c r="Q228" s="37" t="n">
        <v>1</v>
      </c>
      <c r="R228" s="36" t="n">
        <v>11</v>
      </c>
      <c r="S228" s="37" t="n">
        <v>1</v>
      </c>
      <c r="T228" s="36" t="n">
        <v>7</v>
      </c>
      <c r="U228" s="37" t="n">
        <v>0.6363636363636364</v>
      </c>
      <c r="V228" s="38" t="n">
        <v>0</v>
      </c>
      <c r="W228" s="38" t="n">
        <v>1.32</v>
      </c>
      <c r="X228" s="38" t="n">
        <v>11.362</v>
      </c>
      <c r="Y228" s="38" t="n">
        <v>71.31999999999999</v>
      </c>
      <c r="Z228" s="38" t="n">
        <v>0</v>
      </c>
      <c r="AA228" s="36" t="n">
        <v>21</v>
      </c>
      <c r="AB228" s="37" t="n">
        <v>0.9545454545454546</v>
      </c>
      <c r="AC228" s="36" t="n">
        <v>3</v>
      </c>
      <c r="AD228" s="37" t="n">
        <v>1</v>
      </c>
      <c r="AE228" s="36" t="n">
        <v>18</v>
      </c>
      <c r="AF228" s="37" t="n">
        <v>0.9473684210526315</v>
      </c>
      <c r="AG228" s="36" t="n">
        <v>3</v>
      </c>
      <c r="AH228" s="37" t="n">
        <v>1</v>
      </c>
    </row>
    <row r="229">
      <c r="A229" s="53" t="n">
        <v>45754</v>
      </c>
      <c r="B229" t="inlineStr">
        <is>
          <t>R06_Jawa Timur</t>
        </is>
      </c>
      <c r="C229" t="inlineStr">
        <is>
          <t>NOP JEMBER</t>
        </is>
      </c>
      <c r="D229" s="38" t="n">
        <v>1.32</v>
      </c>
      <c r="E229" s="38" t="n">
        <v>3.51</v>
      </c>
      <c r="F229" s="36" t="n">
        <v>1.434</v>
      </c>
      <c r="G229" s="36" t="n">
        <v>3.17</v>
      </c>
      <c r="H229" s="36" t="n">
        <v>10</v>
      </c>
      <c r="I229" s="37" t="n">
        <v>0.7692307692307693</v>
      </c>
      <c r="J229" s="36" t="n">
        <v>2</v>
      </c>
      <c r="K229" s="37" t="n">
        <v>1</v>
      </c>
      <c r="L229" s="36" t="n">
        <v>8</v>
      </c>
      <c r="M229" s="37" t="n">
        <v>0.7272727272727273</v>
      </c>
      <c r="N229" s="36" t="n">
        <v>1</v>
      </c>
      <c r="O229" s="37" t="n">
        <v>0.5</v>
      </c>
      <c r="P229" s="36" t="n">
        <v>1</v>
      </c>
      <c r="Q229" s="37" t="n">
        <v>0.5</v>
      </c>
      <c r="R229" s="36" t="n">
        <v>13</v>
      </c>
      <c r="S229" s="37" t="n">
        <v>1</v>
      </c>
      <c r="T229" s="36" t="n">
        <v>8</v>
      </c>
      <c r="U229" s="37" t="n">
        <v>0.6153846153846154</v>
      </c>
      <c r="V229" s="38" t="n">
        <v>0</v>
      </c>
      <c r="W229" s="38" t="n">
        <v>16.71200000000001</v>
      </c>
      <c r="X229" s="38" t="n">
        <v>7.935</v>
      </c>
      <c r="Y229" s="38" t="n">
        <v>13.12</v>
      </c>
      <c r="Z229" s="38" t="n">
        <v>0</v>
      </c>
      <c r="AA229" s="36" t="n">
        <v>16</v>
      </c>
      <c r="AB229" s="37" t="n">
        <v>0.8421052631578947</v>
      </c>
      <c r="AC229" s="36" t="n">
        <v>8</v>
      </c>
      <c r="AD229" s="37" t="n">
        <v>0.8888888888888888</v>
      </c>
      <c r="AE229" s="36" t="n">
        <v>8</v>
      </c>
      <c r="AF229" s="37" t="n">
        <v>0.8</v>
      </c>
      <c r="AG229" s="36" t="n">
        <v>7</v>
      </c>
      <c r="AH229" s="37" t="n">
        <v>0.875</v>
      </c>
    </row>
    <row r="230">
      <c r="A230" s="53" t="n">
        <v>45754</v>
      </c>
      <c r="B230" t="inlineStr">
        <is>
          <t>R06_Jawa Timur</t>
        </is>
      </c>
      <c r="C230" t="inlineStr">
        <is>
          <t>NOP KEDIRI</t>
        </is>
      </c>
      <c r="D230" s="38" t="n">
        <v>0</v>
      </c>
      <c r="E230" s="38" t="n">
        <v>0</v>
      </c>
      <c r="F230" s="36" t="n">
        <v>0</v>
      </c>
      <c r="G230" s="36" t="n">
        <v>0.48</v>
      </c>
      <c r="H230" s="36" t="n">
        <v>0</v>
      </c>
      <c r="I230" s="37" t="n">
        <v>0</v>
      </c>
      <c r="J230" s="36" t="n">
        <v>0</v>
      </c>
      <c r="K230" s="37" t="n">
        <v>0</v>
      </c>
      <c r="L230" s="36" t="n">
        <v>0</v>
      </c>
      <c r="M230" s="37" t="n">
        <v>0</v>
      </c>
      <c r="N230" s="36" t="n">
        <v>0</v>
      </c>
      <c r="O230" s="37" t="n">
        <v>0</v>
      </c>
      <c r="P230" s="36" t="n">
        <v>0</v>
      </c>
      <c r="Q230" s="37" t="n">
        <v>0</v>
      </c>
      <c r="R230" s="36" t="n">
        <v>1</v>
      </c>
      <c r="S230" s="37" t="n">
        <v>1</v>
      </c>
      <c r="T230" s="36" t="n">
        <v>0</v>
      </c>
      <c r="U230" s="37" t="n">
        <v>0</v>
      </c>
      <c r="V230" s="38" t="n">
        <v>0</v>
      </c>
      <c r="W230" s="38" t="n">
        <v>1.68</v>
      </c>
      <c r="X230" s="38" t="n">
        <v>2.363</v>
      </c>
      <c r="Y230" s="38" t="n">
        <v>0</v>
      </c>
      <c r="Z230" s="38" t="n">
        <v>0</v>
      </c>
      <c r="AA230" s="36" t="n">
        <v>13</v>
      </c>
      <c r="AB230" s="37" t="n">
        <v>1</v>
      </c>
      <c r="AC230" s="36" t="n">
        <v>3</v>
      </c>
      <c r="AD230" s="37" t="n">
        <v>1</v>
      </c>
      <c r="AE230" s="36" t="n">
        <v>10</v>
      </c>
      <c r="AF230" s="37" t="n">
        <v>1</v>
      </c>
      <c r="AG230" s="36" t="n">
        <v>2</v>
      </c>
      <c r="AH230" s="37" t="n">
        <v>0.6666666666666666</v>
      </c>
    </row>
    <row r="231">
      <c r="A231" s="53" t="n">
        <v>45754</v>
      </c>
      <c r="B231" t="inlineStr">
        <is>
          <t>R06_Jawa Timur</t>
        </is>
      </c>
      <c r="C231" t="inlineStr">
        <is>
          <t>NOP LAMONGAN</t>
        </is>
      </c>
      <c r="D231" s="38" t="n">
        <v>2.7</v>
      </c>
      <c r="E231" s="38" t="n">
        <v>0</v>
      </c>
      <c r="F231" s="36" t="n">
        <v>0.368</v>
      </c>
      <c r="G231" s="36" t="n">
        <v>0.24</v>
      </c>
      <c r="H231" s="36" t="n">
        <v>3</v>
      </c>
      <c r="I231" s="37" t="n">
        <v>0.6</v>
      </c>
      <c r="J231" s="36" t="n">
        <v>2</v>
      </c>
      <c r="K231" s="37" t="n">
        <v>1</v>
      </c>
      <c r="L231" s="36" t="n">
        <v>1</v>
      </c>
      <c r="M231" s="37" t="n">
        <v>0.3333333333333333</v>
      </c>
      <c r="N231" s="36" t="n">
        <v>2</v>
      </c>
      <c r="O231" s="37" t="n">
        <v>1</v>
      </c>
      <c r="P231" s="36" t="n">
        <v>2</v>
      </c>
      <c r="Q231" s="37" t="n">
        <v>1</v>
      </c>
      <c r="R231" s="36" t="n">
        <v>5</v>
      </c>
      <c r="S231" s="37" t="n">
        <v>1</v>
      </c>
      <c r="T231" s="36" t="n">
        <v>2</v>
      </c>
      <c r="U231" s="37" t="n">
        <v>0.4</v>
      </c>
      <c r="V231" s="38" t="n">
        <v>0</v>
      </c>
      <c r="W231" s="38" t="n">
        <v>2.081</v>
      </c>
      <c r="X231" s="38" t="n">
        <v>12.269</v>
      </c>
      <c r="Y231" s="38" t="n">
        <v>6.3</v>
      </c>
      <c r="Z231" s="38" t="n">
        <v>0</v>
      </c>
      <c r="AA231" s="36" t="n">
        <v>3</v>
      </c>
      <c r="AB231" s="37" t="n">
        <v>0.6</v>
      </c>
      <c r="AC231" s="36" t="n">
        <v>0</v>
      </c>
      <c r="AD231" s="37" t="n">
        <v>0</v>
      </c>
      <c r="AE231" s="36" t="n">
        <v>3</v>
      </c>
      <c r="AF231" s="37" t="n">
        <v>1</v>
      </c>
      <c r="AG231" s="36" t="n">
        <v>0</v>
      </c>
      <c r="AH231" s="37" t="n">
        <v>0</v>
      </c>
    </row>
    <row r="232">
      <c r="A232" s="53" t="n">
        <v>45754</v>
      </c>
      <c r="B232" t="inlineStr">
        <is>
          <t>R06_Jawa Timur</t>
        </is>
      </c>
      <c r="C232" t="inlineStr">
        <is>
          <t>NOP MADIUN</t>
        </is>
      </c>
      <c r="D232" s="38" t="n">
        <v>0</v>
      </c>
      <c r="E232" s="38" t="n">
        <v>0</v>
      </c>
      <c r="F232" s="36" t="n">
        <v>1.68</v>
      </c>
      <c r="G232" s="36" t="n">
        <v>1.58</v>
      </c>
      <c r="H232" s="36" t="n">
        <v>3</v>
      </c>
      <c r="I232" s="37" t="n">
        <v>0.75</v>
      </c>
      <c r="J232" s="36" t="n">
        <v>0</v>
      </c>
      <c r="K232" s="37" t="n">
        <v>0</v>
      </c>
      <c r="L232" s="36" t="n">
        <v>3</v>
      </c>
      <c r="M232" s="37" t="n">
        <v>0.75</v>
      </c>
      <c r="N232" s="36" t="n">
        <v>0</v>
      </c>
      <c r="O232" s="37" t="n">
        <v>0</v>
      </c>
      <c r="P232" s="36" t="n">
        <v>0</v>
      </c>
      <c r="Q232" s="37" t="n">
        <v>0</v>
      </c>
      <c r="R232" s="36" t="n">
        <v>4</v>
      </c>
      <c r="S232" s="37" t="n">
        <v>1</v>
      </c>
      <c r="T232" s="36" t="n">
        <v>2</v>
      </c>
      <c r="U232" s="37" t="n">
        <v>0.5</v>
      </c>
      <c r="V232" s="38" t="n">
        <v>0</v>
      </c>
      <c r="W232" s="38" t="n">
        <v>4.76</v>
      </c>
      <c r="X232" s="38" t="n">
        <v>4.284000000000001</v>
      </c>
      <c r="Y232" s="38" t="n">
        <v>8.369999999999999</v>
      </c>
      <c r="Z232" s="38" t="n">
        <v>0</v>
      </c>
      <c r="AA232" s="36" t="n">
        <v>6</v>
      </c>
      <c r="AB232" s="37" t="n">
        <v>0.6</v>
      </c>
      <c r="AC232" s="36" t="n">
        <v>3</v>
      </c>
      <c r="AD232" s="37" t="n">
        <v>0.5</v>
      </c>
      <c r="AE232" s="36" t="n">
        <v>3</v>
      </c>
      <c r="AF232" s="37" t="n">
        <v>0.75</v>
      </c>
      <c r="AG232" s="36" t="n">
        <v>0</v>
      </c>
      <c r="AH232" s="37" t="n">
        <v>0</v>
      </c>
    </row>
    <row r="233">
      <c r="A233" s="53" t="n">
        <v>45754</v>
      </c>
      <c r="B233" t="inlineStr">
        <is>
          <t>R06_Jawa Timur</t>
        </is>
      </c>
      <c r="C233" t="inlineStr">
        <is>
          <t>NOP MALANG</t>
        </is>
      </c>
      <c r="D233" s="38" t="n">
        <v>0</v>
      </c>
      <c r="E233" s="38" t="n">
        <v>0</v>
      </c>
      <c r="F233" s="36" t="n">
        <v>0.58</v>
      </c>
      <c r="G233" s="36" t="n">
        <v>0</v>
      </c>
      <c r="H233" s="36" t="n">
        <v>1</v>
      </c>
      <c r="I233" s="37" t="n">
        <v>1</v>
      </c>
      <c r="J233" s="36" t="n">
        <v>0</v>
      </c>
      <c r="K233" s="37" t="n">
        <v>0</v>
      </c>
      <c r="L233" s="36" t="n">
        <v>1</v>
      </c>
      <c r="M233" s="37" t="n">
        <v>1</v>
      </c>
      <c r="N233" s="36" t="n">
        <v>0</v>
      </c>
      <c r="O233" s="37" t="n">
        <v>0</v>
      </c>
      <c r="P233" s="36" t="n">
        <v>0</v>
      </c>
      <c r="Q233" s="37" t="n">
        <v>0</v>
      </c>
      <c r="R233" s="36" t="n">
        <v>1</v>
      </c>
      <c r="S233" s="37" t="n">
        <v>1</v>
      </c>
      <c r="T233" s="36" t="n">
        <v>1</v>
      </c>
      <c r="U233" s="37" t="n">
        <v>1</v>
      </c>
      <c r="V233" s="38" t="n">
        <v>0</v>
      </c>
      <c r="W233" s="38" t="n">
        <v>13.082</v>
      </c>
      <c r="X233" s="38" t="n">
        <v>2.918</v>
      </c>
      <c r="Y233" s="38" t="n">
        <v>0</v>
      </c>
      <c r="Z233" s="38" t="n">
        <v>0</v>
      </c>
      <c r="AA233" s="36" t="n">
        <v>4</v>
      </c>
      <c r="AB233" s="37" t="n">
        <v>0.8</v>
      </c>
      <c r="AC233" s="36" t="n">
        <v>2</v>
      </c>
      <c r="AD233" s="37" t="n">
        <v>0.6666666666666666</v>
      </c>
      <c r="AE233" s="36" t="n">
        <v>2</v>
      </c>
      <c r="AF233" s="37" t="n">
        <v>1</v>
      </c>
      <c r="AG233" s="36" t="n">
        <v>2</v>
      </c>
      <c r="AH233" s="37" t="n">
        <v>1</v>
      </c>
    </row>
    <row r="234">
      <c r="A234" s="53" t="n">
        <v>45754</v>
      </c>
      <c r="B234" t="inlineStr">
        <is>
          <t>R06_Jawa Timur</t>
        </is>
      </c>
      <c r="C234" t="inlineStr">
        <is>
          <t>NOP SIDOARJO</t>
        </is>
      </c>
      <c r="D234" s="38" t="n">
        <v>0</v>
      </c>
      <c r="E234" s="38" t="n">
        <v>0</v>
      </c>
      <c r="F234" s="36" t="n">
        <v>2.296</v>
      </c>
      <c r="G234" s="36" t="n">
        <v>2.991</v>
      </c>
      <c r="H234" s="36" t="n">
        <v>3</v>
      </c>
      <c r="I234" s="37" t="n">
        <v>0.5</v>
      </c>
      <c r="J234" s="36" t="n">
        <v>0</v>
      </c>
      <c r="K234" s="37" t="n">
        <v>0</v>
      </c>
      <c r="L234" s="36" t="n">
        <v>3</v>
      </c>
      <c r="M234" s="37" t="n">
        <v>0.5</v>
      </c>
      <c r="N234" s="36" t="n">
        <v>0</v>
      </c>
      <c r="O234" s="37" t="n">
        <v>0</v>
      </c>
      <c r="P234" s="36" t="n">
        <v>0</v>
      </c>
      <c r="Q234" s="37" t="n">
        <v>0</v>
      </c>
      <c r="R234" s="36" t="n">
        <v>6</v>
      </c>
      <c r="S234" s="37" t="n">
        <v>1</v>
      </c>
      <c r="T234" s="36" t="n">
        <v>2</v>
      </c>
      <c r="U234" s="37" t="n">
        <v>0.3333333333333333</v>
      </c>
      <c r="V234" s="38" t="n">
        <v>0</v>
      </c>
      <c r="W234" s="38" t="n">
        <v>0.76</v>
      </c>
      <c r="X234" s="38" t="n">
        <v>13.312</v>
      </c>
      <c r="Y234" s="38" t="n">
        <v>31.688</v>
      </c>
      <c r="Z234" s="38" t="n">
        <v>0</v>
      </c>
      <c r="AA234" s="36" t="n">
        <v>12</v>
      </c>
      <c r="AB234" s="37" t="n">
        <v>0.8571428571428571</v>
      </c>
      <c r="AC234" s="36" t="n">
        <v>0</v>
      </c>
      <c r="AD234" s="37" t="n">
        <v>0</v>
      </c>
      <c r="AE234" s="36" t="n">
        <v>12</v>
      </c>
      <c r="AF234" s="37" t="n">
        <v>1</v>
      </c>
      <c r="AG234" s="36" t="n">
        <v>0</v>
      </c>
      <c r="AH234" s="37" t="n">
        <v>0</v>
      </c>
    </row>
    <row r="235">
      <c r="A235" s="53" t="n">
        <v>45754</v>
      </c>
      <c r="B235" t="inlineStr">
        <is>
          <t>R06_Jawa Timur</t>
        </is>
      </c>
      <c r="C235" t="inlineStr">
        <is>
          <t>NOP SURABAYA</t>
        </is>
      </c>
      <c r="D235" s="38" t="n">
        <v>0</v>
      </c>
      <c r="E235" s="38" t="n">
        <v>0</v>
      </c>
      <c r="F235" s="36" t="n">
        <v>0.867</v>
      </c>
      <c r="G235" s="36" t="n">
        <v>3.032999999999999</v>
      </c>
      <c r="H235" s="36" t="n">
        <v>7</v>
      </c>
      <c r="I235" s="37" t="n">
        <v>0.5833333333333334</v>
      </c>
      <c r="J235" s="36" t="n">
        <v>0</v>
      </c>
      <c r="K235" s="37" t="n">
        <v>0</v>
      </c>
      <c r="L235" s="36" t="n">
        <v>7</v>
      </c>
      <c r="M235" s="37" t="n">
        <v>0.5833333333333334</v>
      </c>
      <c r="N235" s="36" t="n">
        <v>0</v>
      </c>
      <c r="O235" s="37" t="n">
        <v>0</v>
      </c>
      <c r="P235" s="36" t="n">
        <v>0</v>
      </c>
      <c r="Q235" s="37" t="n">
        <v>0</v>
      </c>
      <c r="R235" s="36" t="n">
        <v>12</v>
      </c>
      <c r="S235" s="37" t="n">
        <v>1</v>
      </c>
      <c r="T235" s="36" t="n">
        <v>3</v>
      </c>
      <c r="U235" s="37" t="n">
        <v>0.25</v>
      </c>
      <c r="V235" s="38" t="n">
        <v>0</v>
      </c>
      <c r="W235" s="38" t="n">
        <v>2.804</v>
      </c>
      <c r="X235" s="38" t="n">
        <v>8.372</v>
      </c>
      <c r="Y235" s="38" t="n">
        <v>22.111</v>
      </c>
      <c r="Z235" s="38" t="n">
        <v>0</v>
      </c>
      <c r="AA235" s="36" t="n">
        <v>28</v>
      </c>
      <c r="AB235" s="37" t="n">
        <v>0.7</v>
      </c>
      <c r="AC235" s="36" t="n">
        <v>0</v>
      </c>
      <c r="AD235" s="37" t="n">
        <v>0</v>
      </c>
      <c r="AE235" s="36" t="n">
        <v>28</v>
      </c>
      <c r="AF235" s="37" t="n">
        <v>0.7368421052631579</v>
      </c>
      <c r="AG235" s="36" t="n">
        <v>0</v>
      </c>
      <c r="AH235" s="37" t="n">
        <v>0</v>
      </c>
    </row>
    <row r="236">
      <c r="A236" s="53" t="n">
        <v>45754</v>
      </c>
      <c r="B236" t="inlineStr">
        <is>
          <t>R07_Bali Nusra</t>
        </is>
      </c>
      <c r="C236" t="inlineStr">
        <is>
          <t>NOP DENPASAR</t>
        </is>
      </c>
      <c r="D236" s="38" t="n">
        <v>0.369</v>
      </c>
      <c r="E236" s="38" t="n">
        <v>0</v>
      </c>
      <c r="F236" s="36" t="n">
        <v>4.85</v>
      </c>
      <c r="G236" s="36" t="n">
        <v>1.507</v>
      </c>
      <c r="H236" s="36" t="n">
        <v>5</v>
      </c>
      <c r="I236" s="37" t="n">
        <v>0.3846153846153846</v>
      </c>
      <c r="J236" s="36" t="n">
        <v>0</v>
      </c>
      <c r="K236" s="37" t="n">
        <v>0</v>
      </c>
      <c r="L236" s="36" t="n">
        <v>5</v>
      </c>
      <c r="M236" s="37" t="n">
        <v>0.4545454545454545</v>
      </c>
      <c r="N236" s="36" t="n">
        <v>0</v>
      </c>
      <c r="O236" s="37" t="n">
        <v>0</v>
      </c>
      <c r="P236" s="36" t="n">
        <v>0</v>
      </c>
      <c r="Q236" s="37" t="n">
        <v>0</v>
      </c>
      <c r="R236" s="36" t="n">
        <v>12</v>
      </c>
      <c r="S236" s="37" t="n">
        <v>0.9230769230769231</v>
      </c>
      <c r="T236" s="36" t="n">
        <v>10</v>
      </c>
      <c r="U236" s="37" t="n">
        <v>0.7692307692307693</v>
      </c>
      <c r="V236" s="38" t="n">
        <v>0</v>
      </c>
      <c r="W236" s="38" t="n">
        <v>1.24</v>
      </c>
      <c r="X236" s="38" t="n">
        <v>17.084</v>
      </c>
      <c r="Y236" s="38" t="n">
        <v>58</v>
      </c>
      <c r="Z236" s="38" t="n">
        <v>0</v>
      </c>
      <c r="AA236" s="36" t="n">
        <v>13</v>
      </c>
      <c r="AB236" s="37" t="n">
        <v>0.8666666666666667</v>
      </c>
      <c r="AC236" s="36" t="n">
        <v>1</v>
      </c>
      <c r="AD236" s="37" t="n">
        <v>1</v>
      </c>
      <c r="AE236" s="36" t="n">
        <v>12</v>
      </c>
      <c r="AF236" s="37" t="n">
        <v>0.8571428571428571</v>
      </c>
      <c r="AG236" s="36" t="n">
        <v>0</v>
      </c>
      <c r="AH236" s="37" t="n">
        <v>0</v>
      </c>
    </row>
    <row r="237">
      <c r="A237" s="53" t="n">
        <v>45754</v>
      </c>
      <c r="B237" t="inlineStr">
        <is>
          <t>R07_Bali Nusra</t>
        </is>
      </c>
      <c r="C237" t="inlineStr">
        <is>
          <t>NOP FLORES</t>
        </is>
      </c>
      <c r="D237" s="38" t="n">
        <v>0.83</v>
      </c>
      <c r="E237" s="38" t="n">
        <v>1.73</v>
      </c>
      <c r="F237" s="36" t="n">
        <v>2.6</v>
      </c>
      <c r="G237" s="36" t="n">
        <v>5.861000000000005</v>
      </c>
      <c r="H237" s="36" t="n">
        <v>26</v>
      </c>
      <c r="I237" s="37" t="n">
        <v>0.3768115942028986</v>
      </c>
      <c r="J237" s="36" t="n">
        <v>5</v>
      </c>
      <c r="K237" s="37" t="n">
        <v>0.625</v>
      </c>
      <c r="L237" s="36" t="n">
        <v>21</v>
      </c>
      <c r="M237" s="37" t="n">
        <v>0.3442622950819672</v>
      </c>
      <c r="N237" s="36" t="n">
        <v>2</v>
      </c>
      <c r="O237" s="37" t="n">
        <v>0.4</v>
      </c>
      <c r="P237" s="36" t="n">
        <v>2</v>
      </c>
      <c r="Q237" s="37" t="n">
        <v>0.4</v>
      </c>
      <c r="R237" s="36" t="n">
        <v>69</v>
      </c>
      <c r="S237" s="37" t="n">
        <v>1</v>
      </c>
      <c r="T237" s="36" t="n">
        <v>8</v>
      </c>
      <c r="U237" s="37" t="n">
        <v>0.1159420289855072</v>
      </c>
      <c r="V237" s="38" t="n">
        <v>0</v>
      </c>
      <c r="W237" s="38" t="n">
        <v>7.06</v>
      </c>
      <c r="X237" s="38" t="n">
        <v>3.225000000000001</v>
      </c>
      <c r="Y237" s="38" t="n">
        <v>23</v>
      </c>
      <c r="Z237" s="38" t="n">
        <v>0</v>
      </c>
      <c r="AA237" s="36" t="n">
        <v>75</v>
      </c>
      <c r="AB237" s="37" t="n">
        <v>0.4166666666666667</v>
      </c>
      <c r="AC237" s="36" t="n">
        <v>62</v>
      </c>
      <c r="AD237" s="37" t="n">
        <v>0.4246575342465753</v>
      </c>
      <c r="AE237" s="36" t="n">
        <v>13</v>
      </c>
      <c r="AF237" s="37" t="n">
        <v>0.3823529411764706</v>
      </c>
      <c r="AG237" s="36" t="n">
        <v>33</v>
      </c>
      <c r="AH237" s="37" t="n">
        <v>0.532258064516129</v>
      </c>
    </row>
    <row r="238">
      <c r="A238" s="53" t="n">
        <v>45754</v>
      </c>
      <c r="B238" t="inlineStr">
        <is>
          <t>R07_Bali Nusra</t>
        </is>
      </c>
      <c r="C238" t="inlineStr">
        <is>
          <t>NOP KUPANG</t>
        </is>
      </c>
      <c r="D238" s="38" t="n">
        <v>0</v>
      </c>
      <c r="E238" s="38" t="n">
        <v>2.157</v>
      </c>
      <c r="F238" s="36" t="n">
        <v>4.06</v>
      </c>
      <c r="G238" s="36" t="n">
        <v>9.655999999999999</v>
      </c>
      <c r="H238" s="36" t="n">
        <v>19</v>
      </c>
      <c r="I238" s="37" t="n">
        <v>0.8636363636363636</v>
      </c>
      <c r="J238" s="36" t="n">
        <v>2</v>
      </c>
      <c r="K238" s="37" t="n">
        <v>0.5</v>
      </c>
      <c r="L238" s="36" t="n">
        <v>17</v>
      </c>
      <c r="M238" s="37" t="n">
        <v>0.9444444444444444</v>
      </c>
      <c r="N238" s="36" t="n">
        <v>1</v>
      </c>
      <c r="O238" s="37" t="n">
        <v>0.5</v>
      </c>
      <c r="P238" s="36" t="n">
        <v>1</v>
      </c>
      <c r="Q238" s="37" t="n">
        <v>0.5</v>
      </c>
      <c r="R238" s="36" t="n">
        <v>22</v>
      </c>
      <c r="S238" s="37" t="n">
        <v>1</v>
      </c>
      <c r="T238" s="36" t="n">
        <v>4</v>
      </c>
      <c r="U238" s="37" t="n">
        <v>0.1818181818181818</v>
      </c>
      <c r="V238" s="38" t="n">
        <v>0</v>
      </c>
      <c r="W238" s="38" t="n">
        <v>15.64099999999999</v>
      </c>
      <c r="X238" s="38" t="n">
        <v>45.33599999999998</v>
      </c>
      <c r="Y238" s="38" t="n">
        <v>348.275</v>
      </c>
      <c r="Z238" s="38" t="n">
        <v>0</v>
      </c>
      <c r="AA238" s="36" t="n">
        <v>40</v>
      </c>
      <c r="AB238" s="37" t="n">
        <v>0.7272727272727273</v>
      </c>
      <c r="AC238" s="36" t="n">
        <v>26</v>
      </c>
      <c r="AD238" s="37" t="n">
        <v>0.7647058823529411</v>
      </c>
      <c r="AE238" s="36" t="n">
        <v>14</v>
      </c>
      <c r="AF238" s="37" t="n">
        <v>0.6666666666666666</v>
      </c>
      <c r="AG238" s="36" t="n">
        <v>14</v>
      </c>
      <c r="AH238" s="37" t="n">
        <v>0.5384615384615384</v>
      </c>
    </row>
    <row r="239">
      <c r="A239" s="53" t="n">
        <v>45754</v>
      </c>
      <c r="B239" t="inlineStr">
        <is>
          <t>R07_Bali Nusra</t>
        </is>
      </c>
      <c r="C239" t="inlineStr">
        <is>
          <t>NOP MATARAM</t>
        </is>
      </c>
      <c r="D239" s="38" t="n">
        <v>0</v>
      </c>
      <c r="E239" s="38" t="n">
        <v>0</v>
      </c>
      <c r="F239" s="36" t="n">
        <v>3.85</v>
      </c>
      <c r="G239" s="36" t="n">
        <v>5.650999999999999</v>
      </c>
      <c r="H239" s="36" t="n">
        <v>3</v>
      </c>
      <c r="I239" s="37" t="n">
        <v>0.3333333333333333</v>
      </c>
      <c r="J239" s="36" t="n">
        <v>0</v>
      </c>
      <c r="K239" s="37" t="n">
        <v>0</v>
      </c>
      <c r="L239" s="36" t="n">
        <v>3</v>
      </c>
      <c r="M239" s="37" t="n">
        <v>0.3333333333333333</v>
      </c>
      <c r="N239" s="36" t="n">
        <v>0</v>
      </c>
      <c r="O239" s="37" t="n">
        <v>0</v>
      </c>
      <c r="P239" s="36" t="n">
        <v>0</v>
      </c>
      <c r="Q239" s="37" t="n">
        <v>0</v>
      </c>
      <c r="R239" s="36" t="n">
        <v>9</v>
      </c>
      <c r="S239" s="37" t="n">
        <v>1</v>
      </c>
      <c r="T239" s="36" t="n">
        <v>3</v>
      </c>
      <c r="U239" s="37" t="n">
        <v>0.3333333333333333</v>
      </c>
      <c r="V239" s="38" t="n">
        <v>0</v>
      </c>
      <c r="W239" s="38" t="n">
        <v>64.72000000000004</v>
      </c>
      <c r="X239" s="38" t="n">
        <v>3.449</v>
      </c>
      <c r="Y239" s="38" t="n">
        <v>18.172</v>
      </c>
      <c r="Z239" s="38" t="n">
        <v>0</v>
      </c>
      <c r="AA239" s="36" t="n">
        <v>7</v>
      </c>
      <c r="AB239" s="37" t="n">
        <v>0.21875</v>
      </c>
      <c r="AC239" s="36" t="n">
        <v>5</v>
      </c>
      <c r="AD239" s="37" t="n">
        <v>0.3846153846153846</v>
      </c>
      <c r="AE239" s="36" t="n">
        <v>2</v>
      </c>
      <c r="AF239" s="37" t="n">
        <v>0.1052631578947368</v>
      </c>
      <c r="AG239" s="36" t="n">
        <v>3</v>
      </c>
      <c r="AH239" s="37" t="n">
        <v>0.6</v>
      </c>
    </row>
    <row r="240">
      <c r="A240" s="53" t="n">
        <v>45755</v>
      </c>
      <c r="B240" t="inlineStr">
        <is>
          <t>R01_Sumbagut</t>
        </is>
      </c>
      <c r="C240" t="inlineStr">
        <is>
          <t>NOP ACEH</t>
        </is>
      </c>
      <c r="D240" s="38" t="n">
        <v>0</v>
      </c>
      <c r="E240" s="38" t="n">
        <v>24.46200000000001</v>
      </c>
      <c r="F240" s="36" t="n">
        <v>13.66</v>
      </c>
      <c r="G240" s="36" t="n">
        <v>6.85</v>
      </c>
      <c r="H240" s="36" t="n">
        <v>58</v>
      </c>
      <c r="I240" s="37" t="n">
        <v>0.8285714285714286</v>
      </c>
      <c r="J240" s="36" t="n">
        <v>7</v>
      </c>
      <c r="K240" s="37" t="n">
        <v>1</v>
      </c>
      <c r="L240" s="36" t="n">
        <v>51</v>
      </c>
      <c r="M240" s="37" t="n">
        <v>0.8095238095238095</v>
      </c>
      <c r="N240" s="36" t="n">
        <v>4</v>
      </c>
      <c r="O240" s="37" t="n">
        <v>0.5714285714285714</v>
      </c>
      <c r="P240" s="36" t="n">
        <v>4</v>
      </c>
      <c r="Q240" s="37" t="n">
        <v>0.5714285714285714</v>
      </c>
      <c r="R240" s="36" t="n">
        <v>70</v>
      </c>
      <c r="S240" s="37" t="n">
        <v>1</v>
      </c>
      <c r="T240" s="36" t="n">
        <v>26</v>
      </c>
      <c r="U240" s="37" t="n">
        <v>0.3714285714285714</v>
      </c>
      <c r="V240" s="38" t="n">
        <v>0</v>
      </c>
      <c r="W240" s="38" t="n">
        <v>3.792000000000002</v>
      </c>
      <c r="X240" s="38" t="n">
        <v>44.076</v>
      </c>
      <c r="Y240" s="38" t="n">
        <v>129.92</v>
      </c>
      <c r="Z240" s="38" t="n">
        <v>0</v>
      </c>
      <c r="AA240" s="36" t="n">
        <v>291</v>
      </c>
      <c r="AB240" s="37" t="n">
        <v>0.8584070796460177</v>
      </c>
      <c r="AC240" s="36" t="n">
        <v>23</v>
      </c>
      <c r="AD240" s="37" t="n">
        <v>0.5111111111111111</v>
      </c>
      <c r="AE240" s="36" t="n">
        <v>268</v>
      </c>
      <c r="AF240" s="37" t="n">
        <v>0.9115646258503401</v>
      </c>
      <c r="AG240" s="36" t="n">
        <v>7</v>
      </c>
      <c r="AH240" s="37" t="n">
        <v>0.3043478260869565</v>
      </c>
    </row>
    <row r="241">
      <c r="A241" s="53" t="n">
        <v>45755</v>
      </c>
      <c r="B241" t="inlineStr">
        <is>
          <t>R01_Sumbagut</t>
        </is>
      </c>
      <c r="C241" t="inlineStr">
        <is>
          <t>NOP BINJAI</t>
        </is>
      </c>
      <c r="D241" s="38" t="n">
        <v>0</v>
      </c>
      <c r="E241" s="38" t="n">
        <v>1.118</v>
      </c>
      <c r="F241" s="36" t="n">
        <v>1.79</v>
      </c>
      <c r="G241" s="36" t="n">
        <v>3.256</v>
      </c>
      <c r="H241" s="36" t="n">
        <v>36</v>
      </c>
      <c r="I241" s="37" t="n">
        <v>0.6101694915254238</v>
      </c>
      <c r="J241" s="36" t="n">
        <v>9</v>
      </c>
      <c r="K241" s="37" t="n">
        <v>0.6923076923076923</v>
      </c>
      <c r="L241" s="36" t="n">
        <v>27</v>
      </c>
      <c r="M241" s="37" t="n">
        <v>0.5869565217391305</v>
      </c>
      <c r="N241" s="36" t="n">
        <v>3</v>
      </c>
      <c r="O241" s="37" t="n">
        <v>0.3333333333333333</v>
      </c>
      <c r="P241" s="36" t="n">
        <v>3</v>
      </c>
      <c r="Q241" s="37" t="n">
        <v>0.3333333333333333</v>
      </c>
      <c r="R241" s="36" t="n">
        <v>59</v>
      </c>
      <c r="S241" s="37" t="n">
        <v>1</v>
      </c>
      <c r="T241" s="36" t="n">
        <v>11</v>
      </c>
      <c r="U241" s="37" t="n">
        <v>0.1864406779661017</v>
      </c>
      <c r="V241" s="38" t="n">
        <v>0</v>
      </c>
      <c r="W241" s="38" t="n">
        <v>1.726</v>
      </c>
      <c r="X241" s="38" t="n">
        <v>30.86200000000001</v>
      </c>
      <c r="Y241" s="38" t="n">
        <v>62.371</v>
      </c>
      <c r="Z241" s="38" t="n">
        <v>0</v>
      </c>
      <c r="AA241" s="36" t="n">
        <v>58</v>
      </c>
      <c r="AB241" s="37" t="n">
        <v>0.7073170731707317</v>
      </c>
      <c r="AC241" s="36" t="n">
        <v>12</v>
      </c>
      <c r="AD241" s="37" t="n">
        <v>0.5</v>
      </c>
      <c r="AE241" s="36" t="n">
        <v>45</v>
      </c>
      <c r="AF241" s="37" t="n">
        <v>0.7894736842105263</v>
      </c>
      <c r="AG241" s="36" t="n">
        <v>6</v>
      </c>
      <c r="AH241" s="37" t="n">
        <v>0.5</v>
      </c>
    </row>
    <row r="242">
      <c r="A242" s="53" t="n">
        <v>45755</v>
      </c>
      <c r="B242" t="inlineStr">
        <is>
          <t>R01_Sumbagut</t>
        </is>
      </c>
      <c r="C242" t="inlineStr">
        <is>
          <t>NOP MEDAN</t>
        </is>
      </c>
      <c r="D242" s="38" t="n">
        <v>0</v>
      </c>
      <c r="E242" s="38" t="n">
        <v>1.692</v>
      </c>
      <c r="F242" s="36" t="n">
        <v>2.89</v>
      </c>
      <c r="G242" s="36" t="n">
        <v>2.828</v>
      </c>
      <c r="H242" s="36" t="n">
        <v>17</v>
      </c>
      <c r="I242" s="37" t="n">
        <v>0.4722222222222222</v>
      </c>
      <c r="J242" s="36" t="n">
        <v>3</v>
      </c>
      <c r="K242" s="37" t="n">
        <v>0.375</v>
      </c>
      <c r="L242" s="36" t="n">
        <v>14</v>
      </c>
      <c r="M242" s="37" t="n">
        <v>0.5</v>
      </c>
      <c r="N242" s="36" t="n">
        <v>3</v>
      </c>
      <c r="O242" s="37" t="n">
        <v>1</v>
      </c>
      <c r="P242" s="36" t="n">
        <v>3</v>
      </c>
      <c r="Q242" s="37" t="n">
        <v>1</v>
      </c>
      <c r="R242" s="36" t="n">
        <v>36</v>
      </c>
      <c r="S242" s="37" t="n">
        <v>1</v>
      </c>
      <c r="T242" s="36" t="n">
        <v>14</v>
      </c>
      <c r="U242" s="37" t="n">
        <v>0.3888888888888889</v>
      </c>
      <c r="V242" s="38" t="n">
        <v>0</v>
      </c>
      <c r="W242" s="38" t="n">
        <v>1.189000000000001</v>
      </c>
      <c r="X242" s="38" t="n">
        <v>12.989</v>
      </c>
      <c r="Y242" s="38" t="n">
        <v>24.01800000000001</v>
      </c>
      <c r="Z242" s="38" t="n">
        <v>0</v>
      </c>
      <c r="AA242" s="36" t="n">
        <v>14</v>
      </c>
      <c r="AB242" s="37" t="n">
        <v>0.2121212121212121</v>
      </c>
      <c r="AC242" s="36" t="n">
        <v>4</v>
      </c>
      <c r="AD242" s="37" t="n">
        <v>0.1428571428571428</v>
      </c>
      <c r="AE242" s="36" t="n">
        <v>9</v>
      </c>
      <c r="AF242" s="37" t="n">
        <v>0.2647058823529412</v>
      </c>
      <c r="AG242" s="36" t="n">
        <v>4</v>
      </c>
      <c r="AH242" s="37" t="n">
        <v>1</v>
      </c>
    </row>
    <row r="243">
      <c r="A243" s="53" t="n">
        <v>45755</v>
      </c>
      <c r="B243" t="inlineStr">
        <is>
          <t>R01_Sumbagut</t>
        </is>
      </c>
      <c r="C243" t="inlineStr">
        <is>
          <t>NOP PADANG SIDEMPUAN</t>
        </is>
      </c>
      <c r="D243" s="38" t="n">
        <v>0</v>
      </c>
      <c r="E243" s="38" t="n">
        <v>6.282</v>
      </c>
      <c r="F243" s="36" t="n">
        <v>1.954</v>
      </c>
      <c r="G243" s="36" t="n">
        <v>6.547000000000002</v>
      </c>
      <c r="H243" s="36" t="n">
        <v>14</v>
      </c>
      <c r="I243" s="37" t="n">
        <v>0.3043478260869565</v>
      </c>
      <c r="J243" s="36" t="n">
        <v>2</v>
      </c>
      <c r="K243" s="37" t="n">
        <v>0.6666666666666666</v>
      </c>
      <c r="L243" s="36" t="n">
        <v>12</v>
      </c>
      <c r="M243" s="37" t="n">
        <v>0.2790697674418605</v>
      </c>
      <c r="N243" s="36" t="n">
        <v>0</v>
      </c>
      <c r="O243" s="37" t="n">
        <v>0</v>
      </c>
      <c r="P243" s="36" t="n">
        <v>0</v>
      </c>
      <c r="Q243" s="37" t="n">
        <v>0</v>
      </c>
      <c r="R243" s="36" t="n">
        <v>46</v>
      </c>
      <c r="S243" s="37" t="n">
        <v>1</v>
      </c>
      <c r="T243" s="36" t="n">
        <v>9</v>
      </c>
      <c r="U243" s="37" t="n">
        <v>0.1956521739130435</v>
      </c>
      <c r="V243" s="38" t="n">
        <v>0</v>
      </c>
      <c r="W243" s="38" t="n">
        <v>1.694</v>
      </c>
      <c r="X243" s="38" t="n">
        <v>12.481</v>
      </c>
      <c r="Y243" s="38" t="n">
        <v>410.0870000000017</v>
      </c>
      <c r="Z243" s="38" t="n">
        <v>0</v>
      </c>
      <c r="AA243" s="36" t="n">
        <v>113</v>
      </c>
      <c r="AB243" s="37" t="n">
        <v>0.4612244897959183</v>
      </c>
      <c r="AC243" s="36" t="n">
        <v>29</v>
      </c>
      <c r="AD243" s="37" t="n">
        <v>0.4603174603174603</v>
      </c>
      <c r="AE243" s="36" t="n">
        <v>84</v>
      </c>
      <c r="AF243" s="37" t="n">
        <v>0.4615384615384616</v>
      </c>
      <c r="AG243" s="36" t="n">
        <v>15</v>
      </c>
      <c r="AH243" s="37" t="n">
        <v>0.5172413793103449</v>
      </c>
    </row>
    <row r="244">
      <c r="A244" s="53" t="n">
        <v>45755</v>
      </c>
      <c r="B244" t="inlineStr">
        <is>
          <t>R01_Sumbagut</t>
        </is>
      </c>
      <c r="C244" t="inlineStr">
        <is>
          <t>NOP PEMATANG SIANTAR</t>
        </is>
      </c>
      <c r="D244" s="38" t="n">
        <v>7.18</v>
      </c>
      <c r="E244" s="38" t="n">
        <v>4.433000000000002</v>
      </c>
      <c r="F244" s="36" t="n">
        <v>6.479000000000029</v>
      </c>
      <c r="G244" s="36" t="n">
        <v>6.576000000000004</v>
      </c>
      <c r="H244" s="36" t="n">
        <v>38</v>
      </c>
      <c r="I244" s="37" t="n">
        <v>0.2814814814814815</v>
      </c>
      <c r="J244" s="36" t="n">
        <v>26</v>
      </c>
      <c r="K244" s="37" t="n">
        <v>0.3823529411764706</v>
      </c>
      <c r="L244" s="36" t="n">
        <v>12</v>
      </c>
      <c r="M244" s="37" t="n">
        <v>0.1791044776119403</v>
      </c>
      <c r="N244" s="36" t="n">
        <v>12</v>
      </c>
      <c r="O244" s="37" t="n">
        <v>0.4615384615384616</v>
      </c>
      <c r="P244" s="36" t="n">
        <v>12</v>
      </c>
      <c r="Q244" s="37" t="n">
        <v>0.48</v>
      </c>
      <c r="R244" s="36" t="n">
        <v>135</v>
      </c>
      <c r="S244" s="37" t="n">
        <v>1</v>
      </c>
      <c r="T244" s="36" t="n">
        <v>20</v>
      </c>
      <c r="U244" s="37" t="n">
        <v>0.1481481481481481</v>
      </c>
      <c r="V244" s="38" t="n">
        <v>0</v>
      </c>
      <c r="W244" s="38" t="n">
        <v>5.728</v>
      </c>
      <c r="X244" s="38" t="n">
        <v>140.364</v>
      </c>
      <c r="Y244" s="38" t="n">
        <v>87.45399999999999</v>
      </c>
      <c r="Z244" s="38" t="n">
        <v>0</v>
      </c>
      <c r="AA244" s="36" t="n">
        <v>67</v>
      </c>
      <c r="AB244" s="37" t="n">
        <v>0.1033950617283951</v>
      </c>
      <c r="AC244" s="36" t="n">
        <v>15</v>
      </c>
      <c r="AD244" s="37" t="n">
        <v>0.2307692307692308</v>
      </c>
      <c r="AE244" s="36" t="n">
        <v>52</v>
      </c>
      <c r="AF244" s="37" t="n">
        <v>0.08934707903780069</v>
      </c>
      <c r="AG244" s="36" t="n">
        <v>12</v>
      </c>
      <c r="AH244" s="37" t="n">
        <v>0.8</v>
      </c>
    </row>
    <row r="245">
      <c r="A245" s="53" t="n">
        <v>45755</v>
      </c>
      <c r="B245" t="inlineStr">
        <is>
          <t>R01_Sumbagut</t>
        </is>
      </c>
      <c r="C245" t="inlineStr">
        <is>
          <t>NOP RANTAU PRAPAT</t>
        </is>
      </c>
      <c r="D245" s="38" t="n">
        <v>3.942</v>
      </c>
      <c r="E245" s="38" t="n">
        <v>2.126</v>
      </c>
      <c r="F245" s="36" t="n">
        <v>16.661</v>
      </c>
      <c r="G245" s="36" t="n">
        <v>2.961000000000001</v>
      </c>
      <c r="H245" s="36" t="n">
        <v>46</v>
      </c>
      <c r="I245" s="37" t="n">
        <v>0.3357664233576642</v>
      </c>
      <c r="J245" s="36" t="n">
        <v>3</v>
      </c>
      <c r="K245" s="37" t="n">
        <v>0.1764705882352941</v>
      </c>
      <c r="L245" s="36" t="n">
        <v>43</v>
      </c>
      <c r="M245" s="37" t="n">
        <v>0.3583333333333333</v>
      </c>
      <c r="N245" s="36" t="n">
        <v>2</v>
      </c>
      <c r="O245" s="37" t="n">
        <v>0.6666666666666666</v>
      </c>
      <c r="P245" s="36" t="n">
        <v>2</v>
      </c>
      <c r="Q245" s="37" t="n">
        <v>0.6666666666666666</v>
      </c>
      <c r="R245" s="36" t="n">
        <v>135</v>
      </c>
      <c r="S245" s="37" t="n">
        <v>0.9854014598540146</v>
      </c>
      <c r="T245" s="36" t="n">
        <v>30</v>
      </c>
      <c r="U245" s="37" t="n">
        <v>0.218978102189781</v>
      </c>
      <c r="V245" s="38" t="n">
        <v>0</v>
      </c>
      <c r="W245" s="38" t="n">
        <v>3.685000000000001</v>
      </c>
      <c r="X245" s="38" t="n">
        <v>45.44</v>
      </c>
      <c r="Y245" s="38" t="n">
        <v>74.50400000000008</v>
      </c>
      <c r="Z245" s="38" t="n">
        <v>0</v>
      </c>
      <c r="AA245" s="36" t="n">
        <v>21</v>
      </c>
      <c r="AB245" s="37" t="n">
        <v>0.07777777777777778</v>
      </c>
      <c r="AC245" s="36" t="n">
        <v>5</v>
      </c>
      <c r="AD245" s="37" t="n">
        <v>0.1785714285714286</v>
      </c>
      <c r="AE245" s="36" t="n">
        <v>13</v>
      </c>
      <c r="AF245" s="37" t="n">
        <v>0.05439330543933055</v>
      </c>
      <c r="AG245" s="36" t="n">
        <v>4</v>
      </c>
      <c r="AH245" s="37" t="n">
        <v>0.8</v>
      </c>
    </row>
    <row r="246">
      <c r="A246" s="53" t="n">
        <v>45755</v>
      </c>
      <c r="B246" t="inlineStr">
        <is>
          <t>R10_Sumbagteng</t>
        </is>
      </c>
      <c r="C246" t="inlineStr">
        <is>
          <t>NOP BATAM</t>
        </is>
      </c>
      <c r="D246" s="38" t="n">
        <v>0</v>
      </c>
      <c r="E246" s="38" t="n">
        <v>6.552</v>
      </c>
      <c r="F246" s="36" t="n">
        <v>9.632000000000007</v>
      </c>
      <c r="G246" s="36" t="n">
        <v>10.231</v>
      </c>
      <c r="H246" s="36" t="n">
        <v>32</v>
      </c>
      <c r="I246" s="37" t="n">
        <v>0.2206896551724138</v>
      </c>
      <c r="J246" s="36" t="n">
        <v>9</v>
      </c>
      <c r="K246" s="37" t="n">
        <v>0.391304347826087</v>
      </c>
      <c r="L246" s="36" t="n">
        <v>23</v>
      </c>
      <c r="M246" s="37" t="n">
        <v>0.1885245901639344</v>
      </c>
      <c r="N246" s="36" t="n">
        <v>8</v>
      </c>
      <c r="O246" s="37" t="n">
        <v>0.8888888888888888</v>
      </c>
      <c r="P246" s="36" t="n">
        <v>8</v>
      </c>
      <c r="Q246" s="37" t="n">
        <v>0.8888888888888888</v>
      </c>
      <c r="R246" s="36" t="n">
        <v>145</v>
      </c>
      <c r="S246" s="37" t="n">
        <v>1</v>
      </c>
      <c r="T246" s="36" t="n">
        <v>30</v>
      </c>
      <c r="U246" s="37" t="n">
        <v>0.2068965517241379</v>
      </c>
      <c r="V246" s="38" t="n">
        <v>0</v>
      </c>
      <c r="W246" s="38" t="n">
        <v>4.614000000000001</v>
      </c>
      <c r="X246" s="38" t="n">
        <v>54.62600000000003</v>
      </c>
      <c r="Y246" s="38" t="n">
        <v>1.71</v>
      </c>
      <c r="Z246" s="38" t="n">
        <v>0</v>
      </c>
      <c r="AA246" s="36" t="n">
        <v>23</v>
      </c>
      <c r="AB246" s="37" t="n">
        <v>0.03328509406657019</v>
      </c>
      <c r="AC246" s="36" t="n">
        <v>11</v>
      </c>
      <c r="AD246" s="37" t="n">
        <v>0.2</v>
      </c>
      <c r="AE246" s="36" t="n">
        <v>12</v>
      </c>
      <c r="AF246" s="37" t="n">
        <v>0.01886792452830189</v>
      </c>
      <c r="AG246" s="36" t="n">
        <v>11</v>
      </c>
      <c r="AH246" s="37" t="n">
        <v>1</v>
      </c>
    </row>
    <row r="247">
      <c r="A247" s="53" t="n">
        <v>45755</v>
      </c>
      <c r="B247" t="inlineStr">
        <is>
          <t>R10_Sumbagteng</t>
        </is>
      </c>
      <c r="C247" t="inlineStr">
        <is>
          <t>NOP BUKITTINGGI</t>
        </is>
      </c>
      <c r="D247" s="38" t="n">
        <v>1.4</v>
      </c>
      <c r="E247" s="38" t="n">
        <v>6.206</v>
      </c>
      <c r="F247" s="36" t="n">
        <v>3.101000000000002</v>
      </c>
      <c r="G247" s="36" t="n">
        <v>2.859999999999999</v>
      </c>
      <c r="H247" s="36" t="n">
        <v>25</v>
      </c>
      <c r="I247" s="37" t="n">
        <v>0.7575757575757576</v>
      </c>
      <c r="J247" s="36" t="n">
        <v>8</v>
      </c>
      <c r="K247" s="37" t="n">
        <v>0.8888888888888888</v>
      </c>
      <c r="L247" s="36" t="n">
        <v>17</v>
      </c>
      <c r="M247" s="37" t="n">
        <v>0.7083333333333334</v>
      </c>
      <c r="N247" s="36" t="n">
        <v>5</v>
      </c>
      <c r="O247" s="37" t="n">
        <v>0.625</v>
      </c>
      <c r="P247" s="36" t="n">
        <v>5</v>
      </c>
      <c r="Q247" s="37" t="n">
        <v>0.625</v>
      </c>
      <c r="R247" s="36" t="n">
        <v>33</v>
      </c>
      <c r="S247" s="37" t="n">
        <v>1</v>
      </c>
      <c r="T247" s="36" t="n">
        <v>18</v>
      </c>
      <c r="U247" s="37" t="n">
        <v>0.5454545454545454</v>
      </c>
      <c r="V247" s="38" t="n">
        <v>0</v>
      </c>
      <c r="W247" s="38" t="n">
        <v>2.172</v>
      </c>
      <c r="X247" s="38" t="n">
        <v>6.399999999999999</v>
      </c>
      <c r="Y247" s="38" t="n">
        <v>188.826</v>
      </c>
      <c r="Z247" s="38" t="n">
        <v>0</v>
      </c>
      <c r="AA247" s="36" t="n">
        <v>58</v>
      </c>
      <c r="AB247" s="37" t="n">
        <v>0.3945578231292517</v>
      </c>
      <c r="AC247" s="36" t="n">
        <v>13</v>
      </c>
      <c r="AD247" s="37" t="n">
        <v>0.7647058823529411</v>
      </c>
      <c r="AE247" s="36" t="n">
        <v>45</v>
      </c>
      <c r="AF247" s="37" t="n">
        <v>0.3461538461538461</v>
      </c>
      <c r="AG247" s="36" t="n">
        <v>10</v>
      </c>
      <c r="AH247" s="37" t="n">
        <v>0.7692307692307693</v>
      </c>
    </row>
    <row r="248">
      <c r="A248" s="53" t="n">
        <v>45755</v>
      </c>
      <c r="B248" t="inlineStr">
        <is>
          <t>R10_Sumbagteng</t>
        </is>
      </c>
      <c r="C248" t="inlineStr">
        <is>
          <t>NOP DUMAI</t>
        </is>
      </c>
      <c r="D248" s="38" t="n">
        <v>0.616</v>
      </c>
      <c r="E248" s="38" t="n">
        <v>4.006</v>
      </c>
      <c r="F248" s="36" t="n">
        <v>3.05</v>
      </c>
      <c r="G248" s="36" t="n">
        <v>4.100000000000001</v>
      </c>
      <c r="H248" s="36" t="n">
        <v>33</v>
      </c>
      <c r="I248" s="37" t="n">
        <v>0.2323943661971831</v>
      </c>
      <c r="J248" s="36" t="n">
        <v>12</v>
      </c>
      <c r="K248" s="37" t="n">
        <v>0.3428571428571429</v>
      </c>
      <c r="L248" s="36" t="n">
        <v>21</v>
      </c>
      <c r="M248" s="37" t="n">
        <v>0.1962616822429906</v>
      </c>
      <c r="N248" s="36" t="n">
        <v>8</v>
      </c>
      <c r="O248" s="37" t="n">
        <v>0.6666666666666666</v>
      </c>
      <c r="P248" s="36" t="n">
        <v>8</v>
      </c>
      <c r="Q248" s="37" t="n">
        <v>0.6666666666666666</v>
      </c>
      <c r="R248" s="36" t="n">
        <v>142</v>
      </c>
      <c r="S248" s="37" t="n">
        <v>1</v>
      </c>
      <c r="T248" s="36" t="n">
        <v>25</v>
      </c>
      <c r="U248" s="37" t="n">
        <v>0.176056338028169</v>
      </c>
      <c r="V248" s="38" t="n">
        <v>0.019</v>
      </c>
      <c r="W248" s="38" t="n">
        <v>3.654</v>
      </c>
      <c r="X248" s="38" t="n">
        <v>47.81100000000001</v>
      </c>
      <c r="Y248" s="38" t="n">
        <v>185.762</v>
      </c>
      <c r="Z248" s="38" t="n">
        <v>0</v>
      </c>
      <c r="AA248" s="36" t="n">
        <v>97</v>
      </c>
      <c r="AB248" s="37" t="n">
        <v>0.3553113553113553</v>
      </c>
      <c r="AC248" s="36" t="n">
        <v>25</v>
      </c>
      <c r="AD248" s="37" t="n">
        <v>0.423728813559322</v>
      </c>
      <c r="AE248" s="36" t="n">
        <v>70</v>
      </c>
      <c r="AF248" s="37" t="n">
        <v>0.3365384615384616</v>
      </c>
      <c r="AG248" s="36" t="n">
        <v>23</v>
      </c>
      <c r="AH248" s="37" t="n">
        <v>0.92</v>
      </c>
    </row>
    <row r="249">
      <c r="A249" s="53" t="n">
        <v>45755</v>
      </c>
      <c r="B249" t="inlineStr">
        <is>
          <t>R10_Sumbagteng</t>
        </is>
      </c>
      <c r="C249" t="inlineStr">
        <is>
          <t>NOP PADANG</t>
        </is>
      </c>
      <c r="D249" s="38" t="n">
        <v>0</v>
      </c>
      <c r="E249" s="38" t="n">
        <v>2.61</v>
      </c>
      <c r="F249" s="36" t="n">
        <v>6.935</v>
      </c>
      <c r="G249" s="36" t="n">
        <v>6.722</v>
      </c>
      <c r="H249" s="36" t="n">
        <v>36</v>
      </c>
      <c r="I249" s="37" t="n">
        <v>0.8571428571428571</v>
      </c>
      <c r="J249" s="36" t="n">
        <v>2</v>
      </c>
      <c r="K249" s="37" t="n">
        <v>0.6666666666666666</v>
      </c>
      <c r="L249" s="36" t="n">
        <v>34</v>
      </c>
      <c r="M249" s="37" t="n">
        <v>0.8717948717948718</v>
      </c>
      <c r="N249" s="36" t="n">
        <v>1</v>
      </c>
      <c r="O249" s="37" t="n">
        <v>0.5</v>
      </c>
      <c r="P249" s="36" t="n">
        <v>1</v>
      </c>
      <c r="Q249" s="37" t="n">
        <v>0.5</v>
      </c>
      <c r="R249" s="36" t="n">
        <v>42</v>
      </c>
      <c r="S249" s="37" t="n">
        <v>1</v>
      </c>
      <c r="T249" s="36" t="n">
        <v>13</v>
      </c>
      <c r="U249" s="37" t="n">
        <v>0.3095238095238095</v>
      </c>
      <c r="V249" s="38" t="n">
        <v>0</v>
      </c>
      <c r="W249" s="38" t="n">
        <v>3.483</v>
      </c>
      <c r="X249" s="38" t="n">
        <v>30.05</v>
      </c>
      <c r="Y249" s="38" t="n">
        <v>24.35799999999999</v>
      </c>
      <c r="Z249" s="38" t="n">
        <v>0</v>
      </c>
      <c r="AA249" s="36" t="n">
        <v>184</v>
      </c>
      <c r="AB249" s="37" t="n">
        <v>0.6411149825783972</v>
      </c>
      <c r="AC249" s="36" t="n">
        <v>13</v>
      </c>
      <c r="AD249" s="37" t="n">
        <v>0.65</v>
      </c>
      <c r="AE249" s="36" t="n">
        <v>170</v>
      </c>
      <c r="AF249" s="37" t="n">
        <v>0.6390977443609023</v>
      </c>
      <c r="AG249" s="36" t="n">
        <v>6</v>
      </c>
      <c r="AH249" s="37" t="n">
        <v>0.4615384615384616</v>
      </c>
    </row>
    <row r="250">
      <c r="A250" s="53" t="n">
        <v>45755</v>
      </c>
      <c r="B250" t="inlineStr">
        <is>
          <t>R10_Sumbagteng</t>
        </is>
      </c>
      <c r="C250" t="inlineStr">
        <is>
          <t>NOP PEKANBARU</t>
        </is>
      </c>
      <c r="D250" s="38" t="n">
        <v>19.70200000000001</v>
      </c>
      <c r="E250" s="38" t="n">
        <v>5.220999999999999</v>
      </c>
      <c r="F250" s="36" t="n">
        <v>24.27</v>
      </c>
      <c r="G250" s="36" t="n">
        <v>5.051000000000002</v>
      </c>
      <c r="H250" s="36" t="n">
        <v>60</v>
      </c>
      <c r="I250" s="37" t="n">
        <v>0.4316546762589928</v>
      </c>
      <c r="J250" s="36" t="n">
        <v>13</v>
      </c>
      <c r="K250" s="37" t="n">
        <v>0.4814814814814815</v>
      </c>
      <c r="L250" s="36" t="n">
        <v>47</v>
      </c>
      <c r="M250" s="37" t="n">
        <v>0.4196428571428572</v>
      </c>
      <c r="N250" s="36" t="n">
        <v>12</v>
      </c>
      <c r="O250" s="37" t="n">
        <v>0.9230769230769231</v>
      </c>
      <c r="P250" s="36" t="n">
        <v>12</v>
      </c>
      <c r="Q250" s="37" t="n">
        <v>0.9230769230769231</v>
      </c>
      <c r="R250" s="36" t="n">
        <v>138</v>
      </c>
      <c r="S250" s="37" t="n">
        <v>0.9928057553956835</v>
      </c>
      <c r="T250" s="36" t="n">
        <v>44</v>
      </c>
      <c r="U250" s="37" t="n">
        <v>0.316546762589928</v>
      </c>
      <c r="V250" s="38" t="n">
        <v>0.01</v>
      </c>
      <c r="W250" s="38" t="n">
        <v>2.373000000000001</v>
      </c>
      <c r="X250" s="38" t="n">
        <v>48.376</v>
      </c>
      <c r="Y250" s="38" t="n">
        <v>54.70200000000001</v>
      </c>
      <c r="Z250" s="38" t="n">
        <v>0</v>
      </c>
      <c r="AA250" s="36" t="n">
        <v>94</v>
      </c>
      <c r="AB250" s="37" t="n">
        <v>0.3175675675675675</v>
      </c>
      <c r="AC250" s="36" t="n">
        <v>24</v>
      </c>
      <c r="AD250" s="37" t="n">
        <v>0.2637362637362637</v>
      </c>
      <c r="AE250" s="36" t="n">
        <v>65</v>
      </c>
      <c r="AF250" s="37" t="n">
        <v>0.3282828282828283</v>
      </c>
      <c r="AG250" s="36" t="n">
        <v>22</v>
      </c>
      <c r="AH250" s="37" t="n">
        <v>0.9166666666666666</v>
      </c>
    </row>
    <row r="251">
      <c r="A251" s="53" t="n">
        <v>45755</v>
      </c>
      <c r="B251" t="inlineStr">
        <is>
          <t>R02_Sumbagsel</t>
        </is>
      </c>
      <c r="C251" t="inlineStr">
        <is>
          <t>NOP BENGKULU</t>
        </is>
      </c>
      <c r="D251" s="38" t="n">
        <v>0</v>
      </c>
      <c r="E251" s="38" t="n">
        <v>4.637999999999999</v>
      </c>
      <c r="F251" s="36" t="n">
        <v>2.15</v>
      </c>
      <c r="G251" s="36" t="n">
        <v>3.649</v>
      </c>
      <c r="H251" s="36" t="n">
        <v>18</v>
      </c>
      <c r="I251" s="37" t="n">
        <v>0.2857142857142857</v>
      </c>
      <c r="J251" s="36" t="n">
        <v>5</v>
      </c>
      <c r="K251" s="37" t="n">
        <v>0.3333333333333333</v>
      </c>
      <c r="L251" s="36" t="n">
        <v>13</v>
      </c>
      <c r="M251" s="37" t="n">
        <v>0.2708333333333333</v>
      </c>
      <c r="N251" s="36" t="n">
        <v>5</v>
      </c>
      <c r="O251" s="37" t="n">
        <v>1</v>
      </c>
      <c r="P251" s="36" t="n">
        <v>5</v>
      </c>
      <c r="Q251" s="37" t="n">
        <v>1</v>
      </c>
      <c r="R251" s="36" t="n">
        <v>63</v>
      </c>
      <c r="S251" s="37" t="n">
        <v>1</v>
      </c>
      <c r="T251" s="36" t="n">
        <v>13</v>
      </c>
      <c r="U251" s="37" t="n">
        <v>0.2063492063492063</v>
      </c>
      <c r="V251" s="38" t="n">
        <v>0</v>
      </c>
      <c r="W251" s="38" t="n">
        <v>6.108000000000001</v>
      </c>
      <c r="X251" s="38" t="n">
        <v>2.881000000000001</v>
      </c>
      <c r="Y251" s="38" t="n">
        <v>4.100000000000001</v>
      </c>
      <c r="Z251" s="38" t="n">
        <v>0</v>
      </c>
      <c r="AA251" s="36" t="n">
        <v>93</v>
      </c>
      <c r="AB251" s="37" t="n">
        <v>0.4869109947643979</v>
      </c>
      <c r="AC251" s="36" t="n">
        <v>47</v>
      </c>
      <c r="AD251" s="37" t="n">
        <v>0.4196428571428572</v>
      </c>
      <c r="AE251" s="36" t="n">
        <v>31</v>
      </c>
      <c r="AF251" s="37" t="n">
        <v>0.5344827586206896</v>
      </c>
      <c r="AG251" s="36" t="n">
        <v>43</v>
      </c>
      <c r="AH251" s="37" t="n">
        <v>0.9148936170212766</v>
      </c>
    </row>
    <row r="252">
      <c r="A252" s="53" t="n">
        <v>45755</v>
      </c>
      <c r="B252" t="inlineStr">
        <is>
          <t>R02_Sumbagsel</t>
        </is>
      </c>
      <c r="C252" t="inlineStr">
        <is>
          <t>NOP JAMBI</t>
        </is>
      </c>
      <c r="D252" s="38" t="n">
        <v>3.04</v>
      </c>
      <c r="E252" s="38" t="n">
        <v>2.516</v>
      </c>
      <c r="F252" s="36" t="n">
        <v>5.83</v>
      </c>
      <c r="G252" s="36" t="n">
        <v>7.66</v>
      </c>
      <c r="H252" s="36" t="n">
        <v>85</v>
      </c>
      <c r="I252" s="37" t="n">
        <v>0.6204379562043796</v>
      </c>
      <c r="J252" s="36" t="n">
        <v>26</v>
      </c>
      <c r="K252" s="37" t="n">
        <v>0.7878787878787878</v>
      </c>
      <c r="L252" s="36" t="n">
        <v>59</v>
      </c>
      <c r="M252" s="37" t="n">
        <v>0.5673076923076923</v>
      </c>
      <c r="N252" s="36" t="n">
        <v>16</v>
      </c>
      <c r="O252" s="37" t="n">
        <v>0.6153846153846154</v>
      </c>
      <c r="P252" s="36" t="n">
        <v>16</v>
      </c>
      <c r="Q252" s="37" t="n">
        <v>0.6153846153846154</v>
      </c>
      <c r="R252" s="36" t="n">
        <v>137</v>
      </c>
      <c r="S252" s="37" t="n">
        <v>1</v>
      </c>
      <c r="T252" s="36" t="n">
        <v>43</v>
      </c>
      <c r="U252" s="37" t="n">
        <v>0.3138686131386861</v>
      </c>
      <c r="V252" s="38" t="n">
        <v>0</v>
      </c>
      <c r="W252" s="38" t="n">
        <v>5.710000000000005</v>
      </c>
      <c r="X252" s="38" t="n">
        <v>6.63</v>
      </c>
      <c r="Y252" s="38" t="n">
        <v>10.30600000000003</v>
      </c>
      <c r="Z252" s="38" t="n">
        <v>0</v>
      </c>
      <c r="AA252" s="36" t="n">
        <v>170</v>
      </c>
      <c r="AB252" s="37" t="n">
        <v>0.6563706563706564</v>
      </c>
      <c r="AC252" s="36" t="n">
        <v>87</v>
      </c>
      <c r="AD252" s="37" t="n">
        <v>0.6744186046511628</v>
      </c>
      <c r="AE252" s="36" t="n">
        <v>69</v>
      </c>
      <c r="AF252" s="37" t="n">
        <v>0.6571428571428571</v>
      </c>
      <c r="AG252" s="36" t="n">
        <v>68</v>
      </c>
      <c r="AH252" s="37" t="n">
        <v>0.7816091954022989</v>
      </c>
    </row>
    <row r="253">
      <c r="A253" s="53" t="n">
        <v>45755</v>
      </c>
      <c r="B253" t="inlineStr">
        <is>
          <t>R02_Sumbagsel</t>
        </is>
      </c>
      <c r="C253" t="inlineStr">
        <is>
          <t>NOP LAMPUNG</t>
        </is>
      </c>
      <c r="D253" s="38" t="n">
        <v>0</v>
      </c>
      <c r="E253" s="38" t="n">
        <v>4.992</v>
      </c>
      <c r="F253" s="36" t="n">
        <v>1.35</v>
      </c>
      <c r="G253" s="36" t="n">
        <v>6.594999999999999</v>
      </c>
      <c r="H253" s="36" t="n">
        <v>24</v>
      </c>
      <c r="I253" s="37" t="n">
        <v>0.48</v>
      </c>
      <c r="J253" s="36" t="n">
        <v>4</v>
      </c>
      <c r="K253" s="37" t="n">
        <v>0.8</v>
      </c>
      <c r="L253" s="36" t="n">
        <v>20</v>
      </c>
      <c r="M253" s="37" t="n">
        <v>0.4444444444444444</v>
      </c>
      <c r="N253" s="36" t="n">
        <v>3</v>
      </c>
      <c r="O253" s="37" t="n">
        <v>0.75</v>
      </c>
      <c r="P253" s="36" t="n">
        <v>3</v>
      </c>
      <c r="Q253" s="37" t="n">
        <v>0.75</v>
      </c>
      <c r="R253" s="36" t="n">
        <v>50</v>
      </c>
      <c r="S253" s="37" t="n">
        <v>1</v>
      </c>
      <c r="T253" s="36" t="n">
        <v>16</v>
      </c>
      <c r="U253" s="37" t="n">
        <v>0.32</v>
      </c>
      <c r="V253" s="38" t="n">
        <v>0</v>
      </c>
      <c r="W253" s="38" t="n">
        <v>6.826999999999998</v>
      </c>
      <c r="X253" s="38" t="n">
        <v>4.084</v>
      </c>
      <c r="Y253" s="38" t="n">
        <v>22.02</v>
      </c>
      <c r="Z253" s="38" t="n">
        <v>0</v>
      </c>
      <c r="AA253" s="36" t="n">
        <v>184</v>
      </c>
      <c r="AB253" s="37" t="n">
        <v>0.92</v>
      </c>
      <c r="AC253" s="36" t="n">
        <v>27</v>
      </c>
      <c r="AD253" s="37" t="n">
        <v>0.7941176470588235</v>
      </c>
      <c r="AE253" s="36" t="n">
        <v>152</v>
      </c>
      <c r="AF253" s="37" t="n">
        <v>0.95</v>
      </c>
      <c r="AG253" s="36" t="n">
        <v>25</v>
      </c>
      <c r="AH253" s="37" t="n">
        <v>0.9259259259259259</v>
      </c>
    </row>
    <row r="254">
      <c r="A254" s="53" t="n">
        <v>45755</v>
      </c>
      <c r="B254" t="inlineStr">
        <is>
          <t>R02_Sumbagsel</t>
        </is>
      </c>
      <c r="C254" t="inlineStr">
        <is>
          <t>NOP MUARA ENIM</t>
        </is>
      </c>
      <c r="D254" s="38" t="n">
        <v>1.364</v>
      </c>
      <c r="E254" s="38" t="n">
        <v>1.916</v>
      </c>
      <c r="F254" s="36" t="n">
        <v>4.631999999999999</v>
      </c>
      <c r="G254" s="36" t="n">
        <v>4.737000000000001</v>
      </c>
      <c r="H254" s="36" t="n">
        <v>52</v>
      </c>
      <c r="I254" s="37" t="n">
        <v>0.4193548387096774</v>
      </c>
      <c r="J254" s="36" t="n">
        <v>6</v>
      </c>
      <c r="K254" s="37" t="n">
        <v>0.2608695652173913</v>
      </c>
      <c r="L254" s="36" t="n">
        <v>46</v>
      </c>
      <c r="M254" s="37" t="n">
        <v>0.4554455445544555</v>
      </c>
      <c r="N254" s="36" t="n">
        <v>2</v>
      </c>
      <c r="O254" s="37" t="n">
        <v>0.3333333333333333</v>
      </c>
      <c r="P254" s="36" t="n">
        <v>2</v>
      </c>
      <c r="Q254" s="37" t="n">
        <v>0.3333333333333333</v>
      </c>
      <c r="R254" s="36" t="n">
        <v>120</v>
      </c>
      <c r="S254" s="37" t="n">
        <v>0.967741935483871</v>
      </c>
      <c r="T254" s="36" t="n">
        <v>26</v>
      </c>
      <c r="U254" s="37" t="n">
        <v>0.2096774193548387</v>
      </c>
      <c r="V254" s="38" t="n">
        <v>0</v>
      </c>
      <c r="W254" s="38" t="n">
        <v>3.112000000000001</v>
      </c>
      <c r="X254" s="38" t="n">
        <v>3.916000000000002</v>
      </c>
      <c r="Y254" s="38" t="n">
        <v>6.682</v>
      </c>
      <c r="Z254" s="38" t="n">
        <v>0</v>
      </c>
      <c r="AA254" s="36" t="n">
        <v>84</v>
      </c>
      <c r="AB254" s="37" t="n">
        <v>0.5833333333333334</v>
      </c>
      <c r="AC254" s="36" t="n">
        <v>36</v>
      </c>
      <c r="AD254" s="37" t="n">
        <v>0.5714285714285714</v>
      </c>
      <c r="AE254" s="36" t="n">
        <v>43</v>
      </c>
      <c r="AF254" s="37" t="n">
        <v>0.6935483870967742</v>
      </c>
      <c r="AG254" s="36" t="n">
        <v>31</v>
      </c>
      <c r="AH254" s="37" t="n">
        <v>0.8611111111111112</v>
      </c>
    </row>
    <row r="255">
      <c r="A255" s="53" t="n">
        <v>45755</v>
      </c>
      <c r="B255" t="inlineStr">
        <is>
          <t>R02_Sumbagsel</t>
        </is>
      </c>
      <c r="C255" t="inlineStr">
        <is>
          <t>NOP PALEMBANG</t>
        </is>
      </c>
      <c r="D255" s="38" t="n">
        <v>3.38</v>
      </c>
      <c r="E255" s="38" t="n">
        <v>4.606999999999999</v>
      </c>
      <c r="F255" s="36" t="n">
        <v>7.872000000000004</v>
      </c>
      <c r="G255" s="36" t="n">
        <v>11.548</v>
      </c>
      <c r="H255" s="36" t="n">
        <v>62</v>
      </c>
      <c r="I255" s="37" t="n">
        <v>0.3583815028901734</v>
      </c>
      <c r="J255" s="36" t="n">
        <v>3</v>
      </c>
      <c r="K255" s="37" t="n">
        <v>0.3333333333333333</v>
      </c>
      <c r="L255" s="36" t="n">
        <v>59</v>
      </c>
      <c r="M255" s="37" t="n">
        <v>0.3597560975609756</v>
      </c>
      <c r="N255" s="36" t="n">
        <v>2</v>
      </c>
      <c r="O255" s="37" t="n">
        <v>0.6666666666666666</v>
      </c>
      <c r="P255" s="36" t="n">
        <v>2</v>
      </c>
      <c r="Q255" s="37" t="n">
        <v>0.6666666666666666</v>
      </c>
      <c r="R255" s="36" t="n">
        <v>173</v>
      </c>
      <c r="S255" s="37" t="n">
        <v>1</v>
      </c>
      <c r="T255" s="36" t="n">
        <v>22</v>
      </c>
      <c r="U255" s="37" t="n">
        <v>0.1271676300578035</v>
      </c>
      <c r="V255" s="38" t="n">
        <v>0</v>
      </c>
      <c r="W255" s="38" t="n">
        <v>7.318000000000002</v>
      </c>
      <c r="X255" s="38" t="n">
        <v>5.298000000000001</v>
      </c>
      <c r="Y255" s="38" t="n">
        <v>0.17</v>
      </c>
      <c r="Z255" s="38" t="n">
        <v>0</v>
      </c>
      <c r="AA255" s="36" t="n">
        <v>83</v>
      </c>
      <c r="AB255" s="37" t="n">
        <v>0.28719723183391</v>
      </c>
      <c r="AC255" s="36" t="n">
        <v>20</v>
      </c>
      <c r="AD255" s="37" t="n">
        <v>0.2380952380952381</v>
      </c>
      <c r="AE255" s="36" t="n">
        <v>62</v>
      </c>
      <c r="AF255" s="37" t="n">
        <v>0.3949044585987261</v>
      </c>
      <c r="AG255" s="36" t="n">
        <v>11</v>
      </c>
      <c r="AH255" s="37" t="n">
        <v>0.55</v>
      </c>
    </row>
    <row r="256">
      <c r="A256" s="53" t="n">
        <v>45755</v>
      </c>
      <c r="B256" t="inlineStr">
        <is>
          <t>R02_Sumbagsel</t>
        </is>
      </c>
      <c r="C256" t="inlineStr">
        <is>
          <t>NOP PANGKAL PINANG</t>
        </is>
      </c>
      <c r="D256" s="38" t="n">
        <v>0</v>
      </c>
      <c r="E256" s="38" t="n">
        <v>0</v>
      </c>
      <c r="F256" s="36" t="n">
        <v>5.42</v>
      </c>
      <c r="G256" s="36" t="n">
        <v>3.734</v>
      </c>
      <c r="H256" s="36" t="n">
        <v>11</v>
      </c>
      <c r="I256" s="37" t="n">
        <v>0.6875</v>
      </c>
      <c r="J256" s="36" t="n">
        <v>0</v>
      </c>
      <c r="K256" s="37" t="n">
        <v>0</v>
      </c>
      <c r="L256" s="36" t="n">
        <v>11</v>
      </c>
      <c r="M256" s="37" t="n">
        <v>0.6875</v>
      </c>
      <c r="N256" s="36" t="n">
        <v>0</v>
      </c>
      <c r="O256" s="37" t="n">
        <v>0</v>
      </c>
      <c r="P256" s="36" t="n">
        <v>0</v>
      </c>
      <c r="Q256" s="37" t="n">
        <v>0</v>
      </c>
      <c r="R256" s="36" t="n">
        <v>16</v>
      </c>
      <c r="S256" s="37" t="n">
        <v>1</v>
      </c>
      <c r="T256" s="36" t="n">
        <v>4</v>
      </c>
      <c r="U256" s="37" t="n">
        <v>0.25</v>
      </c>
      <c r="V256" s="38" t="n">
        <v>0</v>
      </c>
      <c r="W256" s="38" t="n">
        <v>1.758</v>
      </c>
      <c r="X256" s="38" t="n">
        <v>4.478</v>
      </c>
      <c r="Y256" s="38" t="n">
        <v>8.48</v>
      </c>
      <c r="Z256" s="38" t="n">
        <v>0</v>
      </c>
      <c r="AA256" s="36" t="n">
        <v>61</v>
      </c>
      <c r="AB256" s="37" t="n">
        <v>0.9682539682539683</v>
      </c>
      <c r="AC256" s="36" t="n">
        <v>27</v>
      </c>
      <c r="AD256" s="37" t="n">
        <v>1</v>
      </c>
      <c r="AE256" s="36" t="n">
        <v>34</v>
      </c>
      <c r="AF256" s="37" t="n">
        <v>0.9444444444444444</v>
      </c>
      <c r="AG256" s="36" t="n">
        <v>24</v>
      </c>
      <c r="AH256" s="37" t="n">
        <v>0.8888888888888888</v>
      </c>
    </row>
    <row r="257">
      <c r="A257" s="53" t="n">
        <v>45755</v>
      </c>
      <c r="B257" t="inlineStr">
        <is>
          <t>R05_Jawa Tengah DIY</t>
        </is>
      </c>
      <c r="C257" t="inlineStr">
        <is>
          <t>NOP MAGELANG</t>
        </is>
      </c>
      <c r="D257" s="38" t="n">
        <v>1.615</v>
      </c>
      <c r="E257" s="38" t="n">
        <v>0</v>
      </c>
      <c r="F257" s="36" t="n">
        <v>1.236</v>
      </c>
      <c r="G257" s="36" t="n">
        <v>5.024</v>
      </c>
      <c r="H257" s="36" t="n">
        <v>5</v>
      </c>
      <c r="I257" s="37" t="n">
        <v>0.5555555555555556</v>
      </c>
      <c r="J257" s="36" t="n">
        <v>2</v>
      </c>
      <c r="K257" s="37" t="n">
        <v>1</v>
      </c>
      <c r="L257" s="36" t="n">
        <v>3</v>
      </c>
      <c r="M257" s="37" t="n">
        <v>0.4285714285714285</v>
      </c>
      <c r="N257" s="36" t="n">
        <v>2</v>
      </c>
      <c r="O257" s="37" t="n">
        <v>1</v>
      </c>
      <c r="P257" s="36" t="n">
        <v>2</v>
      </c>
      <c r="Q257" s="37" t="n">
        <v>1</v>
      </c>
      <c r="R257" s="36" t="n">
        <v>9</v>
      </c>
      <c r="S257" s="37" t="n">
        <v>1</v>
      </c>
      <c r="T257" s="36" t="n">
        <v>5</v>
      </c>
      <c r="U257" s="37" t="n">
        <v>0.5555555555555556</v>
      </c>
      <c r="V257" s="38" t="n">
        <v>0</v>
      </c>
      <c r="W257" s="38" t="n">
        <v>2.09</v>
      </c>
      <c r="X257" s="38" t="n">
        <v>4.71</v>
      </c>
      <c r="Y257" s="38" t="n">
        <v>12.631</v>
      </c>
      <c r="Z257" s="38" t="n">
        <v>0</v>
      </c>
      <c r="AA257" s="36" t="n">
        <v>16</v>
      </c>
      <c r="AB257" s="37" t="n">
        <v>0.9411764705882353</v>
      </c>
      <c r="AC257" s="36" t="n">
        <v>3</v>
      </c>
      <c r="AD257" s="37" t="n">
        <v>1</v>
      </c>
      <c r="AE257" s="36" t="n">
        <v>13</v>
      </c>
      <c r="AF257" s="37" t="n">
        <v>0.9285714285714286</v>
      </c>
      <c r="AG257" s="36" t="n">
        <v>2</v>
      </c>
      <c r="AH257" s="37" t="n">
        <v>0.6666666666666666</v>
      </c>
    </row>
    <row r="258">
      <c r="A258" s="53" t="n">
        <v>45755</v>
      </c>
      <c r="B258" t="inlineStr">
        <is>
          <t>R05_Jawa Tengah DIY</t>
        </is>
      </c>
      <c r="C258" t="inlineStr">
        <is>
          <t>NOP PEKALONGAN</t>
        </is>
      </c>
      <c r="D258" s="38" t="n">
        <v>0</v>
      </c>
      <c r="E258" s="38" t="n">
        <v>0</v>
      </c>
      <c r="F258" s="36" t="n">
        <v>1.02</v>
      </c>
      <c r="G258" s="36" t="n">
        <v>1.053</v>
      </c>
      <c r="H258" s="36" t="n">
        <v>3</v>
      </c>
      <c r="I258" s="37" t="n">
        <v>0.6</v>
      </c>
      <c r="J258" s="36" t="n">
        <v>0</v>
      </c>
      <c r="K258" s="37" t="n">
        <v>0</v>
      </c>
      <c r="L258" s="36" t="n">
        <v>3</v>
      </c>
      <c r="M258" s="37" t="n">
        <v>0.6</v>
      </c>
      <c r="N258" s="36" t="n">
        <v>0</v>
      </c>
      <c r="O258" s="37" t="n">
        <v>0</v>
      </c>
      <c r="P258" s="36" t="n">
        <v>0</v>
      </c>
      <c r="Q258" s="37" t="n">
        <v>0</v>
      </c>
      <c r="R258" s="36" t="n">
        <v>5</v>
      </c>
      <c r="S258" s="37" t="n">
        <v>1</v>
      </c>
      <c r="T258" s="36" t="n">
        <v>4</v>
      </c>
      <c r="U258" s="37" t="n">
        <v>0.8</v>
      </c>
      <c r="V258" s="38" t="n">
        <v>0</v>
      </c>
      <c r="W258" s="38" t="n">
        <v>1.048</v>
      </c>
      <c r="X258" s="38" t="n">
        <v>4.948</v>
      </c>
      <c r="Y258" s="38" t="n">
        <v>36.80400000000002</v>
      </c>
      <c r="Z258" s="38" t="n">
        <v>0</v>
      </c>
      <c r="AA258" s="36" t="n">
        <v>15</v>
      </c>
      <c r="AB258" s="37" t="n">
        <v>0.75</v>
      </c>
      <c r="AC258" s="36" t="n">
        <v>3</v>
      </c>
      <c r="AD258" s="37" t="n">
        <v>1</v>
      </c>
      <c r="AE258" s="36" t="n">
        <v>12</v>
      </c>
      <c r="AF258" s="37" t="n">
        <v>0.7058823529411765</v>
      </c>
      <c r="AG258" s="36" t="n">
        <v>1</v>
      </c>
      <c r="AH258" s="37" t="n">
        <v>0.3333333333333333</v>
      </c>
    </row>
    <row r="259">
      <c r="A259" s="53" t="n">
        <v>45755</v>
      </c>
      <c r="B259" t="inlineStr">
        <is>
          <t>R05_Jawa Tengah DIY</t>
        </is>
      </c>
      <c r="C259" t="inlineStr">
        <is>
          <t>NOP PURWOKERTO</t>
        </is>
      </c>
      <c r="D259" s="38" t="n">
        <v>2.015</v>
      </c>
      <c r="E259" s="38" t="n">
        <v>0</v>
      </c>
      <c r="F259" s="36" t="n">
        <v>2.12</v>
      </c>
      <c r="G259" s="36" t="n">
        <v>1.694</v>
      </c>
      <c r="H259" s="36" t="n">
        <v>9</v>
      </c>
      <c r="I259" s="37" t="n">
        <v>0.6923076923076923</v>
      </c>
      <c r="J259" s="36" t="n">
        <v>2</v>
      </c>
      <c r="K259" s="37" t="n">
        <v>1</v>
      </c>
      <c r="L259" s="36" t="n">
        <v>7</v>
      </c>
      <c r="M259" s="37" t="n">
        <v>0.6363636363636364</v>
      </c>
      <c r="N259" s="36" t="n">
        <v>2</v>
      </c>
      <c r="O259" s="37" t="n">
        <v>1</v>
      </c>
      <c r="P259" s="36" t="n">
        <v>2</v>
      </c>
      <c r="Q259" s="37" t="n">
        <v>1</v>
      </c>
      <c r="R259" s="36" t="n">
        <v>13</v>
      </c>
      <c r="S259" s="37" t="n">
        <v>1</v>
      </c>
      <c r="T259" s="36" t="n">
        <v>6</v>
      </c>
      <c r="U259" s="37" t="n">
        <v>0.4615384615384616</v>
      </c>
      <c r="V259" s="38" t="n">
        <v>0.02</v>
      </c>
      <c r="W259" s="38" t="n">
        <v>2.466</v>
      </c>
      <c r="X259" s="38" t="n">
        <v>5.265999999999998</v>
      </c>
      <c r="Y259" s="38" t="n">
        <v>44.366</v>
      </c>
      <c r="Z259" s="38" t="n">
        <v>0</v>
      </c>
      <c r="AA259" s="36" t="n">
        <v>27</v>
      </c>
      <c r="AB259" s="37" t="n">
        <v>0.84375</v>
      </c>
      <c r="AC259" s="36" t="n">
        <v>6</v>
      </c>
      <c r="AD259" s="37" t="n">
        <v>0.6666666666666666</v>
      </c>
      <c r="AE259" s="36" t="n">
        <v>21</v>
      </c>
      <c r="AF259" s="37" t="n">
        <v>0.9130434782608695</v>
      </c>
      <c r="AG259" s="36" t="n">
        <v>4</v>
      </c>
      <c r="AH259" s="37" t="n">
        <v>0.6666666666666666</v>
      </c>
    </row>
    <row r="260">
      <c r="A260" s="53" t="n">
        <v>45755</v>
      </c>
      <c r="B260" t="inlineStr">
        <is>
          <t>R05_Jawa Tengah DIY</t>
        </is>
      </c>
      <c r="C260" t="inlineStr">
        <is>
          <t>NOP SEMARANG</t>
        </is>
      </c>
      <c r="D260" s="38" t="n">
        <v>3.48</v>
      </c>
      <c r="E260" s="38" t="n">
        <v>1.665</v>
      </c>
      <c r="F260" s="36" t="n">
        <v>1.646</v>
      </c>
      <c r="G260" s="36" t="n">
        <v>3.02</v>
      </c>
      <c r="H260" s="36" t="n">
        <v>5</v>
      </c>
      <c r="I260" s="37" t="n">
        <v>0.2941176470588235</v>
      </c>
      <c r="J260" s="36" t="n">
        <v>0</v>
      </c>
      <c r="K260" s="37" t="n">
        <v>0</v>
      </c>
      <c r="L260" s="36" t="n">
        <v>5</v>
      </c>
      <c r="M260" s="37" t="n">
        <v>0.3571428571428572</v>
      </c>
      <c r="N260" s="36" t="n">
        <v>0</v>
      </c>
      <c r="O260" s="37" t="n">
        <v>0</v>
      </c>
      <c r="P260" s="36" t="n">
        <v>0</v>
      </c>
      <c r="Q260" s="37" t="n">
        <v>0</v>
      </c>
      <c r="R260" s="36" t="n">
        <v>15</v>
      </c>
      <c r="S260" s="37" t="n">
        <v>0.8823529411764706</v>
      </c>
      <c r="T260" s="36" t="n">
        <v>4</v>
      </c>
      <c r="U260" s="37" t="n">
        <v>0.2352941176470588</v>
      </c>
      <c r="V260" s="38" t="n">
        <v>0</v>
      </c>
      <c r="W260" s="38" t="n">
        <v>0.79</v>
      </c>
      <c r="X260" s="38" t="n">
        <v>8.137000000000002</v>
      </c>
      <c r="Y260" s="38" t="n">
        <v>16.2</v>
      </c>
      <c r="Z260" s="38" t="n">
        <v>0</v>
      </c>
      <c r="AA260" s="36" t="n">
        <v>16</v>
      </c>
      <c r="AB260" s="37" t="n">
        <v>0.6666666666666666</v>
      </c>
      <c r="AC260" s="36" t="n">
        <v>0</v>
      </c>
      <c r="AD260" s="37" t="n">
        <v>0</v>
      </c>
      <c r="AE260" s="36" t="n">
        <v>16</v>
      </c>
      <c r="AF260" s="37" t="n">
        <v>0.6956521739130435</v>
      </c>
      <c r="AG260" s="36" t="n">
        <v>0</v>
      </c>
      <c r="AH260" s="37" t="n">
        <v>0</v>
      </c>
    </row>
    <row r="261">
      <c r="A261" s="53" t="n">
        <v>45755</v>
      </c>
      <c r="B261" t="inlineStr">
        <is>
          <t>R05_Jawa Tengah DIY</t>
        </is>
      </c>
      <c r="C261" t="inlineStr">
        <is>
          <t>NOP SURAKARTA</t>
        </is>
      </c>
      <c r="D261" s="38" t="n">
        <v>1.2</v>
      </c>
      <c r="E261" s="38" t="n">
        <v>0</v>
      </c>
      <c r="F261" s="36" t="n">
        <v>2.332</v>
      </c>
      <c r="G261" s="36" t="n">
        <v>1.034</v>
      </c>
      <c r="H261" s="36" t="n">
        <v>18</v>
      </c>
      <c r="I261" s="37" t="n">
        <v>0.5806451612903226</v>
      </c>
      <c r="J261" s="36" t="n">
        <v>1</v>
      </c>
      <c r="K261" s="37" t="n">
        <v>1</v>
      </c>
      <c r="L261" s="36" t="n">
        <v>17</v>
      </c>
      <c r="M261" s="37" t="n">
        <v>0.5666666666666667</v>
      </c>
      <c r="N261" s="36" t="n">
        <v>1</v>
      </c>
      <c r="O261" s="37" t="n">
        <v>1</v>
      </c>
      <c r="P261" s="36" t="n">
        <v>1</v>
      </c>
      <c r="Q261" s="37" t="n">
        <v>1</v>
      </c>
      <c r="R261" s="36" t="n">
        <v>31</v>
      </c>
      <c r="S261" s="37" t="n">
        <v>1</v>
      </c>
      <c r="T261" s="36" t="n">
        <v>11</v>
      </c>
      <c r="U261" s="37" t="n">
        <v>0.3548387096774194</v>
      </c>
      <c r="V261" s="38" t="n">
        <v>0</v>
      </c>
      <c r="W261" s="38" t="n">
        <v>2.41</v>
      </c>
      <c r="X261" s="38" t="n">
        <v>7.380000000000005</v>
      </c>
      <c r="Y261" s="38" t="n">
        <v>58.38600000000001</v>
      </c>
      <c r="Z261" s="38" t="n">
        <v>0</v>
      </c>
      <c r="AA261" s="36" t="n">
        <v>42</v>
      </c>
      <c r="AB261" s="37" t="n">
        <v>0.7241379310344828</v>
      </c>
      <c r="AC261" s="36" t="n">
        <v>6</v>
      </c>
      <c r="AD261" s="37" t="n">
        <v>0.4615384615384616</v>
      </c>
      <c r="AE261" s="36" t="n">
        <v>36</v>
      </c>
      <c r="AF261" s="37" t="n">
        <v>0.8</v>
      </c>
      <c r="AG261" s="36" t="n">
        <v>6</v>
      </c>
      <c r="AH261" s="37" t="n">
        <v>1</v>
      </c>
    </row>
    <row r="262">
      <c r="A262" s="53" t="n">
        <v>45755</v>
      </c>
      <c r="B262" t="inlineStr">
        <is>
          <t>R05_Jawa Tengah DIY</t>
        </is>
      </c>
      <c r="C262" t="inlineStr">
        <is>
          <t>NOP YOGYAKARTA</t>
        </is>
      </c>
      <c r="D262" s="38" t="n">
        <v>1.75</v>
      </c>
      <c r="E262" s="38" t="n">
        <v>0</v>
      </c>
      <c r="F262" s="36" t="n">
        <v>2.692</v>
      </c>
      <c r="G262" s="36" t="n">
        <v>2.878</v>
      </c>
      <c r="H262" s="36" t="n">
        <v>3</v>
      </c>
      <c r="I262" s="37" t="n">
        <v>0.3333333333333333</v>
      </c>
      <c r="J262" s="36" t="n">
        <v>1</v>
      </c>
      <c r="K262" s="37" t="n">
        <v>1</v>
      </c>
      <c r="L262" s="36" t="n">
        <v>2</v>
      </c>
      <c r="M262" s="37" t="n">
        <v>0.25</v>
      </c>
      <c r="N262" s="36" t="n">
        <v>1</v>
      </c>
      <c r="O262" s="37" t="n">
        <v>1</v>
      </c>
      <c r="P262" s="36" t="n">
        <v>1</v>
      </c>
      <c r="Q262" s="37" t="n">
        <v>1</v>
      </c>
      <c r="R262" s="36" t="n">
        <v>9</v>
      </c>
      <c r="S262" s="37" t="n">
        <v>1</v>
      </c>
      <c r="T262" s="36" t="n">
        <v>3</v>
      </c>
      <c r="U262" s="37" t="n">
        <v>0.3333333333333333</v>
      </c>
      <c r="V262" s="38" t="n">
        <v>0</v>
      </c>
      <c r="W262" s="38" t="n">
        <v>1.496</v>
      </c>
      <c r="X262" s="38" t="n">
        <v>14.571</v>
      </c>
      <c r="Y262" s="38" t="n">
        <v>50.15</v>
      </c>
      <c r="Z262" s="38" t="n">
        <v>0</v>
      </c>
      <c r="AA262" s="36" t="n">
        <v>35</v>
      </c>
      <c r="AB262" s="37" t="n">
        <v>0.9210526315789473</v>
      </c>
      <c r="AC262" s="36" t="n">
        <v>13</v>
      </c>
      <c r="AD262" s="37" t="n">
        <v>0.8666666666666667</v>
      </c>
      <c r="AE262" s="36" t="n">
        <v>22</v>
      </c>
      <c r="AF262" s="37" t="n">
        <v>0.9565217391304348</v>
      </c>
      <c r="AG262" s="36" t="n">
        <v>13</v>
      </c>
      <c r="AH262" s="37" t="n">
        <v>1</v>
      </c>
    </row>
    <row r="263">
      <c r="A263" s="53" t="n">
        <v>45755</v>
      </c>
      <c r="B263" t="inlineStr">
        <is>
          <t>R06_Jawa Timur</t>
        </is>
      </c>
      <c r="C263" t="inlineStr">
        <is>
          <t>NOP JEMBER</t>
        </is>
      </c>
      <c r="D263" s="38" t="n">
        <v>1.29</v>
      </c>
      <c r="E263" s="38" t="n">
        <v>0</v>
      </c>
      <c r="F263" s="36" t="n">
        <v>5.05</v>
      </c>
      <c r="G263" s="36" t="n">
        <v>6.816000000000003</v>
      </c>
      <c r="H263" s="36" t="n">
        <v>19</v>
      </c>
      <c r="I263" s="37" t="n">
        <v>0.7916666666666666</v>
      </c>
      <c r="J263" s="36" t="n">
        <v>1</v>
      </c>
      <c r="K263" s="37" t="n">
        <v>1</v>
      </c>
      <c r="L263" s="36" t="n">
        <v>18</v>
      </c>
      <c r="M263" s="37" t="n">
        <v>0.7826086956521739</v>
      </c>
      <c r="N263" s="36" t="n">
        <v>1</v>
      </c>
      <c r="O263" s="37" t="n">
        <v>1</v>
      </c>
      <c r="P263" s="36" t="n">
        <v>1</v>
      </c>
      <c r="Q263" s="37" t="n">
        <v>1</v>
      </c>
      <c r="R263" s="36" t="n">
        <v>24</v>
      </c>
      <c r="S263" s="37" t="n">
        <v>1</v>
      </c>
      <c r="T263" s="36" t="n">
        <v>15</v>
      </c>
      <c r="U263" s="37" t="n">
        <v>0.625</v>
      </c>
      <c r="V263" s="38" t="n">
        <v>0</v>
      </c>
      <c r="W263" s="38" t="n">
        <v>2.224000000000001</v>
      </c>
      <c r="X263" s="38" t="n">
        <v>3.731999999999999</v>
      </c>
      <c r="Y263" s="38" t="n">
        <v>19.11</v>
      </c>
      <c r="Z263" s="38" t="n">
        <v>0</v>
      </c>
      <c r="AA263" s="36" t="n">
        <v>22</v>
      </c>
      <c r="AB263" s="37" t="n">
        <v>0.7096774193548387</v>
      </c>
      <c r="AC263" s="36" t="n">
        <v>5</v>
      </c>
      <c r="AD263" s="37" t="n">
        <v>0.7142857142857143</v>
      </c>
      <c r="AE263" s="36" t="n">
        <v>17</v>
      </c>
      <c r="AF263" s="37" t="n">
        <v>0.7083333333333334</v>
      </c>
      <c r="AG263" s="36" t="n">
        <v>5</v>
      </c>
      <c r="AH263" s="37" t="n">
        <v>1</v>
      </c>
    </row>
    <row r="264">
      <c r="A264" s="53" t="n">
        <v>45755</v>
      </c>
      <c r="B264" t="inlineStr">
        <is>
          <t>R06_Jawa Timur</t>
        </is>
      </c>
      <c r="C264" t="inlineStr">
        <is>
          <t>NOP KEDIRI</t>
        </is>
      </c>
      <c r="D264" s="38" t="n">
        <v>0</v>
      </c>
      <c r="E264" s="38" t="n">
        <v>0</v>
      </c>
      <c r="F264" s="36" t="n">
        <v>0.348</v>
      </c>
      <c r="G264" s="36" t="n">
        <v>1.118</v>
      </c>
      <c r="H264" s="36" t="n">
        <v>1</v>
      </c>
      <c r="I264" s="37" t="n">
        <v>0.25</v>
      </c>
      <c r="J264" s="36" t="n">
        <v>0</v>
      </c>
      <c r="K264" s="37" t="n">
        <v>0</v>
      </c>
      <c r="L264" s="36" t="n">
        <v>1</v>
      </c>
      <c r="M264" s="37" t="n">
        <v>0.25</v>
      </c>
      <c r="N264" s="36" t="n">
        <v>0</v>
      </c>
      <c r="O264" s="37" t="n">
        <v>0</v>
      </c>
      <c r="P264" s="36" t="n">
        <v>0</v>
      </c>
      <c r="Q264" s="37" t="n">
        <v>0</v>
      </c>
      <c r="R264" s="36" t="n">
        <v>4</v>
      </c>
      <c r="S264" s="37" t="n">
        <v>1</v>
      </c>
      <c r="T264" s="36" t="n">
        <v>1</v>
      </c>
      <c r="U264" s="37" t="n">
        <v>0.25</v>
      </c>
      <c r="V264" s="38" t="n">
        <v>0</v>
      </c>
      <c r="W264" s="38" t="n">
        <v>1.474</v>
      </c>
      <c r="X264" s="38" t="n">
        <v>2.435</v>
      </c>
      <c r="Y264" s="38" t="n">
        <v>0</v>
      </c>
      <c r="Z264" s="38" t="n">
        <v>0</v>
      </c>
      <c r="AA264" s="36" t="n">
        <v>8</v>
      </c>
      <c r="AB264" s="37" t="n">
        <v>1</v>
      </c>
      <c r="AC264" s="36" t="n">
        <v>2</v>
      </c>
      <c r="AD264" s="37" t="n">
        <v>1</v>
      </c>
      <c r="AE264" s="36" t="n">
        <v>6</v>
      </c>
      <c r="AF264" s="37" t="n">
        <v>1</v>
      </c>
      <c r="AG264" s="36" t="n">
        <v>0</v>
      </c>
      <c r="AH264" s="37" t="n">
        <v>0</v>
      </c>
    </row>
    <row r="265">
      <c r="A265" s="53" t="n">
        <v>45755</v>
      </c>
      <c r="B265" t="inlineStr">
        <is>
          <t>R06_Jawa Timur</t>
        </is>
      </c>
      <c r="C265" t="inlineStr">
        <is>
          <t>NOP LAMONGAN</t>
        </is>
      </c>
      <c r="D265" s="38" t="n">
        <v>0</v>
      </c>
      <c r="E265" s="38" t="n">
        <v>0</v>
      </c>
      <c r="F265" s="36" t="n">
        <v>1.164</v>
      </c>
      <c r="G265" s="36" t="n">
        <v>1.96</v>
      </c>
      <c r="H265" s="36" t="n">
        <v>3</v>
      </c>
      <c r="I265" s="37" t="n">
        <v>0.375</v>
      </c>
      <c r="J265" s="36" t="n">
        <v>0</v>
      </c>
      <c r="K265" s="37" t="n">
        <v>0</v>
      </c>
      <c r="L265" s="36" t="n">
        <v>3</v>
      </c>
      <c r="M265" s="37" t="n">
        <v>0.375</v>
      </c>
      <c r="N265" s="36" t="n">
        <v>0</v>
      </c>
      <c r="O265" s="37" t="n">
        <v>0</v>
      </c>
      <c r="P265" s="36" t="n">
        <v>0</v>
      </c>
      <c r="Q265" s="37" t="n">
        <v>0</v>
      </c>
      <c r="R265" s="36" t="n">
        <v>8</v>
      </c>
      <c r="S265" s="37" t="n">
        <v>1</v>
      </c>
      <c r="T265" s="36" t="n">
        <v>6</v>
      </c>
      <c r="U265" s="37" t="n">
        <v>0.75</v>
      </c>
      <c r="V265" s="38" t="n">
        <v>0</v>
      </c>
      <c r="W265" s="38" t="n">
        <v>0.89</v>
      </c>
      <c r="X265" s="38" t="n">
        <v>0</v>
      </c>
      <c r="Y265" s="38" t="n">
        <v>7.5</v>
      </c>
      <c r="Z265" s="38" t="n">
        <v>0</v>
      </c>
      <c r="AA265" s="36" t="n">
        <v>1</v>
      </c>
      <c r="AB265" s="37" t="n">
        <v>0.5</v>
      </c>
      <c r="AC265" s="36" t="n">
        <v>1</v>
      </c>
      <c r="AD265" s="37" t="n">
        <v>1</v>
      </c>
      <c r="AE265" s="36" t="n">
        <v>0</v>
      </c>
      <c r="AF265" s="37" t="n">
        <v>0</v>
      </c>
      <c r="AG265" s="36" t="n">
        <v>1</v>
      </c>
      <c r="AH265" s="37" t="n">
        <v>1</v>
      </c>
    </row>
    <row r="266">
      <c r="A266" s="53" t="n">
        <v>45755</v>
      </c>
      <c r="B266" t="inlineStr">
        <is>
          <t>R06_Jawa Timur</t>
        </is>
      </c>
      <c r="C266" t="inlineStr">
        <is>
          <t>NOP MADIUN</t>
        </is>
      </c>
      <c r="D266" s="38" t="n">
        <v>0</v>
      </c>
      <c r="E266" s="38" t="n">
        <v>0</v>
      </c>
      <c r="F266" s="36" t="n">
        <v>1.09</v>
      </c>
      <c r="G266" s="36" t="n">
        <v>0.945</v>
      </c>
      <c r="H266" s="36" t="n">
        <v>2</v>
      </c>
      <c r="I266" s="37" t="n">
        <v>0.4</v>
      </c>
      <c r="J266" s="36" t="n">
        <v>0</v>
      </c>
      <c r="K266" s="37" t="n">
        <v>0</v>
      </c>
      <c r="L266" s="36" t="n">
        <v>2</v>
      </c>
      <c r="M266" s="37" t="n">
        <v>0.4</v>
      </c>
      <c r="N266" s="36" t="n">
        <v>0</v>
      </c>
      <c r="O266" s="37" t="n">
        <v>0</v>
      </c>
      <c r="P266" s="36" t="n">
        <v>0</v>
      </c>
      <c r="Q266" s="37" t="n">
        <v>0</v>
      </c>
      <c r="R266" s="36" t="n">
        <v>5</v>
      </c>
      <c r="S266" s="37" t="n">
        <v>1</v>
      </c>
      <c r="T266" s="36" t="n">
        <v>1</v>
      </c>
      <c r="U266" s="37" t="n">
        <v>0.2</v>
      </c>
      <c r="V266" s="38" t="n">
        <v>0</v>
      </c>
      <c r="W266" s="38" t="n">
        <v>1.433</v>
      </c>
      <c r="X266" s="38" t="n">
        <v>3.66</v>
      </c>
      <c r="Y266" s="38" t="n">
        <v>8.1</v>
      </c>
      <c r="Z266" s="38" t="n">
        <v>0</v>
      </c>
      <c r="AA266" s="36" t="n">
        <v>5</v>
      </c>
      <c r="AB266" s="37" t="n">
        <v>0.7142857142857143</v>
      </c>
      <c r="AC266" s="36" t="n">
        <v>1</v>
      </c>
      <c r="AD266" s="37" t="n">
        <v>0.5</v>
      </c>
      <c r="AE266" s="36" t="n">
        <v>4</v>
      </c>
      <c r="AF266" s="37" t="n">
        <v>0.8</v>
      </c>
      <c r="AG266" s="36" t="n">
        <v>1</v>
      </c>
      <c r="AH266" s="37" t="n">
        <v>1</v>
      </c>
    </row>
    <row r="267">
      <c r="A267" s="53" t="n">
        <v>45755</v>
      </c>
      <c r="B267" t="inlineStr">
        <is>
          <t>R06_Jawa Timur</t>
        </is>
      </c>
      <c r="C267" t="inlineStr">
        <is>
          <t>NOP MALANG</t>
        </is>
      </c>
      <c r="D267" s="38" t="n">
        <v>0</v>
      </c>
      <c r="E267" s="38" t="n">
        <v>0</v>
      </c>
      <c r="F267" s="36" t="n">
        <v>2.495</v>
      </c>
      <c r="G267" s="36" t="n">
        <v>2.144</v>
      </c>
      <c r="H267" s="36" t="n">
        <v>9</v>
      </c>
      <c r="I267" s="37" t="n">
        <v>0.9</v>
      </c>
      <c r="J267" s="36" t="n">
        <v>0</v>
      </c>
      <c r="K267" s="37" t="n">
        <v>0</v>
      </c>
      <c r="L267" s="36" t="n">
        <v>9</v>
      </c>
      <c r="M267" s="37" t="n">
        <v>0.9</v>
      </c>
      <c r="N267" s="36" t="n">
        <v>0</v>
      </c>
      <c r="O267" s="37" t="n">
        <v>0</v>
      </c>
      <c r="P267" s="36" t="n">
        <v>0</v>
      </c>
      <c r="Q267" s="37" t="n">
        <v>0</v>
      </c>
      <c r="R267" s="36" t="n">
        <v>10</v>
      </c>
      <c r="S267" s="37" t="n">
        <v>1</v>
      </c>
      <c r="T267" s="36" t="n">
        <v>10</v>
      </c>
      <c r="U267" s="37" t="n">
        <v>1</v>
      </c>
      <c r="V267" s="38" t="n">
        <v>0</v>
      </c>
      <c r="W267" s="38" t="n">
        <v>0.9099999999999999</v>
      </c>
      <c r="X267" s="38" t="n">
        <v>1.62</v>
      </c>
      <c r="Y267" s="38" t="n">
        <v>51.886</v>
      </c>
      <c r="Z267" s="38" t="n">
        <v>0</v>
      </c>
      <c r="AA267" s="36" t="n">
        <v>11</v>
      </c>
      <c r="AB267" s="37" t="n">
        <v>0.7333333333333333</v>
      </c>
      <c r="AC267" s="36" t="n">
        <v>4</v>
      </c>
      <c r="AD267" s="37" t="n">
        <v>0.6666666666666666</v>
      </c>
      <c r="AE267" s="36" t="n">
        <v>7</v>
      </c>
      <c r="AF267" s="37" t="n">
        <v>0.7777777777777778</v>
      </c>
      <c r="AG267" s="36" t="n">
        <v>2</v>
      </c>
      <c r="AH267" s="37" t="n">
        <v>0.5</v>
      </c>
    </row>
    <row r="268">
      <c r="A268" s="53" t="n">
        <v>45755</v>
      </c>
      <c r="B268" t="inlineStr">
        <is>
          <t>R06_Jawa Timur</t>
        </is>
      </c>
      <c r="C268" t="inlineStr">
        <is>
          <t>NOP SIDOARJO</t>
        </is>
      </c>
      <c r="D268" s="38" t="n">
        <v>1.29</v>
      </c>
      <c r="E268" s="38" t="n">
        <v>0</v>
      </c>
      <c r="F268" s="36" t="n">
        <v>3.05</v>
      </c>
      <c r="G268" s="36" t="n">
        <v>3.328</v>
      </c>
      <c r="H268" s="36" t="n">
        <v>8</v>
      </c>
      <c r="I268" s="37" t="n">
        <v>0.6666666666666666</v>
      </c>
      <c r="J268" s="36" t="n">
        <v>1</v>
      </c>
      <c r="K268" s="37" t="n">
        <v>1</v>
      </c>
      <c r="L268" s="36" t="n">
        <v>7</v>
      </c>
      <c r="M268" s="37" t="n">
        <v>0.6363636363636364</v>
      </c>
      <c r="N268" s="36" t="n">
        <v>1</v>
      </c>
      <c r="O268" s="37" t="n">
        <v>1</v>
      </c>
      <c r="P268" s="36" t="n">
        <v>1</v>
      </c>
      <c r="Q268" s="37" t="n">
        <v>1</v>
      </c>
      <c r="R268" s="36" t="n">
        <v>12</v>
      </c>
      <c r="S268" s="37" t="n">
        <v>1</v>
      </c>
      <c r="T268" s="36" t="n">
        <v>8</v>
      </c>
      <c r="U268" s="37" t="n">
        <v>0.6666666666666666</v>
      </c>
      <c r="V268" s="38" t="n">
        <v>0</v>
      </c>
      <c r="W268" s="38" t="n">
        <v>1.192</v>
      </c>
      <c r="X268" s="38" t="n">
        <v>11.643</v>
      </c>
      <c r="Y268" s="38" t="n">
        <v>6.73</v>
      </c>
      <c r="Z268" s="38" t="n">
        <v>0</v>
      </c>
      <c r="AA268" s="36" t="n">
        <v>10</v>
      </c>
      <c r="AB268" s="37" t="n">
        <v>0.7142857142857143</v>
      </c>
      <c r="AC268" s="36" t="n">
        <v>1</v>
      </c>
      <c r="AD268" s="37" t="n">
        <v>0.3333333333333333</v>
      </c>
      <c r="AE268" s="36" t="n">
        <v>9</v>
      </c>
      <c r="AF268" s="37" t="n">
        <v>0.8181818181818182</v>
      </c>
      <c r="AG268" s="36" t="n">
        <v>1</v>
      </c>
      <c r="AH268" s="37" t="n">
        <v>1</v>
      </c>
    </row>
    <row r="269">
      <c r="A269" s="53" t="n">
        <v>45755</v>
      </c>
      <c r="B269" t="inlineStr">
        <is>
          <t>R06_Jawa Timur</t>
        </is>
      </c>
      <c r="C269" t="inlineStr">
        <is>
          <t>NOP SURABAYA</t>
        </is>
      </c>
      <c r="D269" s="38" t="n">
        <v>1.87</v>
      </c>
      <c r="E269" s="38" t="n">
        <v>0</v>
      </c>
      <c r="F269" s="36" t="n">
        <v>3.222</v>
      </c>
      <c r="G269" s="36" t="n">
        <v>1.572</v>
      </c>
      <c r="H269" s="36" t="n">
        <v>6</v>
      </c>
      <c r="I269" s="37" t="n">
        <v>0.4</v>
      </c>
      <c r="J269" s="36" t="n">
        <v>1</v>
      </c>
      <c r="K269" s="37" t="n">
        <v>1</v>
      </c>
      <c r="L269" s="36" t="n">
        <v>5</v>
      </c>
      <c r="M269" s="37" t="n">
        <v>0.3571428571428572</v>
      </c>
      <c r="N269" s="36" t="n">
        <v>1</v>
      </c>
      <c r="O269" s="37" t="n">
        <v>1</v>
      </c>
      <c r="P269" s="36" t="n">
        <v>1</v>
      </c>
      <c r="Q269" s="37" t="n">
        <v>1</v>
      </c>
      <c r="R269" s="36" t="n">
        <v>15</v>
      </c>
      <c r="S269" s="37" t="n">
        <v>1</v>
      </c>
      <c r="T269" s="36" t="n">
        <v>6</v>
      </c>
      <c r="U269" s="37" t="n">
        <v>0.4</v>
      </c>
      <c r="V269" s="38" t="n">
        <v>0</v>
      </c>
      <c r="W269" s="38" t="n">
        <v>3.119</v>
      </c>
      <c r="X269" s="38" t="n">
        <v>8.719999999999999</v>
      </c>
      <c r="Y269" s="38" t="n">
        <v>20</v>
      </c>
      <c r="Z269" s="38" t="n">
        <v>0</v>
      </c>
      <c r="AA269" s="36" t="n">
        <v>11</v>
      </c>
      <c r="AB269" s="37" t="n">
        <v>0.4230769230769231</v>
      </c>
      <c r="AC269" s="36" t="n">
        <v>0</v>
      </c>
      <c r="AD269" s="37" t="n">
        <v>0</v>
      </c>
      <c r="AE269" s="36" t="n">
        <v>11</v>
      </c>
      <c r="AF269" s="37" t="n">
        <v>0.4583333333333333</v>
      </c>
      <c r="AG269" s="36" t="n">
        <v>0</v>
      </c>
      <c r="AH269" s="37" t="n">
        <v>0</v>
      </c>
    </row>
    <row r="270">
      <c r="A270" s="53" t="n">
        <v>45755</v>
      </c>
      <c r="B270" t="inlineStr">
        <is>
          <t>R07_Bali Nusra</t>
        </is>
      </c>
      <c r="C270" t="inlineStr">
        <is>
          <t>NOP DENPASAR</t>
        </is>
      </c>
      <c r="D270" s="38" t="n">
        <v>0.61</v>
      </c>
      <c r="E270" s="38" t="n">
        <v>0</v>
      </c>
      <c r="F270" s="36" t="n">
        <v>5.5</v>
      </c>
      <c r="G270" s="36" t="n">
        <v>32.055</v>
      </c>
      <c r="H270" s="36" t="n">
        <v>13</v>
      </c>
      <c r="I270" s="37" t="n">
        <v>0.8666666666666667</v>
      </c>
      <c r="J270" s="36" t="n">
        <v>1</v>
      </c>
      <c r="K270" s="37" t="n">
        <v>1</v>
      </c>
      <c r="L270" s="36" t="n">
        <v>12</v>
      </c>
      <c r="M270" s="37" t="n">
        <v>0.8571428571428571</v>
      </c>
      <c r="N270" s="36" t="n">
        <v>1</v>
      </c>
      <c r="O270" s="37" t="n">
        <v>1</v>
      </c>
      <c r="P270" s="36" t="n">
        <v>1</v>
      </c>
      <c r="Q270" s="37" t="n">
        <v>1</v>
      </c>
      <c r="R270" s="36" t="n">
        <v>13</v>
      </c>
      <c r="S270" s="37" t="n">
        <v>0.8666666666666667</v>
      </c>
      <c r="T270" s="36" t="n">
        <v>10</v>
      </c>
      <c r="U270" s="37" t="n">
        <v>0.6666666666666666</v>
      </c>
      <c r="V270" s="38" t="n">
        <v>0</v>
      </c>
      <c r="W270" s="38" t="n">
        <v>0</v>
      </c>
      <c r="X270" s="38" t="n">
        <v>21.92000000000002</v>
      </c>
      <c r="Y270" s="38" t="n">
        <v>6.67</v>
      </c>
      <c r="Z270" s="38" t="n">
        <v>0</v>
      </c>
      <c r="AA270" s="36" t="n">
        <v>16</v>
      </c>
      <c r="AB270" s="37" t="n">
        <v>0.8421052631578947</v>
      </c>
      <c r="AC270" s="36" t="n">
        <v>0</v>
      </c>
      <c r="AD270" s="37" t="n">
        <v>0</v>
      </c>
      <c r="AE270" s="36" t="n">
        <v>16</v>
      </c>
      <c r="AF270" s="37" t="n">
        <v>0.8421052631578947</v>
      </c>
      <c r="AG270" s="36" t="n">
        <v>0</v>
      </c>
      <c r="AH270" s="37" t="n">
        <v>0</v>
      </c>
    </row>
    <row r="271">
      <c r="A271" s="53" t="n">
        <v>45755</v>
      </c>
      <c r="B271" t="inlineStr">
        <is>
          <t>R07_Bali Nusra</t>
        </is>
      </c>
      <c r="C271" t="inlineStr">
        <is>
          <t>NOP FLORES</t>
        </is>
      </c>
      <c r="D271" s="38" t="n">
        <v>0.53</v>
      </c>
      <c r="E271" s="38" t="n">
        <v>5.946000000000002</v>
      </c>
      <c r="F271" s="36" t="n">
        <v>9.885000000000002</v>
      </c>
      <c r="G271" s="36" t="n">
        <v>11.97</v>
      </c>
      <c r="H271" s="36" t="n">
        <v>37</v>
      </c>
      <c r="I271" s="37" t="n">
        <v>0.6166666666666667</v>
      </c>
      <c r="J271" s="36" t="n">
        <v>6</v>
      </c>
      <c r="K271" s="37" t="n">
        <v>0.4615384615384616</v>
      </c>
      <c r="L271" s="36" t="n">
        <v>31</v>
      </c>
      <c r="M271" s="37" t="n">
        <v>0.6595744680851063</v>
      </c>
      <c r="N271" s="36" t="n">
        <v>3</v>
      </c>
      <c r="O271" s="37" t="n">
        <v>0.5</v>
      </c>
      <c r="P271" s="36" t="n">
        <v>3</v>
      </c>
      <c r="Q271" s="37" t="n">
        <v>0.5</v>
      </c>
      <c r="R271" s="36" t="n">
        <v>60</v>
      </c>
      <c r="S271" s="37" t="n">
        <v>1</v>
      </c>
      <c r="T271" s="36" t="n">
        <v>16</v>
      </c>
      <c r="U271" s="37" t="n">
        <v>0.2666666666666667</v>
      </c>
      <c r="V271" s="38" t="n">
        <v>0.17</v>
      </c>
      <c r="W271" s="38" t="n">
        <v>7.090000000000003</v>
      </c>
      <c r="X271" s="38" t="n">
        <v>28.12600000000004</v>
      </c>
      <c r="Y271" s="38" t="n">
        <v>24.238</v>
      </c>
      <c r="Z271" s="38" t="n">
        <v>0</v>
      </c>
      <c r="AA271" s="36" t="n">
        <v>59</v>
      </c>
      <c r="AB271" s="37" t="n">
        <v>0.5959595959595959</v>
      </c>
      <c r="AC271" s="36" t="n">
        <v>48</v>
      </c>
      <c r="AD271" s="37" t="n">
        <v>0.631578947368421</v>
      </c>
      <c r="AE271" s="36" t="n">
        <v>11</v>
      </c>
      <c r="AF271" s="37" t="n">
        <v>0.4782608695652174</v>
      </c>
      <c r="AG271" s="36" t="n">
        <v>23</v>
      </c>
      <c r="AH271" s="37" t="n">
        <v>0.4791666666666667</v>
      </c>
    </row>
    <row r="272">
      <c r="A272" s="53" t="n">
        <v>45755</v>
      </c>
      <c r="B272" t="inlineStr">
        <is>
          <t>R07_Bali Nusra</t>
        </is>
      </c>
      <c r="C272" t="inlineStr">
        <is>
          <t>NOP KUPANG</t>
        </is>
      </c>
      <c r="D272" s="38" t="n">
        <v>0</v>
      </c>
      <c r="E272" s="38" t="n">
        <v>1.661</v>
      </c>
      <c r="F272" s="36" t="n">
        <v>3.56</v>
      </c>
      <c r="G272" s="36" t="n">
        <v>6.705</v>
      </c>
      <c r="H272" s="36" t="n">
        <v>18</v>
      </c>
      <c r="I272" s="37" t="n">
        <v>0.5294117647058824</v>
      </c>
      <c r="J272" s="36" t="n">
        <v>1</v>
      </c>
      <c r="K272" s="37" t="n">
        <v>0.5</v>
      </c>
      <c r="L272" s="36" t="n">
        <v>17</v>
      </c>
      <c r="M272" s="37" t="n">
        <v>0.53125</v>
      </c>
      <c r="N272" s="36" t="n">
        <v>1</v>
      </c>
      <c r="O272" s="37" t="n">
        <v>1</v>
      </c>
      <c r="P272" s="36" t="n">
        <v>1</v>
      </c>
      <c r="Q272" s="37" t="n">
        <v>1</v>
      </c>
      <c r="R272" s="36" t="n">
        <v>34</v>
      </c>
      <c r="S272" s="37" t="n">
        <v>1</v>
      </c>
      <c r="T272" s="36" t="n">
        <v>4</v>
      </c>
      <c r="U272" s="37" t="n">
        <v>0.1176470588235294</v>
      </c>
      <c r="V272" s="38" t="n">
        <v>0</v>
      </c>
      <c r="W272" s="38" t="n">
        <v>38.988</v>
      </c>
      <c r="X272" s="38" t="n">
        <v>12.665</v>
      </c>
      <c r="Y272" s="38" t="n">
        <v>531.77</v>
      </c>
      <c r="Z272" s="38" t="n">
        <v>0</v>
      </c>
      <c r="AA272" s="36" t="n">
        <v>26</v>
      </c>
      <c r="AB272" s="37" t="n">
        <v>0.5416666666666666</v>
      </c>
      <c r="AC272" s="36" t="n">
        <v>18</v>
      </c>
      <c r="AD272" s="37" t="n">
        <v>0.6206896551724138</v>
      </c>
      <c r="AE272" s="36" t="n">
        <v>8</v>
      </c>
      <c r="AF272" s="37" t="n">
        <v>0.4210526315789473</v>
      </c>
      <c r="AG272" s="36" t="n">
        <v>11</v>
      </c>
      <c r="AH272" s="37" t="n">
        <v>0.6111111111111112</v>
      </c>
    </row>
    <row r="273">
      <c r="A273" s="53" t="n">
        <v>45755</v>
      </c>
      <c r="B273" t="inlineStr">
        <is>
          <t>R07_Bali Nusra</t>
        </is>
      </c>
      <c r="C273" t="inlineStr">
        <is>
          <t>NOP MATARAM</t>
        </is>
      </c>
      <c r="D273" s="38" t="n">
        <v>0</v>
      </c>
      <c r="E273" s="38" t="n">
        <v>17.996</v>
      </c>
      <c r="F273" s="36" t="n">
        <v>4.952</v>
      </c>
      <c r="G273" s="36" t="n">
        <v>3.544</v>
      </c>
      <c r="H273" s="36" t="n">
        <v>11</v>
      </c>
      <c r="I273" s="37" t="n">
        <v>0.6470588235294118</v>
      </c>
      <c r="J273" s="36" t="n">
        <v>1</v>
      </c>
      <c r="K273" s="37" t="n">
        <v>0.3333333333333333</v>
      </c>
      <c r="L273" s="36" t="n">
        <v>10</v>
      </c>
      <c r="M273" s="37" t="n">
        <v>0.7142857142857143</v>
      </c>
      <c r="N273" s="36" t="n">
        <v>1</v>
      </c>
      <c r="O273" s="37" t="n">
        <v>1</v>
      </c>
      <c r="P273" s="36" t="n">
        <v>1</v>
      </c>
      <c r="Q273" s="37" t="n">
        <v>1</v>
      </c>
      <c r="R273" s="36" t="n">
        <v>17</v>
      </c>
      <c r="S273" s="37" t="n">
        <v>1</v>
      </c>
      <c r="T273" s="36" t="n">
        <v>7</v>
      </c>
      <c r="U273" s="37" t="n">
        <v>0.4117647058823529</v>
      </c>
      <c r="V273" s="38" t="n">
        <v>0</v>
      </c>
      <c r="W273" s="38" t="n">
        <v>7.83</v>
      </c>
      <c r="X273" s="38" t="n">
        <v>4.998</v>
      </c>
      <c r="Y273" s="38" t="n">
        <v>25.67</v>
      </c>
      <c r="Z273" s="38" t="n">
        <v>0</v>
      </c>
      <c r="AA273" s="36" t="n">
        <v>16</v>
      </c>
      <c r="AB273" s="37" t="n">
        <v>0.2711864406779661</v>
      </c>
      <c r="AC273" s="36" t="n">
        <v>7</v>
      </c>
      <c r="AD273" s="37" t="n">
        <v>0.2258064516129032</v>
      </c>
      <c r="AE273" s="36" t="n">
        <v>9</v>
      </c>
      <c r="AF273" s="37" t="n">
        <v>0.3214285714285715</v>
      </c>
      <c r="AG273" s="36" t="n">
        <v>2</v>
      </c>
      <c r="AH273" s="37" t="n">
        <v>0.2857142857142857</v>
      </c>
    </row>
    <row r="274">
      <c r="A274" s="53" t="n">
        <v>45756</v>
      </c>
      <c r="B274" t="inlineStr">
        <is>
          <t>R01_Sumbagut</t>
        </is>
      </c>
      <c r="C274" t="inlineStr">
        <is>
          <t>NOP ACEH</t>
        </is>
      </c>
      <c r="D274" s="38" t="n">
        <v>0</v>
      </c>
      <c r="E274" s="38" t="n">
        <v>5.52</v>
      </c>
      <c r="F274" s="36" t="n">
        <v>29.095</v>
      </c>
      <c r="G274" s="36" t="n">
        <v>4.153000000000002</v>
      </c>
      <c r="H274" s="36" t="n">
        <v>67</v>
      </c>
      <c r="I274" s="37" t="n">
        <v>0.881578947368421</v>
      </c>
      <c r="J274" s="36" t="n">
        <v>15</v>
      </c>
      <c r="K274" s="37" t="n">
        <v>0.75</v>
      </c>
      <c r="L274" s="36" t="n">
        <v>52</v>
      </c>
      <c r="M274" s="37" t="n">
        <v>0.9285714285714286</v>
      </c>
      <c r="N274" s="36" t="n">
        <v>8</v>
      </c>
      <c r="O274" s="37" t="n">
        <v>0.5333333333333333</v>
      </c>
      <c r="P274" s="36" t="n">
        <v>8</v>
      </c>
      <c r="Q274" s="37" t="n">
        <v>0.5333333333333333</v>
      </c>
      <c r="R274" s="36" t="n">
        <v>76</v>
      </c>
      <c r="S274" s="37" t="n">
        <v>1</v>
      </c>
      <c r="T274" s="36" t="n">
        <v>22</v>
      </c>
      <c r="U274" s="37" t="n">
        <v>0.2894736842105263</v>
      </c>
      <c r="V274" s="38" t="n">
        <v>0.02</v>
      </c>
      <c r="W274" s="38" t="n">
        <v>3.122</v>
      </c>
      <c r="X274" s="38" t="n">
        <v>33.17</v>
      </c>
      <c r="Y274" s="38" t="n">
        <v>97.71599999999999</v>
      </c>
      <c r="Z274" s="38" t="n">
        <v>0</v>
      </c>
      <c r="AA274" s="36" t="n">
        <v>212</v>
      </c>
      <c r="AB274" s="37" t="n">
        <v>0.8412698412698413</v>
      </c>
      <c r="AC274" s="36" t="n">
        <v>13</v>
      </c>
      <c r="AD274" s="37" t="n">
        <v>0.4193548387096774</v>
      </c>
      <c r="AE274" s="36" t="n">
        <v>199</v>
      </c>
      <c r="AF274" s="37" t="n">
        <v>0.9004524886877828</v>
      </c>
      <c r="AG274" s="36" t="n">
        <v>0</v>
      </c>
      <c r="AH274" s="37" t="n">
        <v>0</v>
      </c>
    </row>
    <row r="275">
      <c r="A275" s="53" t="n">
        <v>45756</v>
      </c>
      <c r="B275" t="inlineStr">
        <is>
          <t>R01_Sumbagut</t>
        </is>
      </c>
      <c r="C275" t="inlineStr">
        <is>
          <t>NOP BINJAI</t>
        </is>
      </c>
      <c r="D275" s="38" t="n">
        <v>0</v>
      </c>
      <c r="E275" s="38" t="n">
        <v>5.404000000000002</v>
      </c>
      <c r="F275" s="36" t="n">
        <v>0</v>
      </c>
      <c r="G275" s="36" t="n">
        <v>2.22</v>
      </c>
      <c r="H275" s="36" t="n">
        <v>7</v>
      </c>
      <c r="I275" s="37" t="n">
        <v>0.4666666666666667</v>
      </c>
      <c r="J275" s="36" t="n">
        <v>4</v>
      </c>
      <c r="K275" s="37" t="n">
        <v>0.4444444444444444</v>
      </c>
      <c r="L275" s="36" t="n">
        <v>3</v>
      </c>
      <c r="M275" s="37" t="n">
        <v>0.5</v>
      </c>
      <c r="N275" s="36" t="n">
        <v>1</v>
      </c>
      <c r="O275" s="37" t="n">
        <v>0.25</v>
      </c>
      <c r="P275" s="36" t="n">
        <v>1</v>
      </c>
      <c r="Q275" s="37" t="n">
        <v>0.25</v>
      </c>
      <c r="R275" s="36" t="n">
        <v>15</v>
      </c>
      <c r="S275" s="37" t="n">
        <v>1</v>
      </c>
      <c r="T275" s="36" t="n">
        <v>5</v>
      </c>
      <c r="U275" s="37" t="n">
        <v>0.3333333333333333</v>
      </c>
      <c r="V275" s="38" t="n">
        <v>0</v>
      </c>
      <c r="W275" s="38" t="n">
        <v>1.752</v>
      </c>
      <c r="X275" s="38" t="n">
        <v>51.21000000000001</v>
      </c>
      <c r="Y275" s="38" t="n">
        <v>60.78800000000004</v>
      </c>
      <c r="Z275" s="38" t="n">
        <v>0</v>
      </c>
      <c r="AA275" s="36" t="n">
        <v>54</v>
      </c>
      <c r="AB275" s="37" t="n">
        <v>0.7941176470588235</v>
      </c>
      <c r="AC275" s="36" t="n">
        <v>5</v>
      </c>
      <c r="AD275" s="37" t="n">
        <v>0.7142857142857143</v>
      </c>
      <c r="AE275" s="36" t="n">
        <v>49</v>
      </c>
      <c r="AF275" s="37" t="n">
        <v>0.8032786885245902</v>
      </c>
      <c r="AG275" s="36" t="n">
        <v>2</v>
      </c>
      <c r="AH275" s="37" t="n">
        <v>0.4</v>
      </c>
    </row>
    <row r="276">
      <c r="A276" s="53" t="n">
        <v>45756</v>
      </c>
      <c r="B276" t="inlineStr">
        <is>
          <t>R01_Sumbagut</t>
        </is>
      </c>
      <c r="C276" t="inlineStr">
        <is>
          <t>NOP MEDAN</t>
        </is>
      </c>
      <c r="D276" s="38" t="n">
        <v>1.408</v>
      </c>
      <c r="E276" s="38" t="n">
        <v>4.953000000000001</v>
      </c>
      <c r="F276" s="36" t="n">
        <v>3.94</v>
      </c>
      <c r="G276" s="36" t="n">
        <v>3.45</v>
      </c>
      <c r="H276" s="36" t="n">
        <v>39</v>
      </c>
      <c r="I276" s="37" t="n">
        <v>0.5492957746478874</v>
      </c>
      <c r="J276" s="36" t="n">
        <v>13</v>
      </c>
      <c r="K276" s="37" t="n">
        <v>0.5909090909090909</v>
      </c>
      <c r="L276" s="36" t="n">
        <v>26</v>
      </c>
      <c r="M276" s="37" t="n">
        <v>0.5306122448979592</v>
      </c>
      <c r="N276" s="36" t="n">
        <v>11</v>
      </c>
      <c r="O276" s="37" t="n">
        <v>0.8461538461538461</v>
      </c>
      <c r="P276" s="36" t="n">
        <v>11</v>
      </c>
      <c r="Q276" s="37" t="n">
        <v>0.8461538461538461</v>
      </c>
      <c r="R276" s="36" t="n">
        <v>71</v>
      </c>
      <c r="S276" s="37" t="n">
        <v>1</v>
      </c>
      <c r="T276" s="36" t="n">
        <v>26</v>
      </c>
      <c r="U276" s="37" t="n">
        <v>0.3661971830985916</v>
      </c>
      <c r="V276" s="38" t="n">
        <v>0</v>
      </c>
      <c r="W276" s="38" t="n">
        <v>2.002000000000001</v>
      </c>
      <c r="X276" s="38" t="n">
        <v>7.001999999999995</v>
      </c>
      <c r="Y276" s="38" t="n">
        <v>10.33</v>
      </c>
      <c r="Z276" s="38" t="n">
        <v>0</v>
      </c>
      <c r="AA276" s="36" t="n">
        <v>14</v>
      </c>
      <c r="AB276" s="37" t="n">
        <v>0.2058823529411765</v>
      </c>
      <c r="AC276" s="36" t="n">
        <v>2</v>
      </c>
      <c r="AD276" s="37" t="n">
        <v>0.06666666666666667</v>
      </c>
      <c r="AE276" s="36" t="n">
        <v>12</v>
      </c>
      <c r="AF276" s="37" t="n">
        <v>0.3333333333333333</v>
      </c>
      <c r="AG276" s="36" t="n">
        <v>2</v>
      </c>
      <c r="AH276" s="37" t="n">
        <v>1</v>
      </c>
    </row>
    <row r="277">
      <c r="A277" s="53" t="n">
        <v>45756</v>
      </c>
      <c r="B277" t="inlineStr">
        <is>
          <t>R01_Sumbagut</t>
        </is>
      </c>
      <c r="C277" t="inlineStr">
        <is>
          <t>NOP PADANG SIDEMPUAN</t>
        </is>
      </c>
      <c r="D277" s="38" t="n">
        <v>0</v>
      </c>
      <c r="E277" s="38" t="n">
        <v>3.53</v>
      </c>
      <c r="F277" s="36" t="n">
        <v>4.447</v>
      </c>
      <c r="G277" s="36" t="n">
        <v>3.258000000000001</v>
      </c>
      <c r="H277" s="36" t="n">
        <v>11</v>
      </c>
      <c r="I277" s="37" t="n">
        <v>0.125</v>
      </c>
      <c r="J277" s="36" t="n">
        <v>1</v>
      </c>
      <c r="K277" s="37" t="n">
        <v>0.2</v>
      </c>
      <c r="L277" s="36" t="n">
        <v>10</v>
      </c>
      <c r="M277" s="37" t="n">
        <v>0.1204819277108434</v>
      </c>
      <c r="N277" s="36" t="n">
        <v>1</v>
      </c>
      <c r="O277" s="37" t="n">
        <v>1</v>
      </c>
      <c r="P277" s="36" t="n">
        <v>1</v>
      </c>
      <c r="Q277" s="37" t="n">
        <v>1</v>
      </c>
      <c r="R277" s="36" t="n">
        <v>87</v>
      </c>
      <c r="S277" s="37" t="n">
        <v>0.9886363636363636</v>
      </c>
      <c r="T277" s="36" t="n">
        <v>7</v>
      </c>
      <c r="U277" s="37" t="n">
        <v>0.07954545454545454</v>
      </c>
      <c r="V277" s="38" t="n">
        <v>0.019</v>
      </c>
      <c r="W277" s="38" t="n">
        <v>2.495</v>
      </c>
      <c r="X277" s="38" t="n">
        <v>11.759</v>
      </c>
      <c r="Y277" s="38" t="n">
        <v>224.1920000000003</v>
      </c>
      <c r="Z277" s="38" t="n">
        <v>0</v>
      </c>
      <c r="AA277" s="36" t="n">
        <v>94</v>
      </c>
      <c r="AB277" s="37" t="n">
        <v>0.3775100401606425</v>
      </c>
      <c r="AC277" s="36" t="n">
        <v>25</v>
      </c>
      <c r="AD277" s="37" t="n">
        <v>0.3676470588235294</v>
      </c>
      <c r="AE277" s="36" t="n">
        <v>69</v>
      </c>
      <c r="AF277" s="37" t="n">
        <v>0.3812154696132597</v>
      </c>
      <c r="AG277" s="36" t="n">
        <v>14</v>
      </c>
      <c r="AH277" s="37" t="n">
        <v>0.5600000000000001</v>
      </c>
    </row>
    <row r="278">
      <c r="A278" s="53" t="n">
        <v>45756</v>
      </c>
      <c r="B278" t="inlineStr">
        <is>
          <t>R01_Sumbagut</t>
        </is>
      </c>
      <c r="C278" t="inlineStr">
        <is>
          <t>NOP PEMATANG SIANTAR</t>
        </is>
      </c>
      <c r="D278" s="38" t="n">
        <v>0</v>
      </c>
      <c r="E278" s="38" t="n">
        <v>4.984999999999999</v>
      </c>
      <c r="F278" s="36" t="n">
        <v>5.736000000000002</v>
      </c>
      <c r="G278" s="36" t="n">
        <v>4.612000000000003</v>
      </c>
      <c r="H278" s="36" t="n">
        <v>37</v>
      </c>
      <c r="I278" s="37" t="n">
        <v>0.3592233009708738</v>
      </c>
      <c r="J278" s="36" t="n">
        <v>6</v>
      </c>
      <c r="K278" s="37" t="n">
        <v>0.2307692307692308</v>
      </c>
      <c r="L278" s="36" t="n">
        <v>31</v>
      </c>
      <c r="M278" s="37" t="n">
        <v>0.4025974025974026</v>
      </c>
      <c r="N278" s="36" t="n">
        <v>5</v>
      </c>
      <c r="O278" s="37" t="n">
        <v>0.8333333333333334</v>
      </c>
      <c r="P278" s="36" t="n">
        <v>5</v>
      </c>
      <c r="Q278" s="37" t="n">
        <v>0.8333333333333334</v>
      </c>
      <c r="R278" s="36" t="n">
        <v>103</v>
      </c>
      <c r="S278" s="37" t="n">
        <v>1</v>
      </c>
      <c r="T278" s="36" t="n">
        <v>16</v>
      </c>
      <c r="U278" s="37" t="n">
        <v>0.1553398058252427</v>
      </c>
      <c r="V278" s="38" t="n">
        <v>0</v>
      </c>
      <c r="W278" s="38" t="n">
        <v>3.498</v>
      </c>
      <c r="X278" s="38" t="n">
        <v>18.51599999999998</v>
      </c>
      <c r="Y278" s="38" t="n">
        <v>97.48999999999999</v>
      </c>
      <c r="Z278" s="38" t="n">
        <v>0</v>
      </c>
      <c r="AA278" s="36" t="n">
        <v>55</v>
      </c>
      <c r="AB278" s="37" t="n">
        <v>0.1089108910891089</v>
      </c>
      <c r="AC278" s="36" t="n">
        <v>15</v>
      </c>
      <c r="AD278" s="37" t="n">
        <v>0.4545454545454545</v>
      </c>
      <c r="AE278" s="36" t="n">
        <v>38</v>
      </c>
      <c r="AF278" s="37" t="n">
        <v>0.0811965811965812</v>
      </c>
      <c r="AG278" s="36" t="n">
        <v>11</v>
      </c>
      <c r="AH278" s="37" t="n">
        <v>0.7333333333333333</v>
      </c>
    </row>
    <row r="279">
      <c r="A279" s="53" t="n">
        <v>45756</v>
      </c>
      <c r="B279" t="inlineStr">
        <is>
          <t>R01_Sumbagut</t>
        </is>
      </c>
      <c r="C279" t="inlineStr">
        <is>
          <t>NOP RANTAU PRAPAT</t>
        </is>
      </c>
      <c r="D279" s="38" t="n">
        <v>1.43</v>
      </c>
      <c r="E279" s="38" t="n">
        <v>1.46</v>
      </c>
      <c r="F279" s="36" t="n">
        <v>7.95</v>
      </c>
      <c r="G279" s="36" t="n">
        <v>7.15</v>
      </c>
      <c r="H279" s="36" t="n">
        <v>48</v>
      </c>
      <c r="I279" s="37" t="n">
        <v>0.3356643356643357</v>
      </c>
      <c r="J279" s="36" t="n">
        <v>13</v>
      </c>
      <c r="K279" s="37" t="n">
        <v>0.4193548387096774</v>
      </c>
      <c r="L279" s="36" t="n">
        <v>35</v>
      </c>
      <c r="M279" s="37" t="n">
        <v>0.3125</v>
      </c>
      <c r="N279" s="36" t="n">
        <v>6</v>
      </c>
      <c r="O279" s="37" t="n">
        <v>0.4615384615384616</v>
      </c>
      <c r="P279" s="36" t="n">
        <v>6</v>
      </c>
      <c r="Q279" s="37" t="n">
        <v>0.4615384615384616</v>
      </c>
      <c r="R279" s="36" t="n">
        <v>143</v>
      </c>
      <c r="S279" s="37" t="n">
        <v>1</v>
      </c>
      <c r="T279" s="36" t="n">
        <v>24</v>
      </c>
      <c r="U279" s="37" t="n">
        <v>0.1678321678321678</v>
      </c>
      <c r="V279" s="38" t="n">
        <v>0</v>
      </c>
      <c r="W279" s="38" t="n">
        <v>6.450000000000003</v>
      </c>
      <c r="X279" s="38" t="n">
        <v>33.495</v>
      </c>
      <c r="Y279" s="38" t="n">
        <v>29.834</v>
      </c>
      <c r="Z279" s="38" t="n">
        <v>0</v>
      </c>
      <c r="AA279" s="36" t="n">
        <v>24</v>
      </c>
      <c r="AB279" s="37" t="n">
        <v>0.09266409266409266</v>
      </c>
      <c r="AC279" s="36" t="n">
        <v>8</v>
      </c>
      <c r="AD279" s="37" t="n">
        <v>0.2962962962962963</v>
      </c>
      <c r="AE279" s="36" t="n">
        <v>13</v>
      </c>
      <c r="AF279" s="37" t="n">
        <v>0.05676855895196507</v>
      </c>
      <c r="AG279" s="36" t="n">
        <v>5</v>
      </c>
      <c r="AH279" s="37" t="n">
        <v>0.625</v>
      </c>
    </row>
    <row r="280">
      <c r="A280" s="53" t="n">
        <v>45756</v>
      </c>
      <c r="B280" t="inlineStr">
        <is>
          <t>R10_Sumbagteng</t>
        </is>
      </c>
      <c r="C280" t="inlineStr">
        <is>
          <t>NOP BATAM</t>
        </is>
      </c>
      <c r="D280" s="38" t="n">
        <v>1.942</v>
      </c>
      <c r="E280" s="38" t="n">
        <v>6.609999999999999</v>
      </c>
      <c r="F280" s="36" t="n">
        <v>16.858</v>
      </c>
      <c r="G280" s="36" t="n">
        <v>10.55</v>
      </c>
      <c r="H280" s="36" t="n">
        <v>51</v>
      </c>
      <c r="I280" s="37" t="n">
        <v>0.3805970149253731</v>
      </c>
      <c r="J280" s="36" t="n">
        <v>11</v>
      </c>
      <c r="K280" s="37" t="n">
        <v>0.3928571428571428</v>
      </c>
      <c r="L280" s="36" t="n">
        <v>40</v>
      </c>
      <c r="M280" s="37" t="n">
        <v>0.3773584905660378</v>
      </c>
      <c r="N280" s="36" t="n">
        <v>9</v>
      </c>
      <c r="O280" s="37" t="n">
        <v>0.8181818181818182</v>
      </c>
      <c r="P280" s="36" t="n">
        <v>9</v>
      </c>
      <c r="Q280" s="37" t="n">
        <v>0.8181818181818182</v>
      </c>
      <c r="R280" s="36" t="n">
        <v>134</v>
      </c>
      <c r="S280" s="37" t="n">
        <v>1</v>
      </c>
      <c r="T280" s="36" t="n">
        <v>32</v>
      </c>
      <c r="U280" s="37" t="n">
        <v>0.2388059701492537</v>
      </c>
      <c r="V280" s="38" t="n">
        <v>0</v>
      </c>
      <c r="W280" s="38" t="n">
        <v>3.406000000000001</v>
      </c>
      <c r="X280" s="38" t="n">
        <v>42.42</v>
      </c>
      <c r="Y280" s="38" t="n">
        <v>1.62</v>
      </c>
      <c r="Z280" s="38" t="n">
        <v>0</v>
      </c>
      <c r="AA280" s="36" t="n">
        <v>29</v>
      </c>
      <c r="AB280" s="37" t="n">
        <v>0.04233576642335767</v>
      </c>
      <c r="AC280" s="36" t="n">
        <v>18</v>
      </c>
      <c r="AD280" s="37" t="n">
        <v>0.2857142857142857</v>
      </c>
      <c r="AE280" s="36" t="n">
        <v>11</v>
      </c>
      <c r="AF280" s="37" t="n">
        <v>0.01768488745980707</v>
      </c>
      <c r="AG280" s="36" t="n">
        <v>18</v>
      </c>
      <c r="AH280" s="37" t="n">
        <v>1</v>
      </c>
    </row>
    <row r="281">
      <c r="A281" s="53" t="n">
        <v>45756</v>
      </c>
      <c r="B281" t="inlineStr">
        <is>
          <t>R10_Sumbagteng</t>
        </is>
      </c>
      <c r="C281" t="inlineStr">
        <is>
          <t>NOP BUKITTINGGI</t>
        </is>
      </c>
      <c r="D281" s="38" t="n">
        <v>0</v>
      </c>
      <c r="E281" s="38" t="n">
        <v>4.102</v>
      </c>
      <c r="F281" s="36" t="n">
        <v>5.234999999999999</v>
      </c>
      <c r="G281" s="36" t="n">
        <v>1.46</v>
      </c>
      <c r="H281" s="36" t="n">
        <v>29</v>
      </c>
      <c r="I281" s="37" t="n">
        <v>0.7435897435897436</v>
      </c>
      <c r="J281" s="36" t="n">
        <v>6</v>
      </c>
      <c r="K281" s="37" t="n">
        <v>0.8571428571428571</v>
      </c>
      <c r="L281" s="36" t="n">
        <v>23</v>
      </c>
      <c r="M281" s="37" t="n">
        <v>0.71875</v>
      </c>
      <c r="N281" s="36" t="n">
        <v>3</v>
      </c>
      <c r="O281" s="37" t="n">
        <v>0.5</v>
      </c>
      <c r="P281" s="36" t="n">
        <v>3</v>
      </c>
      <c r="Q281" s="37" t="n">
        <v>0.5</v>
      </c>
      <c r="R281" s="36" t="n">
        <v>39</v>
      </c>
      <c r="S281" s="37" t="n">
        <v>1</v>
      </c>
      <c r="T281" s="36" t="n">
        <v>18</v>
      </c>
      <c r="U281" s="37" t="n">
        <v>0.4615384615384616</v>
      </c>
      <c r="V281" s="38" t="n">
        <v>0</v>
      </c>
      <c r="W281" s="38" t="n">
        <v>1.858000000000001</v>
      </c>
      <c r="X281" s="38" t="n">
        <v>7</v>
      </c>
      <c r="Y281" s="38" t="n">
        <v>99.53</v>
      </c>
      <c r="Z281" s="38" t="n">
        <v>0</v>
      </c>
      <c r="AA281" s="36" t="n">
        <v>51</v>
      </c>
      <c r="AB281" s="37" t="n">
        <v>0.4358974358974359</v>
      </c>
      <c r="AC281" s="36" t="n">
        <v>16</v>
      </c>
      <c r="AD281" s="37" t="n">
        <v>0.7272727272727273</v>
      </c>
      <c r="AE281" s="36" t="n">
        <v>35</v>
      </c>
      <c r="AF281" s="37" t="n">
        <v>0.3684210526315789</v>
      </c>
      <c r="AG281" s="36" t="n">
        <v>8</v>
      </c>
      <c r="AH281" s="37" t="n">
        <v>0.5</v>
      </c>
    </row>
    <row r="282">
      <c r="A282" s="53" t="n">
        <v>45756</v>
      </c>
      <c r="B282" t="inlineStr">
        <is>
          <t>R10_Sumbagteng</t>
        </is>
      </c>
      <c r="C282" t="inlineStr">
        <is>
          <t>NOP DUMAI</t>
        </is>
      </c>
      <c r="D282" s="38" t="n">
        <v>2.82</v>
      </c>
      <c r="E282" s="38" t="n">
        <v>5.254000000000003</v>
      </c>
      <c r="F282" s="36" t="n">
        <v>7.538</v>
      </c>
      <c r="G282" s="36" t="n">
        <v>3.761999999999999</v>
      </c>
      <c r="H282" s="36" t="n">
        <v>68</v>
      </c>
      <c r="I282" s="37" t="n">
        <v>0.4473684210526316</v>
      </c>
      <c r="J282" s="36" t="n">
        <v>19</v>
      </c>
      <c r="K282" s="37" t="n">
        <v>0.5428571428571428</v>
      </c>
      <c r="L282" s="36" t="n">
        <v>49</v>
      </c>
      <c r="M282" s="37" t="n">
        <v>0.4188034188034188</v>
      </c>
      <c r="N282" s="36" t="n">
        <v>14</v>
      </c>
      <c r="O282" s="37" t="n">
        <v>0.7368421052631579</v>
      </c>
      <c r="P282" s="36" t="n">
        <v>13</v>
      </c>
      <c r="Q282" s="37" t="n">
        <v>0.7222222222222222</v>
      </c>
      <c r="R282" s="36" t="n">
        <v>150</v>
      </c>
      <c r="S282" s="37" t="n">
        <v>0.9868421052631579</v>
      </c>
      <c r="T282" s="36" t="n">
        <v>31</v>
      </c>
      <c r="U282" s="37" t="n">
        <v>0.2039473684210526</v>
      </c>
      <c r="V282" s="38" t="n">
        <v>0.01</v>
      </c>
      <c r="W282" s="38" t="n">
        <v>7.91</v>
      </c>
      <c r="X282" s="38" t="n">
        <v>38.86200000000002</v>
      </c>
      <c r="Y282" s="38" t="n">
        <v>59.66399999999999</v>
      </c>
      <c r="Z282" s="38" t="n">
        <v>0</v>
      </c>
      <c r="AA282" s="36" t="n">
        <v>115</v>
      </c>
      <c r="AB282" s="37" t="n">
        <v>0.3697749196141479</v>
      </c>
      <c r="AC282" s="36" t="n">
        <v>24</v>
      </c>
      <c r="AD282" s="37" t="n">
        <v>0.4210526315789473</v>
      </c>
      <c r="AE282" s="36" t="n">
        <v>91</v>
      </c>
      <c r="AF282" s="37" t="n">
        <v>0.3729508196721312</v>
      </c>
      <c r="AG282" s="36" t="n">
        <v>21</v>
      </c>
      <c r="AH282" s="37" t="n">
        <v>0.875</v>
      </c>
    </row>
    <row r="283">
      <c r="A283" s="53" t="n">
        <v>45756</v>
      </c>
      <c r="B283" t="inlineStr">
        <is>
          <t>R10_Sumbagteng</t>
        </is>
      </c>
      <c r="C283" t="inlineStr">
        <is>
          <t>NOP PADANG</t>
        </is>
      </c>
      <c r="D283" s="38" t="n">
        <v>0</v>
      </c>
      <c r="E283" s="38" t="n">
        <v>1.36</v>
      </c>
      <c r="F283" s="36" t="n">
        <v>13.13</v>
      </c>
      <c r="G283" s="36" t="n">
        <v>10.409</v>
      </c>
      <c r="H283" s="36" t="n">
        <v>52</v>
      </c>
      <c r="I283" s="37" t="n">
        <v>0.9285714285714286</v>
      </c>
      <c r="J283" s="36" t="n">
        <v>1</v>
      </c>
      <c r="K283" s="37" t="n">
        <v>1</v>
      </c>
      <c r="L283" s="36" t="n">
        <v>51</v>
      </c>
      <c r="M283" s="37" t="n">
        <v>0.9272727272727272</v>
      </c>
      <c r="N283" s="36" t="n">
        <v>1</v>
      </c>
      <c r="O283" s="37" t="n">
        <v>1</v>
      </c>
      <c r="P283" s="36" t="n">
        <v>1</v>
      </c>
      <c r="Q283" s="37" t="n">
        <v>1</v>
      </c>
      <c r="R283" s="36" t="n">
        <v>56</v>
      </c>
      <c r="S283" s="37" t="n">
        <v>1</v>
      </c>
      <c r="T283" s="36" t="n">
        <v>18</v>
      </c>
      <c r="U283" s="37" t="n">
        <v>0.3214285714285715</v>
      </c>
      <c r="V283" s="38" t="n">
        <v>0</v>
      </c>
      <c r="W283" s="38" t="n">
        <v>2.494</v>
      </c>
      <c r="X283" s="38" t="n">
        <v>58.46399999999997</v>
      </c>
      <c r="Y283" s="38" t="n">
        <v>14.35300000000003</v>
      </c>
      <c r="Z283" s="38" t="n">
        <v>0</v>
      </c>
      <c r="AA283" s="36" t="n">
        <v>174</v>
      </c>
      <c r="AB283" s="37" t="n">
        <v>0.5742574257425742</v>
      </c>
      <c r="AC283" s="36" t="n">
        <v>20</v>
      </c>
      <c r="AD283" s="37" t="n">
        <v>0.4761904761904762</v>
      </c>
      <c r="AE283" s="36" t="n">
        <v>154</v>
      </c>
      <c r="AF283" s="37" t="n">
        <v>0.5900383141762452</v>
      </c>
      <c r="AG283" s="36" t="n">
        <v>12</v>
      </c>
      <c r="AH283" s="37" t="n">
        <v>0.6</v>
      </c>
    </row>
    <row r="284">
      <c r="A284" s="53" t="n">
        <v>45756</v>
      </c>
      <c r="B284" t="inlineStr">
        <is>
          <t>R10_Sumbagteng</t>
        </is>
      </c>
      <c r="C284" t="inlineStr">
        <is>
          <t>NOP PEKANBARU</t>
        </is>
      </c>
      <c r="D284" s="38" t="n">
        <v>3.56</v>
      </c>
      <c r="E284" s="38" t="n">
        <v>7.06</v>
      </c>
      <c r="F284" s="36" t="n">
        <v>3.59</v>
      </c>
      <c r="G284" s="36" t="n">
        <v>15.91800000000001</v>
      </c>
      <c r="H284" s="36" t="n">
        <v>81</v>
      </c>
      <c r="I284" s="37" t="n">
        <v>0.5225806451612903</v>
      </c>
      <c r="J284" s="36" t="n">
        <v>17</v>
      </c>
      <c r="K284" s="37" t="n">
        <v>0.68</v>
      </c>
      <c r="L284" s="36" t="n">
        <v>64</v>
      </c>
      <c r="M284" s="37" t="n">
        <v>0.4923076923076923</v>
      </c>
      <c r="N284" s="36" t="n">
        <v>10</v>
      </c>
      <c r="O284" s="37" t="n">
        <v>0.5882352941176471</v>
      </c>
      <c r="P284" s="36" t="n">
        <v>10</v>
      </c>
      <c r="Q284" s="37" t="n">
        <v>0.5882352941176471</v>
      </c>
      <c r="R284" s="36" t="n">
        <v>151</v>
      </c>
      <c r="S284" s="37" t="n">
        <v>0.9741935483870968</v>
      </c>
      <c r="T284" s="36" t="n">
        <v>38</v>
      </c>
      <c r="U284" s="37" t="n">
        <v>0.2451612903225806</v>
      </c>
      <c r="V284" s="38" t="n">
        <v>0</v>
      </c>
      <c r="W284" s="38" t="n">
        <v>2.884</v>
      </c>
      <c r="X284" s="38" t="n">
        <v>42.78800000000003</v>
      </c>
      <c r="Y284" s="38" t="n">
        <v>118.901</v>
      </c>
      <c r="Z284" s="38" t="n">
        <v>0</v>
      </c>
      <c r="AA284" s="36" t="n">
        <v>70</v>
      </c>
      <c r="AB284" s="37" t="n">
        <v>0.3867403314917127</v>
      </c>
      <c r="AC284" s="36" t="n">
        <v>25</v>
      </c>
      <c r="AD284" s="37" t="n">
        <v>0.3571428571428572</v>
      </c>
      <c r="AE284" s="36" t="n">
        <v>44</v>
      </c>
      <c r="AF284" s="37" t="n">
        <v>0.4036697247706422</v>
      </c>
      <c r="AG284" s="36" t="n">
        <v>22</v>
      </c>
      <c r="AH284" s="37" t="n">
        <v>0.88</v>
      </c>
    </row>
    <row r="285">
      <c r="A285" s="53" t="n">
        <v>45756</v>
      </c>
      <c r="B285" t="inlineStr">
        <is>
          <t>R02_Sumbagsel</t>
        </is>
      </c>
      <c r="C285" t="inlineStr">
        <is>
          <t>NOP BENGKULU</t>
        </is>
      </c>
      <c r="D285" s="38" t="n">
        <v>0.43</v>
      </c>
      <c r="E285" s="38" t="n">
        <v>1.56</v>
      </c>
      <c r="F285" s="36" t="n">
        <v>1.889</v>
      </c>
      <c r="G285" s="36" t="n">
        <v>3.94</v>
      </c>
      <c r="H285" s="36" t="n">
        <v>28</v>
      </c>
      <c r="I285" s="37" t="n">
        <v>0.3888888888888889</v>
      </c>
      <c r="J285" s="36" t="n">
        <v>8</v>
      </c>
      <c r="K285" s="37" t="n">
        <v>0.4210526315789473</v>
      </c>
      <c r="L285" s="36" t="n">
        <v>20</v>
      </c>
      <c r="M285" s="37" t="n">
        <v>0.3773584905660378</v>
      </c>
      <c r="N285" s="36" t="n">
        <v>7</v>
      </c>
      <c r="O285" s="37" t="n">
        <v>0.875</v>
      </c>
      <c r="P285" s="36" t="n">
        <v>7</v>
      </c>
      <c r="Q285" s="37" t="n">
        <v>0.875</v>
      </c>
      <c r="R285" s="36" t="n">
        <v>72</v>
      </c>
      <c r="S285" s="37" t="n">
        <v>1</v>
      </c>
      <c r="T285" s="36" t="n">
        <v>11</v>
      </c>
      <c r="U285" s="37" t="n">
        <v>0.1527777777777778</v>
      </c>
      <c r="V285" s="38" t="n">
        <v>0</v>
      </c>
      <c r="W285" s="38" t="n">
        <v>10.47999999999999</v>
      </c>
      <c r="X285" s="38" t="n">
        <v>3.677</v>
      </c>
      <c r="Y285" s="38" t="n">
        <v>0.2520000000000004</v>
      </c>
      <c r="Z285" s="38" t="n">
        <v>0</v>
      </c>
      <c r="AA285" s="36" t="n">
        <v>111</v>
      </c>
      <c r="AB285" s="37" t="n">
        <v>0.5904255319148937</v>
      </c>
      <c r="AC285" s="36" t="n">
        <v>47</v>
      </c>
      <c r="AD285" s="37" t="n">
        <v>0.4563106796116505</v>
      </c>
      <c r="AE285" s="36" t="n">
        <v>48</v>
      </c>
      <c r="AF285" s="37" t="n">
        <v>0.7868852459016393</v>
      </c>
      <c r="AG285" s="36" t="n">
        <v>42</v>
      </c>
      <c r="AH285" s="37" t="n">
        <v>0.8936170212765957</v>
      </c>
    </row>
    <row r="286">
      <c r="A286" s="53" t="n">
        <v>45756</v>
      </c>
      <c r="B286" t="inlineStr">
        <is>
          <t>R02_Sumbagsel</t>
        </is>
      </c>
      <c r="C286" t="inlineStr">
        <is>
          <t>NOP JAMBI</t>
        </is>
      </c>
      <c r="D286" s="38" t="n">
        <v>0</v>
      </c>
      <c r="E286" s="38" t="n">
        <v>2.072</v>
      </c>
      <c r="F286" s="36" t="n">
        <v>2.548</v>
      </c>
      <c r="G286" s="36" t="n">
        <v>5.13</v>
      </c>
      <c r="H286" s="36" t="n">
        <v>35</v>
      </c>
      <c r="I286" s="37" t="n">
        <v>0.5737704918032787</v>
      </c>
      <c r="J286" s="36" t="n">
        <v>5</v>
      </c>
      <c r="K286" s="37" t="n">
        <v>0.625</v>
      </c>
      <c r="L286" s="36" t="n">
        <v>30</v>
      </c>
      <c r="M286" s="37" t="n">
        <v>0.5660377358490566</v>
      </c>
      <c r="N286" s="36" t="n">
        <v>3</v>
      </c>
      <c r="O286" s="37" t="n">
        <v>0.6</v>
      </c>
      <c r="P286" s="36" t="n">
        <v>3</v>
      </c>
      <c r="Q286" s="37" t="n">
        <v>0.6</v>
      </c>
      <c r="R286" s="36" t="n">
        <v>61</v>
      </c>
      <c r="S286" s="37" t="n">
        <v>1</v>
      </c>
      <c r="T286" s="36" t="n">
        <v>19</v>
      </c>
      <c r="U286" s="37" t="n">
        <v>0.3114754098360656</v>
      </c>
      <c r="V286" s="38" t="n">
        <v>0</v>
      </c>
      <c r="W286" s="38" t="n">
        <v>13.09300000000003</v>
      </c>
      <c r="X286" s="38" t="n">
        <v>28.59800000000001</v>
      </c>
      <c r="Y286" s="38" t="n">
        <v>0</v>
      </c>
      <c r="Z286" s="38" t="n">
        <v>0</v>
      </c>
      <c r="AA286" s="36" t="n">
        <v>122</v>
      </c>
      <c r="AB286" s="37" t="n">
        <v>0.7439024390243902</v>
      </c>
      <c r="AC286" s="36" t="n">
        <v>54</v>
      </c>
      <c r="AD286" s="37" t="n">
        <v>0.675</v>
      </c>
      <c r="AE286" s="36" t="n">
        <v>58</v>
      </c>
      <c r="AF286" s="37" t="n">
        <v>0.8529411764705882</v>
      </c>
      <c r="AG286" s="36" t="n">
        <v>41</v>
      </c>
      <c r="AH286" s="37" t="n">
        <v>0.7592592592592593</v>
      </c>
    </row>
    <row r="287">
      <c r="A287" s="53" t="n">
        <v>45756</v>
      </c>
      <c r="B287" t="inlineStr">
        <is>
          <t>R02_Sumbagsel</t>
        </is>
      </c>
      <c r="C287" t="inlineStr">
        <is>
          <t>NOP LAMPUNG</t>
        </is>
      </c>
      <c r="D287" s="38" t="n">
        <v>0</v>
      </c>
      <c r="E287" s="38" t="n">
        <v>3.964</v>
      </c>
      <c r="F287" s="36" t="n">
        <v>3.630000000000011</v>
      </c>
      <c r="G287" s="36" t="n">
        <v>4.39</v>
      </c>
      <c r="H287" s="36" t="n">
        <v>41</v>
      </c>
      <c r="I287" s="37" t="n">
        <v>0.5256410256410257</v>
      </c>
      <c r="J287" s="36" t="n">
        <v>10</v>
      </c>
      <c r="K287" s="37" t="n">
        <v>0.5882352941176471</v>
      </c>
      <c r="L287" s="36" t="n">
        <v>31</v>
      </c>
      <c r="M287" s="37" t="n">
        <v>0.5081967213114754</v>
      </c>
      <c r="N287" s="36" t="n">
        <v>5</v>
      </c>
      <c r="O287" s="37" t="n">
        <v>0.5</v>
      </c>
      <c r="P287" s="36" t="n">
        <v>5</v>
      </c>
      <c r="Q287" s="37" t="n">
        <v>0.5</v>
      </c>
      <c r="R287" s="36" t="n">
        <v>78</v>
      </c>
      <c r="S287" s="37" t="n">
        <v>1</v>
      </c>
      <c r="T287" s="36" t="n">
        <v>16</v>
      </c>
      <c r="U287" s="37" t="n">
        <v>0.2051282051282051</v>
      </c>
      <c r="V287" s="38" t="n">
        <v>0</v>
      </c>
      <c r="W287" s="38" t="n">
        <v>3.668000000000001</v>
      </c>
      <c r="X287" s="38" t="n">
        <v>3.422</v>
      </c>
      <c r="Y287" s="38" t="n">
        <v>27.032</v>
      </c>
      <c r="Z287" s="38" t="n">
        <v>0</v>
      </c>
      <c r="AA287" s="36" t="n">
        <v>172</v>
      </c>
      <c r="AB287" s="37" t="n">
        <v>0.9297297297297298</v>
      </c>
      <c r="AC287" s="36" t="n">
        <v>28</v>
      </c>
      <c r="AD287" s="37" t="n">
        <v>0.8484848484848485</v>
      </c>
      <c r="AE287" s="36" t="n">
        <v>142</v>
      </c>
      <c r="AF287" s="37" t="n">
        <v>0.9594594594594594</v>
      </c>
      <c r="AG287" s="36" t="n">
        <v>23</v>
      </c>
      <c r="AH287" s="37" t="n">
        <v>0.8214285714285714</v>
      </c>
    </row>
    <row r="288">
      <c r="A288" s="53" t="n">
        <v>45756</v>
      </c>
      <c r="B288" t="inlineStr">
        <is>
          <t>R02_Sumbagsel</t>
        </is>
      </c>
      <c r="C288" t="inlineStr">
        <is>
          <t>NOP MUARA ENIM</t>
        </is>
      </c>
      <c r="D288" s="38" t="n">
        <v>2.49</v>
      </c>
      <c r="E288" s="38" t="n">
        <v>2.472</v>
      </c>
      <c r="F288" s="36" t="n">
        <v>3.398000000000002</v>
      </c>
      <c r="G288" s="36" t="n">
        <v>3.945</v>
      </c>
      <c r="H288" s="36" t="n">
        <v>51</v>
      </c>
      <c r="I288" s="37" t="n">
        <v>0.4047619047619048</v>
      </c>
      <c r="J288" s="36" t="n">
        <v>6</v>
      </c>
      <c r="K288" s="37" t="n">
        <v>0.24</v>
      </c>
      <c r="L288" s="36" t="n">
        <v>45</v>
      </c>
      <c r="M288" s="37" t="n">
        <v>0.4455445544554456</v>
      </c>
      <c r="N288" s="36" t="n">
        <v>4</v>
      </c>
      <c r="O288" s="37" t="n">
        <v>0.6666666666666666</v>
      </c>
      <c r="P288" s="36" t="n">
        <v>4</v>
      </c>
      <c r="Q288" s="37" t="n">
        <v>0.6666666666666666</v>
      </c>
      <c r="R288" s="36" t="n">
        <v>122</v>
      </c>
      <c r="S288" s="37" t="n">
        <v>0.9682539682539683</v>
      </c>
      <c r="T288" s="36" t="n">
        <v>23</v>
      </c>
      <c r="U288" s="37" t="n">
        <v>0.1825396825396825</v>
      </c>
      <c r="V288" s="38" t="n">
        <v>0</v>
      </c>
      <c r="W288" s="38" t="n">
        <v>3.846000000000001</v>
      </c>
      <c r="X288" s="38" t="n">
        <v>6.436000000000001</v>
      </c>
      <c r="Y288" s="38" t="n">
        <v>9.014000000000001</v>
      </c>
      <c r="Z288" s="38" t="n">
        <v>0</v>
      </c>
      <c r="AA288" s="36" t="n">
        <v>96</v>
      </c>
      <c r="AB288" s="37" t="n">
        <v>0.6037735849056604</v>
      </c>
      <c r="AC288" s="36" t="n">
        <v>39</v>
      </c>
      <c r="AD288" s="37" t="n">
        <v>0.6</v>
      </c>
      <c r="AE288" s="36" t="n">
        <v>55</v>
      </c>
      <c r="AF288" s="37" t="n">
        <v>0.6626506024096386</v>
      </c>
      <c r="AG288" s="36" t="n">
        <v>34</v>
      </c>
      <c r="AH288" s="37" t="n">
        <v>0.8717948717948718</v>
      </c>
    </row>
    <row r="289">
      <c r="A289" s="53" t="n">
        <v>45756</v>
      </c>
      <c r="B289" t="inlineStr">
        <is>
          <t>R02_Sumbagsel</t>
        </is>
      </c>
      <c r="C289" t="inlineStr">
        <is>
          <t>NOP PALEMBANG</t>
        </is>
      </c>
      <c r="D289" s="38" t="n">
        <v>0</v>
      </c>
      <c r="E289" s="38" t="n">
        <v>3.75</v>
      </c>
      <c r="F289" s="36" t="n">
        <v>5.01</v>
      </c>
      <c r="G289" s="36" t="n">
        <v>8.972</v>
      </c>
      <c r="H289" s="36" t="n">
        <v>36</v>
      </c>
      <c r="I289" s="37" t="n">
        <v>0.3396226415094339</v>
      </c>
      <c r="J289" s="36" t="n">
        <v>0</v>
      </c>
      <c r="K289" s="37" t="n">
        <v>0</v>
      </c>
      <c r="L289" s="36" t="n">
        <v>36</v>
      </c>
      <c r="M289" s="37" t="n">
        <v>0.3829787234042553</v>
      </c>
      <c r="N289" s="36" t="n">
        <v>0</v>
      </c>
      <c r="O289" s="37" t="n">
        <v>0</v>
      </c>
      <c r="P289" s="36" t="n">
        <v>0</v>
      </c>
      <c r="Q289" s="37" t="n">
        <v>0</v>
      </c>
      <c r="R289" s="36" t="n">
        <v>106</v>
      </c>
      <c r="S289" s="37" t="n">
        <v>1</v>
      </c>
      <c r="T289" s="36" t="n">
        <v>14</v>
      </c>
      <c r="U289" s="37" t="n">
        <v>0.1320754716981132</v>
      </c>
      <c r="V289" s="38" t="n">
        <v>0</v>
      </c>
      <c r="W289" s="38" t="n">
        <v>3.465</v>
      </c>
      <c r="X289" s="38" t="n">
        <v>8.270000000000017</v>
      </c>
      <c r="Y289" s="38" t="n">
        <v>0</v>
      </c>
      <c r="Z289" s="38" t="n">
        <v>0</v>
      </c>
      <c r="AA289" s="36" t="n">
        <v>78</v>
      </c>
      <c r="AB289" s="37" t="n">
        <v>0.3058823529411765</v>
      </c>
      <c r="AC289" s="36" t="n">
        <v>24</v>
      </c>
      <c r="AD289" s="37" t="n">
        <v>0.1904761904761905</v>
      </c>
      <c r="AE289" s="36" t="n">
        <v>54</v>
      </c>
      <c r="AF289" s="37" t="n">
        <v>0.4864864864864865</v>
      </c>
      <c r="AG289" s="36" t="n">
        <v>9</v>
      </c>
      <c r="AH289" s="37" t="n">
        <v>0.375</v>
      </c>
    </row>
    <row r="290">
      <c r="A290" s="53" t="n">
        <v>45756</v>
      </c>
      <c r="B290" t="inlineStr">
        <is>
          <t>R02_Sumbagsel</t>
        </is>
      </c>
      <c r="C290" t="inlineStr">
        <is>
          <t>NOP PANGKAL PINANG</t>
        </is>
      </c>
      <c r="D290" s="38" t="n">
        <v>0</v>
      </c>
      <c r="E290" s="38" t="n">
        <v>0</v>
      </c>
      <c r="F290" s="36" t="n">
        <v>5.34</v>
      </c>
      <c r="G290" s="36" t="n">
        <v>2.8</v>
      </c>
      <c r="H290" s="36" t="n">
        <v>11</v>
      </c>
      <c r="I290" s="37" t="n">
        <v>0.9166666666666666</v>
      </c>
      <c r="J290" s="36" t="n">
        <v>0</v>
      </c>
      <c r="K290" s="37" t="n">
        <v>0</v>
      </c>
      <c r="L290" s="36" t="n">
        <v>11</v>
      </c>
      <c r="M290" s="37" t="n">
        <v>0.9166666666666666</v>
      </c>
      <c r="N290" s="36" t="n">
        <v>0</v>
      </c>
      <c r="O290" s="37" t="n">
        <v>0</v>
      </c>
      <c r="P290" s="36" t="n">
        <v>0</v>
      </c>
      <c r="Q290" s="37" t="n">
        <v>0</v>
      </c>
      <c r="R290" s="36" t="n">
        <v>12</v>
      </c>
      <c r="S290" s="37" t="n">
        <v>1</v>
      </c>
      <c r="T290" s="36" t="n">
        <v>9</v>
      </c>
      <c r="U290" s="37" t="n">
        <v>0.75</v>
      </c>
      <c r="V290" s="38" t="n">
        <v>0</v>
      </c>
      <c r="W290" s="38" t="n">
        <v>2.954000000000001</v>
      </c>
      <c r="X290" s="38" t="n">
        <v>3.703999999999999</v>
      </c>
      <c r="Y290" s="38" t="n">
        <v>1.218</v>
      </c>
      <c r="Z290" s="38" t="n">
        <v>0</v>
      </c>
      <c r="AA290" s="36" t="n">
        <v>80</v>
      </c>
      <c r="AB290" s="37" t="n">
        <v>0.9195402298850575</v>
      </c>
      <c r="AC290" s="36" t="n">
        <v>21</v>
      </c>
      <c r="AD290" s="37" t="n">
        <v>0.9545454545454546</v>
      </c>
      <c r="AE290" s="36" t="n">
        <v>59</v>
      </c>
      <c r="AF290" s="37" t="n">
        <v>0.9365079365079365</v>
      </c>
      <c r="AG290" s="36" t="n">
        <v>16</v>
      </c>
      <c r="AH290" s="37" t="n">
        <v>0.7619047619047619</v>
      </c>
    </row>
    <row r="291">
      <c r="A291" s="53" t="n">
        <v>45756</v>
      </c>
      <c r="B291" t="inlineStr">
        <is>
          <t>R05_Jawa Tengah DIY</t>
        </is>
      </c>
      <c r="C291" t="inlineStr">
        <is>
          <t>NOP MAGELANG</t>
        </is>
      </c>
      <c r="D291" s="38" t="n">
        <v>1.163</v>
      </c>
      <c r="E291" s="38" t="n">
        <v>0</v>
      </c>
      <c r="F291" s="36" t="n">
        <v>0.68</v>
      </c>
      <c r="G291" s="36" t="n">
        <v>2.395</v>
      </c>
      <c r="H291" s="36" t="n">
        <v>8</v>
      </c>
      <c r="I291" s="37" t="n">
        <v>0.7272727272727273</v>
      </c>
      <c r="J291" s="36" t="n">
        <v>2</v>
      </c>
      <c r="K291" s="37" t="n">
        <v>1</v>
      </c>
      <c r="L291" s="36" t="n">
        <v>6</v>
      </c>
      <c r="M291" s="37" t="n">
        <v>0.6666666666666666</v>
      </c>
      <c r="N291" s="36" t="n">
        <v>1</v>
      </c>
      <c r="O291" s="37" t="n">
        <v>0.5</v>
      </c>
      <c r="P291" s="36" t="n">
        <v>1</v>
      </c>
      <c r="Q291" s="37" t="n">
        <v>0.5</v>
      </c>
      <c r="R291" s="36" t="n">
        <v>11</v>
      </c>
      <c r="S291" s="37" t="n">
        <v>1</v>
      </c>
      <c r="T291" s="36" t="n">
        <v>8</v>
      </c>
      <c r="U291" s="37" t="n">
        <v>0.7272727272727273</v>
      </c>
      <c r="V291" s="38" t="n">
        <v>0</v>
      </c>
      <c r="W291" s="38" t="n">
        <v>2.816</v>
      </c>
      <c r="X291" s="38" t="n">
        <v>2.718</v>
      </c>
      <c r="Y291" s="38" t="n">
        <v>15.997</v>
      </c>
      <c r="Z291" s="38" t="n">
        <v>0</v>
      </c>
      <c r="AA291" s="36" t="n">
        <v>25</v>
      </c>
      <c r="AB291" s="37" t="n">
        <v>1</v>
      </c>
      <c r="AC291" s="36" t="n">
        <v>4</v>
      </c>
      <c r="AD291" s="37" t="n">
        <v>1</v>
      </c>
      <c r="AE291" s="36" t="n">
        <v>21</v>
      </c>
      <c r="AF291" s="37" t="n">
        <v>1</v>
      </c>
      <c r="AG291" s="36" t="n">
        <v>4</v>
      </c>
      <c r="AH291" s="37" t="n">
        <v>1</v>
      </c>
    </row>
    <row r="292">
      <c r="A292" s="53" t="n">
        <v>45756</v>
      </c>
      <c r="B292" t="inlineStr">
        <is>
          <t>R05_Jawa Tengah DIY</t>
        </is>
      </c>
      <c r="C292" t="inlineStr">
        <is>
          <t>NOP PEKALONGAN</t>
        </is>
      </c>
      <c r="D292" s="38" t="n">
        <v>0</v>
      </c>
      <c r="E292" s="38" t="n">
        <v>0</v>
      </c>
      <c r="F292" s="36" t="n">
        <v>0.37</v>
      </c>
      <c r="G292" s="36" t="n">
        <v>5.140000000000001</v>
      </c>
      <c r="H292" s="36" t="n">
        <v>2</v>
      </c>
      <c r="I292" s="37" t="n">
        <v>0.4</v>
      </c>
      <c r="J292" s="36" t="n">
        <v>0</v>
      </c>
      <c r="K292" s="37" t="n">
        <v>0</v>
      </c>
      <c r="L292" s="36" t="n">
        <v>2</v>
      </c>
      <c r="M292" s="37" t="n">
        <v>0.4</v>
      </c>
      <c r="N292" s="36" t="n">
        <v>0</v>
      </c>
      <c r="O292" s="37" t="n">
        <v>0</v>
      </c>
      <c r="P292" s="36" t="n">
        <v>0</v>
      </c>
      <c r="Q292" s="37" t="n">
        <v>0</v>
      </c>
      <c r="R292" s="36" t="n">
        <v>5</v>
      </c>
      <c r="S292" s="37" t="n">
        <v>1</v>
      </c>
      <c r="T292" s="36" t="n">
        <v>4</v>
      </c>
      <c r="U292" s="37" t="n">
        <v>0.8</v>
      </c>
      <c r="V292" s="38" t="n">
        <v>0</v>
      </c>
      <c r="W292" s="38" t="n">
        <v>1.566</v>
      </c>
      <c r="X292" s="38" t="n">
        <v>5.827999999999999</v>
      </c>
      <c r="Y292" s="38" t="n">
        <v>52.512</v>
      </c>
      <c r="Z292" s="38" t="n">
        <v>0</v>
      </c>
      <c r="AA292" s="36" t="n">
        <v>22</v>
      </c>
      <c r="AB292" s="37" t="n">
        <v>0.88</v>
      </c>
      <c r="AC292" s="36" t="n">
        <v>3</v>
      </c>
      <c r="AD292" s="37" t="n">
        <v>1</v>
      </c>
      <c r="AE292" s="36" t="n">
        <v>19</v>
      </c>
      <c r="AF292" s="37" t="n">
        <v>0.8636363636363636</v>
      </c>
      <c r="AG292" s="36" t="n">
        <v>0</v>
      </c>
      <c r="AH292" s="37" t="n">
        <v>0</v>
      </c>
    </row>
    <row r="293">
      <c r="A293" s="53" t="n">
        <v>45756</v>
      </c>
      <c r="B293" t="inlineStr">
        <is>
          <t>R05_Jawa Tengah DIY</t>
        </is>
      </c>
      <c r="C293" t="inlineStr">
        <is>
          <t>NOP PURWOKERTO</t>
        </is>
      </c>
      <c r="D293" s="38" t="n">
        <v>0</v>
      </c>
      <c r="E293" s="38" t="n">
        <v>0</v>
      </c>
      <c r="F293" s="36" t="n">
        <v>1.86</v>
      </c>
      <c r="G293" s="36" t="n">
        <v>3.452</v>
      </c>
      <c r="H293" s="36" t="n">
        <v>8</v>
      </c>
      <c r="I293" s="37" t="n">
        <v>0.8888888888888888</v>
      </c>
      <c r="J293" s="36" t="n">
        <v>0</v>
      </c>
      <c r="K293" s="37" t="n">
        <v>0</v>
      </c>
      <c r="L293" s="36" t="n">
        <v>8</v>
      </c>
      <c r="M293" s="37" t="n">
        <v>0.8888888888888888</v>
      </c>
      <c r="N293" s="36" t="n">
        <v>0</v>
      </c>
      <c r="O293" s="37" t="n">
        <v>0</v>
      </c>
      <c r="P293" s="36" t="n">
        <v>0</v>
      </c>
      <c r="Q293" s="37" t="n">
        <v>0</v>
      </c>
      <c r="R293" s="36" t="n">
        <v>9</v>
      </c>
      <c r="S293" s="37" t="n">
        <v>1</v>
      </c>
      <c r="T293" s="36" t="n">
        <v>6</v>
      </c>
      <c r="U293" s="37" t="n">
        <v>0.6666666666666666</v>
      </c>
      <c r="V293" s="38" t="n">
        <v>0</v>
      </c>
      <c r="W293" s="38" t="n">
        <v>4.661</v>
      </c>
      <c r="X293" s="38" t="n">
        <v>1.702</v>
      </c>
      <c r="Y293" s="38" t="n">
        <v>48.89</v>
      </c>
      <c r="Z293" s="38" t="n">
        <v>0</v>
      </c>
      <c r="AA293" s="36" t="n">
        <v>18</v>
      </c>
      <c r="AB293" s="37" t="n">
        <v>0.9</v>
      </c>
      <c r="AC293" s="36" t="n">
        <v>8</v>
      </c>
      <c r="AD293" s="37" t="n">
        <v>1</v>
      </c>
      <c r="AE293" s="36" t="n">
        <v>10</v>
      </c>
      <c r="AF293" s="37" t="n">
        <v>0.8333333333333334</v>
      </c>
      <c r="AG293" s="36" t="n">
        <v>5</v>
      </c>
      <c r="AH293" s="37" t="n">
        <v>0.625</v>
      </c>
    </row>
    <row r="294">
      <c r="A294" s="53" t="n">
        <v>45756</v>
      </c>
      <c r="B294" t="inlineStr">
        <is>
          <t>R05_Jawa Tengah DIY</t>
        </is>
      </c>
      <c r="C294" t="inlineStr">
        <is>
          <t>NOP SEMARANG</t>
        </is>
      </c>
      <c r="D294" s="38" t="n">
        <v>0</v>
      </c>
      <c r="E294" s="38" t="n">
        <v>0</v>
      </c>
      <c r="F294" s="36" t="n">
        <v>1.94</v>
      </c>
      <c r="G294" s="36" t="n">
        <v>1.642</v>
      </c>
      <c r="H294" s="36" t="n">
        <v>8</v>
      </c>
      <c r="I294" s="37" t="n">
        <v>0.4444444444444444</v>
      </c>
      <c r="J294" s="36" t="n">
        <v>0</v>
      </c>
      <c r="K294" s="37" t="n">
        <v>0</v>
      </c>
      <c r="L294" s="36" t="n">
        <v>8</v>
      </c>
      <c r="M294" s="37" t="n">
        <v>0.4444444444444444</v>
      </c>
      <c r="N294" s="36" t="n">
        <v>0</v>
      </c>
      <c r="O294" s="37" t="n">
        <v>0</v>
      </c>
      <c r="P294" s="36" t="n">
        <v>0</v>
      </c>
      <c r="Q294" s="37" t="n">
        <v>0</v>
      </c>
      <c r="R294" s="36" t="n">
        <v>18</v>
      </c>
      <c r="S294" s="37" t="n">
        <v>1</v>
      </c>
      <c r="T294" s="36" t="n">
        <v>5</v>
      </c>
      <c r="U294" s="37" t="n">
        <v>0.2777777777777778</v>
      </c>
      <c r="V294" s="38" t="n">
        <v>0</v>
      </c>
      <c r="W294" s="38" t="n">
        <v>1.773</v>
      </c>
      <c r="X294" s="38" t="n">
        <v>8.782000000000002</v>
      </c>
      <c r="Y294" s="38" t="n">
        <v>19.512</v>
      </c>
      <c r="Z294" s="38" t="n">
        <v>0</v>
      </c>
      <c r="AA294" s="36" t="n">
        <v>24</v>
      </c>
      <c r="AB294" s="37" t="n">
        <v>0.96</v>
      </c>
      <c r="AC294" s="36" t="n">
        <v>2</v>
      </c>
      <c r="AD294" s="37" t="n">
        <v>1</v>
      </c>
      <c r="AE294" s="36" t="n">
        <v>22</v>
      </c>
      <c r="AF294" s="37" t="n">
        <v>0.9565217391304348</v>
      </c>
      <c r="AG294" s="36" t="n">
        <v>2</v>
      </c>
      <c r="AH294" s="37" t="n">
        <v>1</v>
      </c>
    </row>
    <row r="295">
      <c r="A295" s="53" t="n">
        <v>45756</v>
      </c>
      <c r="B295" t="inlineStr">
        <is>
          <t>R05_Jawa Tengah DIY</t>
        </is>
      </c>
      <c r="C295" t="inlineStr">
        <is>
          <t>NOP SURAKARTA</t>
        </is>
      </c>
      <c r="D295" s="38" t="n">
        <v>2.448</v>
      </c>
      <c r="E295" s="38" t="n">
        <v>2.15</v>
      </c>
      <c r="F295" s="36" t="n">
        <v>5.125999999999999</v>
      </c>
      <c r="G295" s="36" t="n">
        <v>3.358000000000001</v>
      </c>
      <c r="H295" s="36" t="n">
        <v>24</v>
      </c>
      <c r="I295" s="37" t="n">
        <v>0.8888888888888888</v>
      </c>
      <c r="J295" s="36" t="n">
        <v>7</v>
      </c>
      <c r="K295" s="37" t="n">
        <v>0.875</v>
      </c>
      <c r="L295" s="36" t="n">
        <v>17</v>
      </c>
      <c r="M295" s="37" t="n">
        <v>0.8947368421052632</v>
      </c>
      <c r="N295" s="36" t="n">
        <v>6</v>
      </c>
      <c r="O295" s="37" t="n">
        <v>0.8571428571428571</v>
      </c>
      <c r="P295" s="36" t="n">
        <v>6</v>
      </c>
      <c r="Q295" s="37" t="n">
        <v>0.8571428571428571</v>
      </c>
      <c r="R295" s="36" t="n">
        <v>26</v>
      </c>
      <c r="S295" s="37" t="n">
        <v>0.9629629629629629</v>
      </c>
      <c r="T295" s="36" t="n">
        <v>17</v>
      </c>
      <c r="U295" s="37" t="n">
        <v>0.6296296296296297</v>
      </c>
      <c r="V295" s="38" t="n">
        <v>0</v>
      </c>
      <c r="W295" s="38" t="n">
        <v>3.796</v>
      </c>
      <c r="X295" s="38" t="n">
        <v>16.831</v>
      </c>
      <c r="Y295" s="38" t="n">
        <v>24.484</v>
      </c>
      <c r="Z295" s="38" t="n">
        <v>0</v>
      </c>
      <c r="AA295" s="36" t="n">
        <v>20</v>
      </c>
      <c r="AB295" s="37" t="n">
        <v>0.7692307692307693</v>
      </c>
      <c r="AC295" s="36" t="n">
        <v>5</v>
      </c>
      <c r="AD295" s="37" t="n">
        <v>0.5555555555555556</v>
      </c>
      <c r="AE295" s="36" t="n">
        <v>15</v>
      </c>
      <c r="AF295" s="37" t="n">
        <v>0.8823529411764706</v>
      </c>
      <c r="AG295" s="36" t="n">
        <v>4</v>
      </c>
      <c r="AH295" s="37" t="n">
        <v>0.8</v>
      </c>
    </row>
    <row r="296">
      <c r="A296" s="53" t="n">
        <v>45756</v>
      </c>
      <c r="B296" t="inlineStr">
        <is>
          <t>R05_Jawa Tengah DIY</t>
        </is>
      </c>
      <c r="C296" t="inlineStr">
        <is>
          <t>NOP YOGYAKARTA</t>
        </is>
      </c>
      <c r="D296" s="38" t="n">
        <v>1.29</v>
      </c>
      <c r="E296" s="38" t="n">
        <v>0</v>
      </c>
      <c r="F296" s="36" t="n">
        <v>3.79</v>
      </c>
      <c r="G296" s="36" t="n">
        <v>5.47</v>
      </c>
      <c r="H296" s="36" t="n">
        <v>19</v>
      </c>
      <c r="I296" s="37" t="n">
        <v>0.6333333333333333</v>
      </c>
      <c r="J296" s="36" t="n">
        <v>1</v>
      </c>
      <c r="K296" s="37" t="n">
        <v>1</v>
      </c>
      <c r="L296" s="36" t="n">
        <v>18</v>
      </c>
      <c r="M296" s="37" t="n">
        <v>0.6206896551724138</v>
      </c>
      <c r="N296" s="36" t="n">
        <v>1</v>
      </c>
      <c r="O296" s="37" t="n">
        <v>1</v>
      </c>
      <c r="P296" s="36" t="n">
        <v>1</v>
      </c>
      <c r="Q296" s="37" t="n">
        <v>1</v>
      </c>
      <c r="R296" s="36" t="n">
        <v>30</v>
      </c>
      <c r="S296" s="37" t="n">
        <v>1</v>
      </c>
      <c r="T296" s="36" t="n">
        <v>9</v>
      </c>
      <c r="U296" s="37" t="n">
        <v>0.3</v>
      </c>
      <c r="V296" s="38" t="n">
        <v>0</v>
      </c>
      <c r="W296" s="38" t="n">
        <v>2.715</v>
      </c>
      <c r="X296" s="38" t="n">
        <v>15.488</v>
      </c>
      <c r="Y296" s="38" t="n">
        <v>45.27100000000001</v>
      </c>
      <c r="Z296" s="38" t="n">
        <v>0</v>
      </c>
      <c r="AA296" s="36" t="n">
        <v>31</v>
      </c>
      <c r="AB296" s="37" t="n">
        <v>0.9393939393939394</v>
      </c>
      <c r="AC296" s="36" t="n">
        <v>5</v>
      </c>
      <c r="AD296" s="37" t="n">
        <v>0.8333333333333334</v>
      </c>
      <c r="AE296" s="36" t="n">
        <v>26</v>
      </c>
      <c r="AF296" s="37" t="n">
        <v>0.9629629629629629</v>
      </c>
      <c r="AG296" s="36" t="n">
        <v>5</v>
      </c>
      <c r="AH296" s="37" t="n">
        <v>1</v>
      </c>
    </row>
    <row r="297">
      <c r="A297" s="53" t="n">
        <v>45756</v>
      </c>
      <c r="B297" t="inlineStr">
        <is>
          <t>R06_Jawa Timur</t>
        </is>
      </c>
      <c r="C297" t="inlineStr">
        <is>
          <t>NOP JEMBER</t>
        </is>
      </c>
      <c r="D297" s="38" t="n">
        <v>0.89</v>
      </c>
      <c r="E297" s="38" t="n">
        <v>0</v>
      </c>
      <c r="F297" s="36" t="n">
        <v>6.723000000000001</v>
      </c>
      <c r="G297" s="36" t="n">
        <v>6.945</v>
      </c>
      <c r="H297" s="36" t="n">
        <v>48</v>
      </c>
      <c r="I297" s="37" t="n">
        <v>0.7868852459016393</v>
      </c>
      <c r="J297" s="36" t="n">
        <v>1</v>
      </c>
      <c r="K297" s="37" t="n">
        <v>1</v>
      </c>
      <c r="L297" s="36" t="n">
        <v>47</v>
      </c>
      <c r="M297" s="37" t="n">
        <v>0.7833333333333333</v>
      </c>
      <c r="N297" s="36" t="n">
        <v>1</v>
      </c>
      <c r="O297" s="37" t="n">
        <v>1</v>
      </c>
      <c r="P297" s="36" t="n">
        <v>1</v>
      </c>
      <c r="Q297" s="37" t="n">
        <v>1</v>
      </c>
      <c r="R297" s="36" t="n">
        <v>60</v>
      </c>
      <c r="S297" s="37" t="n">
        <v>0.9836065573770492</v>
      </c>
      <c r="T297" s="36" t="n">
        <v>19</v>
      </c>
      <c r="U297" s="37" t="n">
        <v>0.3114754098360656</v>
      </c>
      <c r="V297" s="38" t="n">
        <v>0</v>
      </c>
      <c r="W297" s="38" t="n">
        <v>2.927</v>
      </c>
      <c r="X297" s="38" t="n">
        <v>2.888000000000002</v>
      </c>
      <c r="Y297" s="38" t="n">
        <v>49.65000000000001</v>
      </c>
      <c r="Z297" s="38" t="n">
        <v>0</v>
      </c>
      <c r="AA297" s="36" t="n">
        <v>33</v>
      </c>
      <c r="AB297" s="37" t="n">
        <v>0.7674418604651163</v>
      </c>
      <c r="AC297" s="36" t="n">
        <v>8</v>
      </c>
      <c r="AD297" s="37" t="n">
        <v>0.6666666666666666</v>
      </c>
      <c r="AE297" s="36" t="n">
        <v>25</v>
      </c>
      <c r="AF297" s="37" t="n">
        <v>0.8064516129032258</v>
      </c>
      <c r="AG297" s="36" t="n">
        <v>4</v>
      </c>
      <c r="AH297" s="37" t="n">
        <v>0.5</v>
      </c>
    </row>
    <row r="298">
      <c r="A298" s="53" t="n">
        <v>45756</v>
      </c>
      <c r="B298" t="inlineStr">
        <is>
          <t>R06_Jawa Timur</t>
        </is>
      </c>
      <c r="C298" t="inlineStr">
        <is>
          <t>NOP KEDIRI</t>
        </is>
      </c>
      <c r="D298" s="38" t="n">
        <v>1.21</v>
      </c>
      <c r="E298" s="38" t="n">
        <v>0</v>
      </c>
      <c r="F298" s="36" t="n">
        <v>2.73</v>
      </c>
      <c r="G298" s="36" t="n">
        <v>1.655</v>
      </c>
      <c r="H298" s="36" t="n">
        <v>21</v>
      </c>
      <c r="I298" s="37" t="n">
        <v>0.9130434782608695</v>
      </c>
      <c r="J298" s="36" t="n">
        <v>1</v>
      </c>
      <c r="K298" s="37" t="n">
        <v>1</v>
      </c>
      <c r="L298" s="36" t="n">
        <v>20</v>
      </c>
      <c r="M298" s="37" t="n">
        <v>0.9090909090909091</v>
      </c>
      <c r="N298" s="36" t="n">
        <v>1</v>
      </c>
      <c r="O298" s="37" t="n">
        <v>1</v>
      </c>
      <c r="P298" s="36" t="n">
        <v>1</v>
      </c>
      <c r="Q298" s="37" t="n">
        <v>1</v>
      </c>
      <c r="R298" s="36" t="n">
        <v>23</v>
      </c>
      <c r="S298" s="37" t="n">
        <v>1</v>
      </c>
      <c r="T298" s="36" t="n">
        <v>19</v>
      </c>
      <c r="U298" s="37" t="n">
        <v>0.8260869565217391</v>
      </c>
      <c r="V298" s="38" t="n">
        <v>0</v>
      </c>
      <c r="W298" s="38" t="n">
        <v>1.804</v>
      </c>
      <c r="X298" s="38" t="n">
        <v>3.904000000000001</v>
      </c>
      <c r="Y298" s="38" t="n">
        <v>1.413</v>
      </c>
      <c r="Z298" s="38" t="n">
        <v>0</v>
      </c>
      <c r="AA298" s="36" t="n">
        <v>59</v>
      </c>
      <c r="AB298" s="37" t="n">
        <v>0.9516129032258065</v>
      </c>
      <c r="AC298" s="36" t="n">
        <v>14</v>
      </c>
      <c r="AD298" s="37" t="n">
        <v>0.8235294117647058</v>
      </c>
      <c r="AE298" s="36" t="n">
        <v>45</v>
      </c>
      <c r="AF298" s="37" t="n">
        <v>1</v>
      </c>
      <c r="AG298" s="36" t="n">
        <v>13</v>
      </c>
      <c r="AH298" s="37" t="n">
        <v>0.9285714285714286</v>
      </c>
    </row>
    <row r="299">
      <c r="A299" s="53" t="n">
        <v>45756</v>
      </c>
      <c r="B299" t="inlineStr">
        <is>
          <t>R06_Jawa Timur</t>
        </is>
      </c>
      <c r="C299" t="inlineStr">
        <is>
          <t>NOP LAMONGAN</t>
        </is>
      </c>
      <c r="D299" s="38" t="n">
        <v>0</v>
      </c>
      <c r="E299" s="38" t="n">
        <v>0</v>
      </c>
      <c r="F299" s="36" t="n">
        <v>0.6100000000000001</v>
      </c>
      <c r="G299" s="36" t="n">
        <v>1.35</v>
      </c>
      <c r="H299" s="36" t="n">
        <v>5</v>
      </c>
      <c r="I299" s="37" t="n">
        <v>0.8333333333333334</v>
      </c>
      <c r="J299" s="36" t="n">
        <v>0</v>
      </c>
      <c r="K299" s="37" t="n">
        <v>0</v>
      </c>
      <c r="L299" s="36" t="n">
        <v>5</v>
      </c>
      <c r="M299" s="37" t="n">
        <v>0.8333333333333334</v>
      </c>
      <c r="N299" s="36" t="n">
        <v>0</v>
      </c>
      <c r="O299" s="37" t="n">
        <v>0</v>
      </c>
      <c r="P299" s="36" t="n">
        <v>0</v>
      </c>
      <c r="Q299" s="37" t="n">
        <v>0</v>
      </c>
      <c r="R299" s="36" t="n">
        <v>6</v>
      </c>
      <c r="S299" s="37" t="n">
        <v>1</v>
      </c>
      <c r="T299" s="36" t="n">
        <v>4</v>
      </c>
      <c r="U299" s="37" t="n">
        <v>0.6666666666666666</v>
      </c>
      <c r="V299" s="38" t="n">
        <v>0</v>
      </c>
      <c r="W299" s="38" t="n">
        <v>0.02</v>
      </c>
      <c r="X299" s="38" t="n">
        <v>2.66</v>
      </c>
      <c r="Y299" s="38" t="n">
        <v>10.359</v>
      </c>
      <c r="Z299" s="38" t="n">
        <v>0</v>
      </c>
      <c r="AA299" s="36" t="n">
        <v>4</v>
      </c>
      <c r="AB299" s="37" t="n">
        <v>0.6666666666666666</v>
      </c>
      <c r="AC299" s="36" t="n">
        <v>0</v>
      </c>
      <c r="AD299" s="37" t="n">
        <v>0</v>
      </c>
      <c r="AE299" s="36" t="n">
        <v>4</v>
      </c>
      <c r="AF299" s="37" t="n">
        <v>0.8</v>
      </c>
      <c r="AG299" s="36" t="n">
        <v>0</v>
      </c>
      <c r="AH299" s="37" t="n">
        <v>0</v>
      </c>
    </row>
    <row r="300">
      <c r="A300" s="53" t="n">
        <v>45756</v>
      </c>
      <c r="B300" t="inlineStr">
        <is>
          <t>R06_Jawa Timur</t>
        </is>
      </c>
      <c r="C300" t="inlineStr">
        <is>
          <t>NOP MADIUN</t>
        </is>
      </c>
      <c r="D300" s="38" t="n">
        <v>0</v>
      </c>
      <c r="E300" s="38" t="n">
        <v>0</v>
      </c>
      <c r="F300" s="36" t="n">
        <v>2.356</v>
      </c>
      <c r="G300" s="36" t="n">
        <v>0.702</v>
      </c>
      <c r="H300" s="36" t="n">
        <v>6</v>
      </c>
      <c r="I300" s="37" t="n">
        <v>0.8571428571428571</v>
      </c>
      <c r="J300" s="36" t="n">
        <v>0</v>
      </c>
      <c r="K300" s="37" t="n">
        <v>0</v>
      </c>
      <c r="L300" s="36" t="n">
        <v>6</v>
      </c>
      <c r="M300" s="37" t="n">
        <v>0.8571428571428571</v>
      </c>
      <c r="N300" s="36" t="n">
        <v>0</v>
      </c>
      <c r="O300" s="37" t="n">
        <v>0</v>
      </c>
      <c r="P300" s="36" t="n">
        <v>0</v>
      </c>
      <c r="Q300" s="37" t="n">
        <v>0</v>
      </c>
      <c r="R300" s="36" t="n">
        <v>7</v>
      </c>
      <c r="S300" s="37" t="n">
        <v>1</v>
      </c>
      <c r="T300" s="36" t="n">
        <v>5</v>
      </c>
      <c r="U300" s="37" t="n">
        <v>0.7142857142857143</v>
      </c>
      <c r="V300" s="38" t="n">
        <v>0</v>
      </c>
      <c r="W300" s="38" t="n">
        <v>2.099</v>
      </c>
      <c r="X300" s="38" t="n">
        <v>21.033</v>
      </c>
      <c r="Y300" s="38" t="n">
        <v>12.13</v>
      </c>
      <c r="Z300" s="38" t="n">
        <v>0</v>
      </c>
      <c r="AA300" s="36" t="n">
        <v>12</v>
      </c>
      <c r="AB300" s="37" t="n">
        <v>0.5714285714285714</v>
      </c>
      <c r="AC300" s="36" t="n">
        <v>6</v>
      </c>
      <c r="AD300" s="37" t="n">
        <v>0.75</v>
      </c>
      <c r="AE300" s="36" t="n">
        <v>6</v>
      </c>
      <c r="AF300" s="37" t="n">
        <v>0.4615384615384616</v>
      </c>
      <c r="AG300" s="36" t="n">
        <v>5</v>
      </c>
      <c r="AH300" s="37" t="n">
        <v>0.8333333333333334</v>
      </c>
    </row>
    <row r="301">
      <c r="A301" s="53" t="n">
        <v>45756</v>
      </c>
      <c r="B301" t="inlineStr">
        <is>
          <t>R06_Jawa Timur</t>
        </is>
      </c>
      <c r="C301" t="inlineStr">
        <is>
          <t>NOP MALANG</t>
        </is>
      </c>
      <c r="D301" s="38" t="n">
        <v>1.28</v>
      </c>
      <c r="E301" s="38" t="n">
        <v>0</v>
      </c>
      <c r="F301" s="36" t="n">
        <v>3.006</v>
      </c>
      <c r="G301" s="36" t="n">
        <v>1.458</v>
      </c>
      <c r="H301" s="36" t="n">
        <v>14</v>
      </c>
      <c r="I301" s="37" t="n">
        <v>1</v>
      </c>
      <c r="J301" s="36" t="n">
        <v>1</v>
      </c>
      <c r="K301" s="37" t="n">
        <v>1</v>
      </c>
      <c r="L301" s="36" t="n">
        <v>13</v>
      </c>
      <c r="M301" s="37" t="n">
        <v>1</v>
      </c>
      <c r="N301" s="36" t="n">
        <v>1</v>
      </c>
      <c r="O301" s="37" t="n">
        <v>1</v>
      </c>
      <c r="P301" s="36" t="n">
        <v>1</v>
      </c>
      <c r="Q301" s="37" t="n">
        <v>1</v>
      </c>
      <c r="R301" s="36" t="n">
        <v>14</v>
      </c>
      <c r="S301" s="37" t="n">
        <v>1</v>
      </c>
      <c r="T301" s="36" t="n">
        <v>13</v>
      </c>
      <c r="U301" s="37" t="n">
        <v>0.9285714285714286</v>
      </c>
      <c r="V301" s="38" t="n">
        <v>0</v>
      </c>
      <c r="W301" s="38" t="n">
        <v>2.798</v>
      </c>
      <c r="X301" s="38" t="n">
        <v>2.44</v>
      </c>
      <c r="Y301" s="38" t="n">
        <v>0</v>
      </c>
      <c r="Z301" s="38" t="n">
        <v>0</v>
      </c>
      <c r="AA301" s="36" t="n">
        <v>5</v>
      </c>
      <c r="AB301" s="37" t="n">
        <v>0.625</v>
      </c>
      <c r="AC301" s="36" t="n">
        <v>2</v>
      </c>
      <c r="AD301" s="37" t="n">
        <v>0.4</v>
      </c>
      <c r="AE301" s="36" t="n">
        <v>3</v>
      </c>
      <c r="AF301" s="37" t="n">
        <v>1</v>
      </c>
      <c r="AG301" s="36" t="n">
        <v>2</v>
      </c>
      <c r="AH301" s="37" t="n">
        <v>1</v>
      </c>
    </row>
    <row r="302">
      <c r="A302" s="53" t="n">
        <v>45756</v>
      </c>
      <c r="B302" t="inlineStr">
        <is>
          <t>R06_Jawa Timur</t>
        </is>
      </c>
      <c r="C302" t="inlineStr">
        <is>
          <t>NOP SIDOARJO</t>
        </is>
      </c>
      <c r="D302" s="38" t="n">
        <v>1.964</v>
      </c>
      <c r="E302" s="38" t="n">
        <v>0</v>
      </c>
      <c r="F302" s="36" t="n">
        <v>1.294</v>
      </c>
      <c r="G302" s="36" t="n">
        <v>3.515</v>
      </c>
      <c r="H302" s="36" t="n">
        <v>10</v>
      </c>
      <c r="I302" s="37" t="n">
        <v>0.5555555555555556</v>
      </c>
      <c r="J302" s="36" t="n">
        <v>2</v>
      </c>
      <c r="K302" s="37" t="n">
        <v>0.6666666666666666</v>
      </c>
      <c r="L302" s="36" t="n">
        <v>8</v>
      </c>
      <c r="M302" s="37" t="n">
        <v>0.5333333333333333</v>
      </c>
      <c r="N302" s="36" t="n">
        <v>2</v>
      </c>
      <c r="O302" s="37" t="n">
        <v>1</v>
      </c>
      <c r="P302" s="36" t="n">
        <v>2</v>
      </c>
      <c r="Q302" s="37" t="n">
        <v>1</v>
      </c>
      <c r="R302" s="36" t="n">
        <v>17</v>
      </c>
      <c r="S302" s="37" t="n">
        <v>0.9444444444444444</v>
      </c>
      <c r="T302" s="36" t="n">
        <v>6</v>
      </c>
      <c r="U302" s="37" t="n">
        <v>0.3333333333333333</v>
      </c>
      <c r="V302" s="38" t="n">
        <v>0</v>
      </c>
      <c r="W302" s="38" t="n">
        <v>2.300000000000001</v>
      </c>
      <c r="X302" s="38" t="n">
        <v>12.18</v>
      </c>
      <c r="Y302" s="38" t="n">
        <v>42.722</v>
      </c>
      <c r="Z302" s="38" t="n">
        <v>0</v>
      </c>
      <c r="AA302" s="36" t="n">
        <v>15</v>
      </c>
      <c r="AB302" s="37" t="n">
        <v>0.6818181818181818</v>
      </c>
      <c r="AC302" s="36" t="n">
        <v>5</v>
      </c>
      <c r="AD302" s="37" t="n">
        <v>0.5555555555555556</v>
      </c>
      <c r="AE302" s="36" t="n">
        <v>10</v>
      </c>
      <c r="AF302" s="37" t="n">
        <v>0.7692307692307693</v>
      </c>
      <c r="AG302" s="36" t="n">
        <v>1</v>
      </c>
      <c r="AH302" s="37" t="n">
        <v>0.2</v>
      </c>
    </row>
    <row r="303">
      <c r="A303" s="53" t="n">
        <v>45756</v>
      </c>
      <c r="B303" t="inlineStr">
        <is>
          <t>R06_Jawa Timur</t>
        </is>
      </c>
      <c r="C303" t="inlineStr">
        <is>
          <t>NOP SURABAYA</t>
        </is>
      </c>
      <c r="D303" s="38" t="n">
        <v>2.42</v>
      </c>
      <c r="E303" s="38" t="n">
        <v>0</v>
      </c>
      <c r="F303" s="36" t="n">
        <v>4</v>
      </c>
      <c r="G303" s="36" t="n">
        <v>3.12</v>
      </c>
      <c r="H303" s="36" t="n">
        <v>9</v>
      </c>
      <c r="I303" s="37" t="n">
        <v>0.45</v>
      </c>
      <c r="J303" s="36" t="n">
        <v>1</v>
      </c>
      <c r="K303" s="37" t="n">
        <v>0.3333333333333333</v>
      </c>
      <c r="L303" s="36" t="n">
        <v>8</v>
      </c>
      <c r="M303" s="37" t="n">
        <v>0.4705882352941176</v>
      </c>
      <c r="N303" s="36" t="n">
        <v>1</v>
      </c>
      <c r="O303" s="37" t="n">
        <v>1</v>
      </c>
      <c r="P303" s="36" t="n">
        <v>1</v>
      </c>
      <c r="Q303" s="37" t="n">
        <v>1</v>
      </c>
      <c r="R303" s="36" t="n">
        <v>20</v>
      </c>
      <c r="S303" s="37" t="n">
        <v>1</v>
      </c>
      <c r="T303" s="36" t="n">
        <v>9</v>
      </c>
      <c r="U303" s="37" t="n">
        <v>0.45</v>
      </c>
      <c r="V303" s="38" t="n">
        <v>0</v>
      </c>
      <c r="W303" s="38" t="n">
        <v>12.631</v>
      </c>
      <c r="X303" s="38" t="n">
        <v>6.955</v>
      </c>
      <c r="Y303" s="38" t="n">
        <v>19.483</v>
      </c>
      <c r="Z303" s="38" t="n">
        <v>0</v>
      </c>
      <c r="AA303" s="36" t="n">
        <v>19</v>
      </c>
      <c r="AB303" s="37" t="n">
        <v>0.6333333333333333</v>
      </c>
      <c r="AC303" s="36" t="n">
        <v>3</v>
      </c>
      <c r="AD303" s="37" t="n">
        <v>0.75</v>
      </c>
      <c r="AE303" s="36" t="n">
        <v>16</v>
      </c>
      <c r="AF303" s="37" t="n">
        <v>0.6153846153846154</v>
      </c>
      <c r="AG303" s="36" t="n">
        <v>2</v>
      </c>
      <c r="AH303" s="37" t="n">
        <v>0.6666666666666666</v>
      </c>
    </row>
    <row r="304">
      <c r="A304" s="53" t="n">
        <v>45756</v>
      </c>
      <c r="B304" t="inlineStr">
        <is>
          <t>R07_Bali Nusra</t>
        </is>
      </c>
      <c r="C304" t="inlineStr">
        <is>
          <t>NOP DENPASAR</t>
        </is>
      </c>
      <c r="D304" s="38" t="n">
        <v>1.642</v>
      </c>
      <c r="E304" s="38" t="n">
        <v>0</v>
      </c>
      <c r="F304" s="36" t="n">
        <v>0.91</v>
      </c>
      <c r="G304" s="36" t="n">
        <v>3.61</v>
      </c>
      <c r="H304" s="36" t="n">
        <v>10</v>
      </c>
      <c r="I304" s="37" t="n">
        <v>1</v>
      </c>
      <c r="J304" s="36" t="n">
        <v>4</v>
      </c>
      <c r="K304" s="37" t="n">
        <v>1</v>
      </c>
      <c r="L304" s="36" t="n">
        <v>6</v>
      </c>
      <c r="M304" s="37" t="n">
        <v>1</v>
      </c>
      <c r="N304" s="36" t="n">
        <v>4</v>
      </c>
      <c r="O304" s="37" t="n">
        <v>1</v>
      </c>
      <c r="P304" s="36" t="n">
        <v>4</v>
      </c>
      <c r="Q304" s="37" t="n">
        <v>1</v>
      </c>
      <c r="R304" s="36" t="n">
        <v>10</v>
      </c>
      <c r="S304" s="37" t="n">
        <v>1</v>
      </c>
      <c r="T304" s="36" t="n">
        <v>9</v>
      </c>
      <c r="U304" s="37" t="n">
        <v>0.9</v>
      </c>
      <c r="V304" s="38" t="n">
        <v>0</v>
      </c>
      <c r="W304" s="38" t="n">
        <v>4.906</v>
      </c>
      <c r="X304" s="38" t="n">
        <v>9.01</v>
      </c>
      <c r="Y304" s="38" t="n">
        <v>0</v>
      </c>
      <c r="Z304" s="38" t="n">
        <v>0</v>
      </c>
      <c r="AA304" s="36" t="n">
        <v>13</v>
      </c>
      <c r="AB304" s="37" t="n">
        <v>0.8125</v>
      </c>
      <c r="AC304" s="36" t="n">
        <v>4</v>
      </c>
      <c r="AD304" s="37" t="n">
        <v>0.8</v>
      </c>
      <c r="AE304" s="36" t="n">
        <v>9</v>
      </c>
      <c r="AF304" s="37" t="n">
        <v>0.8181818181818182</v>
      </c>
      <c r="AG304" s="36" t="n">
        <v>2</v>
      </c>
      <c r="AH304" s="37" t="n">
        <v>0.5</v>
      </c>
    </row>
    <row r="305">
      <c r="A305" s="53" t="n">
        <v>45756</v>
      </c>
      <c r="B305" t="inlineStr">
        <is>
          <t>R07_Bali Nusra</t>
        </is>
      </c>
      <c r="C305" t="inlineStr">
        <is>
          <t>NOP FLORES</t>
        </is>
      </c>
      <c r="D305" s="38" t="n">
        <v>2.522</v>
      </c>
      <c r="E305" s="38" t="n">
        <v>12.165</v>
      </c>
      <c r="F305" s="36" t="n">
        <v>3.33</v>
      </c>
      <c r="G305" s="36" t="n">
        <v>8.890000000000001</v>
      </c>
      <c r="H305" s="36" t="n">
        <v>25</v>
      </c>
      <c r="I305" s="37" t="n">
        <v>0.3472222222222222</v>
      </c>
      <c r="J305" s="36" t="n">
        <v>8</v>
      </c>
      <c r="K305" s="37" t="n">
        <v>0.4</v>
      </c>
      <c r="L305" s="36" t="n">
        <v>17</v>
      </c>
      <c r="M305" s="37" t="n">
        <v>0.3269230769230769</v>
      </c>
      <c r="N305" s="36" t="n">
        <v>6</v>
      </c>
      <c r="O305" s="37" t="n">
        <v>0.75</v>
      </c>
      <c r="P305" s="36" t="n">
        <v>6</v>
      </c>
      <c r="Q305" s="37" t="n">
        <v>0.75</v>
      </c>
      <c r="R305" s="36" t="n">
        <v>72</v>
      </c>
      <c r="S305" s="37" t="n">
        <v>1</v>
      </c>
      <c r="T305" s="36" t="n">
        <v>19</v>
      </c>
      <c r="U305" s="37" t="n">
        <v>0.2638888888888889</v>
      </c>
      <c r="V305" s="38" t="n">
        <v>0</v>
      </c>
      <c r="W305" s="38" t="n">
        <v>9.242000000000001</v>
      </c>
      <c r="X305" s="38" t="n">
        <v>8.869000000000003</v>
      </c>
      <c r="Y305" s="38" t="n">
        <v>21.74</v>
      </c>
      <c r="Z305" s="38" t="n">
        <v>0</v>
      </c>
      <c r="AA305" s="36" t="n">
        <v>67</v>
      </c>
      <c r="AB305" s="37" t="n">
        <v>0.5630252100840336</v>
      </c>
      <c r="AC305" s="36" t="n">
        <v>50</v>
      </c>
      <c r="AD305" s="37" t="n">
        <v>0.5952380952380952</v>
      </c>
      <c r="AE305" s="36" t="n">
        <v>17</v>
      </c>
      <c r="AF305" s="37" t="n">
        <v>0.4857142857142857</v>
      </c>
      <c r="AG305" s="36" t="n">
        <v>34</v>
      </c>
      <c r="AH305" s="37" t="n">
        <v>0.68</v>
      </c>
    </row>
    <row r="306">
      <c r="A306" s="53" t="n">
        <v>45756</v>
      </c>
      <c r="B306" t="inlineStr">
        <is>
          <t>R07_Bali Nusra</t>
        </is>
      </c>
      <c r="C306" t="inlineStr">
        <is>
          <t>NOP KUPANG</t>
        </is>
      </c>
      <c r="D306" s="38" t="n">
        <v>1.091</v>
      </c>
      <c r="E306" s="38" t="n">
        <v>1.563</v>
      </c>
      <c r="F306" s="36" t="n">
        <v>1.734</v>
      </c>
      <c r="G306" s="36" t="n">
        <v>6.93</v>
      </c>
      <c r="H306" s="36" t="n">
        <v>60</v>
      </c>
      <c r="I306" s="37" t="n">
        <v>0.7407407407407407</v>
      </c>
      <c r="J306" s="36" t="n">
        <v>8</v>
      </c>
      <c r="K306" s="37" t="n">
        <v>0.8</v>
      </c>
      <c r="L306" s="36" t="n">
        <v>52</v>
      </c>
      <c r="M306" s="37" t="n">
        <v>0.7323943661971831</v>
      </c>
      <c r="N306" s="36" t="n">
        <v>3</v>
      </c>
      <c r="O306" s="37" t="n">
        <v>0.375</v>
      </c>
      <c r="P306" s="36" t="n">
        <v>3</v>
      </c>
      <c r="Q306" s="37" t="n">
        <v>0.375</v>
      </c>
      <c r="R306" s="36" t="n">
        <v>81</v>
      </c>
      <c r="S306" s="37" t="n">
        <v>1</v>
      </c>
      <c r="T306" s="36" t="n">
        <v>13</v>
      </c>
      <c r="U306" s="37" t="n">
        <v>0.1604938271604938</v>
      </c>
      <c r="V306" s="38" t="n">
        <v>0</v>
      </c>
      <c r="W306" s="38" t="n">
        <v>18.30200000000001</v>
      </c>
      <c r="X306" s="38" t="n">
        <v>9.593999999999999</v>
      </c>
      <c r="Y306" s="38" t="n">
        <v>362.652</v>
      </c>
      <c r="Z306" s="38" t="n">
        <v>0</v>
      </c>
      <c r="AA306" s="36" t="n">
        <v>30</v>
      </c>
      <c r="AB306" s="37" t="n">
        <v>0.5172413793103449</v>
      </c>
      <c r="AC306" s="36" t="n">
        <v>20</v>
      </c>
      <c r="AD306" s="37" t="n">
        <v>0.625</v>
      </c>
      <c r="AE306" s="36" t="n">
        <v>10</v>
      </c>
      <c r="AF306" s="37" t="n">
        <v>0.3846153846153846</v>
      </c>
      <c r="AG306" s="36" t="n">
        <v>12</v>
      </c>
      <c r="AH306" s="37" t="n">
        <v>0.6</v>
      </c>
    </row>
    <row r="307">
      <c r="A307" s="53" t="n">
        <v>45756</v>
      </c>
      <c r="B307" t="inlineStr">
        <is>
          <t>R07_Bali Nusra</t>
        </is>
      </c>
      <c r="C307" t="inlineStr">
        <is>
          <t>NOP MATARAM</t>
        </is>
      </c>
      <c r="D307" s="38" t="n">
        <v>1.13</v>
      </c>
      <c r="E307" s="38" t="n">
        <v>2.282</v>
      </c>
      <c r="F307" s="36" t="n">
        <v>6.847000000000002</v>
      </c>
      <c r="G307" s="36" t="n">
        <v>7.319000000000006</v>
      </c>
      <c r="H307" s="36" t="n">
        <v>16</v>
      </c>
      <c r="I307" s="37" t="n">
        <v>0.4848484848484849</v>
      </c>
      <c r="J307" s="36" t="n">
        <v>3</v>
      </c>
      <c r="K307" s="37" t="n">
        <v>0.6</v>
      </c>
      <c r="L307" s="36" t="n">
        <v>13</v>
      </c>
      <c r="M307" s="37" t="n">
        <v>0.4642857142857143</v>
      </c>
      <c r="N307" s="36" t="n">
        <v>3</v>
      </c>
      <c r="O307" s="37" t="n">
        <v>1</v>
      </c>
      <c r="P307" s="36" t="n">
        <v>3</v>
      </c>
      <c r="Q307" s="37" t="n">
        <v>1</v>
      </c>
      <c r="R307" s="36" t="n">
        <v>33</v>
      </c>
      <c r="S307" s="37" t="n">
        <v>1</v>
      </c>
      <c r="T307" s="36" t="n">
        <v>11</v>
      </c>
      <c r="U307" s="37" t="n">
        <v>0.3333333333333333</v>
      </c>
      <c r="V307" s="38" t="n">
        <v>0</v>
      </c>
      <c r="W307" s="38" t="n">
        <v>25.75800000000007</v>
      </c>
      <c r="X307" s="38" t="n">
        <v>9.357999999999986</v>
      </c>
      <c r="Y307" s="38" t="n">
        <v>68.212</v>
      </c>
      <c r="Z307" s="38" t="n">
        <v>0</v>
      </c>
      <c r="AA307" s="36" t="n">
        <v>20</v>
      </c>
      <c r="AB307" s="37" t="n">
        <v>0.3174603174603174</v>
      </c>
      <c r="AC307" s="36" t="n">
        <v>9</v>
      </c>
      <c r="AD307" s="37" t="n">
        <v>0.2307692307692308</v>
      </c>
      <c r="AE307" s="36" t="n">
        <v>11</v>
      </c>
      <c r="AF307" s="37" t="n">
        <v>0.4583333333333333</v>
      </c>
      <c r="AG307" s="36" t="n">
        <v>4</v>
      </c>
      <c r="AH307" s="37" t="n">
        <v>0.4444444444444444</v>
      </c>
    </row>
    <row r="308">
      <c r="A308" s="53" t="n">
        <v>45757</v>
      </c>
      <c r="B308" t="inlineStr">
        <is>
          <t>R01_Sumbagut</t>
        </is>
      </c>
      <c r="C308" t="inlineStr">
        <is>
          <t>NOP ACEH</t>
        </is>
      </c>
      <c r="D308" s="38" t="n">
        <v>1.88</v>
      </c>
      <c r="E308" s="38" t="n">
        <v>3.004</v>
      </c>
      <c r="F308" s="36" t="n">
        <v>8.199000000000005</v>
      </c>
      <c r="G308" s="36" t="n">
        <v>19.453</v>
      </c>
      <c r="H308" s="36" t="n">
        <v>68</v>
      </c>
      <c r="I308" s="37" t="n">
        <v>0.8831168831168831</v>
      </c>
      <c r="J308" s="36" t="n">
        <v>19</v>
      </c>
      <c r="K308" s="37" t="n">
        <v>0.8260869565217391</v>
      </c>
      <c r="L308" s="36" t="n">
        <v>49</v>
      </c>
      <c r="M308" s="37" t="n">
        <v>0.9074074074074074</v>
      </c>
      <c r="N308" s="36" t="n">
        <v>8</v>
      </c>
      <c r="O308" s="37" t="n">
        <v>0.4210526315789473</v>
      </c>
      <c r="P308" s="36" t="n">
        <v>8</v>
      </c>
      <c r="Q308" s="37" t="n">
        <v>0.4444444444444444</v>
      </c>
      <c r="R308" s="36" t="n">
        <v>77</v>
      </c>
      <c r="S308" s="37" t="n">
        <v>1</v>
      </c>
      <c r="T308" s="36" t="n">
        <v>34</v>
      </c>
      <c r="U308" s="37" t="n">
        <v>0.4415584415584415</v>
      </c>
      <c r="V308" s="38" t="n">
        <v>0.08200000000000002</v>
      </c>
      <c r="W308" s="38" t="n">
        <v>16.40400000000001</v>
      </c>
      <c r="X308" s="38" t="n">
        <v>99.78</v>
      </c>
      <c r="Y308" s="38" t="n">
        <v>110.154</v>
      </c>
      <c r="Z308" s="38" t="n">
        <v>0</v>
      </c>
      <c r="AA308" s="36" t="n">
        <v>306</v>
      </c>
      <c r="AB308" s="37" t="n">
        <v>0.95625</v>
      </c>
      <c r="AC308" s="36" t="n">
        <v>36</v>
      </c>
      <c r="AD308" s="37" t="n">
        <v>0.8571428571428571</v>
      </c>
      <c r="AE308" s="36" t="n">
        <v>268</v>
      </c>
      <c r="AF308" s="37" t="n">
        <v>0.9745454545454545</v>
      </c>
      <c r="AG308" s="36" t="n">
        <v>7</v>
      </c>
      <c r="AH308" s="37" t="n">
        <v>0.1944444444444444</v>
      </c>
    </row>
    <row r="309">
      <c r="A309" s="53" t="n">
        <v>45757</v>
      </c>
      <c r="B309" t="inlineStr">
        <is>
          <t>R01_Sumbagut</t>
        </is>
      </c>
      <c r="C309" t="inlineStr">
        <is>
          <t>NOP BINJAI</t>
        </is>
      </c>
      <c r="D309" s="38" t="n">
        <v>0</v>
      </c>
      <c r="E309" s="38" t="n">
        <v>5.609000000000001</v>
      </c>
      <c r="F309" s="36" t="n">
        <v>1.522</v>
      </c>
      <c r="G309" s="36" t="n">
        <v>3.453999999999999</v>
      </c>
      <c r="H309" s="36" t="n">
        <v>32</v>
      </c>
      <c r="I309" s="37" t="n">
        <v>0.6274509803921569</v>
      </c>
      <c r="J309" s="36" t="n">
        <v>11</v>
      </c>
      <c r="K309" s="37" t="n">
        <v>0.7857142857142857</v>
      </c>
      <c r="L309" s="36" t="n">
        <v>21</v>
      </c>
      <c r="M309" s="37" t="n">
        <v>0.5675675675675675</v>
      </c>
      <c r="N309" s="36" t="n">
        <v>4</v>
      </c>
      <c r="O309" s="37" t="n">
        <v>0.3636363636363636</v>
      </c>
      <c r="P309" s="36" t="n">
        <v>4</v>
      </c>
      <c r="Q309" s="37" t="n">
        <v>0.3636363636363636</v>
      </c>
      <c r="R309" s="36" t="n">
        <v>51</v>
      </c>
      <c r="S309" s="37" t="n">
        <v>1</v>
      </c>
      <c r="T309" s="36" t="n">
        <v>16</v>
      </c>
      <c r="U309" s="37" t="n">
        <v>0.3137254901960784</v>
      </c>
      <c r="V309" s="38" t="n">
        <v>0</v>
      </c>
      <c r="W309" s="38" t="n">
        <v>1.752000000000001</v>
      </c>
      <c r="X309" s="38" t="n">
        <v>43.29400000000003</v>
      </c>
      <c r="Y309" s="38" t="n">
        <v>214.6700000000002</v>
      </c>
      <c r="Z309" s="38" t="n">
        <v>0</v>
      </c>
      <c r="AA309" s="36" t="n">
        <v>71</v>
      </c>
      <c r="AB309" s="37" t="n">
        <v>0.6339285714285714</v>
      </c>
      <c r="AC309" s="36" t="n">
        <v>15</v>
      </c>
      <c r="AD309" s="37" t="n">
        <v>0.5</v>
      </c>
      <c r="AE309" s="36" t="n">
        <v>54</v>
      </c>
      <c r="AF309" s="37" t="n">
        <v>0.7105263157894737</v>
      </c>
      <c r="AG309" s="36" t="n">
        <v>9</v>
      </c>
      <c r="AH309" s="37" t="n">
        <v>0.6</v>
      </c>
    </row>
    <row r="310">
      <c r="A310" s="53" t="n">
        <v>45757</v>
      </c>
      <c r="B310" t="inlineStr">
        <is>
          <t>R01_Sumbagut</t>
        </is>
      </c>
      <c r="C310" t="inlineStr">
        <is>
          <t>NOP MEDAN</t>
        </is>
      </c>
      <c r="D310" s="38" t="n">
        <v>2.384</v>
      </c>
      <c r="E310" s="38" t="n">
        <v>6.065000000000001</v>
      </c>
      <c r="F310" s="36" t="n">
        <v>2.58</v>
      </c>
      <c r="G310" s="36" t="n">
        <v>10.95</v>
      </c>
      <c r="H310" s="36" t="n">
        <v>41</v>
      </c>
      <c r="I310" s="37" t="n">
        <v>0.4880952380952381</v>
      </c>
      <c r="J310" s="36" t="n">
        <v>14</v>
      </c>
      <c r="K310" s="37" t="n">
        <v>0.4</v>
      </c>
      <c r="L310" s="36" t="n">
        <v>27</v>
      </c>
      <c r="M310" s="37" t="n">
        <v>0.5510204081632653</v>
      </c>
      <c r="N310" s="36" t="n">
        <v>8</v>
      </c>
      <c r="O310" s="37" t="n">
        <v>0.5714285714285714</v>
      </c>
      <c r="P310" s="36" t="n">
        <v>8</v>
      </c>
      <c r="Q310" s="37" t="n">
        <v>0.5714285714285714</v>
      </c>
      <c r="R310" s="36" t="n">
        <v>84</v>
      </c>
      <c r="S310" s="37" t="n">
        <v>1</v>
      </c>
      <c r="T310" s="36" t="n">
        <v>19</v>
      </c>
      <c r="U310" s="37" t="n">
        <v>0.2261904761904762</v>
      </c>
      <c r="V310" s="38" t="n">
        <v>0</v>
      </c>
      <c r="W310" s="38" t="n">
        <v>2.478</v>
      </c>
      <c r="X310" s="38" t="n">
        <v>39.95300000000006</v>
      </c>
      <c r="Y310" s="38" t="n">
        <v>6.17</v>
      </c>
      <c r="Z310" s="38" t="n">
        <v>0</v>
      </c>
      <c r="AA310" s="36" t="n">
        <v>23</v>
      </c>
      <c r="AB310" s="37" t="n">
        <v>0.3150684931506849</v>
      </c>
      <c r="AC310" s="36" t="n">
        <v>6</v>
      </c>
      <c r="AD310" s="37" t="n">
        <v>0.2608695652173913</v>
      </c>
      <c r="AE310" s="36" t="n">
        <v>17</v>
      </c>
      <c r="AF310" s="37" t="n">
        <v>0.3695652173913043</v>
      </c>
      <c r="AG310" s="36" t="n">
        <v>4</v>
      </c>
      <c r="AH310" s="37" t="n">
        <v>0.6666666666666666</v>
      </c>
    </row>
    <row r="311">
      <c r="A311" s="53" t="n">
        <v>45757</v>
      </c>
      <c r="B311" t="inlineStr">
        <is>
          <t>R01_Sumbagut</t>
        </is>
      </c>
      <c r="C311" t="inlineStr">
        <is>
          <t>NOP PADANG SIDEMPUAN</t>
        </is>
      </c>
      <c r="D311" s="38" t="n">
        <v>0</v>
      </c>
      <c r="E311" s="38" t="n">
        <v>1.352</v>
      </c>
      <c r="F311" s="36" t="n">
        <v>3.23</v>
      </c>
      <c r="G311" s="36" t="n">
        <v>3.42</v>
      </c>
      <c r="H311" s="36" t="n">
        <v>35</v>
      </c>
      <c r="I311" s="37" t="n">
        <v>0.3097345132743363</v>
      </c>
      <c r="J311" s="36" t="n">
        <v>1</v>
      </c>
      <c r="K311" s="37" t="n">
        <v>0.1</v>
      </c>
      <c r="L311" s="36" t="n">
        <v>34</v>
      </c>
      <c r="M311" s="37" t="n">
        <v>0.3300970873786408</v>
      </c>
      <c r="N311" s="36" t="n">
        <v>1</v>
      </c>
      <c r="O311" s="37" t="n">
        <v>1</v>
      </c>
      <c r="P311" s="36" t="n">
        <v>1</v>
      </c>
      <c r="Q311" s="37" t="n">
        <v>1</v>
      </c>
      <c r="R311" s="36" t="n">
        <v>111</v>
      </c>
      <c r="S311" s="37" t="n">
        <v>0.9823008849557522</v>
      </c>
      <c r="T311" s="36" t="n">
        <v>7</v>
      </c>
      <c r="U311" s="37" t="n">
        <v>0.06194690265486726</v>
      </c>
      <c r="V311" s="38" t="n">
        <v>0</v>
      </c>
      <c r="W311" s="38" t="n">
        <v>3.46</v>
      </c>
      <c r="X311" s="38" t="n">
        <v>8.594999999999999</v>
      </c>
      <c r="Y311" s="38" t="n">
        <v>113.6759999999999</v>
      </c>
      <c r="Z311" s="38" t="n">
        <v>0</v>
      </c>
      <c r="AA311" s="36" t="n">
        <v>97</v>
      </c>
      <c r="AB311" s="37" t="n">
        <v>0.3959183673469387</v>
      </c>
      <c r="AC311" s="36" t="n">
        <v>32</v>
      </c>
      <c r="AD311" s="37" t="n">
        <v>0.4507042253521127</v>
      </c>
      <c r="AE311" s="36" t="n">
        <v>65</v>
      </c>
      <c r="AF311" s="37" t="n">
        <v>0.3735632183908046</v>
      </c>
      <c r="AG311" s="36" t="n">
        <v>14</v>
      </c>
      <c r="AH311" s="37" t="n">
        <v>0.4375</v>
      </c>
    </row>
    <row r="312">
      <c r="A312" s="53" t="n">
        <v>45757</v>
      </c>
      <c r="B312" t="inlineStr">
        <is>
          <t>R01_Sumbagut</t>
        </is>
      </c>
      <c r="C312" t="inlineStr">
        <is>
          <t>NOP PEMATANG SIANTAR</t>
        </is>
      </c>
      <c r="D312" s="38" t="n">
        <v>0.86</v>
      </c>
      <c r="E312" s="38" t="n">
        <v>2.140000000000001</v>
      </c>
      <c r="F312" s="36" t="n">
        <v>3.41</v>
      </c>
      <c r="G312" s="36" t="n">
        <v>19.19</v>
      </c>
      <c r="H312" s="36" t="n">
        <v>40</v>
      </c>
      <c r="I312" s="37" t="n">
        <v>0.3125</v>
      </c>
      <c r="J312" s="36" t="n">
        <v>22</v>
      </c>
      <c r="K312" s="37" t="n">
        <v>0.5116279069767442</v>
      </c>
      <c r="L312" s="36" t="n">
        <v>18</v>
      </c>
      <c r="M312" s="37" t="n">
        <v>0.2117647058823529</v>
      </c>
      <c r="N312" s="36" t="n">
        <v>13</v>
      </c>
      <c r="O312" s="37" t="n">
        <v>0.5909090909090909</v>
      </c>
      <c r="P312" s="36" t="n">
        <v>13</v>
      </c>
      <c r="Q312" s="37" t="n">
        <v>0.6190476190476191</v>
      </c>
      <c r="R312" s="36" t="n">
        <v>128</v>
      </c>
      <c r="S312" s="37" t="n">
        <v>1</v>
      </c>
      <c r="T312" s="36" t="n">
        <v>22</v>
      </c>
      <c r="U312" s="37" t="n">
        <v>0.171875</v>
      </c>
      <c r="V312" s="38" t="n">
        <v>0</v>
      </c>
      <c r="W312" s="38" t="n">
        <v>2.252</v>
      </c>
      <c r="X312" s="38" t="n">
        <v>91.27</v>
      </c>
      <c r="Y312" s="38" t="n">
        <v>80.61000000000006</v>
      </c>
      <c r="Z312" s="38" t="n">
        <v>0</v>
      </c>
      <c r="AA312" s="36" t="n">
        <v>67</v>
      </c>
      <c r="AB312" s="37" t="n">
        <v>0.1334661354581673</v>
      </c>
      <c r="AC312" s="36" t="n">
        <v>17</v>
      </c>
      <c r="AD312" s="37" t="n">
        <v>0.3777777777777778</v>
      </c>
      <c r="AE312" s="36" t="n">
        <v>50</v>
      </c>
      <c r="AF312" s="37" t="n">
        <v>0.1101321585903084</v>
      </c>
      <c r="AG312" s="36" t="n">
        <v>16</v>
      </c>
      <c r="AH312" s="37" t="n">
        <v>0.9411764705882353</v>
      </c>
    </row>
    <row r="313">
      <c r="A313" s="53" t="n">
        <v>45757</v>
      </c>
      <c r="B313" t="inlineStr">
        <is>
          <t>R01_Sumbagut</t>
        </is>
      </c>
      <c r="C313" t="inlineStr">
        <is>
          <t>NOP RANTAU PRAPAT</t>
        </is>
      </c>
      <c r="D313" s="38" t="n">
        <v>0</v>
      </c>
      <c r="E313" s="38" t="n">
        <v>4.887999999999998</v>
      </c>
      <c r="F313" s="36" t="n">
        <v>6.088000000000021</v>
      </c>
      <c r="G313" s="36" t="n">
        <v>5.245999999999999</v>
      </c>
      <c r="H313" s="36" t="n">
        <v>34</v>
      </c>
      <c r="I313" s="37" t="n">
        <v>0.192090395480226</v>
      </c>
      <c r="J313" s="36" t="n">
        <v>4</v>
      </c>
      <c r="K313" s="37" t="n">
        <v>0.2666666666666667</v>
      </c>
      <c r="L313" s="36" t="n">
        <v>30</v>
      </c>
      <c r="M313" s="37" t="n">
        <v>0.1851851851851852</v>
      </c>
      <c r="N313" s="36" t="n">
        <v>3</v>
      </c>
      <c r="O313" s="37" t="n">
        <v>0.75</v>
      </c>
      <c r="P313" s="36" t="n">
        <v>3</v>
      </c>
      <c r="Q313" s="37" t="n">
        <v>0.75</v>
      </c>
      <c r="R313" s="36" t="n">
        <v>177</v>
      </c>
      <c r="S313" s="37" t="n">
        <v>1</v>
      </c>
      <c r="T313" s="36" t="n">
        <v>19</v>
      </c>
      <c r="U313" s="37" t="n">
        <v>0.1073446327683616</v>
      </c>
      <c r="V313" s="38" t="n">
        <v>0</v>
      </c>
      <c r="W313" s="38" t="n">
        <v>3.211000000000001</v>
      </c>
      <c r="X313" s="38" t="n">
        <v>44.387</v>
      </c>
      <c r="Y313" s="38" t="n">
        <v>35.01499999999999</v>
      </c>
      <c r="Z313" s="38" t="n">
        <v>0</v>
      </c>
      <c r="AA313" s="36" t="n">
        <v>21</v>
      </c>
      <c r="AB313" s="37" t="n">
        <v>0.07394366197183098</v>
      </c>
      <c r="AC313" s="36" t="n">
        <v>7</v>
      </c>
      <c r="AD313" s="37" t="n">
        <v>0.1206896551724138</v>
      </c>
      <c r="AE313" s="36" t="n">
        <v>10</v>
      </c>
      <c r="AF313" s="37" t="n">
        <v>0.04504504504504504</v>
      </c>
      <c r="AG313" s="36" t="n">
        <v>6</v>
      </c>
      <c r="AH313" s="37" t="n">
        <v>0.8571428571428571</v>
      </c>
    </row>
    <row r="314">
      <c r="A314" s="53" t="n">
        <v>45757</v>
      </c>
      <c r="B314" t="inlineStr">
        <is>
          <t>R10_Sumbagteng</t>
        </is>
      </c>
      <c r="C314" t="inlineStr">
        <is>
          <t>NOP BATAM</t>
        </is>
      </c>
      <c r="D314" s="38" t="n">
        <v>1.815999999999998</v>
      </c>
      <c r="E314" s="38" t="n">
        <v>14.105</v>
      </c>
      <c r="F314" s="36" t="n">
        <v>4.67</v>
      </c>
      <c r="G314" s="36" t="n">
        <v>14.898</v>
      </c>
      <c r="H314" s="36" t="n">
        <v>32</v>
      </c>
      <c r="I314" s="37" t="n">
        <v>0.253968253968254</v>
      </c>
      <c r="J314" s="36" t="n">
        <v>13</v>
      </c>
      <c r="K314" s="37" t="n">
        <v>0.2888888888888889</v>
      </c>
      <c r="L314" s="36" t="n">
        <v>19</v>
      </c>
      <c r="M314" s="37" t="n">
        <v>0.2345679012345679</v>
      </c>
      <c r="N314" s="36" t="n">
        <v>9</v>
      </c>
      <c r="O314" s="37" t="n">
        <v>0.6923076923076923</v>
      </c>
      <c r="P314" s="36" t="n">
        <v>9</v>
      </c>
      <c r="Q314" s="37" t="n">
        <v>0.6923076923076923</v>
      </c>
      <c r="R314" s="36" t="n">
        <v>125</v>
      </c>
      <c r="S314" s="37" t="n">
        <v>0.9920634920634921</v>
      </c>
      <c r="T314" s="36" t="n">
        <v>24</v>
      </c>
      <c r="U314" s="37" t="n">
        <v>0.1904761904761905</v>
      </c>
      <c r="V314" s="38" t="n">
        <v>0</v>
      </c>
      <c r="W314" s="38" t="n">
        <v>4.05</v>
      </c>
      <c r="X314" s="38" t="n">
        <v>27.405</v>
      </c>
      <c r="Y314" s="38" t="n">
        <v>2.409000000000004</v>
      </c>
      <c r="Z314" s="38" t="n">
        <v>0</v>
      </c>
      <c r="AA314" s="36" t="n">
        <v>18</v>
      </c>
      <c r="AB314" s="37" t="n">
        <v>0.0273972602739726</v>
      </c>
      <c r="AC314" s="36" t="n">
        <v>11</v>
      </c>
      <c r="AD314" s="37" t="n">
        <v>0.1864406779661017</v>
      </c>
      <c r="AE314" s="36" t="n">
        <v>7</v>
      </c>
      <c r="AF314" s="37" t="n">
        <v>0.0117056856187291</v>
      </c>
      <c r="AG314" s="36" t="n">
        <v>10</v>
      </c>
      <c r="AH314" s="37" t="n">
        <v>0.9090909090909091</v>
      </c>
    </row>
    <row r="315">
      <c r="A315" s="53" t="n">
        <v>45757</v>
      </c>
      <c r="B315" t="inlineStr">
        <is>
          <t>R10_Sumbagteng</t>
        </is>
      </c>
      <c r="C315" t="inlineStr">
        <is>
          <t>NOP BUKITTINGGI</t>
        </is>
      </c>
      <c r="D315" s="38" t="n">
        <v>0</v>
      </c>
      <c r="E315" s="38" t="n">
        <v>0.9640000000000001</v>
      </c>
      <c r="F315" s="36" t="n">
        <v>2.11</v>
      </c>
      <c r="G315" s="36" t="n">
        <v>5.492</v>
      </c>
      <c r="H315" s="36" t="n">
        <v>23</v>
      </c>
      <c r="I315" s="37" t="n">
        <v>0.8518518518518519</v>
      </c>
      <c r="J315" s="36" t="n">
        <v>3</v>
      </c>
      <c r="K315" s="37" t="n">
        <v>0.75</v>
      </c>
      <c r="L315" s="36" t="n">
        <v>20</v>
      </c>
      <c r="M315" s="37" t="n">
        <v>0.8695652173913043</v>
      </c>
      <c r="N315" s="36" t="n">
        <v>2</v>
      </c>
      <c r="O315" s="37" t="n">
        <v>0.6666666666666666</v>
      </c>
      <c r="P315" s="36" t="n">
        <v>2</v>
      </c>
      <c r="Q315" s="37" t="n">
        <v>0.6666666666666666</v>
      </c>
      <c r="R315" s="36" t="n">
        <v>26</v>
      </c>
      <c r="S315" s="37" t="n">
        <v>0.9629629629629629</v>
      </c>
      <c r="T315" s="36" t="n">
        <v>15</v>
      </c>
      <c r="U315" s="37" t="n">
        <v>0.5555555555555556</v>
      </c>
      <c r="V315" s="38" t="n">
        <v>0</v>
      </c>
      <c r="W315" s="38" t="n">
        <v>3.48</v>
      </c>
      <c r="X315" s="38" t="n">
        <v>14.14</v>
      </c>
      <c r="Y315" s="38" t="n">
        <v>109.732</v>
      </c>
      <c r="Z315" s="38" t="n">
        <v>0</v>
      </c>
      <c r="AA315" s="36" t="n">
        <v>66</v>
      </c>
      <c r="AB315" s="37" t="n">
        <v>0.4230769230769231</v>
      </c>
      <c r="AC315" s="36" t="n">
        <v>13</v>
      </c>
      <c r="AD315" s="37" t="n">
        <v>0.6842105263157895</v>
      </c>
      <c r="AE315" s="36" t="n">
        <v>50</v>
      </c>
      <c r="AF315" s="37" t="n">
        <v>0.373134328358209</v>
      </c>
      <c r="AG315" s="36" t="n">
        <v>8</v>
      </c>
      <c r="AH315" s="37" t="n">
        <v>0.6153846153846154</v>
      </c>
    </row>
    <row r="316">
      <c r="A316" s="53" t="n">
        <v>45757</v>
      </c>
      <c r="B316" t="inlineStr">
        <is>
          <t>R10_Sumbagteng</t>
        </is>
      </c>
      <c r="C316" t="inlineStr">
        <is>
          <t>NOP DUMAI</t>
        </is>
      </c>
      <c r="D316" s="38" t="n">
        <v>1.72</v>
      </c>
      <c r="E316" s="38" t="n">
        <v>10.75200000000001</v>
      </c>
      <c r="F316" s="36" t="n">
        <v>3.393</v>
      </c>
      <c r="G316" s="36" t="n">
        <v>3.820999999999999</v>
      </c>
      <c r="H316" s="36" t="n">
        <v>62</v>
      </c>
      <c r="I316" s="37" t="n">
        <v>0.3974358974358974</v>
      </c>
      <c r="J316" s="36" t="n">
        <v>25</v>
      </c>
      <c r="K316" s="37" t="n">
        <v>0.5434782608695652</v>
      </c>
      <c r="L316" s="36" t="n">
        <v>37</v>
      </c>
      <c r="M316" s="37" t="n">
        <v>0.3363636363636364</v>
      </c>
      <c r="N316" s="36" t="n">
        <v>16</v>
      </c>
      <c r="O316" s="37" t="n">
        <v>0.64</v>
      </c>
      <c r="P316" s="36" t="n">
        <v>16</v>
      </c>
      <c r="Q316" s="37" t="n">
        <v>0.64</v>
      </c>
      <c r="R316" s="36" t="n">
        <v>149</v>
      </c>
      <c r="S316" s="37" t="n">
        <v>0.9551282051282052</v>
      </c>
      <c r="T316" s="36" t="n">
        <v>33</v>
      </c>
      <c r="U316" s="37" t="n">
        <v>0.2115384615384615</v>
      </c>
      <c r="V316" s="38" t="n">
        <v>0.018</v>
      </c>
      <c r="W316" s="38" t="n">
        <v>3.4</v>
      </c>
      <c r="X316" s="38" t="n">
        <v>66.38300000000002</v>
      </c>
      <c r="Y316" s="38" t="n">
        <v>97.88299999999998</v>
      </c>
      <c r="Z316" s="38" t="n">
        <v>0</v>
      </c>
      <c r="AA316" s="36" t="n">
        <v>128</v>
      </c>
      <c r="AB316" s="37" t="n">
        <v>0.3636363636363636</v>
      </c>
      <c r="AC316" s="36" t="n">
        <v>21</v>
      </c>
      <c r="AD316" s="37" t="n">
        <v>0.328125</v>
      </c>
      <c r="AE316" s="36" t="n">
        <v>107</v>
      </c>
      <c r="AF316" s="37" t="n">
        <v>0.3962962962962963</v>
      </c>
      <c r="AG316" s="36" t="n">
        <v>21</v>
      </c>
      <c r="AH316" s="37" t="n">
        <v>1</v>
      </c>
    </row>
    <row r="317">
      <c r="A317" s="53" t="n">
        <v>45757</v>
      </c>
      <c r="B317" t="inlineStr">
        <is>
          <t>R10_Sumbagteng</t>
        </is>
      </c>
      <c r="C317" t="inlineStr">
        <is>
          <t>NOP PADANG</t>
        </is>
      </c>
      <c r="D317" s="38" t="n">
        <v>0</v>
      </c>
      <c r="E317" s="38" t="n">
        <v>1.751</v>
      </c>
      <c r="F317" s="36" t="n">
        <v>3.864999999999999</v>
      </c>
      <c r="G317" s="36" t="n">
        <v>5.416000000000006</v>
      </c>
      <c r="H317" s="36" t="n">
        <v>42</v>
      </c>
      <c r="I317" s="37" t="n">
        <v>0.6086956521739131</v>
      </c>
      <c r="J317" s="36" t="n">
        <v>7</v>
      </c>
      <c r="K317" s="37" t="n">
        <v>0.7</v>
      </c>
      <c r="L317" s="36" t="n">
        <v>35</v>
      </c>
      <c r="M317" s="37" t="n">
        <v>0.5932203389830508</v>
      </c>
      <c r="N317" s="36" t="n">
        <v>6</v>
      </c>
      <c r="O317" s="37" t="n">
        <v>0.8571428571428571</v>
      </c>
      <c r="P317" s="36" t="n">
        <v>6</v>
      </c>
      <c r="Q317" s="37" t="n">
        <v>0.8571428571428571</v>
      </c>
      <c r="R317" s="36" t="n">
        <v>69</v>
      </c>
      <c r="S317" s="37" t="n">
        <v>1</v>
      </c>
      <c r="T317" s="36" t="n">
        <v>21</v>
      </c>
      <c r="U317" s="37" t="n">
        <v>0.3043478260869565</v>
      </c>
      <c r="V317" s="38" t="n">
        <v>0</v>
      </c>
      <c r="W317" s="38" t="n">
        <v>2.919</v>
      </c>
      <c r="X317" s="38" t="n">
        <v>48.64600000000002</v>
      </c>
      <c r="Y317" s="38" t="n">
        <v>88.67</v>
      </c>
      <c r="Z317" s="38" t="n">
        <v>0</v>
      </c>
      <c r="AA317" s="36" t="n">
        <v>270</v>
      </c>
      <c r="AB317" s="37" t="n">
        <v>0.7964601769911505</v>
      </c>
      <c r="AC317" s="36" t="n">
        <v>20</v>
      </c>
      <c r="AD317" s="37" t="n">
        <v>0.6666666666666666</v>
      </c>
      <c r="AE317" s="36" t="n">
        <v>250</v>
      </c>
      <c r="AF317" s="37" t="n">
        <v>0.8090614886731392</v>
      </c>
      <c r="AG317" s="36" t="n">
        <v>8</v>
      </c>
      <c r="AH317" s="37" t="n">
        <v>0.4</v>
      </c>
    </row>
    <row r="318">
      <c r="A318" s="53" t="n">
        <v>45757</v>
      </c>
      <c r="B318" t="inlineStr">
        <is>
          <t>R10_Sumbagteng</t>
        </is>
      </c>
      <c r="C318" t="inlineStr">
        <is>
          <t>NOP PEKANBARU</t>
        </is>
      </c>
      <c r="D318" s="38" t="n">
        <v>0.38</v>
      </c>
      <c r="E318" s="38" t="n">
        <v>5.353000000000001</v>
      </c>
      <c r="F318" s="36" t="n">
        <v>6.634000000000001</v>
      </c>
      <c r="G318" s="36" t="n">
        <v>16.13</v>
      </c>
      <c r="H318" s="36" t="n">
        <v>41</v>
      </c>
      <c r="I318" s="37" t="n">
        <v>0.2662337662337662</v>
      </c>
      <c r="J318" s="36" t="n">
        <v>3</v>
      </c>
      <c r="K318" s="37" t="n">
        <v>0.2307692307692308</v>
      </c>
      <c r="L318" s="36" t="n">
        <v>38</v>
      </c>
      <c r="M318" s="37" t="n">
        <v>0.2695035460992908</v>
      </c>
      <c r="N318" s="36" t="n">
        <v>3</v>
      </c>
      <c r="O318" s="37" t="n">
        <v>1</v>
      </c>
      <c r="P318" s="36" t="n">
        <v>3</v>
      </c>
      <c r="Q318" s="37" t="n">
        <v>1</v>
      </c>
      <c r="R318" s="36" t="n">
        <v>153</v>
      </c>
      <c r="S318" s="37" t="n">
        <v>0.9935064935064936</v>
      </c>
      <c r="T318" s="36" t="n">
        <v>29</v>
      </c>
      <c r="U318" s="37" t="n">
        <v>0.1883116883116883</v>
      </c>
      <c r="V318" s="38" t="n">
        <v>0.06</v>
      </c>
      <c r="W318" s="38" t="n">
        <v>3</v>
      </c>
      <c r="X318" s="38" t="n">
        <v>68.03400000000001</v>
      </c>
      <c r="Y318" s="38" t="n">
        <v>113.78</v>
      </c>
      <c r="Z318" s="38" t="n">
        <v>0</v>
      </c>
      <c r="AA318" s="36" t="n">
        <v>100</v>
      </c>
      <c r="AB318" s="37" t="n">
        <v>0.3508771929824561</v>
      </c>
      <c r="AC318" s="36" t="n">
        <v>22</v>
      </c>
      <c r="AD318" s="37" t="n">
        <v>0.3055555555555556</v>
      </c>
      <c r="AE318" s="36" t="n">
        <v>77</v>
      </c>
      <c r="AF318" s="37" t="n">
        <v>0.3666666666666666</v>
      </c>
      <c r="AG318" s="36" t="n">
        <v>21</v>
      </c>
      <c r="AH318" s="37" t="n">
        <v>0.9545454545454546</v>
      </c>
    </row>
    <row r="319">
      <c r="A319" s="53" t="n">
        <v>45757</v>
      </c>
      <c r="B319" t="inlineStr">
        <is>
          <t>R02_Sumbagsel</t>
        </is>
      </c>
      <c r="C319" t="inlineStr">
        <is>
          <t>NOP BENGKULU</t>
        </is>
      </c>
      <c r="D319" s="38" t="n">
        <v>2.51</v>
      </c>
      <c r="E319" s="38" t="n">
        <v>3.562</v>
      </c>
      <c r="F319" s="36" t="n">
        <v>3.381000000000002</v>
      </c>
      <c r="G319" s="36" t="n">
        <v>4.548</v>
      </c>
      <c r="H319" s="36" t="n">
        <v>31</v>
      </c>
      <c r="I319" s="37" t="n">
        <v>0.5166666666666667</v>
      </c>
      <c r="J319" s="36" t="n">
        <v>15</v>
      </c>
      <c r="K319" s="37" t="n">
        <v>0.7894736842105263</v>
      </c>
      <c r="L319" s="36" t="n">
        <v>16</v>
      </c>
      <c r="M319" s="37" t="n">
        <v>0.3902439024390244</v>
      </c>
      <c r="N319" s="36" t="n">
        <v>10</v>
      </c>
      <c r="O319" s="37" t="n">
        <v>0.6666666666666666</v>
      </c>
      <c r="P319" s="36" t="n">
        <v>10</v>
      </c>
      <c r="Q319" s="37" t="n">
        <v>0.6666666666666666</v>
      </c>
      <c r="R319" s="36" t="n">
        <v>60</v>
      </c>
      <c r="S319" s="37" t="n">
        <v>1</v>
      </c>
      <c r="T319" s="36" t="n">
        <v>19</v>
      </c>
      <c r="U319" s="37" t="n">
        <v>0.3166666666666667</v>
      </c>
      <c r="V319" s="38" t="n">
        <v>0</v>
      </c>
      <c r="W319" s="38" t="n">
        <v>6.41</v>
      </c>
      <c r="X319" s="38" t="n">
        <v>4.62</v>
      </c>
      <c r="Y319" s="38" t="n">
        <v>20.5</v>
      </c>
      <c r="Z319" s="38" t="n">
        <v>0</v>
      </c>
      <c r="AA319" s="36" t="n">
        <v>95</v>
      </c>
      <c r="AB319" s="37" t="n">
        <v>0.6050955414012739</v>
      </c>
      <c r="AC319" s="36" t="n">
        <v>48</v>
      </c>
      <c r="AD319" s="37" t="n">
        <v>0.5274725274725275</v>
      </c>
      <c r="AE319" s="36" t="n">
        <v>31</v>
      </c>
      <c r="AF319" s="37" t="n">
        <v>0.6888888888888889</v>
      </c>
      <c r="AG319" s="36" t="n">
        <v>40</v>
      </c>
      <c r="AH319" s="37" t="n">
        <v>0.8333333333333334</v>
      </c>
    </row>
    <row r="320">
      <c r="A320" s="53" t="n">
        <v>45757</v>
      </c>
      <c r="B320" t="inlineStr">
        <is>
          <t>R02_Sumbagsel</t>
        </is>
      </c>
      <c r="C320" t="inlineStr">
        <is>
          <t>NOP JAMBI</t>
        </is>
      </c>
      <c r="D320" s="38" t="n">
        <v>0.86</v>
      </c>
      <c r="E320" s="38" t="n">
        <v>2.932000000000002</v>
      </c>
      <c r="F320" s="36" t="n">
        <v>3.430000000000001</v>
      </c>
      <c r="G320" s="36" t="n">
        <v>4.724</v>
      </c>
      <c r="H320" s="36" t="n">
        <v>62</v>
      </c>
      <c r="I320" s="37" t="n">
        <v>0.5904761904761905</v>
      </c>
      <c r="J320" s="36" t="n">
        <v>16</v>
      </c>
      <c r="K320" s="37" t="n">
        <v>0.5333333333333333</v>
      </c>
      <c r="L320" s="36" t="n">
        <v>46</v>
      </c>
      <c r="M320" s="37" t="n">
        <v>0.6133333333333333</v>
      </c>
      <c r="N320" s="36" t="n">
        <v>10</v>
      </c>
      <c r="O320" s="37" t="n">
        <v>0.625</v>
      </c>
      <c r="P320" s="36" t="n">
        <v>10</v>
      </c>
      <c r="Q320" s="37" t="n">
        <v>0.625</v>
      </c>
      <c r="R320" s="36" t="n">
        <v>105</v>
      </c>
      <c r="S320" s="37" t="n">
        <v>1</v>
      </c>
      <c r="T320" s="36" t="n">
        <v>29</v>
      </c>
      <c r="U320" s="37" t="n">
        <v>0.2761904761904762</v>
      </c>
      <c r="V320" s="38" t="n">
        <v>0</v>
      </c>
      <c r="W320" s="38" t="n">
        <v>5.595000000000001</v>
      </c>
      <c r="X320" s="38" t="n">
        <v>23.37</v>
      </c>
      <c r="Y320" s="38" t="n">
        <v>19.9</v>
      </c>
      <c r="Z320" s="38" t="n">
        <v>0</v>
      </c>
      <c r="AA320" s="36" t="n">
        <v>138</v>
      </c>
      <c r="AB320" s="37" t="n">
        <v>0.700507614213198</v>
      </c>
      <c r="AC320" s="36" t="n">
        <v>65</v>
      </c>
      <c r="AD320" s="37" t="n">
        <v>0.6914893617021277</v>
      </c>
      <c r="AE320" s="36" t="n">
        <v>65</v>
      </c>
      <c r="AF320" s="37" t="n">
        <v>0.6989247311827957</v>
      </c>
      <c r="AG320" s="36" t="n">
        <v>55</v>
      </c>
      <c r="AH320" s="37" t="n">
        <v>0.8461538461538461</v>
      </c>
    </row>
    <row r="321">
      <c r="A321" s="53" t="n">
        <v>45757</v>
      </c>
      <c r="B321" t="inlineStr">
        <is>
          <t>R02_Sumbagsel</t>
        </is>
      </c>
      <c r="C321" t="inlineStr">
        <is>
          <t>NOP LAMPUNG</t>
        </is>
      </c>
      <c r="D321" s="38" t="n">
        <v>4</v>
      </c>
      <c r="E321" s="38" t="n">
        <v>3.612</v>
      </c>
      <c r="F321" s="36" t="n">
        <v>7.11</v>
      </c>
      <c r="G321" s="36" t="n">
        <v>9.07</v>
      </c>
      <c r="H321" s="36" t="n">
        <v>48</v>
      </c>
      <c r="I321" s="37" t="n">
        <v>0.6956521739130435</v>
      </c>
      <c r="J321" s="36" t="n">
        <v>15</v>
      </c>
      <c r="K321" s="37" t="n">
        <v>0.8823529411764706</v>
      </c>
      <c r="L321" s="36" t="n">
        <v>33</v>
      </c>
      <c r="M321" s="37" t="n">
        <v>0.6346153846153846</v>
      </c>
      <c r="N321" s="36" t="n">
        <v>13</v>
      </c>
      <c r="O321" s="37" t="n">
        <v>0.8666666666666667</v>
      </c>
      <c r="P321" s="36" t="n">
        <v>13</v>
      </c>
      <c r="Q321" s="37" t="n">
        <v>0.8666666666666667</v>
      </c>
      <c r="R321" s="36" t="n">
        <v>69</v>
      </c>
      <c r="S321" s="37" t="n">
        <v>1</v>
      </c>
      <c r="T321" s="36" t="n">
        <v>41</v>
      </c>
      <c r="U321" s="37" t="n">
        <v>0.5942028985507246</v>
      </c>
      <c r="V321" s="38" t="n">
        <v>0</v>
      </c>
      <c r="W321" s="38" t="n">
        <v>2.945</v>
      </c>
      <c r="X321" s="38" t="n">
        <v>9.69</v>
      </c>
      <c r="Y321" s="38" t="n">
        <v>22.385</v>
      </c>
      <c r="Z321" s="38" t="n">
        <v>0</v>
      </c>
      <c r="AA321" s="36" t="n">
        <v>241</v>
      </c>
      <c r="AB321" s="37" t="n">
        <v>0.9525691699604744</v>
      </c>
      <c r="AC321" s="36" t="n">
        <v>35</v>
      </c>
      <c r="AD321" s="37" t="n">
        <v>0.9722222222222222</v>
      </c>
      <c r="AE321" s="36" t="n">
        <v>201</v>
      </c>
      <c r="AF321" s="37" t="n">
        <v>0.9804878048780488</v>
      </c>
      <c r="AG321" s="36" t="n">
        <v>28</v>
      </c>
      <c r="AH321" s="37" t="n">
        <v>0.8</v>
      </c>
    </row>
    <row r="322">
      <c r="A322" s="53" t="n">
        <v>45757</v>
      </c>
      <c r="B322" t="inlineStr">
        <is>
          <t>R02_Sumbagsel</t>
        </is>
      </c>
      <c r="C322" t="inlineStr">
        <is>
          <t>NOP MUARA ENIM</t>
        </is>
      </c>
      <c r="D322" s="38" t="n">
        <v>3.239</v>
      </c>
      <c r="E322" s="38" t="n">
        <v>2.124</v>
      </c>
      <c r="F322" s="36" t="n">
        <v>2.618</v>
      </c>
      <c r="G322" s="36" t="n">
        <v>4.108</v>
      </c>
      <c r="H322" s="36" t="n">
        <v>49</v>
      </c>
      <c r="I322" s="37" t="n">
        <v>0.4414414414414414</v>
      </c>
      <c r="J322" s="36" t="n">
        <v>4</v>
      </c>
      <c r="K322" s="37" t="n">
        <v>0.2105263157894737</v>
      </c>
      <c r="L322" s="36" t="n">
        <v>45</v>
      </c>
      <c r="M322" s="37" t="n">
        <v>0.4891304347826087</v>
      </c>
      <c r="N322" s="36" t="n">
        <v>3</v>
      </c>
      <c r="O322" s="37" t="n">
        <v>0.75</v>
      </c>
      <c r="P322" s="36" t="n">
        <v>3</v>
      </c>
      <c r="Q322" s="37" t="n">
        <v>0.75</v>
      </c>
      <c r="R322" s="36" t="n">
        <v>111</v>
      </c>
      <c r="S322" s="37" t="n">
        <v>1</v>
      </c>
      <c r="T322" s="36" t="n">
        <v>26</v>
      </c>
      <c r="U322" s="37" t="n">
        <v>0.2342342342342342</v>
      </c>
      <c r="V322" s="38" t="n">
        <v>0</v>
      </c>
      <c r="W322" s="38" t="n">
        <v>3.295</v>
      </c>
      <c r="X322" s="38" t="n">
        <v>3.26</v>
      </c>
      <c r="Y322" s="38" t="n">
        <v>4.806999999999997</v>
      </c>
      <c r="Z322" s="38" t="n">
        <v>0</v>
      </c>
      <c r="AA322" s="36" t="n">
        <v>123</v>
      </c>
      <c r="AB322" s="37" t="n">
        <v>0.5642201834862385</v>
      </c>
      <c r="AC322" s="36" t="n">
        <v>57</v>
      </c>
      <c r="AD322" s="37" t="n">
        <v>0.5816326530612245</v>
      </c>
      <c r="AE322" s="36" t="n">
        <v>62</v>
      </c>
      <c r="AF322" s="37" t="n">
        <v>0.5849056603773585</v>
      </c>
      <c r="AG322" s="36" t="n">
        <v>45</v>
      </c>
      <c r="AH322" s="37" t="n">
        <v>0.7894736842105263</v>
      </c>
    </row>
    <row r="323">
      <c r="A323" s="53" t="n">
        <v>45757</v>
      </c>
      <c r="B323" t="inlineStr">
        <is>
          <t>R02_Sumbagsel</t>
        </is>
      </c>
      <c r="C323" t="inlineStr">
        <is>
          <t>NOP PALEMBANG</t>
        </is>
      </c>
      <c r="D323" s="38" t="n">
        <v>0.8</v>
      </c>
      <c r="E323" s="38" t="n">
        <v>2.206</v>
      </c>
      <c r="F323" s="36" t="n">
        <v>2.554</v>
      </c>
      <c r="G323" s="36" t="n">
        <v>4.699999999999999</v>
      </c>
      <c r="H323" s="36" t="n">
        <v>36</v>
      </c>
      <c r="I323" s="37" t="n">
        <v>0.3364485981308411</v>
      </c>
      <c r="J323" s="36" t="n">
        <v>6</v>
      </c>
      <c r="K323" s="37" t="n">
        <v>0.5454545454545454</v>
      </c>
      <c r="L323" s="36" t="n">
        <v>30</v>
      </c>
      <c r="M323" s="37" t="n">
        <v>0.3125</v>
      </c>
      <c r="N323" s="36" t="n">
        <v>3</v>
      </c>
      <c r="O323" s="37" t="n">
        <v>0.5</v>
      </c>
      <c r="P323" s="36" t="n">
        <v>3</v>
      </c>
      <c r="Q323" s="37" t="n">
        <v>0.5</v>
      </c>
      <c r="R323" s="36" t="n">
        <v>107</v>
      </c>
      <c r="S323" s="37" t="n">
        <v>1</v>
      </c>
      <c r="T323" s="36" t="n">
        <v>21</v>
      </c>
      <c r="U323" s="37" t="n">
        <v>0.1962616822429906</v>
      </c>
      <c r="V323" s="38" t="n">
        <v>0</v>
      </c>
      <c r="W323" s="38" t="n">
        <v>4.974000000000001</v>
      </c>
      <c r="X323" s="38" t="n">
        <v>5.21</v>
      </c>
      <c r="Y323" s="38" t="n">
        <v>7.48000000000005</v>
      </c>
      <c r="Z323" s="38" t="n">
        <v>0</v>
      </c>
      <c r="AA323" s="36" t="n">
        <v>73</v>
      </c>
      <c r="AB323" s="37" t="n">
        <v>0.3258928571428572</v>
      </c>
      <c r="AC323" s="36" t="n">
        <v>17</v>
      </c>
      <c r="AD323" s="37" t="n">
        <v>0.2207792207792208</v>
      </c>
      <c r="AE323" s="36" t="n">
        <v>56</v>
      </c>
      <c r="AF323" s="37" t="n">
        <v>0.4444444444444444</v>
      </c>
      <c r="AG323" s="36" t="n">
        <v>5</v>
      </c>
      <c r="AH323" s="37" t="n">
        <v>0.2941176470588235</v>
      </c>
    </row>
    <row r="324">
      <c r="A324" s="53" t="n">
        <v>45757</v>
      </c>
      <c r="B324" t="inlineStr">
        <is>
          <t>R02_Sumbagsel</t>
        </is>
      </c>
      <c r="C324" t="inlineStr">
        <is>
          <t>NOP PANGKAL PINANG</t>
        </is>
      </c>
      <c r="D324" s="38" t="n">
        <v>0</v>
      </c>
      <c r="E324" s="38" t="n">
        <v>0.37</v>
      </c>
      <c r="F324" s="36" t="n">
        <v>5.32</v>
      </c>
      <c r="G324" s="36" t="n">
        <v>5.025999999999999</v>
      </c>
      <c r="H324" s="36" t="n">
        <v>30</v>
      </c>
      <c r="I324" s="37" t="n">
        <v>1</v>
      </c>
      <c r="J324" s="36" t="n">
        <v>1</v>
      </c>
      <c r="K324" s="37" t="n">
        <v>1</v>
      </c>
      <c r="L324" s="36" t="n">
        <v>29</v>
      </c>
      <c r="M324" s="37" t="n">
        <v>1</v>
      </c>
      <c r="N324" s="36" t="n">
        <v>0</v>
      </c>
      <c r="O324" s="37" t="n">
        <v>0</v>
      </c>
      <c r="P324" s="36" t="n">
        <v>0</v>
      </c>
      <c r="Q324" s="37" t="n">
        <v>0</v>
      </c>
      <c r="R324" s="36" t="n">
        <v>30</v>
      </c>
      <c r="S324" s="37" t="n">
        <v>1</v>
      </c>
      <c r="T324" s="36" t="n">
        <v>7</v>
      </c>
      <c r="U324" s="37" t="n">
        <v>0.2333333333333333</v>
      </c>
      <c r="V324" s="38" t="n">
        <v>0</v>
      </c>
      <c r="W324" s="38" t="n">
        <v>0.8200000000000001</v>
      </c>
      <c r="X324" s="38" t="n">
        <v>4.136000000000004</v>
      </c>
      <c r="Y324" s="38" t="n">
        <v>7.382000000000001</v>
      </c>
      <c r="Z324" s="38" t="n">
        <v>0</v>
      </c>
      <c r="AA324" s="36" t="n">
        <v>62</v>
      </c>
      <c r="AB324" s="37" t="n">
        <v>0.8051948051948052</v>
      </c>
      <c r="AC324" s="36" t="n">
        <v>30</v>
      </c>
      <c r="AD324" s="37" t="n">
        <v>0.8333333333333334</v>
      </c>
      <c r="AE324" s="36" t="n">
        <v>32</v>
      </c>
      <c r="AF324" s="37" t="n">
        <v>0.8</v>
      </c>
      <c r="AG324" s="36" t="n">
        <v>23</v>
      </c>
      <c r="AH324" s="37" t="n">
        <v>0.7666666666666667</v>
      </c>
    </row>
    <row r="325">
      <c r="A325" s="53" t="n">
        <v>45757</v>
      </c>
      <c r="B325" t="inlineStr">
        <is>
          <t>R05_Jawa Tengah DIY</t>
        </is>
      </c>
      <c r="C325" t="inlineStr">
        <is>
          <t>NOP MAGELANG</t>
        </is>
      </c>
      <c r="D325" s="38" t="n">
        <v>2.11</v>
      </c>
      <c r="E325" s="38" t="n">
        <v>0</v>
      </c>
      <c r="F325" s="36" t="n">
        <v>2.86</v>
      </c>
      <c r="G325" s="36" t="n">
        <v>3.612999999999999</v>
      </c>
      <c r="H325" s="36" t="n">
        <v>30</v>
      </c>
      <c r="I325" s="37" t="n">
        <v>0.9375</v>
      </c>
      <c r="J325" s="36" t="n">
        <v>3</v>
      </c>
      <c r="K325" s="37" t="n">
        <v>1</v>
      </c>
      <c r="L325" s="36" t="n">
        <v>27</v>
      </c>
      <c r="M325" s="37" t="n">
        <v>0.9310344827586207</v>
      </c>
      <c r="N325" s="36" t="n">
        <v>3</v>
      </c>
      <c r="O325" s="37" t="n">
        <v>1</v>
      </c>
      <c r="P325" s="36" t="n">
        <v>3</v>
      </c>
      <c r="Q325" s="37" t="n">
        <v>1</v>
      </c>
      <c r="R325" s="36" t="n">
        <v>32</v>
      </c>
      <c r="S325" s="37" t="n">
        <v>1</v>
      </c>
      <c r="T325" s="36" t="n">
        <v>24</v>
      </c>
      <c r="U325" s="37" t="n">
        <v>0.75</v>
      </c>
      <c r="V325" s="38" t="n">
        <v>0</v>
      </c>
      <c r="W325" s="38" t="n">
        <v>3.128</v>
      </c>
      <c r="X325" s="38" t="n">
        <v>4.168</v>
      </c>
      <c r="Y325" s="38" t="n">
        <v>20.44</v>
      </c>
      <c r="Z325" s="38" t="n">
        <v>0</v>
      </c>
      <c r="AA325" s="36" t="n">
        <v>35</v>
      </c>
      <c r="AB325" s="37" t="n">
        <v>0.9722222222222222</v>
      </c>
      <c r="AC325" s="36" t="n">
        <v>9</v>
      </c>
      <c r="AD325" s="37" t="n">
        <v>0.9</v>
      </c>
      <c r="AE325" s="36" t="n">
        <v>26</v>
      </c>
      <c r="AF325" s="37" t="n">
        <v>1</v>
      </c>
      <c r="AG325" s="36" t="n">
        <v>9</v>
      </c>
      <c r="AH325" s="37" t="n">
        <v>1</v>
      </c>
    </row>
    <row r="326">
      <c r="A326" s="53" t="n">
        <v>45757</v>
      </c>
      <c r="B326" t="inlineStr">
        <is>
          <t>R05_Jawa Tengah DIY</t>
        </is>
      </c>
      <c r="C326" t="inlineStr">
        <is>
          <t>NOP PEKALONGAN</t>
        </is>
      </c>
      <c r="D326" s="38" t="n">
        <v>4.26</v>
      </c>
      <c r="E326" s="38" t="n">
        <v>0</v>
      </c>
      <c r="F326" s="36" t="n">
        <v>3.932</v>
      </c>
      <c r="G326" s="36" t="n">
        <v>2.625</v>
      </c>
      <c r="H326" s="36" t="n">
        <v>6</v>
      </c>
      <c r="I326" s="37" t="n">
        <v>0.5</v>
      </c>
      <c r="J326" s="36" t="n">
        <v>1</v>
      </c>
      <c r="K326" s="37" t="n">
        <v>1</v>
      </c>
      <c r="L326" s="36" t="n">
        <v>5</v>
      </c>
      <c r="M326" s="37" t="n">
        <v>0.4545454545454545</v>
      </c>
      <c r="N326" s="36" t="n">
        <v>1</v>
      </c>
      <c r="O326" s="37" t="n">
        <v>1</v>
      </c>
      <c r="P326" s="36" t="n">
        <v>1</v>
      </c>
      <c r="Q326" s="37" t="n">
        <v>1</v>
      </c>
      <c r="R326" s="36" t="n">
        <v>12</v>
      </c>
      <c r="S326" s="37" t="n">
        <v>1</v>
      </c>
      <c r="T326" s="36" t="n">
        <v>5</v>
      </c>
      <c r="U326" s="37" t="n">
        <v>0.4166666666666667</v>
      </c>
      <c r="V326" s="38" t="n">
        <v>0</v>
      </c>
      <c r="W326" s="38" t="n">
        <v>1.976</v>
      </c>
      <c r="X326" s="38" t="n">
        <v>3.375</v>
      </c>
      <c r="Y326" s="38" t="n">
        <v>6.934000000000001</v>
      </c>
      <c r="Z326" s="38" t="n">
        <v>0</v>
      </c>
      <c r="AA326" s="36" t="n">
        <v>19</v>
      </c>
      <c r="AB326" s="37" t="n">
        <v>0.7037037037037037</v>
      </c>
      <c r="AC326" s="36" t="n">
        <v>5</v>
      </c>
      <c r="AD326" s="37" t="n">
        <v>0.7142857142857143</v>
      </c>
      <c r="AE326" s="36" t="n">
        <v>14</v>
      </c>
      <c r="AF326" s="37" t="n">
        <v>0.7</v>
      </c>
      <c r="AG326" s="36" t="n">
        <v>3</v>
      </c>
      <c r="AH326" s="37" t="n">
        <v>0.6</v>
      </c>
    </row>
    <row r="327">
      <c r="A327" s="53" t="n">
        <v>45757</v>
      </c>
      <c r="B327" t="inlineStr">
        <is>
          <t>R05_Jawa Tengah DIY</t>
        </is>
      </c>
      <c r="C327" t="inlineStr">
        <is>
          <t>NOP PURWOKERTO</t>
        </is>
      </c>
      <c r="D327" s="38" t="n">
        <v>2.09</v>
      </c>
      <c r="E327" s="38" t="n">
        <v>0</v>
      </c>
      <c r="F327" s="36" t="n">
        <v>3.62</v>
      </c>
      <c r="G327" s="36" t="n">
        <v>2.160000000000001</v>
      </c>
      <c r="H327" s="36" t="n">
        <v>42</v>
      </c>
      <c r="I327" s="37" t="n">
        <v>0.9545454545454546</v>
      </c>
      <c r="J327" s="36" t="n">
        <v>1</v>
      </c>
      <c r="K327" s="37" t="n">
        <v>1</v>
      </c>
      <c r="L327" s="36" t="n">
        <v>41</v>
      </c>
      <c r="M327" s="37" t="n">
        <v>0.9534883720930233</v>
      </c>
      <c r="N327" s="36" t="n">
        <v>1</v>
      </c>
      <c r="O327" s="37" t="n">
        <v>1</v>
      </c>
      <c r="P327" s="36" t="n">
        <v>1</v>
      </c>
      <c r="Q327" s="37" t="n">
        <v>1</v>
      </c>
      <c r="R327" s="36" t="n">
        <v>44</v>
      </c>
      <c r="S327" s="37" t="n">
        <v>1</v>
      </c>
      <c r="T327" s="36" t="n">
        <v>30</v>
      </c>
      <c r="U327" s="37" t="n">
        <v>0.6818181818181818</v>
      </c>
      <c r="V327" s="38" t="n">
        <v>0</v>
      </c>
      <c r="W327" s="38" t="n">
        <v>3.431</v>
      </c>
      <c r="X327" s="38" t="n">
        <v>11.79100000000002</v>
      </c>
      <c r="Y327" s="38" t="n">
        <v>48.042</v>
      </c>
      <c r="Z327" s="38" t="n">
        <v>0</v>
      </c>
      <c r="AA327" s="36" t="n">
        <v>40</v>
      </c>
      <c r="AB327" s="37" t="n">
        <v>0.8888888888888888</v>
      </c>
      <c r="AC327" s="36" t="n">
        <v>9</v>
      </c>
      <c r="AD327" s="37" t="n">
        <v>0.9</v>
      </c>
      <c r="AE327" s="36" t="n">
        <v>31</v>
      </c>
      <c r="AF327" s="37" t="n">
        <v>0.8857142857142857</v>
      </c>
      <c r="AG327" s="36" t="n">
        <v>7</v>
      </c>
      <c r="AH327" s="37" t="n">
        <v>0.7777777777777778</v>
      </c>
    </row>
    <row r="328">
      <c r="A328" s="53" t="n">
        <v>45757</v>
      </c>
      <c r="B328" t="inlineStr">
        <is>
          <t>R05_Jawa Tengah DIY</t>
        </is>
      </c>
      <c r="C328" t="inlineStr">
        <is>
          <t>NOP SEMARANG</t>
        </is>
      </c>
      <c r="D328" s="38" t="n">
        <v>1.368</v>
      </c>
      <c r="E328" s="38" t="n">
        <v>0</v>
      </c>
      <c r="F328" s="36" t="n">
        <v>1.71</v>
      </c>
      <c r="G328" s="36" t="n">
        <v>2.355</v>
      </c>
      <c r="H328" s="36" t="n">
        <v>3</v>
      </c>
      <c r="I328" s="37" t="n">
        <v>0.1764705882352941</v>
      </c>
      <c r="J328" s="36" t="n">
        <v>2</v>
      </c>
      <c r="K328" s="37" t="n">
        <v>0.4</v>
      </c>
      <c r="L328" s="36" t="n">
        <v>1</v>
      </c>
      <c r="M328" s="37" t="n">
        <v>0.08333333333333333</v>
      </c>
      <c r="N328" s="36" t="n">
        <v>2</v>
      </c>
      <c r="O328" s="37" t="n">
        <v>1</v>
      </c>
      <c r="P328" s="36" t="n">
        <v>2</v>
      </c>
      <c r="Q328" s="37" t="n">
        <v>1</v>
      </c>
      <c r="R328" s="36" t="n">
        <v>14</v>
      </c>
      <c r="S328" s="37" t="n">
        <v>0.8235294117647058</v>
      </c>
      <c r="T328" s="36" t="n">
        <v>3</v>
      </c>
      <c r="U328" s="37" t="n">
        <v>0.1764705882352941</v>
      </c>
      <c r="V328" s="38" t="n">
        <v>0</v>
      </c>
      <c r="W328" s="38" t="n">
        <v>2.580000000000001</v>
      </c>
      <c r="X328" s="38" t="n">
        <v>5.109</v>
      </c>
      <c r="Y328" s="38" t="n">
        <v>129.812</v>
      </c>
      <c r="Z328" s="38" t="n">
        <v>0</v>
      </c>
      <c r="AA328" s="36" t="n">
        <v>31</v>
      </c>
      <c r="AB328" s="37" t="n">
        <v>0.7045454545454546</v>
      </c>
      <c r="AC328" s="36" t="n">
        <v>4</v>
      </c>
      <c r="AD328" s="37" t="n">
        <v>0.3076923076923077</v>
      </c>
      <c r="AE328" s="36" t="n">
        <v>27</v>
      </c>
      <c r="AF328" s="37" t="n">
        <v>0.8709677419354839</v>
      </c>
      <c r="AG328" s="36" t="n">
        <v>3</v>
      </c>
      <c r="AH328" s="37" t="n">
        <v>0.75</v>
      </c>
    </row>
    <row r="329">
      <c r="A329" s="53" t="n">
        <v>45757</v>
      </c>
      <c r="B329" t="inlineStr">
        <is>
          <t>R05_Jawa Tengah DIY</t>
        </is>
      </c>
      <c r="C329" t="inlineStr">
        <is>
          <t>NOP SURAKARTA</t>
        </is>
      </c>
      <c r="D329" s="38" t="n">
        <v>0</v>
      </c>
      <c r="E329" s="38" t="n">
        <v>0</v>
      </c>
      <c r="F329" s="36" t="n">
        <v>2.03</v>
      </c>
      <c r="G329" s="36" t="n">
        <v>3.074</v>
      </c>
      <c r="H329" s="36" t="n">
        <v>15</v>
      </c>
      <c r="I329" s="37" t="n">
        <v>0.7894736842105263</v>
      </c>
      <c r="J329" s="36" t="n">
        <v>0</v>
      </c>
      <c r="K329" s="37" t="n">
        <v>0</v>
      </c>
      <c r="L329" s="36" t="n">
        <v>15</v>
      </c>
      <c r="M329" s="37" t="n">
        <v>0.7894736842105263</v>
      </c>
      <c r="N329" s="36" t="n">
        <v>0</v>
      </c>
      <c r="O329" s="37" t="n">
        <v>0</v>
      </c>
      <c r="P329" s="36" t="n">
        <v>0</v>
      </c>
      <c r="Q329" s="37" t="n">
        <v>0</v>
      </c>
      <c r="R329" s="36" t="n">
        <v>19</v>
      </c>
      <c r="S329" s="37" t="n">
        <v>1</v>
      </c>
      <c r="T329" s="36" t="n">
        <v>12</v>
      </c>
      <c r="U329" s="37" t="n">
        <v>0.631578947368421</v>
      </c>
      <c r="V329" s="38" t="n">
        <v>0.16</v>
      </c>
      <c r="W329" s="38" t="n">
        <v>9.800000000000001</v>
      </c>
      <c r="X329" s="38" t="n">
        <v>9</v>
      </c>
      <c r="Y329" s="38" t="n">
        <v>21.90100000000001</v>
      </c>
      <c r="Z329" s="38" t="n">
        <v>0</v>
      </c>
      <c r="AA329" s="36" t="n">
        <v>51</v>
      </c>
      <c r="AB329" s="37" t="n">
        <v>0.8947368421052632</v>
      </c>
      <c r="AC329" s="36" t="n">
        <v>18</v>
      </c>
      <c r="AD329" s="37" t="n">
        <v>0.8181818181818182</v>
      </c>
      <c r="AE329" s="36" t="n">
        <v>33</v>
      </c>
      <c r="AF329" s="37" t="n">
        <v>0.9428571428571428</v>
      </c>
      <c r="AG329" s="36" t="n">
        <v>13</v>
      </c>
      <c r="AH329" s="37" t="n">
        <v>0.7222222222222222</v>
      </c>
    </row>
    <row r="330">
      <c r="A330" s="53" t="n">
        <v>45757</v>
      </c>
      <c r="B330" t="inlineStr">
        <is>
          <t>R05_Jawa Tengah DIY</t>
        </is>
      </c>
      <c r="C330" t="inlineStr">
        <is>
          <t>NOP YOGYAKARTA</t>
        </is>
      </c>
      <c r="D330" s="38" t="n">
        <v>0</v>
      </c>
      <c r="E330" s="38" t="n">
        <v>0</v>
      </c>
      <c r="F330" s="36" t="n">
        <v>4.49</v>
      </c>
      <c r="G330" s="36" t="n">
        <v>4.646000000000001</v>
      </c>
      <c r="H330" s="36" t="n">
        <v>35</v>
      </c>
      <c r="I330" s="37" t="n">
        <v>0.7142857142857143</v>
      </c>
      <c r="J330" s="36" t="n">
        <v>0</v>
      </c>
      <c r="K330" s="37" t="n">
        <v>0</v>
      </c>
      <c r="L330" s="36" t="n">
        <v>35</v>
      </c>
      <c r="M330" s="37" t="n">
        <v>0.7142857142857143</v>
      </c>
      <c r="N330" s="36" t="n">
        <v>0</v>
      </c>
      <c r="O330" s="37" t="n">
        <v>0</v>
      </c>
      <c r="P330" s="36" t="n">
        <v>0</v>
      </c>
      <c r="Q330" s="37" t="n">
        <v>0</v>
      </c>
      <c r="R330" s="36" t="n">
        <v>49</v>
      </c>
      <c r="S330" s="37" t="n">
        <v>1</v>
      </c>
      <c r="T330" s="36" t="n">
        <v>25</v>
      </c>
      <c r="U330" s="37" t="n">
        <v>0.5102040816326531</v>
      </c>
      <c r="V330" s="38" t="n">
        <v>0</v>
      </c>
      <c r="W330" s="38" t="n">
        <v>3.961999999999999</v>
      </c>
      <c r="X330" s="38" t="n">
        <v>17.03</v>
      </c>
      <c r="Y330" s="38" t="n">
        <v>42.192</v>
      </c>
      <c r="Z330" s="38" t="n">
        <v>0</v>
      </c>
      <c r="AA330" s="36" t="n">
        <v>59</v>
      </c>
      <c r="AB330" s="37" t="n">
        <v>0.9516129032258065</v>
      </c>
      <c r="AC330" s="36" t="n">
        <v>13</v>
      </c>
      <c r="AD330" s="37" t="n">
        <v>0.8666666666666667</v>
      </c>
      <c r="AE330" s="36" t="n">
        <v>46</v>
      </c>
      <c r="AF330" s="37" t="n">
        <v>0.9787234042553191</v>
      </c>
      <c r="AG330" s="36" t="n">
        <v>13</v>
      </c>
      <c r="AH330" s="37" t="n">
        <v>1</v>
      </c>
    </row>
    <row r="331">
      <c r="A331" s="53" t="n">
        <v>45757</v>
      </c>
      <c r="B331" t="inlineStr">
        <is>
          <t>R06_Jawa Timur</t>
        </is>
      </c>
      <c r="C331" t="inlineStr">
        <is>
          <t>NOP JEMBER</t>
        </is>
      </c>
      <c r="D331" s="38" t="n">
        <v>3.63</v>
      </c>
      <c r="E331" s="38" t="n">
        <v>0</v>
      </c>
      <c r="F331" s="36" t="n">
        <v>1.51</v>
      </c>
      <c r="G331" s="36" t="n">
        <v>2.903999999999999</v>
      </c>
      <c r="H331" s="36" t="n">
        <v>23</v>
      </c>
      <c r="I331" s="37" t="n">
        <v>0.71875</v>
      </c>
      <c r="J331" s="36" t="n">
        <v>1</v>
      </c>
      <c r="K331" s="37" t="n">
        <v>1</v>
      </c>
      <c r="L331" s="36" t="n">
        <v>22</v>
      </c>
      <c r="M331" s="37" t="n">
        <v>0.7096774193548387</v>
      </c>
      <c r="N331" s="36" t="n">
        <v>1</v>
      </c>
      <c r="O331" s="37" t="n">
        <v>1</v>
      </c>
      <c r="P331" s="36" t="n">
        <v>1</v>
      </c>
      <c r="Q331" s="37" t="n">
        <v>1</v>
      </c>
      <c r="R331" s="36" t="n">
        <v>32</v>
      </c>
      <c r="S331" s="37" t="n">
        <v>1</v>
      </c>
      <c r="T331" s="36" t="n">
        <v>7</v>
      </c>
      <c r="U331" s="37" t="n">
        <v>0.21875</v>
      </c>
      <c r="V331" s="38" t="n">
        <v>0</v>
      </c>
      <c r="W331" s="38" t="n">
        <v>3.643000000000001</v>
      </c>
      <c r="X331" s="38" t="n">
        <v>2.052</v>
      </c>
      <c r="Y331" s="38" t="n">
        <v>41.88</v>
      </c>
      <c r="Z331" s="38" t="n">
        <v>0</v>
      </c>
      <c r="AA331" s="36" t="n">
        <v>40</v>
      </c>
      <c r="AB331" s="37" t="n">
        <v>0.8695652173913043</v>
      </c>
      <c r="AC331" s="36" t="n">
        <v>9</v>
      </c>
      <c r="AD331" s="37" t="n">
        <v>0.75</v>
      </c>
      <c r="AE331" s="36" t="n">
        <v>31</v>
      </c>
      <c r="AF331" s="37" t="n">
        <v>0.9117647058823529</v>
      </c>
      <c r="AG331" s="36" t="n">
        <v>7</v>
      </c>
      <c r="AH331" s="37" t="n">
        <v>0.7777777777777778</v>
      </c>
    </row>
    <row r="332">
      <c r="A332" s="53" t="n">
        <v>45757</v>
      </c>
      <c r="B332" t="inlineStr">
        <is>
          <t>R06_Jawa Timur</t>
        </is>
      </c>
      <c r="C332" t="inlineStr">
        <is>
          <t>NOP KEDIRI</t>
        </is>
      </c>
      <c r="D332" s="38" t="n">
        <v>0.64</v>
      </c>
      <c r="E332" s="38" t="n">
        <v>0</v>
      </c>
      <c r="F332" s="36" t="n">
        <v>2.78</v>
      </c>
      <c r="G332" s="36" t="n">
        <v>0.652</v>
      </c>
      <c r="H332" s="36" t="n">
        <v>11</v>
      </c>
      <c r="I332" s="37" t="n">
        <v>0.8461538461538461</v>
      </c>
      <c r="J332" s="36" t="n">
        <v>0</v>
      </c>
      <c r="K332" s="37" t="n">
        <v>0</v>
      </c>
      <c r="L332" s="36" t="n">
        <v>11</v>
      </c>
      <c r="M332" s="37" t="n">
        <v>0.9166666666666666</v>
      </c>
      <c r="N332" s="36" t="n">
        <v>0</v>
      </c>
      <c r="O332" s="37" t="n">
        <v>0</v>
      </c>
      <c r="P332" s="36" t="n">
        <v>0</v>
      </c>
      <c r="Q332" s="37" t="n">
        <v>0</v>
      </c>
      <c r="R332" s="36" t="n">
        <v>13</v>
      </c>
      <c r="S332" s="37" t="n">
        <v>1</v>
      </c>
      <c r="T332" s="36" t="n">
        <v>11</v>
      </c>
      <c r="U332" s="37" t="n">
        <v>0.8461538461538461</v>
      </c>
      <c r="V332" s="38" t="n">
        <v>0</v>
      </c>
      <c r="W332" s="38" t="n">
        <v>2.749000000000001</v>
      </c>
      <c r="X332" s="38" t="n">
        <v>3.53</v>
      </c>
      <c r="Y332" s="38" t="n">
        <v>13.35</v>
      </c>
      <c r="Z332" s="38" t="n">
        <v>0</v>
      </c>
      <c r="AA332" s="36" t="n">
        <v>23</v>
      </c>
      <c r="AB332" s="37" t="n">
        <v>1</v>
      </c>
      <c r="AC332" s="36" t="n">
        <v>4</v>
      </c>
      <c r="AD332" s="37" t="n">
        <v>1</v>
      </c>
      <c r="AE332" s="36" t="n">
        <v>19</v>
      </c>
      <c r="AF332" s="37" t="n">
        <v>1</v>
      </c>
      <c r="AG332" s="36" t="n">
        <v>4</v>
      </c>
      <c r="AH332" s="37" t="n">
        <v>1</v>
      </c>
    </row>
    <row r="333">
      <c r="A333" s="53" t="n">
        <v>45757</v>
      </c>
      <c r="B333" t="inlineStr">
        <is>
          <t>R06_Jawa Timur</t>
        </is>
      </c>
      <c r="C333" t="inlineStr">
        <is>
          <t>NOP LAMONGAN</t>
        </is>
      </c>
      <c r="D333" s="38" t="n">
        <v>1.17</v>
      </c>
      <c r="E333" s="38" t="n">
        <v>0</v>
      </c>
      <c r="F333" s="36" t="n">
        <v>2.78</v>
      </c>
      <c r="G333" s="36" t="n">
        <v>1.41</v>
      </c>
      <c r="H333" s="36" t="n">
        <v>3</v>
      </c>
      <c r="I333" s="37" t="n">
        <v>1</v>
      </c>
      <c r="J333" s="36" t="n">
        <v>1</v>
      </c>
      <c r="K333" s="37" t="n">
        <v>1</v>
      </c>
      <c r="L333" s="36" t="n">
        <v>2</v>
      </c>
      <c r="M333" s="37" t="n">
        <v>1</v>
      </c>
      <c r="N333" s="36" t="n">
        <v>1</v>
      </c>
      <c r="O333" s="37" t="n">
        <v>1</v>
      </c>
      <c r="P333" s="36" t="n">
        <v>1</v>
      </c>
      <c r="Q333" s="37" t="n">
        <v>1</v>
      </c>
      <c r="R333" s="36" t="n">
        <v>3</v>
      </c>
      <c r="S333" s="37" t="n">
        <v>1</v>
      </c>
      <c r="T333" s="36" t="n">
        <v>3</v>
      </c>
      <c r="U333" s="37" t="n">
        <v>1</v>
      </c>
      <c r="V333" s="38" t="n">
        <v>0</v>
      </c>
      <c r="W333" s="38" t="n">
        <v>1.945</v>
      </c>
      <c r="X333" s="38" t="n">
        <v>5.98</v>
      </c>
      <c r="Y333" s="38" t="n">
        <v>21.09</v>
      </c>
      <c r="Z333" s="38" t="n">
        <v>0</v>
      </c>
      <c r="AA333" s="36" t="n">
        <v>7</v>
      </c>
      <c r="AB333" s="37" t="n">
        <v>0.7</v>
      </c>
      <c r="AC333" s="36" t="n">
        <v>3</v>
      </c>
      <c r="AD333" s="37" t="n">
        <v>0.5</v>
      </c>
      <c r="AE333" s="36" t="n">
        <v>4</v>
      </c>
      <c r="AF333" s="37" t="n">
        <v>1</v>
      </c>
      <c r="AG333" s="36" t="n">
        <v>2</v>
      </c>
      <c r="AH333" s="37" t="n">
        <v>0.6666666666666666</v>
      </c>
    </row>
    <row r="334">
      <c r="A334" s="53" t="n">
        <v>45757</v>
      </c>
      <c r="B334" t="inlineStr">
        <is>
          <t>R06_Jawa Timur</t>
        </is>
      </c>
      <c r="C334" t="inlineStr">
        <is>
          <t>NOP MADIUN</t>
        </is>
      </c>
      <c r="D334" s="38" t="n">
        <v>0</v>
      </c>
      <c r="E334" s="38" t="n">
        <v>0</v>
      </c>
      <c r="F334" s="36" t="n">
        <v>3.992000000000002</v>
      </c>
      <c r="G334" s="36" t="n">
        <v>3.77</v>
      </c>
      <c r="H334" s="36" t="n">
        <v>18</v>
      </c>
      <c r="I334" s="37" t="n">
        <v>0.75</v>
      </c>
      <c r="J334" s="36" t="n">
        <v>0</v>
      </c>
      <c r="K334" s="37" t="n">
        <v>0</v>
      </c>
      <c r="L334" s="36" t="n">
        <v>18</v>
      </c>
      <c r="M334" s="37" t="n">
        <v>0.75</v>
      </c>
      <c r="N334" s="36" t="n">
        <v>0</v>
      </c>
      <c r="O334" s="37" t="n">
        <v>0</v>
      </c>
      <c r="P334" s="36" t="n">
        <v>0</v>
      </c>
      <c r="Q334" s="37" t="n">
        <v>0</v>
      </c>
      <c r="R334" s="36" t="n">
        <v>24</v>
      </c>
      <c r="S334" s="37" t="n">
        <v>1</v>
      </c>
      <c r="T334" s="36" t="n">
        <v>11</v>
      </c>
      <c r="U334" s="37" t="n">
        <v>0.4583333333333333</v>
      </c>
      <c r="V334" s="38" t="n">
        <v>0</v>
      </c>
      <c r="W334" s="38" t="n">
        <v>2.118</v>
      </c>
      <c r="X334" s="38" t="n">
        <v>39.85099999999997</v>
      </c>
      <c r="Y334" s="38" t="n">
        <v>7.593999999999999</v>
      </c>
      <c r="Z334" s="38" t="n">
        <v>0</v>
      </c>
      <c r="AA334" s="36" t="n">
        <v>17</v>
      </c>
      <c r="AB334" s="37" t="n">
        <v>0.6296296296296297</v>
      </c>
      <c r="AC334" s="36" t="n">
        <v>7</v>
      </c>
      <c r="AD334" s="37" t="n">
        <v>0.4666666666666667</v>
      </c>
      <c r="AE334" s="36" t="n">
        <v>10</v>
      </c>
      <c r="AF334" s="37" t="n">
        <v>0.8333333333333334</v>
      </c>
      <c r="AG334" s="36" t="n">
        <v>5</v>
      </c>
      <c r="AH334" s="37" t="n">
        <v>0.7142857142857143</v>
      </c>
    </row>
    <row r="335">
      <c r="A335" s="53" t="n">
        <v>45757</v>
      </c>
      <c r="B335" t="inlineStr">
        <is>
          <t>R06_Jawa Timur</t>
        </is>
      </c>
      <c r="C335" t="inlineStr">
        <is>
          <t>NOP MALANG</t>
        </is>
      </c>
      <c r="D335" s="38" t="n">
        <v>0</v>
      </c>
      <c r="E335" s="38" t="n">
        <v>0</v>
      </c>
      <c r="F335" s="36" t="n">
        <v>2.46</v>
      </c>
      <c r="G335" s="36" t="n">
        <v>0.6919999999999999</v>
      </c>
      <c r="H335" s="36" t="n">
        <v>20</v>
      </c>
      <c r="I335" s="37" t="n">
        <v>0.7692307692307693</v>
      </c>
      <c r="J335" s="36" t="n">
        <v>0</v>
      </c>
      <c r="K335" s="37" t="n">
        <v>0</v>
      </c>
      <c r="L335" s="36" t="n">
        <v>20</v>
      </c>
      <c r="M335" s="37" t="n">
        <v>0.7692307692307693</v>
      </c>
      <c r="N335" s="36" t="n">
        <v>0</v>
      </c>
      <c r="O335" s="37" t="n">
        <v>0</v>
      </c>
      <c r="P335" s="36" t="n">
        <v>0</v>
      </c>
      <c r="Q335" s="37" t="n">
        <v>0</v>
      </c>
      <c r="R335" s="36" t="n">
        <v>26</v>
      </c>
      <c r="S335" s="37" t="n">
        <v>1</v>
      </c>
      <c r="T335" s="36" t="n">
        <v>19</v>
      </c>
      <c r="U335" s="37" t="n">
        <v>0.7307692307692307</v>
      </c>
      <c r="V335" s="38" t="n">
        <v>0.01</v>
      </c>
      <c r="W335" s="38" t="n">
        <v>2.09</v>
      </c>
      <c r="X335" s="38" t="n">
        <v>9.81</v>
      </c>
      <c r="Y335" s="38" t="n">
        <v>0</v>
      </c>
      <c r="Z335" s="38" t="n">
        <v>0</v>
      </c>
      <c r="AA335" s="36" t="n">
        <v>11</v>
      </c>
      <c r="AB335" s="37" t="n">
        <v>0.8461538461538461</v>
      </c>
      <c r="AC335" s="36" t="n">
        <v>5</v>
      </c>
      <c r="AD335" s="37" t="n">
        <v>0.7142857142857143</v>
      </c>
      <c r="AE335" s="36" t="n">
        <v>6</v>
      </c>
      <c r="AF335" s="37" t="n">
        <v>1</v>
      </c>
      <c r="AG335" s="36" t="n">
        <v>2</v>
      </c>
      <c r="AH335" s="37" t="n">
        <v>0.4</v>
      </c>
    </row>
    <row r="336">
      <c r="A336" s="53" t="n">
        <v>45757</v>
      </c>
      <c r="B336" t="inlineStr">
        <is>
          <t>R06_Jawa Timur</t>
        </is>
      </c>
      <c r="C336" t="inlineStr">
        <is>
          <t>NOP SIDOARJO</t>
        </is>
      </c>
      <c r="D336" s="38" t="n">
        <v>0.72</v>
      </c>
      <c r="E336" s="38" t="n">
        <v>6.27</v>
      </c>
      <c r="F336" s="36" t="n">
        <v>2.034</v>
      </c>
      <c r="G336" s="36" t="n">
        <v>4.166</v>
      </c>
      <c r="H336" s="36" t="n">
        <v>7</v>
      </c>
      <c r="I336" s="37" t="n">
        <v>0.4375</v>
      </c>
      <c r="J336" s="36" t="n">
        <v>2</v>
      </c>
      <c r="K336" s="37" t="n">
        <v>1</v>
      </c>
      <c r="L336" s="36" t="n">
        <v>5</v>
      </c>
      <c r="M336" s="37" t="n">
        <v>0.3571428571428572</v>
      </c>
      <c r="N336" s="36" t="n">
        <v>2</v>
      </c>
      <c r="O336" s="37" t="n">
        <v>1</v>
      </c>
      <c r="P336" s="36" t="n">
        <v>2</v>
      </c>
      <c r="Q336" s="37" t="n">
        <v>1</v>
      </c>
      <c r="R336" s="36" t="n">
        <v>16</v>
      </c>
      <c r="S336" s="37" t="n">
        <v>1</v>
      </c>
      <c r="T336" s="36" t="n">
        <v>5</v>
      </c>
      <c r="U336" s="37" t="n">
        <v>0.3125</v>
      </c>
      <c r="V336" s="38" t="n">
        <v>0</v>
      </c>
      <c r="W336" s="38" t="n">
        <v>129.085</v>
      </c>
      <c r="X336" s="38" t="n">
        <v>10.18</v>
      </c>
      <c r="Y336" s="38" t="n">
        <v>14.597</v>
      </c>
      <c r="Z336" s="38" t="n">
        <v>0</v>
      </c>
      <c r="AA336" s="36" t="n">
        <v>10</v>
      </c>
      <c r="AB336" s="37" t="n">
        <v>0.8333333333333334</v>
      </c>
      <c r="AC336" s="36" t="n">
        <v>4</v>
      </c>
      <c r="AD336" s="37" t="n">
        <v>1</v>
      </c>
      <c r="AE336" s="36" t="n">
        <v>6</v>
      </c>
      <c r="AF336" s="37" t="n">
        <v>0.75</v>
      </c>
      <c r="AG336" s="36" t="n">
        <v>2</v>
      </c>
      <c r="AH336" s="37" t="n">
        <v>0.5</v>
      </c>
    </row>
    <row r="337">
      <c r="A337" s="53" t="n">
        <v>45757</v>
      </c>
      <c r="B337" t="inlineStr">
        <is>
          <t>R06_Jawa Timur</t>
        </is>
      </c>
      <c r="C337" t="inlineStr">
        <is>
          <t>NOP SURABAYA</t>
        </is>
      </c>
      <c r="D337" s="38" t="n">
        <v>1.13</v>
      </c>
      <c r="E337" s="38" t="n">
        <v>0</v>
      </c>
      <c r="F337" s="36" t="n">
        <v>3.268000000000002</v>
      </c>
      <c r="G337" s="36" t="n">
        <v>2.408</v>
      </c>
      <c r="H337" s="36" t="n">
        <v>10</v>
      </c>
      <c r="I337" s="37" t="n">
        <v>0.4545454545454545</v>
      </c>
      <c r="J337" s="36" t="n">
        <v>1</v>
      </c>
      <c r="K337" s="37" t="n">
        <v>0.3333333333333333</v>
      </c>
      <c r="L337" s="36" t="n">
        <v>9</v>
      </c>
      <c r="M337" s="37" t="n">
        <v>0.4736842105263158</v>
      </c>
      <c r="N337" s="36" t="n">
        <v>1</v>
      </c>
      <c r="O337" s="37" t="n">
        <v>1</v>
      </c>
      <c r="P337" s="36" t="n">
        <v>1</v>
      </c>
      <c r="Q337" s="37" t="n">
        <v>1</v>
      </c>
      <c r="R337" s="36" t="n">
        <v>22</v>
      </c>
      <c r="S337" s="37" t="n">
        <v>1</v>
      </c>
      <c r="T337" s="36" t="n">
        <v>7</v>
      </c>
      <c r="U337" s="37" t="n">
        <v>0.3181818181818182</v>
      </c>
      <c r="V337" s="38" t="n">
        <v>0</v>
      </c>
      <c r="W337" s="38" t="n">
        <v>3.299</v>
      </c>
      <c r="X337" s="38" t="n">
        <v>7.897000000000004</v>
      </c>
      <c r="Y337" s="38" t="n">
        <v>22.916</v>
      </c>
      <c r="Z337" s="38" t="n">
        <v>0</v>
      </c>
      <c r="AA337" s="36" t="n">
        <v>28</v>
      </c>
      <c r="AB337" s="37" t="n">
        <v>0.717948717948718</v>
      </c>
      <c r="AC337" s="36" t="n">
        <v>3</v>
      </c>
      <c r="AD337" s="37" t="n">
        <v>0.75</v>
      </c>
      <c r="AE337" s="36" t="n">
        <v>25</v>
      </c>
      <c r="AF337" s="37" t="n">
        <v>0.7142857142857143</v>
      </c>
      <c r="AG337" s="36" t="n">
        <v>3</v>
      </c>
      <c r="AH337" s="37" t="n">
        <v>1</v>
      </c>
    </row>
    <row r="338">
      <c r="A338" s="53" t="n">
        <v>45757</v>
      </c>
      <c r="B338" t="inlineStr">
        <is>
          <t>R07_Bali Nusra</t>
        </is>
      </c>
      <c r="C338" t="inlineStr">
        <is>
          <t>NOP DENPASAR</t>
        </is>
      </c>
      <c r="D338" s="38" t="n">
        <v>0.93</v>
      </c>
      <c r="E338" s="38" t="n">
        <v>0</v>
      </c>
      <c r="F338" s="36" t="n">
        <v>1.543</v>
      </c>
      <c r="G338" s="36" t="n">
        <v>2.032</v>
      </c>
      <c r="H338" s="36" t="n">
        <v>11</v>
      </c>
      <c r="I338" s="37" t="n">
        <v>0.9166666666666666</v>
      </c>
      <c r="J338" s="36" t="n">
        <v>1</v>
      </c>
      <c r="K338" s="37" t="n">
        <v>1</v>
      </c>
      <c r="L338" s="36" t="n">
        <v>10</v>
      </c>
      <c r="M338" s="37" t="n">
        <v>0.9090909090909091</v>
      </c>
      <c r="N338" s="36" t="n">
        <v>1</v>
      </c>
      <c r="O338" s="37" t="n">
        <v>1</v>
      </c>
      <c r="P338" s="36" t="n">
        <v>1</v>
      </c>
      <c r="Q338" s="37" t="n">
        <v>1</v>
      </c>
      <c r="R338" s="36" t="n">
        <v>12</v>
      </c>
      <c r="S338" s="37" t="n">
        <v>1</v>
      </c>
      <c r="T338" s="36" t="n">
        <v>7</v>
      </c>
      <c r="U338" s="37" t="n">
        <v>0.5833333333333334</v>
      </c>
      <c r="V338" s="38" t="n">
        <v>0</v>
      </c>
      <c r="W338" s="38" t="n">
        <v>31.91800000000001</v>
      </c>
      <c r="X338" s="38" t="n">
        <v>10.29</v>
      </c>
      <c r="Y338" s="38" t="n">
        <v>327.8149999999999</v>
      </c>
      <c r="Z338" s="38" t="n">
        <v>0</v>
      </c>
      <c r="AA338" s="36" t="n">
        <v>27</v>
      </c>
      <c r="AB338" s="37" t="n">
        <v>0.8709677419354839</v>
      </c>
      <c r="AC338" s="36" t="n">
        <v>4</v>
      </c>
      <c r="AD338" s="37" t="n">
        <v>1</v>
      </c>
      <c r="AE338" s="36" t="n">
        <v>23</v>
      </c>
      <c r="AF338" s="37" t="n">
        <v>0.8518518518518519</v>
      </c>
      <c r="AG338" s="36" t="n">
        <v>1</v>
      </c>
      <c r="AH338" s="37" t="n">
        <v>0.25</v>
      </c>
    </row>
    <row r="339">
      <c r="A339" s="53" t="n">
        <v>45757</v>
      </c>
      <c r="B339" t="inlineStr">
        <is>
          <t>R07_Bali Nusra</t>
        </is>
      </c>
      <c r="C339" t="inlineStr">
        <is>
          <t>NOP FLORES</t>
        </is>
      </c>
      <c r="D339" s="38" t="n">
        <v>2.01</v>
      </c>
      <c r="E339" s="38" t="n">
        <v>2.56</v>
      </c>
      <c r="F339" s="36" t="n">
        <v>14.77</v>
      </c>
      <c r="G339" s="36" t="n">
        <v>9.819000000000004</v>
      </c>
      <c r="H339" s="36" t="n">
        <v>43</v>
      </c>
      <c r="I339" s="37" t="n">
        <v>0.581081081081081</v>
      </c>
      <c r="J339" s="36" t="n">
        <v>11</v>
      </c>
      <c r="K339" s="37" t="n">
        <v>0.6875</v>
      </c>
      <c r="L339" s="36" t="n">
        <v>32</v>
      </c>
      <c r="M339" s="37" t="n">
        <v>0.5517241379310345</v>
      </c>
      <c r="N339" s="36" t="n">
        <v>6</v>
      </c>
      <c r="O339" s="37" t="n">
        <v>0.5454545454545454</v>
      </c>
      <c r="P339" s="36" t="n">
        <v>6</v>
      </c>
      <c r="Q339" s="37" t="n">
        <v>0.5454545454545454</v>
      </c>
      <c r="R339" s="36" t="n">
        <v>66</v>
      </c>
      <c r="S339" s="37" t="n">
        <v>0.8918918918918919</v>
      </c>
      <c r="T339" s="36" t="n">
        <v>22</v>
      </c>
      <c r="U339" s="37" t="n">
        <v>0.2972972972972973</v>
      </c>
      <c r="V339" s="38" t="n">
        <v>0</v>
      </c>
      <c r="W339" s="38" t="n">
        <v>14.96800000000001</v>
      </c>
      <c r="X339" s="38" t="n">
        <v>4.59</v>
      </c>
      <c r="Y339" s="38" t="n">
        <v>93.22800000000004</v>
      </c>
      <c r="Z339" s="38" t="n">
        <v>0</v>
      </c>
      <c r="AA339" s="36" t="n">
        <v>53</v>
      </c>
      <c r="AB339" s="37" t="n">
        <v>0.5353535353535354</v>
      </c>
      <c r="AC339" s="36" t="n">
        <v>43</v>
      </c>
      <c r="AD339" s="37" t="n">
        <v>0.6231884057971014</v>
      </c>
      <c r="AE339" s="36" t="n">
        <v>10</v>
      </c>
      <c r="AF339" s="37" t="n">
        <v>0.3333333333333333</v>
      </c>
      <c r="AG339" s="36" t="n">
        <v>32</v>
      </c>
      <c r="AH339" s="37" t="n">
        <v>0.7441860465116279</v>
      </c>
    </row>
    <row r="340">
      <c r="A340" s="53" t="n">
        <v>45757</v>
      </c>
      <c r="B340" t="inlineStr">
        <is>
          <t>R07_Bali Nusra</t>
        </is>
      </c>
      <c r="C340" t="inlineStr">
        <is>
          <t>NOP KUPANG</t>
        </is>
      </c>
      <c r="D340" s="38" t="n">
        <v>0</v>
      </c>
      <c r="E340" s="38" t="n">
        <v>0.4</v>
      </c>
      <c r="F340" s="36" t="n">
        <v>1.62</v>
      </c>
      <c r="G340" s="36" t="n">
        <v>7.526999999999994</v>
      </c>
      <c r="H340" s="36" t="n">
        <v>26</v>
      </c>
      <c r="I340" s="37" t="n">
        <v>0.5416666666666666</v>
      </c>
      <c r="J340" s="36" t="n">
        <v>0</v>
      </c>
      <c r="K340" s="37" t="n">
        <v>0</v>
      </c>
      <c r="L340" s="36" t="n">
        <v>26</v>
      </c>
      <c r="M340" s="37" t="n">
        <v>0.5652173913043478</v>
      </c>
      <c r="N340" s="36" t="n">
        <v>0</v>
      </c>
      <c r="O340" s="37" t="n">
        <v>0</v>
      </c>
      <c r="P340" s="36" t="n">
        <v>0</v>
      </c>
      <c r="Q340" s="37" t="n">
        <v>0</v>
      </c>
      <c r="R340" s="36" t="n">
        <v>48</v>
      </c>
      <c r="S340" s="37" t="n">
        <v>1</v>
      </c>
      <c r="T340" s="36" t="n">
        <v>9</v>
      </c>
      <c r="U340" s="37" t="n">
        <v>0.1875</v>
      </c>
      <c r="V340" s="38" t="n">
        <v>0</v>
      </c>
      <c r="W340" s="38" t="n">
        <v>5.89</v>
      </c>
      <c r="X340" s="38" t="n">
        <v>12.78</v>
      </c>
      <c r="Y340" s="38" t="n">
        <v>17.208</v>
      </c>
      <c r="Z340" s="38" t="n">
        <v>0</v>
      </c>
      <c r="AA340" s="36" t="n">
        <v>30</v>
      </c>
      <c r="AB340" s="37" t="n">
        <v>0.4166666666666667</v>
      </c>
      <c r="AC340" s="36" t="n">
        <v>17</v>
      </c>
      <c r="AD340" s="37" t="n">
        <v>0.4594594594594595</v>
      </c>
      <c r="AE340" s="36" t="n">
        <v>13</v>
      </c>
      <c r="AF340" s="37" t="n">
        <v>0.3714285714285714</v>
      </c>
      <c r="AG340" s="36" t="n">
        <v>7</v>
      </c>
      <c r="AH340" s="37" t="n">
        <v>0.4117647058823529</v>
      </c>
    </row>
    <row r="341">
      <c r="A341" s="53" t="n">
        <v>45757</v>
      </c>
      <c r="B341" t="inlineStr">
        <is>
          <t>R07_Bali Nusra</t>
        </is>
      </c>
      <c r="C341" t="inlineStr">
        <is>
          <t>NOP MATARAM</t>
        </is>
      </c>
      <c r="D341" s="38" t="n">
        <v>1.07</v>
      </c>
      <c r="E341" s="38" t="n">
        <v>0.8200000000000001</v>
      </c>
      <c r="F341" s="36" t="n">
        <v>2.527000000000001</v>
      </c>
      <c r="G341" s="36" t="n">
        <v>4.289999999999997</v>
      </c>
      <c r="H341" s="36" t="n">
        <v>17</v>
      </c>
      <c r="I341" s="37" t="n">
        <v>0.4857142857142857</v>
      </c>
      <c r="J341" s="36" t="n">
        <v>5</v>
      </c>
      <c r="K341" s="37" t="n">
        <v>0.7142857142857143</v>
      </c>
      <c r="L341" s="36" t="n">
        <v>12</v>
      </c>
      <c r="M341" s="37" t="n">
        <v>0.4285714285714285</v>
      </c>
      <c r="N341" s="36" t="n">
        <v>5</v>
      </c>
      <c r="O341" s="37" t="n">
        <v>1</v>
      </c>
      <c r="P341" s="36" t="n">
        <v>5</v>
      </c>
      <c r="Q341" s="37" t="n">
        <v>1</v>
      </c>
      <c r="R341" s="36" t="n">
        <v>35</v>
      </c>
      <c r="S341" s="37" t="n">
        <v>1</v>
      </c>
      <c r="T341" s="36" t="n">
        <v>16</v>
      </c>
      <c r="U341" s="37" t="n">
        <v>0.4571428571428571</v>
      </c>
      <c r="V341" s="38" t="n">
        <v>0</v>
      </c>
      <c r="W341" s="38" t="n">
        <v>13.879</v>
      </c>
      <c r="X341" s="38" t="n">
        <v>84.14699999999993</v>
      </c>
      <c r="Y341" s="38" t="n">
        <v>53.06400000000001</v>
      </c>
      <c r="Z341" s="38" t="n">
        <v>0</v>
      </c>
      <c r="AA341" s="36" t="n">
        <v>22</v>
      </c>
      <c r="AB341" s="37" t="n">
        <v>0.3492063492063492</v>
      </c>
      <c r="AC341" s="36" t="n">
        <v>12</v>
      </c>
      <c r="AD341" s="37" t="n">
        <v>0.3529411764705883</v>
      </c>
      <c r="AE341" s="36" t="n">
        <v>10</v>
      </c>
      <c r="AF341" s="37" t="n">
        <v>0.3448275862068966</v>
      </c>
      <c r="AG341" s="36" t="n">
        <v>7</v>
      </c>
      <c r="AH341" s="37" t="n">
        <v>0.5833333333333334</v>
      </c>
    </row>
    <row r="342">
      <c r="A342" s="53" t="n">
        <v>45758</v>
      </c>
      <c r="B342" t="inlineStr">
        <is>
          <t>R01_Sumbagut</t>
        </is>
      </c>
      <c r="C342" t="inlineStr">
        <is>
          <t>NOP ACEH</t>
        </is>
      </c>
      <c r="D342" s="38" t="n">
        <v>0</v>
      </c>
      <c r="E342" s="38" t="n">
        <v>2.326000000000001</v>
      </c>
      <c r="F342" s="36" t="n">
        <v>5.86</v>
      </c>
      <c r="G342" s="36" t="n">
        <v>16.811</v>
      </c>
      <c r="H342" s="36" t="n">
        <v>106</v>
      </c>
      <c r="I342" s="37" t="n">
        <v>0.8346456692913385</v>
      </c>
      <c r="J342" s="36" t="n">
        <v>16</v>
      </c>
      <c r="K342" s="37" t="n">
        <v>0.8</v>
      </c>
      <c r="L342" s="36" t="n">
        <v>90</v>
      </c>
      <c r="M342" s="37" t="n">
        <v>0.8411214953271028</v>
      </c>
      <c r="N342" s="36" t="n">
        <v>4</v>
      </c>
      <c r="O342" s="37" t="n">
        <v>0.25</v>
      </c>
      <c r="P342" s="36" t="n">
        <v>4</v>
      </c>
      <c r="Q342" s="37" t="n">
        <v>0.25</v>
      </c>
      <c r="R342" s="36" t="n">
        <v>127</v>
      </c>
      <c r="S342" s="37" t="n">
        <v>1</v>
      </c>
      <c r="T342" s="36" t="n">
        <v>33</v>
      </c>
      <c r="U342" s="37" t="n">
        <v>0.2598425196850394</v>
      </c>
      <c r="V342" s="38" t="n">
        <v>0.047</v>
      </c>
      <c r="W342" s="38" t="n">
        <v>16.566</v>
      </c>
      <c r="X342" s="38" t="n">
        <v>41.78</v>
      </c>
      <c r="Y342" s="38" t="n">
        <v>126.077</v>
      </c>
      <c r="Z342" s="38" t="n">
        <v>0</v>
      </c>
      <c r="AA342" s="36" t="n">
        <v>295</v>
      </c>
      <c r="AB342" s="37" t="n">
        <v>0.8575581395348837</v>
      </c>
      <c r="AC342" s="36" t="n">
        <v>49</v>
      </c>
      <c r="AD342" s="37" t="n">
        <v>0.9423076923076923</v>
      </c>
      <c r="AE342" s="36" t="n">
        <v>246</v>
      </c>
      <c r="AF342" s="37" t="n">
        <v>0.8541666666666666</v>
      </c>
      <c r="AG342" s="36" t="n">
        <v>11</v>
      </c>
      <c r="AH342" s="37" t="n">
        <v>0.2244897959183673</v>
      </c>
    </row>
    <row r="343">
      <c r="A343" s="53" t="n">
        <v>45758</v>
      </c>
      <c r="B343" t="inlineStr">
        <is>
          <t>R01_Sumbagut</t>
        </is>
      </c>
      <c r="C343" t="inlineStr">
        <is>
          <t>NOP BINJAI</t>
        </is>
      </c>
      <c r="D343" s="38" t="n">
        <v>0</v>
      </c>
      <c r="E343" s="38" t="n">
        <v>1.754</v>
      </c>
      <c r="F343" s="36" t="n">
        <v>1.114</v>
      </c>
      <c r="G343" s="36" t="n">
        <v>3.06</v>
      </c>
      <c r="H343" s="36" t="n">
        <v>26</v>
      </c>
      <c r="I343" s="37" t="n">
        <v>0.4905660377358491</v>
      </c>
      <c r="J343" s="36" t="n">
        <v>5</v>
      </c>
      <c r="K343" s="37" t="n">
        <v>0.5555555555555556</v>
      </c>
      <c r="L343" s="36" t="n">
        <v>21</v>
      </c>
      <c r="M343" s="37" t="n">
        <v>0.4772727272727273</v>
      </c>
      <c r="N343" s="36" t="n">
        <v>2</v>
      </c>
      <c r="O343" s="37" t="n">
        <v>0.4</v>
      </c>
      <c r="P343" s="36" t="n">
        <v>2</v>
      </c>
      <c r="Q343" s="37" t="n">
        <v>0.4</v>
      </c>
      <c r="R343" s="36" t="n">
        <v>53</v>
      </c>
      <c r="S343" s="37" t="n">
        <v>1</v>
      </c>
      <c r="T343" s="36" t="n">
        <v>10</v>
      </c>
      <c r="U343" s="37" t="n">
        <v>0.1886792452830189</v>
      </c>
      <c r="V343" s="38" t="n">
        <v>0</v>
      </c>
      <c r="W343" s="38" t="n">
        <v>1.272</v>
      </c>
      <c r="X343" s="38" t="n">
        <v>46.32</v>
      </c>
      <c r="Y343" s="38" t="n">
        <v>168.3670000000005</v>
      </c>
      <c r="Z343" s="38" t="n">
        <v>0</v>
      </c>
      <c r="AA343" s="36" t="n">
        <v>64</v>
      </c>
      <c r="AB343" s="37" t="n">
        <v>0.5289256198347108</v>
      </c>
      <c r="AC343" s="36" t="n">
        <v>11</v>
      </c>
      <c r="AD343" s="37" t="n">
        <v>0.44</v>
      </c>
      <c r="AE343" s="36" t="n">
        <v>53</v>
      </c>
      <c r="AF343" s="37" t="n">
        <v>0.5578947368421052</v>
      </c>
      <c r="AG343" s="36" t="n">
        <v>7</v>
      </c>
      <c r="AH343" s="37" t="n">
        <v>0.6363636363636364</v>
      </c>
    </row>
    <row r="344">
      <c r="A344" s="53" t="n">
        <v>45758</v>
      </c>
      <c r="B344" t="inlineStr">
        <is>
          <t>R01_Sumbagut</t>
        </is>
      </c>
      <c r="C344" t="inlineStr">
        <is>
          <t>NOP MEDAN</t>
        </is>
      </c>
      <c r="D344" s="38" t="n">
        <v>2.66</v>
      </c>
      <c r="E344" s="38" t="n">
        <v>2.35</v>
      </c>
      <c r="F344" s="36" t="n">
        <v>3.408</v>
      </c>
      <c r="G344" s="36" t="n">
        <v>2.96</v>
      </c>
      <c r="H344" s="36" t="n">
        <v>7</v>
      </c>
      <c r="I344" s="37" t="n">
        <v>0.1842105263157895</v>
      </c>
      <c r="J344" s="36" t="n">
        <v>0</v>
      </c>
      <c r="K344" s="37" t="n">
        <v>0</v>
      </c>
      <c r="L344" s="36" t="n">
        <v>7</v>
      </c>
      <c r="M344" s="37" t="n">
        <v>0.2333333333333333</v>
      </c>
      <c r="N344" s="36" t="n">
        <v>0</v>
      </c>
      <c r="O344" s="37" t="n">
        <v>0</v>
      </c>
      <c r="P344" s="36" t="n">
        <v>0</v>
      </c>
      <c r="Q344" s="37" t="n">
        <v>0</v>
      </c>
      <c r="R344" s="36" t="n">
        <v>38</v>
      </c>
      <c r="S344" s="37" t="n">
        <v>1</v>
      </c>
      <c r="T344" s="36" t="n">
        <v>7</v>
      </c>
      <c r="U344" s="37" t="n">
        <v>0.1842105263157895</v>
      </c>
      <c r="V344" s="38" t="n">
        <v>0</v>
      </c>
      <c r="W344" s="38" t="n">
        <v>2.54</v>
      </c>
      <c r="X344" s="38" t="n">
        <v>18.995</v>
      </c>
      <c r="Y344" s="38" t="n">
        <v>7.489999999999999</v>
      </c>
      <c r="Z344" s="38" t="n">
        <v>0</v>
      </c>
      <c r="AA344" s="36" t="n">
        <v>18</v>
      </c>
      <c r="AB344" s="37" t="n">
        <v>0.4285714285714285</v>
      </c>
      <c r="AC344" s="36" t="n">
        <v>4</v>
      </c>
      <c r="AD344" s="37" t="n">
        <v>0.3636363636363636</v>
      </c>
      <c r="AE344" s="36" t="n">
        <v>14</v>
      </c>
      <c r="AF344" s="37" t="n">
        <v>0.4516129032258064</v>
      </c>
      <c r="AG344" s="36" t="n">
        <v>3</v>
      </c>
      <c r="AH344" s="37" t="n">
        <v>0.75</v>
      </c>
    </row>
    <row r="345">
      <c r="A345" s="53" t="n">
        <v>45758</v>
      </c>
      <c r="B345" t="inlineStr">
        <is>
          <t>R01_Sumbagut</t>
        </is>
      </c>
      <c r="C345" t="inlineStr">
        <is>
          <t>NOP PADANG SIDEMPUAN</t>
        </is>
      </c>
      <c r="D345" s="38" t="n">
        <v>0</v>
      </c>
      <c r="E345" s="38" t="n">
        <v>1.622</v>
      </c>
      <c r="F345" s="36" t="n">
        <v>4.395000000000003</v>
      </c>
      <c r="G345" s="36" t="n">
        <v>3.74</v>
      </c>
      <c r="H345" s="36" t="n">
        <v>28</v>
      </c>
      <c r="I345" s="37" t="n">
        <v>0.2641509433962264</v>
      </c>
      <c r="J345" s="36" t="n">
        <v>6</v>
      </c>
      <c r="K345" s="37" t="n">
        <v>0.4</v>
      </c>
      <c r="L345" s="36" t="n">
        <v>22</v>
      </c>
      <c r="M345" s="37" t="n">
        <v>0.2417582417582418</v>
      </c>
      <c r="N345" s="36" t="n">
        <v>2</v>
      </c>
      <c r="O345" s="37" t="n">
        <v>0.3333333333333333</v>
      </c>
      <c r="P345" s="36" t="n">
        <v>2</v>
      </c>
      <c r="Q345" s="37" t="n">
        <v>0.3333333333333333</v>
      </c>
      <c r="R345" s="36" t="n">
        <v>106</v>
      </c>
      <c r="S345" s="37" t="n">
        <v>1</v>
      </c>
      <c r="T345" s="36" t="n">
        <v>10</v>
      </c>
      <c r="U345" s="37" t="n">
        <v>0.09433962264150944</v>
      </c>
      <c r="V345" s="38" t="n">
        <v>0.01</v>
      </c>
      <c r="W345" s="38" t="n">
        <v>3.382</v>
      </c>
      <c r="X345" s="38" t="n">
        <v>8.341999999999999</v>
      </c>
      <c r="Y345" s="38" t="n">
        <v>70.25800000000004</v>
      </c>
      <c r="Z345" s="38" t="n">
        <v>0</v>
      </c>
      <c r="AA345" s="36" t="n">
        <v>56</v>
      </c>
      <c r="AB345" s="37" t="n">
        <v>0.2352941176470588</v>
      </c>
      <c r="AC345" s="36" t="n">
        <v>27</v>
      </c>
      <c r="AD345" s="37" t="n">
        <v>0.391304347826087</v>
      </c>
      <c r="AE345" s="36" t="n">
        <v>28</v>
      </c>
      <c r="AF345" s="37" t="n">
        <v>0.1761006289308176</v>
      </c>
      <c r="AG345" s="36" t="n">
        <v>16</v>
      </c>
      <c r="AH345" s="37" t="n">
        <v>0.5925925925925926</v>
      </c>
    </row>
    <row r="346">
      <c r="A346" s="53" t="n">
        <v>45758</v>
      </c>
      <c r="B346" t="inlineStr">
        <is>
          <t>R01_Sumbagut</t>
        </is>
      </c>
      <c r="C346" t="inlineStr">
        <is>
          <t>NOP PEMATANG SIANTAR</t>
        </is>
      </c>
      <c r="D346" s="38" t="n">
        <v>0</v>
      </c>
      <c r="E346" s="38" t="n">
        <v>0.6859999999999999</v>
      </c>
      <c r="F346" s="36" t="n">
        <v>2.255999999999999</v>
      </c>
      <c r="G346" s="36" t="n">
        <v>4.704</v>
      </c>
      <c r="H346" s="36" t="n">
        <v>13</v>
      </c>
      <c r="I346" s="37" t="n">
        <v>0.1007751937984496</v>
      </c>
      <c r="J346" s="36" t="n">
        <v>7</v>
      </c>
      <c r="K346" s="37" t="n">
        <v>0.1129032258064516</v>
      </c>
      <c r="L346" s="36" t="n">
        <v>6</v>
      </c>
      <c r="M346" s="37" t="n">
        <v>0.08955223880597014</v>
      </c>
      <c r="N346" s="36" t="n">
        <v>6</v>
      </c>
      <c r="O346" s="37" t="n">
        <v>0.8571428571428571</v>
      </c>
      <c r="P346" s="36" t="n">
        <v>6</v>
      </c>
      <c r="Q346" s="37" t="n">
        <v>0.8571428571428571</v>
      </c>
      <c r="R346" s="36" t="n">
        <v>129</v>
      </c>
      <c r="S346" s="37" t="n">
        <v>1</v>
      </c>
      <c r="T346" s="36" t="n">
        <v>11</v>
      </c>
      <c r="U346" s="37" t="n">
        <v>0.08527131782945736</v>
      </c>
      <c r="V346" s="38" t="n">
        <v>0.01</v>
      </c>
      <c r="W346" s="38" t="n">
        <v>2.880000000000001</v>
      </c>
      <c r="X346" s="38" t="n">
        <v>24.202</v>
      </c>
      <c r="Y346" s="38" t="n">
        <v>46.436</v>
      </c>
      <c r="Z346" s="38" t="n">
        <v>0</v>
      </c>
      <c r="AA346" s="36" t="n">
        <v>57</v>
      </c>
      <c r="AB346" s="37" t="n">
        <v>0.1175257731958763</v>
      </c>
      <c r="AC346" s="36" t="n">
        <v>16</v>
      </c>
      <c r="AD346" s="37" t="n">
        <v>0.3478260869565217</v>
      </c>
      <c r="AE346" s="36" t="n">
        <v>39</v>
      </c>
      <c r="AF346" s="37" t="n">
        <v>0.09027777777777778</v>
      </c>
      <c r="AG346" s="36" t="n">
        <v>11</v>
      </c>
      <c r="AH346" s="37" t="n">
        <v>0.6875</v>
      </c>
    </row>
    <row r="347">
      <c r="A347" s="53" t="n">
        <v>45758</v>
      </c>
      <c r="B347" t="inlineStr">
        <is>
          <t>R01_Sumbagut</t>
        </is>
      </c>
      <c r="C347" t="inlineStr">
        <is>
          <t>NOP RANTAU PRAPAT</t>
        </is>
      </c>
      <c r="D347" s="38" t="n">
        <v>0.9750000000000001</v>
      </c>
      <c r="E347" s="38" t="n">
        <v>8.842000000000004</v>
      </c>
      <c r="F347" s="36" t="n">
        <v>1.345</v>
      </c>
      <c r="G347" s="36" t="n">
        <v>9.09</v>
      </c>
      <c r="H347" s="36" t="n">
        <v>50</v>
      </c>
      <c r="I347" s="37" t="n">
        <v>0.4854368932038835</v>
      </c>
      <c r="J347" s="36" t="n">
        <v>6</v>
      </c>
      <c r="K347" s="37" t="n">
        <v>0.2608695652173913</v>
      </c>
      <c r="L347" s="36" t="n">
        <v>44</v>
      </c>
      <c r="M347" s="37" t="n">
        <v>0.55</v>
      </c>
      <c r="N347" s="36" t="n">
        <v>4</v>
      </c>
      <c r="O347" s="37" t="n">
        <v>0.6666666666666666</v>
      </c>
      <c r="P347" s="36" t="n">
        <v>4</v>
      </c>
      <c r="Q347" s="37" t="n">
        <v>0.6666666666666666</v>
      </c>
      <c r="R347" s="36" t="n">
        <v>102</v>
      </c>
      <c r="S347" s="37" t="n">
        <v>0.9902912621359223</v>
      </c>
      <c r="T347" s="36" t="n">
        <v>26</v>
      </c>
      <c r="U347" s="37" t="n">
        <v>0.2524271844660194</v>
      </c>
      <c r="V347" s="38" t="n">
        <v>0</v>
      </c>
      <c r="W347" s="38" t="n">
        <v>2.042</v>
      </c>
      <c r="X347" s="38" t="n">
        <v>34.32400000000003</v>
      </c>
      <c r="Y347" s="38" t="n">
        <v>69.045</v>
      </c>
      <c r="Z347" s="38" t="n">
        <v>0</v>
      </c>
      <c r="AA347" s="36" t="n">
        <v>22</v>
      </c>
      <c r="AB347" s="37" t="n">
        <v>0.0830188679245283</v>
      </c>
      <c r="AC347" s="36" t="n">
        <v>5</v>
      </c>
      <c r="AD347" s="37" t="n">
        <v>0.2</v>
      </c>
      <c r="AE347" s="36" t="n">
        <v>14</v>
      </c>
      <c r="AF347" s="37" t="n">
        <v>0.06222222222222222</v>
      </c>
      <c r="AG347" s="36" t="n">
        <v>2</v>
      </c>
      <c r="AH347" s="37" t="n">
        <v>0.4</v>
      </c>
    </row>
    <row r="348">
      <c r="A348" s="53" t="n">
        <v>45758</v>
      </c>
      <c r="B348" t="inlineStr">
        <is>
          <t>R10_Sumbagteng</t>
        </is>
      </c>
      <c r="C348" t="inlineStr">
        <is>
          <t>NOP BATAM</t>
        </is>
      </c>
      <c r="D348" s="38" t="n">
        <v>0.48</v>
      </c>
      <c r="E348" s="38" t="n">
        <v>11.02500000000001</v>
      </c>
      <c r="F348" s="36" t="n">
        <v>4.81</v>
      </c>
      <c r="G348" s="36" t="n">
        <v>6.146</v>
      </c>
      <c r="H348" s="36" t="n">
        <v>59</v>
      </c>
      <c r="I348" s="37" t="n">
        <v>0.3597560975609756</v>
      </c>
      <c r="J348" s="36" t="n">
        <v>6</v>
      </c>
      <c r="K348" s="37" t="n">
        <v>0.3157894736842105</v>
      </c>
      <c r="L348" s="36" t="n">
        <v>53</v>
      </c>
      <c r="M348" s="37" t="n">
        <v>0.3655172413793104</v>
      </c>
      <c r="N348" s="36" t="n">
        <v>2</v>
      </c>
      <c r="O348" s="37" t="n">
        <v>0.3333333333333333</v>
      </c>
      <c r="P348" s="36" t="n">
        <v>2</v>
      </c>
      <c r="Q348" s="37" t="n">
        <v>0.3333333333333333</v>
      </c>
      <c r="R348" s="36" t="n">
        <v>163</v>
      </c>
      <c r="S348" s="37" t="n">
        <v>0.9939024390243902</v>
      </c>
      <c r="T348" s="36" t="n">
        <v>34</v>
      </c>
      <c r="U348" s="37" t="n">
        <v>0.2073170731707317</v>
      </c>
      <c r="V348" s="38" t="n">
        <v>0</v>
      </c>
      <c r="W348" s="38" t="n">
        <v>4.05</v>
      </c>
      <c r="X348" s="38" t="n">
        <v>48.65</v>
      </c>
      <c r="Y348" s="38" t="n">
        <v>2.44</v>
      </c>
      <c r="Z348" s="38" t="n">
        <v>0</v>
      </c>
      <c r="AA348" s="36" t="n">
        <v>31</v>
      </c>
      <c r="AB348" s="37" t="n">
        <v>0.04447632711621234</v>
      </c>
      <c r="AC348" s="36" t="n">
        <v>15</v>
      </c>
      <c r="AD348" s="37" t="n">
        <v>0.1666666666666667</v>
      </c>
      <c r="AE348" s="36" t="n">
        <v>14</v>
      </c>
      <c r="AF348" s="37" t="n">
        <v>0.02356902356902357</v>
      </c>
      <c r="AG348" s="36" t="n">
        <v>15</v>
      </c>
      <c r="AH348" s="37" t="n">
        <v>1</v>
      </c>
    </row>
    <row r="349">
      <c r="A349" s="53" t="n">
        <v>45758</v>
      </c>
      <c r="B349" t="inlineStr">
        <is>
          <t>R10_Sumbagteng</t>
        </is>
      </c>
      <c r="C349" t="inlineStr">
        <is>
          <t>NOP BUKITTINGGI</t>
        </is>
      </c>
      <c r="D349" s="38" t="n">
        <v>0</v>
      </c>
      <c r="E349" s="38" t="n">
        <v>15.56</v>
      </c>
      <c r="F349" s="36" t="n">
        <v>1.88</v>
      </c>
      <c r="G349" s="36" t="n">
        <v>4.5</v>
      </c>
      <c r="H349" s="36" t="n">
        <v>29</v>
      </c>
      <c r="I349" s="37" t="n">
        <v>0.6904761904761905</v>
      </c>
      <c r="J349" s="36" t="n">
        <v>13</v>
      </c>
      <c r="K349" s="37" t="n">
        <v>0.7222222222222222</v>
      </c>
      <c r="L349" s="36" t="n">
        <v>16</v>
      </c>
      <c r="M349" s="37" t="n">
        <v>0.6666666666666666</v>
      </c>
      <c r="N349" s="36" t="n">
        <v>6</v>
      </c>
      <c r="O349" s="37" t="n">
        <v>0.4615384615384616</v>
      </c>
      <c r="P349" s="36" t="n">
        <v>6</v>
      </c>
      <c r="Q349" s="37" t="n">
        <v>0.4615384615384616</v>
      </c>
      <c r="R349" s="36" t="n">
        <v>42</v>
      </c>
      <c r="S349" s="37" t="n">
        <v>1</v>
      </c>
      <c r="T349" s="36" t="n">
        <v>17</v>
      </c>
      <c r="U349" s="37" t="n">
        <v>0.4047619047619048</v>
      </c>
      <c r="V349" s="38" t="n">
        <v>0</v>
      </c>
      <c r="W349" s="38" t="n">
        <v>49.67399999999984</v>
      </c>
      <c r="X349" s="38" t="n">
        <v>10.347</v>
      </c>
      <c r="Y349" s="38" t="n">
        <v>76.12</v>
      </c>
      <c r="Z349" s="38" t="n">
        <v>0</v>
      </c>
      <c r="AA349" s="36" t="n">
        <v>66</v>
      </c>
      <c r="AB349" s="37" t="n">
        <v>0.4583333333333333</v>
      </c>
      <c r="AC349" s="36" t="n">
        <v>8</v>
      </c>
      <c r="AD349" s="37" t="n">
        <v>0.8</v>
      </c>
      <c r="AE349" s="36" t="n">
        <v>58</v>
      </c>
      <c r="AF349" s="37" t="n">
        <v>0.453125</v>
      </c>
      <c r="AG349" s="36" t="n">
        <v>6</v>
      </c>
      <c r="AH349" s="37" t="n">
        <v>0.75</v>
      </c>
    </row>
    <row r="350">
      <c r="A350" s="53" t="n">
        <v>45758</v>
      </c>
      <c r="B350" t="inlineStr">
        <is>
          <t>R10_Sumbagteng</t>
        </is>
      </c>
      <c r="C350" t="inlineStr">
        <is>
          <t>NOP DUMAI</t>
        </is>
      </c>
      <c r="D350" s="38" t="n">
        <v>0</v>
      </c>
      <c r="E350" s="38" t="n">
        <v>8.628</v>
      </c>
      <c r="F350" s="36" t="n">
        <v>3.98</v>
      </c>
      <c r="G350" s="36" t="n">
        <v>12.91</v>
      </c>
      <c r="H350" s="36" t="n">
        <v>46</v>
      </c>
      <c r="I350" s="37" t="n">
        <v>0.396551724137931</v>
      </c>
      <c r="J350" s="36" t="n">
        <v>13</v>
      </c>
      <c r="K350" s="37" t="n">
        <v>0.4814814814814815</v>
      </c>
      <c r="L350" s="36" t="n">
        <v>33</v>
      </c>
      <c r="M350" s="37" t="n">
        <v>0.3707865168539326</v>
      </c>
      <c r="N350" s="36" t="n">
        <v>12</v>
      </c>
      <c r="O350" s="37" t="n">
        <v>0.9230769230769231</v>
      </c>
      <c r="P350" s="36" t="n">
        <v>12</v>
      </c>
      <c r="Q350" s="37" t="n">
        <v>0.9230769230769231</v>
      </c>
      <c r="R350" s="36" t="n">
        <v>116</v>
      </c>
      <c r="S350" s="37" t="n">
        <v>1</v>
      </c>
      <c r="T350" s="36" t="n">
        <v>30</v>
      </c>
      <c r="U350" s="37" t="n">
        <v>0.2586206896551724</v>
      </c>
      <c r="V350" s="38" t="n">
        <v>0.01</v>
      </c>
      <c r="W350" s="38" t="n">
        <v>11.71</v>
      </c>
      <c r="X350" s="38" t="n">
        <v>75.38900000000001</v>
      </c>
      <c r="Y350" s="38" t="n">
        <v>181.872</v>
      </c>
      <c r="Z350" s="38" t="n">
        <v>0</v>
      </c>
      <c r="AA350" s="36" t="n">
        <v>132</v>
      </c>
      <c r="AB350" s="37" t="n">
        <v>0.3916913946587537</v>
      </c>
      <c r="AC350" s="36" t="n">
        <v>28</v>
      </c>
      <c r="AD350" s="37" t="n">
        <v>0.509090909090909</v>
      </c>
      <c r="AE350" s="36" t="n">
        <v>104</v>
      </c>
      <c r="AF350" s="37" t="n">
        <v>0.4143426294820717</v>
      </c>
      <c r="AG350" s="36" t="n">
        <v>28</v>
      </c>
      <c r="AH350" s="37" t="n">
        <v>1</v>
      </c>
    </row>
    <row r="351">
      <c r="A351" s="53" t="n">
        <v>45758</v>
      </c>
      <c r="B351" t="inlineStr">
        <is>
          <t>R10_Sumbagteng</t>
        </is>
      </c>
      <c r="C351" t="inlineStr">
        <is>
          <t>NOP PADANG</t>
        </is>
      </c>
      <c r="D351" s="38" t="n">
        <v>0</v>
      </c>
      <c r="E351" s="38" t="n">
        <v>2.44</v>
      </c>
      <c r="F351" s="36" t="n">
        <v>2.202</v>
      </c>
      <c r="G351" s="36" t="n">
        <v>3.920999999999997</v>
      </c>
      <c r="H351" s="36" t="n">
        <v>35</v>
      </c>
      <c r="I351" s="37" t="n">
        <v>0.8536585365853658</v>
      </c>
      <c r="J351" s="36" t="n">
        <v>6</v>
      </c>
      <c r="K351" s="37" t="n">
        <v>1</v>
      </c>
      <c r="L351" s="36" t="n">
        <v>29</v>
      </c>
      <c r="M351" s="37" t="n">
        <v>0.8285714285714286</v>
      </c>
      <c r="N351" s="36" t="n">
        <v>4</v>
      </c>
      <c r="O351" s="37" t="n">
        <v>0.6666666666666666</v>
      </c>
      <c r="P351" s="36" t="n">
        <v>4</v>
      </c>
      <c r="Q351" s="37" t="n">
        <v>0.6666666666666666</v>
      </c>
      <c r="R351" s="36" t="n">
        <v>41</v>
      </c>
      <c r="S351" s="37" t="n">
        <v>1</v>
      </c>
      <c r="T351" s="36" t="n">
        <v>19</v>
      </c>
      <c r="U351" s="37" t="n">
        <v>0.4634146341463415</v>
      </c>
      <c r="V351" s="38" t="n">
        <v>0</v>
      </c>
      <c r="W351" s="38" t="n">
        <v>8.429000000000002</v>
      </c>
      <c r="X351" s="38" t="n">
        <v>31.06400000000003</v>
      </c>
      <c r="Y351" s="38" t="n">
        <v>71.09000000000005</v>
      </c>
      <c r="Z351" s="38" t="n">
        <v>0</v>
      </c>
      <c r="AA351" s="36" t="n">
        <v>205</v>
      </c>
      <c r="AB351" s="37" t="n">
        <v>0.7321428571428571</v>
      </c>
      <c r="AC351" s="36" t="n">
        <v>15</v>
      </c>
      <c r="AD351" s="37" t="n">
        <v>0.75</v>
      </c>
      <c r="AE351" s="36" t="n">
        <v>189</v>
      </c>
      <c r="AF351" s="37" t="n">
        <v>0.7470355731225297</v>
      </c>
      <c r="AG351" s="36" t="n">
        <v>11</v>
      </c>
      <c r="AH351" s="37" t="n">
        <v>0.7333333333333333</v>
      </c>
    </row>
    <row r="352">
      <c r="A352" s="53" t="n">
        <v>45758</v>
      </c>
      <c r="B352" t="inlineStr">
        <is>
          <t>R10_Sumbagteng</t>
        </is>
      </c>
      <c r="C352" t="inlineStr">
        <is>
          <t>NOP PEKANBARU</t>
        </is>
      </c>
      <c r="D352" s="38" t="n">
        <v>0.91</v>
      </c>
      <c r="E352" s="38" t="n">
        <v>7.435000000000003</v>
      </c>
      <c r="F352" s="36" t="n">
        <v>6.23</v>
      </c>
      <c r="G352" s="36" t="n">
        <v>3.43</v>
      </c>
      <c r="H352" s="36" t="n">
        <v>52</v>
      </c>
      <c r="I352" s="37" t="n">
        <v>0.4601769911504425</v>
      </c>
      <c r="J352" s="36" t="n">
        <v>14</v>
      </c>
      <c r="K352" s="37" t="n">
        <v>0.5600000000000001</v>
      </c>
      <c r="L352" s="36" t="n">
        <v>38</v>
      </c>
      <c r="M352" s="37" t="n">
        <v>0.4318181818181818</v>
      </c>
      <c r="N352" s="36" t="n">
        <v>13</v>
      </c>
      <c r="O352" s="37" t="n">
        <v>0.9285714285714286</v>
      </c>
      <c r="P352" s="36" t="n">
        <v>13</v>
      </c>
      <c r="Q352" s="37" t="n">
        <v>0.9285714285714286</v>
      </c>
      <c r="R352" s="36" t="n">
        <v>112</v>
      </c>
      <c r="S352" s="37" t="n">
        <v>0.9911504424778761</v>
      </c>
      <c r="T352" s="36" t="n">
        <v>32</v>
      </c>
      <c r="U352" s="37" t="n">
        <v>0.2831858407079646</v>
      </c>
      <c r="V352" s="38" t="n">
        <v>0</v>
      </c>
      <c r="W352" s="38" t="n">
        <v>2.392000000000005</v>
      </c>
      <c r="X352" s="38" t="n">
        <v>61.19800000000001</v>
      </c>
      <c r="Y352" s="38" t="n">
        <v>103.164</v>
      </c>
      <c r="Z352" s="38" t="n">
        <v>0</v>
      </c>
      <c r="AA352" s="36" t="n">
        <v>100</v>
      </c>
      <c r="AB352" s="37" t="n">
        <v>0.3344481605351171</v>
      </c>
      <c r="AC352" s="36" t="n">
        <v>21</v>
      </c>
      <c r="AD352" s="37" t="n">
        <v>0.28</v>
      </c>
      <c r="AE352" s="36" t="n">
        <v>76</v>
      </c>
      <c r="AF352" s="37" t="n">
        <v>0.3671497584541063</v>
      </c>
      <c r="AG352" s="36" t="n">
        <v>19</v>
      </c>
      <c r="AH352" s="37" t="n">
        <v>0.9047619047619048</v>
      </c>
    </row>
    <row r="353">
      <c r="A353" s="53" t="n">
        <v>45758</v>
      </c>
      <c r="B353" t="inlineStr">
        <is>
          <t>R02_Sumbagsel</t>
        </is>
      </c>
      <c r="C353" t="inlineStr">
        <is>
          <t>NOP BENGKULU</t>
        </is>
      </c>
      <c r="D353" s="38" t="n">
        <v>2.09</v>
      </c>
      <c r="E353" s="38" t="n">
        <v>1.83</v>
      </c>
      <c r="F353" s="36" t="n">
        <v>2.791999999999999</v>
      </c>
      <c r="G353" s="36" t="n">
        <v>5.3</v>
      </c>
      <c r="H353" s="36" t="n">
        <v>42</v>
      </c>
      <c r="I353" s="37" t="n">
        <v>0.3255813953488372</v>
      </c>
      <c r="J353" s="36" t="n">
        <v>25</v>
      </c>
      <c r="K353" s="37" t="n">
        <v>0.7575757575757576</v>
      </c>
      <c r="L353" s="36" t="n">
        <v>17</v>
      </c>
      <c r="M353" s="37" t="n">
        <v>0.1770833333333333</v>
      </c>
      <c r="N353" s="36" t="n">
        <v>14</v>
      </c>
      <c r="O353" s="37" t="n">
        <v>0.5600000000000001</v>
      </c>
      <c r="P353" s="36" t="n">
        <v>14</v>
      </c>
      <c r="Q353" s="37" t="n">
        <v>0.5600000000000001</v>
      </c>
      <c r="R353" s="36" t="n">
        <v>129</v>
      </c>
      <c r="S353" s="37" t="n">
        <v>1</v>
      </c>
      <c r="T353" s="36" t="n">
        <v>20</v>
      </c>
      <c r="U353" s="37" t="n">
        <v>0.1550387596899225</v>
      </c>
      <c r="V353" s="38" t="n">
        <v>0</v>
      </c>
      <c r="W353" s="38" t="n">
        <v>4.690000000000011</v>
      </c>
      <c r="X353" s="38" t="n">
        <v>3.304</v>
      </c>
      <c r="Y353" s="38" t="n">
        <v>2.522000000000018</v>
      </c>
      <c r="Z353" s="38" t="n">
        <v>0</v>
      </c>
      <c r="AA353" s="36" t="n">
        <v>128</v>
      </c>
      <c r="AB353" s="37" t="n">
        <v>0.5541125541125541</v>
      </c>
      <c r="AC353" s="36" t="n">
        <v>73</v>
      </c>
      <c r="AD353" s="37" t="n">
        <v>0.4899328859060403</v>
      </c>
      <c r="AE353" s="36" t="n">
        <v>52</v>
      </c>
      <c r="AF353" s="37" t="n">
        <v>0.7222222222222222</v>
      </c>
      <c r="AG353" s="36" t="n">
        <v>71</v>
      </c>
      <c r="AH353" s="37" t="n">
        <v>0.9726027397260274</v>
      </c>
    </row>
    <row r="354">
      <c r="A354" s="53" t="n">
        <v>45758</v>
      </c>
      <c r="B354" t="inlineStr">
        <is>
          <t>R02_Sumbagsel</t>
        </is>
      </c>
      <c r="C354" t="inlineStr">
        <is>
          <t>NOP JAMBI</t>
        </is>
      </c>
      <c r="D354" s="38" t="n">
        <v>3.871</v>
      </c>
      <c r="E354" s="38" t="n">
        <v>24.471</v>
      </c>
      <c r="F354" s="36" t="n">
        <v>8.016000000000025</v>
      </c>
      <c r="G354" s="36" t="n">
        <v>19.00200000000001</v>
      </c>
      <c r="H354" s="36" t="n">
        <v>86</v>
      </c>
      <c r="I354" s="37" t="n">
        <v>0.4432989690721649</v>
      </c>
      <c r="J354" s="36" t="n">
        <v>33</v>
      </c>
      <c r="K354" s="37" t="n">
        <v>0.532258064516129</v>
      </c>
      <c r="L354" s="36" t="n">
        <v>53</v>
      </c>
      <c r="M354" s="37" t="n">
        <v>0.4015151515151515</v>
      </c>
      <c r="N354" s="36" t="n">
        <v>23</v>
      </c>
      <c r="O354" s="37" t="n">
        <v>0.696969696969697</v>
      </c>
      <c r="P354" s="36" t="n">
        <v>23</v>
      </c>
      <c r="Q354" s="37" t="n">
        <v>0.696969696969697</v>
      </c>
      <c r="R354" s="36" t="n">
        <v>194</v>
      </c>
      <c r="S354" s="37" t="n">
        <v>1</v>
      </c>
      <c r="T354" s="36" t="n">
        <v>51</v>
      </c>
      <c r="U354" s="37" t="n">
        <v>0.2628865979381443</v>
      </c>
      <c r="V354" s="38" t="n">
        <v>0</v>
      </c>
      <c r="W354" s="38" t="n">
        <v>11.98</v>
      </c>
      <c r="X354" s="38" t="n">
        <v>23.116</v>
      </c>
      <c r="Y354" s="38" t="n">
        <v>1.649000000000008</v>
      </c>
      <c r="Z354" s="38" t="n">
        <v>0</v>
      </c>
      <c r="AA354" s="36" t="n">
        <v>166</v>
      </c>
      <c r="AB354" s="37" t="n">
        <v>0.6194029850746269</v>
      </c>
      <c r="AC354" s="36" t="n">
        <v>79</v>
      </c>
      <c r="AD354" s="37" t="n">
        <v>0.541095890410959</v>
      </c>
      <c r="AE354" s="36" t="n">
        <v>77</v>
      </c>
      <c r="AF354" s="37" t="n">
        <v>0.7064220183486238</v>
      </c>
      <c r="AG354" s="36" t="n">
        <v>63</v>
      </c>
      <c r="AH354" s="37" t="n">
        <v>0.7974683544303798</v>
      </c>
    </row>
    <row r="355">
      <c r="A355" s="53" t="n">
        <v>45758</v>
      </c>
      <c r="B355" t="inlineStr">
        <is>
          <t>R02_Sumbagsel</t>
        </is>
      </c>
      <c r="C355" t="inlineStr">
        <is>
          <t>NOP LAMPUNG</t>
        </is>
      </c>
      <c r="D355" s="38" t="n">
        <v>0.698</v>
      </c>
      <c r="E355" s="38" t="n">
        <v>3.901000000000007</v>
      </c>
      <c r="F355" s="36" t="n">
        <v>1.393</v>
      </c>
      <c r="G355" s="36" t="n">
        <v>7.13</v>
      </c>
      <c r="H355" s="36" t="n">
        <v>36</v>
      </c>
      <c r="I355" s="37" t="n">
        <v>0.4931506849315068</v>
      </c>
      <c r="J355" s="36" t="n">
        <v>12</v>
      </c>
      <c r="K355" s="37" t="n">
        <v>0.5</v>
      </c>
      <c r="L355" s="36" t="n">
        <v>24</v>
      </c>
      <c r="M355" s="37" t="n">
        <v>0.4897959183673469</v>
      </c>
      <c r="N355" s="36" t="n">
        <v>8</v>
      </c>
      <c r="O355" s="37" t="n">
        <v>0.6666666666666666</v>
      </c>
      <c r="P355" s="36" t="n">
        <v>8</v>
      </c>
      <c r="Q355" s="37" t="n">
        <v>0.6666666666666666</v>
      </c>
      <c r="R355" s="36" t="n">
        <v>73</v>
      </c>
      <c r="S355" s="37" t="n">
        <v>1</v>
      </c>
      <c r="T355" s="36" t="n">
        <v>26</v>
      </c>
      <c r="U355" s="37" t="n">
        <v>0.3561643835616438</v>
      </c>
      <c r="V355" s="38" t="n">
        <v>0</v>
      </c>
      <c r="W355" s="38" t="n">
        <v>1.360000000000001</v>
      </c>
      <c r="X355" s="38" t="n">
        <v>4.037000000000002</v>
      </c>
      <c r="Y355" s="38" t="n">
        <v>59.004</v>
      </c>
      <c r="Z355" s="38" t="n">
        <v>0</v>
      </c>
      <c r="AA355" s="36" t="n">
        <v>184</v>
      </c>
      <c r="AB355" s="37" t="n">
        <v>0.8558139534883721</v>
      </c>
      <c r="AC355" s="36" t="n">
        <v>35</v>
      </c>
      <c r="AD355" s="37" t="n">
        <v>0.7777777777777778</v>
      </c>
      <c r="AE355" s="36" t="n">
        <v>144</v>
      </c>
      <c r="AF355" s="37" t="n">
        <v>0.8944099378881988</v>
      </c>
      <c r="AG355" s="36" t="n">
        <v>28</v>
      </c>
      <c r="AH355" s="37" t="n">
        <v>0.8</v>
      </c>
    </row>
    <row r="356">
      <c r="A356" s="53" t="n">
        <v>45758</v>
      </c>
      <c r="B356" t="inlineStr">
        <is>
          <t>R02_Sumbagsel</t>
        </is>
      </c>
      <c r="C356" t="inlineStr">
        <is>
          <t>NOP MUARA ENIM</t>
        </is>
      </c>
      <c r="D356" s="38" t="n">
        <v>1.97</v>
      </c>
      <c r="E356" s="38" t="n">
        <v>2.524999999999999</v>
      </c>
      <c r="F356" s="36" t="n">
        <v>2.56</v>
      </c>
      <c r="G356" s="36" t="n">
        <v>3.739999999999999</v>
      </c>
      <c r="H356" s="36" t="n">
        <v>59</v>
      </c>
      <c r="I356" s="37" t="n">
        <v>0.3089005235602094</v>
      </c>
      <c r="J356" s="36" t="n">
        <v>15</v>
      </c>
      <c r="K356" s="37" t="n">
        <v>0.6521739130434783</v>
      </c>
      <c r="L356" s="36" t="n">
        <v>44</v>
      </c>
      <c r="M356" s="37" t="n">
        <v>0.2619047619047619</v>
      </c>
      <c r="N356" s="36" t="n">
        <v>8</v>
      </c>
      <c r="O356" s="37" t="n">
        <v>0.5333333333333333</v>
      </c>
      <c r="P356" s="36" t="n">
        <v>7</v>
      </c>
      <c r="Q356" s="37" t="n">
        <v>0.5833333333333334</v>
      </c>
      <c r="R356" s="36" t="n">
        <v>190</v>
      </c>
      <c r="S356" s="37" t="n">
        <v>0.9947643979057592</v>
      </c>
      <c r="T356" s="36" t="n">
        <v>30</v>
      </c>
      <c r="U356" s="37" t="n">
        <v>0.1570680628272251</v>
      </c>
      <c r="V356" s="38" t="n">
        <v>0</v>
      </c>
      <c r="W356" s="38" t="n">
        <v>3.468</v>
      </c>
      <c r="X356" s="38" t="n">
        <v>4.146000000000002</v>
      </c>
      <c r="Y356" s="38" t="n">
        <v>6.212000000000001</v>
      </c>
      <c r="Z356" s="38" t="n">
        <v>0</v>
      </c>
      <c r="AA356" s="36" t="n">
        <v>119</v>
      </c>
      <c r="AB356" s="37" t="n">
        <v>0.4857142857142857</v>
      </c>
      <c r="AC356" s="36" t="n">
        <v>57</v>
      </c>
      <c r="AD356" s="37" t="n">
        <v>0.4789915966386555</v>
      </c>
      <c r="AE356" s="36" t="n">
        <v>51</v>
      </c>
      <c r="AF356" s="37" t="n">
        <v>0.5151515151515151</v>
      </c>
      <c r="AG356" s="36" t="n">
        <v>39</v>
      </c>
      <c r="AH356" s="37" t="n">
        <v>0.6842105263157895</v>
      </c>
    </row>
    <row r="357">
      <c r="A357" s="53" t="n">
        <v>45758</v>
      </c>
      <c r="B357" t="inlineStr">
        <is>
          <t>R02_Sumbagsel</t>
        </is>
      </c>
      <c r="C357" t="inlineStr">
        <is>
          <t>NOP PALEMBANG</t>
        </is>
      </c>
      <c r="D357" s="38" t="n">
        <v>4.44</v>
      </c>
      <c r="E357" s="38" t="n">
        <v>4.630000000000001</v>
      </c>
      <c r="F357" s="36" t="n">
        <v>9.318000000000001</v>
      </c>
      <c r="G357" s="36" t="n">
        <v>4.071000000000001</v>
      </c>
      <c r="H357" s="36" t="n">
        <v>35</v>
      </c>
      <c r="I357" s="37" t="n">
        <v>0.2892561983471074</v>
      </c>
      <c r="J357" s="36" t="n">
        <v>3</v>
      </c>
      <c r="K357" s="37" t="n">
        <v>0.2142857142857143</v>
      </c>
      <c r="L357" s="36" t="n">
        <v>32</v>
      </c>
      <c r="M357" s="37" t="n">
        <v>0.2990654205607476</v>
      </c>
      <c r="N357" s="36" t="n">
        <v>2</v>
      </c>
      <c r="O357" s="37" t="n">
        <v>0.6666666666666666</v>
      </c>
      <c r="P357" s="36" t="n">
        <v>2</v>
      </c>
      <c r="Q357" s="37" t="n">
        <v>0.6666666666666666</v>
      </c>
      <c r="R357" s="36" t="n">
        <v>121</v>
      </c>
      <c r="S357" s="37" t="n">
        <v>1</v>
      </c>
      <c r="T357" s="36" t="n">
        <v>18</v>
      </c>
      <c r="U357" s="37" t="n">
        <v>0.1487603305785124</v>
      </c>
      <c r="V357" s="38" t="n">
        <v>0</v>
      </c>
      <c r="W357" s="38" t="n">
        <v>4.848999999999999</v>
      </c>
      <c r="X357" s="38" t="n">
        <v>5.79</v>
      </c>
      <c r="Y357" s="38" t="n">
        <v>7</v>
      </c>
      <c r="Z357" s="38" t="n">
        <v>0</v>
      </c>
      <c r="AA357" s="36" t="n">
        <v>76</v>
      </c>
      <c r="AB357" s="37" t="n">
        <v>0.2846441947565543</v>
      </c>
      <c r="AC357" s="36" t="n">
        <v>15</v>
      </c>
      <c r="AD357" s="37" t="n">
        <v>0.2083333333333333</v>
      </c>
      <c r="AE357" s="36" t="n">
        <v>60</v>
      </c>
      <c r="AF357" s="37" t="n">
        <v>0.3370786516853932</v>
      </c>
      <c r="AG357" s="36" t="n">
        <v>8</v>
      </c>
      <c r="AH357" s="37" t="n">
        <v>0.5333333333333333</v>
      </c>
    </row>
    <row r="358">
      <c r="A358" s="53" t="n">
        <v>45758</v>
      </c>
      <c r="B358" t="inlineStr">
        <is>
          <t>R02_Sumbagsel</t>
        </is>
      </c>
      <c r="C358" t="inlineStr">
        <is>
          <t>NOP PANGKAL PINANG</t>
        </is>
      </c>
      <c r="D358" s="38" t="n">
        <v>2.01</v>
      </c>
      <c r="E358" s="38" t="n">
        <v>0</v>
      </c>
      <c r="F358" s="36" t="n">
        <v>9.66</v>
      </c>
      <c r="G358" s="36" t="n">
        <v>26.712</v>
      </c>
      <c r="H358" s="36" t="n">
        <v>13</v>
      </c>
      <c r="I358" s="37" t="n">
        <v>0.7222222222222222</v>
      </c>
      <c r="J358" s="36" t="n">
        <v>1</v>
      </c>
      <c r="K358" s="37" t="n">
        <v>1</v>
      </c>
      <c r="L358" s="36" t="n">
        <v>12</v>
      </c>
      <c r="M358" s="37" t="n">
        <v>0.7058823529411765</v>
      </c>
      <c r="N358" s="36" t="n">
        <v>1</v>
      </c>
      <c r="O358" s="37" t="n">
        <v>1</v>
      </c>
      <c r="P358" s="36" t="n">
        <v>1</v>
      </c>
      <c r="Q358" s="37" t="n">
        <v>1</v>
      </c>
      <c r="R358" s="36" t="n">
        <v>18</v>
      </c>
      <c r="S358" s="37" t="n">
        <v>1</v>
      </c>
      <c r="T358" s="36" t="n">
        <v>12</v>
      </c>
      <c r="U358" s="37" t="n">
        <v>0.6666666666666666</v>
      </c>
      <c r="V358" s="38" t="n">
        <v>0</v>
      </c>
      <c r="W358" s="38" t="n">
        <v>9.394999999999992</v>
      </c>
      <c r="X358" s="38" t="n">
        <v>31.99</v>
      </c>
      <c r="Y358" s="38" t="n">
        <v>10.41</v>
      </c>
      <c r="Z358" s="38" t="n">
        <v>0</v>
      </c>
      <c r="AA358" s="36" t="n">
        <v>49</v>
      </c>
      <c r="AB358" s="37" t="n">
        <v>0.5833333333333334</v>
      </c>
      <c r="AC358" s="36" t="n">
        <v>22</v>
      </c>
      <c r="AD358" s="37" t="n">
        <v>0.9166666666666666</v>
      </c>
      <c r="AE358" s="36" t="n">
        <v>25</v>
      </c>
      <c r="AF358" s="37" t="n">
        <v>0.8928571428571429</v>
      </c>
      <c r="AG358" s="36" t="n">
        <v>17</v>
      </c>
      <c r="AH358" s="37" t="n">
        <v>0.7727272727272727</v>
      </c>
    </row>
    <row r="359">
      <c r="A359" s="53" t="n">
        <v>45758</v>
      </c>
      <c r="B359" t="inlineStr">
        <is>
          <t>R05_Jawa Tengah DIY</t>
        </is>
      </c>
      <c r="C359" t="inlineStr">
        <is>
          <t>NOP MAGELANG</t>
        </is>
      </c>
      <c r="D359" s="38" t="n">
        <v>0</v>
      </c>
      <c r="E359" s="38" t="n">
        <v>0</v>
      </c>
      <c r="F359" s="36" t="n">
        <v>9.029999999999999</v>
      </c>
      <c r="G359" s="36" t="n">
        <v>5.57</v>
      </c>
      <c r="H359" s="36" t="n">
        <v>20</v>
      </c>
      <c r="I359" s="37" t="n">
        <v>0.6451612903225806</v>
      </c>
      <c r="J359" s="36" t="n">
        <v>0</v>
      </c>
      <c r="K359" s="37" t="n">
        <v>0</v>
      </c>
      <c r="L359" s="36" t="n">
        <v>20</v>
      </c>
      <c r="M359" s="37" t="n">
        <v>0.6451612903225806</v>
      </c>
      <c r="N359" s="36" t="n">
        <v>0</v>
      </c>
      <c r="O359" s="37" t="n">
        <v>0</v>
      </c>
      <c r="P359" s="36" t="n">
        <v>0</v>
      </c>
      <c r="Q359" s="37" t="n">
        <v>0</v>
      </c>
      <c r="R359" s="36" t="n">
        <v>31</v>
      </c>
      <c r="S359" s="37" t="n">
        <v>1</v>
      </c>
      <c r="T359" s="36" t="n">
        <v>17</v>
      </c>
      <c r="U359" s="37" t="n">
        <v>0.5483870967741935</v>
      </c>
      <c r="V359" s="38" t="n">
        <v>0.43</v>
      </c>
      <c r="W359" s="38" t="n">
        <v>3.537</v>
      </c>
      <c r="X359" s="38" t="n">
        <v>11.80800000000001</v>
      </c>
      <c r="Y359" s="38" t="n">
        <v>20.724</v>
      </c>
      <c r="Z359" s="38" t="n">
        <v>0</v>
      </c>
      <c r="AA359" s="36" t="n">
        <v>34</v>
      </c>
      <c r="AB359" s="37" t="n">
        <v>1</v>
      </c>
      <c r="AC359" s="36" t="n">
        <v>3</v>
      </c>
      <c r="AD359" s="37" t="n">
        <v>1</v>
      </c>
      <c r="AE359" s="36" t="n">
        <v>31</v>
      </c>
      <c r="AF359" s="37" t="n">
        <v>1</v>
      </c>
      <c r="AG359" s="36" t="n">
        <v>3</v>
      </c>
      <c r="AH359" s="37" t="n">
        <v>1</v>
      </c>
    </row>
    <row r="360">
      <c r="A360" s="53" t="n">
        <v>45758</v>
      </c>
      <c r="B360" t="inlineStr">
        <is>
          <t>R05_Jawa Tengah DIY</t>
        </is>
      </c>
      <c r="C360" t="inlineStr">
        <is>
          <t>NOP PEKALONGAN</t>
        </is>
      </c>
      <c r="D360" s="38" t="n">
        <v>2.365</v>
      </c>
      <c r="E360" s="38" t="n">
        <v>0</v>
      </c>
      <c r="F360" s="36" t="n">
        <v>2.96</v>
      </c>
      <c r="G360" s="36" t="n">
        <v>8.053999999999997</v>
      </c>
      <c r="H360" s="36" t="n">
        <v>18</v>
      </c>
      <c r="I360" s="37" t="n">
        <v>0.8181818181818182</v>
      </c>
      <c r="J360" s="36" t="n">
        <v>4</v>
      </c>
      <c r="K360" s="37" t="n">
        <v>1</v>
      </c>
      <c r="L360" s="36" t="n">
        <v>14</v>
      </c>
      <c r="M360" s="37" t="n">
        <v>0.7777777777777778</v>
      </c>
      <c r="N360" s="36" t="n">
        <v>4</v>
      </c>
      <c r="O360" s="37" t="n">
        <v>1</v>
      </c>
      <c r="P360" s="36" t="n">
        <v>4</v>
      </c>
      <c r="Q360" s="37" t="n">
        <v>1</v>
      </c>
      <c r="R360" s="36" t="n">
        <v>22</v>
      </c>
      <c r="S360" s="37" t="n">
        <v>1</v>
      </c>
      <c r="T360" s="36" t="n">
        <v>17</v>
      </c>
      <c r="U360" s="37" t="n">
        <v>0.7727272727272727</v>
      </c>
      <c r="V360" s="38" t="n">
        <v>0</v>
      </c>
      <c r="W360" s="38" t="n">
        <v>3.232</v>
      </c>
      <c r="X360" s="38" t="n">
        <v>7.671</v>
      </c>
      <c r="Y360" s="38" t="n">
        <v>49.59</v>
      </c>
      <c r="Z360" s="38" t="n">
        <v>0</v>
      </c>
      <c r="AA360" s="36" t="n">
        <v>28</v>
      </c>
      <c r="AB360" s="37" t="n">
        <v>0.9333333333333333</v>
      </c>
      <c r="AC360" s="36" t="n">
        <v>6</v>
      </c>
      <c r="AD360" s="37" t="n">
        <v>0.8571428571428571</v>
      </c>
      <c r="AE360" s="36" t="n">
        <v>22</v>
      </c>
      <c r="AF360" s="37" t="n">
        <v>0.9565217391304348</v>
      </c>
      <c r="AG360" s="36" t="n">
        <v>6</v>
      </c>
      <c r="AH360" s="37" t="n">
        <v>1</v>
      </c>
    </row>
    <row r="361">
      <c r="A361" s="53" t="n">
        <v>45758</v>
      </c>
      <c r="B361" t="inlineStr">
        <is>
          <t>R05_Jawa Tengah DIY</t>
        </is>
      </c>
      <c r="C361" t="inlineStr">
        <is>
          <t>NOP PURWOKERTO</t>
        </is>
      </c>
      <c r="D361" s="38" t="n">
        <v>0.752</v>
      </c>
      <c r="E361" s="38" t="n">
        <v>0</v>
      </c>
      <c r="F361" s="36" t="n">
        <v>2.07</v>
      </c>
      <c r="G361" s="36" t="n">
        <v>14.08</v>
      </c>
      <c r="H361" s="36" t="n">
        <v>16</v>
      </c>
      <c r="I361" s="37" t="n">
        <v>0.7619047619047619</v>
      </c>
      <c r="J361" s="36" t="n">
        <v>2</v>
      </c>
      <c r="K361" s="37" t="n">
        <v>1</v>
      </c>
      <c r="L361" s="36" t="n">
        <v>14</v>
      </c>
      <c r="M361" s="37" t="n">
        <v>0.7368421052631579</v>
      </c>
      <c r="N361" s="36" t="n">
        <v>2</v>
      </c>
      <c r="O361" s="37" t="n">
        <v>1</v>
      </c>
      <c r="P361" s="36" t="n">
        <v>2</v>
      </c>
      <c r="Q361" s="37" t="n">
        <v>1</v>
      </c>
      <c r="R361" s="36" t="n">
        <v>21</v>
      </c>
      <c r="S361" s="37" t="n">
        <v>1</v>
      </c>
      <c r="T361" s="36" t="n">
        <v>10</v>
      </c>
      <c r="U361" s="37" t="n">
        <v>0.4761904761904762</v>
      </c>
      <c r="V361" s="38" t="n">
        <v>0</v>
      </c>
      <c r="W361" s="38" t="n">
        <v>2.255</v>
      </c>
      <c r="X361" s="38" t="n">
        <v>25.58400000000001</v>
      </c>
      <c r="Y361" s="38" t="n">
        <v>7.004</v>
      </c>
      <c r="Z361" s="38" t="n">
        <v>0</v>
      </c>
      <c r="AA361" s="36" t="n">
        <v>11</v>
      </c>
      <c r="AB361" s="37" t="n">
        <v>0.7333333333333333</v>
      </c>
      <c r="AC361" s="36" t="n">
        <v>5</v>
      </c>
      <c r="AD361" s="37" t="n">
        <v>0.8333333333333334</v>
      </c>
      <c r="AE361" s="36" t="n">
        <v>6</v>
      </c>
      <c r="AF361" s="37" t="n">
        <v>0.6666666666666666</v>
      </c>
      <c r="AG361" s="36" t="n">
        <v>4</v>
      </c>
      <c r="AH361" s="37" t="n">
        <v>0.8</v>
      </c>
    </row>
    <row r="362">
      <c r="A362" s="53" t="n">
        <v>45758</v>
      </c>
      <c r="B362" t="inlineStr">
        <is>
          <t>R05_Jawa Tengah DIY</t>
        </is>
      </c>
      <c r="C362" t="inlineStr">
        <is>
          <t>NOP SEMARANG</t>
        </is>
      </c>
      <c r="D362" s="38" t="n">
        <v>0.7</v>
      </c>
      <c r="E362" s="38" t="n">
        <v>1.53</v>
      </c>
      <c r="F362" s="36" t="n">
        <v>3.216000000000002</v>
      </c>
      <c r="G362" s="36" t="n">
        <v>3.508</v>
      </c>
      <c r="H362" s="36" t="n">
        <v>15</v>
      </c>
      <c r="I362" s="37" t="n">
        <v>0.46875</v>
      </c>
      <c r="J362" s="36" t="n">
        <v>3</v>
      </c>
      <c r="K362" s="37" t="n">
        <v>0.5</v>
      </c>
      <c r="L362" s="36" t="n">
        <v>12</v>
      </c>
      <c r="M362" s="37" t="n">
        <v>0.4615384615384616</v>
      </c>
      <c r="N362" s="36" t="n">
        <v>3</v>
      </c>
      <c r="O362" s="37" t="n">
        <v>1</v>
      </c>
      <c r="P362" s="36" t="n">
        <v>3</v>
      </c>
      <c r="Q362" s="37" t="n">
        <v>1</v>
      </c>
      <c r="R362" s="36" t="n">
        <v>31</v>
      </c>
      <c r="S362" s="37" t="n">
        <v>0.96875</v>
      </c>
      <c r="T362" s="36" t="n">
        <v>9</v>
      </c>
      <c r="U362" s="37" t="n">
        <v>0.28125</v>
      </c>
      <c r="V362" s="38" t="n">
        <v>0</v>
      </c>
      <c r="W362" s="38" t="n">
        <v>58.692</v>
      </c>
      <c r="X362" s="38" t="n">
        <v>21.15000000000001</v>
      </c>
      <c r="Y362" s="38" t="n">
        <v>86.72</v>
      </c>
      <c r="Z362" s="38" t="n">
        <v>0</v>
      </c>
      <c r="AA362" s="36" t="n">
        <v>31</v>
      </c>
      <c r="AB362" s="37" t="n">
        <v>0.775</v>
      </c>
      <c r="AC362" s="36" t="n">
        <v>4</v>
      </c>
      <c r="AD362" s="37" t="n">
        <v>0.5714285714285714</v>
      </c>
      <c r="AE362" s="36" t="n">
        <v>27</v>
      </c>
      <c r="AF362" s="37" t="n">
        <v>0.8181818181818182</v>
      </c>
      <c r="AG362" s="36" t="n">
        <v>4</v>
      </c>
      <c r="AH362" s="37" t="n">
        <v>1</v>
      </c>
    </row>
    <row r="363">
      <c r="A363" s="53" t="n">
        <v>45758</v>
      </c>
      <c r="B363" t="inlineStr">
        <is>
          <t>R05_Jawa Tengah DIY</t>
        </is>
      </c>
      <c r="C363" t="inlineStr">
        <is>
          <t>NOP SURAKARTA</t>
        </is>
      </c>
      <c r="D363" s="38" t="n">
        <v>8.694000000000001</v>
      </c>
      <c r="E363" s="38" t="n">
        <v>1.77</v>
      </c>
      <c r="F363" s="36" t="n">
        <v>2.9</v>
      </c>
      <c r="G363" s="36" t="n">
        <v>3.244</v>
      </c>
      <c r="H363" s="36" t="n">
        <v>34</v>
      </c>
      <c r="I363" s="37" t="n">
        <v>0.7906976744186046</v>
      </c>
      <c r="J363" s="36" t="n">
        <v>7</v>
      </c>
      <c r="K363" s="37" t="n">
        <v>0.7777777777777778</v>
      </c>
      <c r="L363" s="36" t="n">
        <v>27</v>
      </c>
      <c r="M363" s="37" t="n">
        <v>0.7941176470588235</v>
      </c>
      <c r="N363" s="36" t="n">
        <v>7</v>
      </c>
      <c r="O363" s="37" t="n">
        <v>1</v>
      </c>
      <c r="P363" s="36" t="n">
        <v>7</v>
      </c>
      <c r="Q363" s="37" t="n">
        <v>1</v>
      </c>
      <c r="R363" s="36" t="n">
        <v>39</v>
      </c>
      <c r="S363" s="37" t="n">
        <v>0.9069767441860465</v>
      </c>
      <c r="T363" s="36" t="n">
        <v>25</v>
      </c>
      <c r="U363" s="37" t="n">
        <v>0.5813953488372093</v>
      </c>
      <c r="V363" s="38" t="n">
        <v>0.12</v>
      </c>
      <c r="W363" s="38" t="n">
        <v>2.688</v>
      </c>
      <c r="X363" s="38" t="n">
        <v>6.327999999999998</v>
      </c>
      <c r="Y363" s="38" t="n">
        <v>72.37599999999999</v>
      </c>
      <c r="Z363" s="38" t="n">
        <v>0</v>
      </c>
      <c r="AA363" s="36" t="n">
        <v>49</v>
      </c>
      <c r="AB363" s="37" t="n">
        <v>0.7903225806451613</v>
      </c>
      <c r="AC363" s="36" t="n">
        <v>18</v>
      </c>
      <c r="AD363" s="37" t="n">
        <v>0.9</v>
      </c>
      <c r="AE363" s="36" t="n">
        <v>31</v>
      </c>
      <c r="AF363" s="37" t="n">
        <v>0.7380952380952381</v>
      </c>
      <c r="AG363" s="36" t="n">
        <v>13</v>
      </c>
      <c r="AH363" s="37" t="n">
        <v>0.7222222222222222</v>
      </c>
    </row>
    <row r="364">
      <c r="A364" s="53" t="n">
        <v>45758</v>
      </c>
      <c r="B364" t="inlineStr">
        <is>
          <t>R05_Jawa Tengah DIY</t>
        </is>
      </c>
      <c r="C364" t="inlineStr">
        <is>
          <t>NOP YOGYAKARTA</t>
        </is>
      </c>
      <c r="D364" s="38" t="n">
        <v>0.42</v>
      </c>
      <c r="E364" s="38" t="n">
        <v>0</v>
      </c>
      <c r="F364" s="36" t="n">
        <v>2.51</v>
      </c>
      <c r="G364" s="36" t="n">
        <v>3.550000000000002</v>
      </c>
      <c r="H364" s="36" t="n">
        <v>23</v>
      </c>
      <c r="I364" s="37" t="n">
        <v>0.5476190476190477</v>
      </c>
      <c r="J364" s="36" t="n">
        <v>0</v>
      </c>
      <c r="K364" s="37" t="n">
        <v>0</v>
      </c>
      <c r="L364" s="36" t="n">
        <v>23</v>
      </c>
      <c r="M364" s="37" t="n">
        <v>0.5609756097560976</v>
      </c>
      <c r="N364" s="36" t="n">
        <v>0</v>
      </c>
      <c r="O364" s="37" t="n">
        <v>0</v>
      </c>
      <c r="P364" s="36" t="n">
        <v>0</v>
      </c>
      <c r="Q364" s="37" t="n">
        <v>0</v>
      </c>
      <c r="R364" s="36" t="n">
        <v>41</v>
      </c>
      <c r="S364" s="37" t="n">
        <v>0.9761904761904762</v>
      </c>
      <c r="T364" s="36" t="n">
        <v>11</v>
      </c>
      <c r="U364" s="37" t="n">
        <v>0.2619047619047619</v>
      </c>
      <c r="V364" s="38" t="n">
        <v>0</v>
      </c>
      <c r="W364" s="38" t="n">
        <v>2.69</v>
      </c>
      <c r="X364" s="38" t="n">
        <v>17.778</v>
      </c>
      <c r="Y364" s="38" t="n">
        <v>34.38399999999999</v>
      </c>
      <c r="Z364" s="38" t="n">
        <v>0</v>
      </c>
      <c r="AA364" s="36" t="n">
        <v>34</v>
      </c>
      <c r="AB364" s="37" t="n">
        <v>0.918918918918919</v>
      </c>
      <c r="AC364" s="36" t="n">
        <v>4</v>
      </c>
      <c r="AD364" s="37" t="n">
        <v>0.6666666666666666</v>
      </c>
      <c r="AE364" s="36" t="n">
        <v>30</v>
      </c>
      <c r="AF364" s="37" t="n">
        <v>0.967741935483871</v>
      </c>
      <c r="AG364" s="36" t="n">
        <v>4</v>
      </c>
      <c r="AH364" s="37" t="n">
        <v>1</v>
      </c>
    </row>
    <row r="365">
      <c r="A365" s="53" t="n">
        <v>45758</v>
      </c>
      <c r="B365" t="inlineStr">
        <is>
          <t>R06_Jawa Timur</t>
        </is>
      </c>
      <c r="C365" t="inlineStr">
        <is>
          <t>NOP JEMBER</t>
        </is>
      </c>
      <c r="D365" s="38" t="n">
        <v>0.52</v>
      </c>
      <c r="E365" s="38" t="n">
        <v>0</v>
      </c>
      <c r="F365" s="36" t="n">
        <v>1.763</v>
      </c>
      <c r="G365" s="36" t="n">
        <v>0.8100000000000001</v>
      </c>
      <c r="H365" s="36" t="n">
        <v>13</v>
      </c>
      <c r="I365" s="37" t="n">
        <v>0.5909090909090909</v>
      </c>
      <c r="J365" s="36" t="n">
        <v>1</v>
      </c>
      <c r="K365" s="37" t="n">
        <v>1</v>
      </c>
      <c r="L365" s="36" t="n">
        <v>12</v>
      </c>
      <c r="M365" s="37" t="n">
        <v>0.5714285714285714</v>
      </c>
      <c r="N365" s="36" t="n">
        <v>1</v>
      </c>
      <c r="O365" s="37" t="n">
        <v>1</v>
      </c>
      <c r="P365" s="36" t="n">
        <v>1</v>
      </c>
      <c r="Q365" s="37" t="n">
        <v>1</v>
      </c>
      <c r="R365" s="36" t="n">
        <v>22</v>
      </c>
      <c r="S365" s="37" t="n">
        <v>1</v>
      </c>
      <c r="T365" s="36" t="n">
        <v>7</v>
      </c>
      <c r="U365" s="37" t="n">
        <v>0.3181818181818182</v>
      </c>
      <c r="V365" s="38" t="n">
        <v>0</v>
      </c>
      <c r="W365" s="38" t="n">
        <v>2.37</v>
      </c>
      <c r="X365" s="38" t="n">
        <v>4.253999999999998</v>
      </c>
      <c r="Y365" s="38" t="n">
        <v>93.15800000000002</v>
      </c>
      <c r="Z365" s="38" t="n">
        <v>0</v>
      </c>
      <c r="AA365" s="36" t="n">
        <v>22</v>
      </c>
      <c r="AB365" s="37" t="n">
        <v>0.7096774193548387</v>
      </c>
      <c r="AC365" s="36" t="n">
        <v>5</v>
      </c>
      <c r="AD365" s="37" t="n">
        <v>0.5555555555555556</v>
      </c>
      <c r="AE365" s="36" t="n">
        <v>17</v>
      </c>
      <c r="AF365" s="37" t="n">
        <v>0.7727272727272727</v>
      </c>
      <c r="AG365" s="36" t="n">
        <v>3</v>
      </c>
      <c r="AH365" s="37" t="n">
        <v>0.6</v>
      </c>
    </row>
    <row r="366">
      <c r="A366" s="53" t="n">
        <v>45758</v>
      </c>
      <c r="B366" t="inlineStr">
        <is>
          <t>R06_Jawa Timur</t>
        </is>
      </c>
      <c r="C366" t="inlineStr">
        <is>
          <t>NOP KEDIRI</t>
        </is>
      </c>
      <c r="D366" s="38" t="n">
        <v>0</v>
      </c>
      <c r="E366" s="38" t="n">
        <v>0</v>
      </c>
      <c r="F366" s="36" t="n">
        <v>1.23</v>
      </c>
      <c r="G366" s="36" t="n">
        <v>1.965</v>
      </c>
      <c r="H366" s="36" t="n">
        <v>14</v>
      </c>
      <c r="I366" s="37" t="n">
        <v>0.9333333333333333</v>
      </c>
      <c r="J366" s="36" t="n">
        <v>0</v>
      </c>
      <c r="K366" s="37" t="n">
        <v>0</v>
      </c>
      <c r="L366" s="36" t="n">
        <v>14</v>
      </c>
      <c r="M366" s="37" t="n">
        <v>0.9333333333333333</v>
      </c>
      <c r="N366" s="36" t="n">
        <v>0</v>
      </c>
      <c r="O366" s="37" t="n">
        <v>0</v>
      </c>
      <c r="P366" s="36" t="n">
        <v>0</v>
      </c>
      <c r="Q366" s="37" t="n">
        <v>0</v>
      </c>
      <c r="R366" s="36" t="n">
        <v>15</v>
      </c>
      <c r="S366" s="37" t="n">
        <v>1</v>
      </c>
      <c r="T366" s="36" t="n">
        <v>8</v>
      </c>
      <c r="U366" s="37" t="n">
        <v>0.5333333333333333</v>
      </c>
      <c r="V366" s="38" t="n">
        <v>0</v>
      </c>
      <c r="W366" s="38" t="n">
        <v>2.756</v>
      </c>
      <c r="X366" s="38" t="n">
        <v>2.237</v>
      </c>
      <c r="Y366" s="38" t="n">
        <v>0.91</v>
      </c>
      <c r="Z366" s="38" t="n">
        <v>0</v>
      </c>
      <c r="AA366" s="36" t="n">
        <v>19</v>
      </c>
      <c r="AB366" s="37" t="n">
        <v>0.95</v>
      </c>
      <c r="AC366" s="36" t="n">
        <v>5</v>
      </c>
      <c r="AD366" s="37" t="n">
        <v>1</v>
      </c>
      <c r="AE366" s="36" t="n">
        <v>14</v>
      </c>
      <c r="AF366" s="37" t="n">
        <v>0.9333333333333333</v>
      </c>
      <c r="AG366" s="36" t="n">
        <v>5</v>
      </c>
      <c r="AH366" s="37" t="n">
        <v>1</v>
      </c>
    </row>
    <row r="367">
      <c r="A367" s="53" t="n">
        <v>45758</v>
      </c>
      <c r="B367" t="inlineStr">
        <is>
          <t>R06_Jawa Timur</t>
        </is>
      </c>
      <c r="C367" t="inlineStr">
        <is>
          <t>NOP LAMONGAN</t>
        </is>
      </c>
      <c r="D367" s="38" t="n">
        <v>0</v>
      </c>
      <c r="E367" s="38" t="n">
        <v>0</v>
      </c>
      <c r="F367" s="36" t="n">
        <v>1.188</v>
      </c>
      <c r="G367" s="36" t="n">
        <v>2.47</v>
      </c>
      <c r="H367" s="36" t="n">
        <v>8</v>
      </c>
      <c r="I367" s="37" t="n">
        <v>0.8888888888888888</v>
      </c>
      <c r="J367" s="36" t="n">
        <v>0</v>
      </c>
      <c r="K367" s="37" t="n">
        <v>0</v>
      </c>
      <c r="L367" s="36" t="n">
        <v>8</v>
      </c>
      <c r="M367" s="37" t="n">
        <v>0.8888888888888888</v>
      </c>
      <c r="N367" s="36" t="n">
        <v>0</v>
      </c>
      <c r="O367" s="37" t="n">
        <v>0</v>
      </c>
      <c r="P367" s="36" t="n">
        <v>0</v>
      </c>
      <c r="Q367" s="37" t="n">
        <v>0</v>
      </c>
      <c r="R367" s="36" t="n">
        <v>9</v>
      </c>
      <c r="S367" s="37" t="n">
        <v>1</v>
      </c>
      <c r="T367" s="36" t="n">
        <v>6</v>
      </c>
      <c r="U367" s="37" t="n">
        <v>0.6666666666666666</v>
      </c>
      <c r="V367" s="38" t="n">
        <v>0</v>
      </c>
      <c r="W367" s="38" t="n">
        <v>0.895</v>
      </c>
      <c r="X367" s="38" t="n">
        <v>5.720000000000001</v>
      </c>
      <c r="Y367" s="38" t="n">
        <v>10.478</v>
      </c>
      <c r="Z367" s="38" t="n">
        <v>0</v>
      </c>
      <c r="AA367" s="36" t="n">
        <v>12</v>
      </c>
      <c r="AB367" s="37" t="n">
        <v>0.75</v>
      </c>
      <c r="AC367" s="36" t="n">
        <v>4</v>
      </c>
      <c r="AD367" s="37" t="n">
        <v>0.6666666666666666</v>
      </c>
      <c r="AE367" s="36" t="n">
        <v>8</v>
      </c>
      <c r="AF367" s="37" t="n">
        <v>0.8</v>
      </c>
      <c r="AG367" s="36" t="n">
        <v>3</v>
      </c>
      <c r="AH367" s="37" t="n">
        <v>0.75</v>
      </c>
    </row>
    <row r="368">
      <c r="A368" s="53" t="n">
        <v>45758</v>
      </c>
      <c r="B368" t="inlineStr">
        <is>
          <t>R06_Jawa Timur</t>
        </is>
      </c>
      <c r="C368" t="inlineStr">
        <is>
          <t>NOP MADIUN</t>
        </is>
      </c>
      <c r="D368" s="38" t="n">
        <v>0</v>
      </c>
      <c r="E368" s="38" t="n">
        <v>0</v>
      </c>
      <c r="F368" s="36" t="n">
        <v>0.696</v>
      </c>
      <c r="G368" s="36" t="n">
        <v>1.488</v>
      </c>
      <c r="H368" s="36" t="n">
        <v>1</v>
      </c>
      <c r="I368" s="37" t="n">
        <v>0.0625</v>
      </c>
      <c r="J368" s="36" t="n">
        <v>0</v>
      </c>
      <c r="K368" s="37" t="n">
        <v>0</v>
      </c>
      <c r="L368" s="36" t="n">
        <v>1</v>
      </c>
      <c r="M368" s="37" t="n">
        <v>0.0625</v>
      </c>
      <c r="N368" s="36" t="n">
        <v>0</v>
      </c>
      <c r="O368" s="37" t="n">
        <v>0</v>
      </c>
      <c r="P368" s="36" t="n">
        <v>0</v>
      </c>
      <c r="Q368" s="37" t="n">
        <v>0</v>
      </c>
      <c r="R368" s="36" t="n">
        <v>16</v>
      </c>
      <c r="S368" s="37" t="n">
        <v>1</v>
      </c>
      <c r="T368" s="36" t="n">
        <v>0</v>
      </c>
      <c r="U368" s="37" t="n">
        <v>0</v>
      </c>
      <c r="V368" s="38" t="n">
        <v>0</v>
      </c>
      <c r="W368" s="38" t="n">
        <v>2.26</v>
      </c>
      <c r="X368" s="38" t="n">
        <v>3.96</v>
      </c>
      <c r="Y368" s="38" t="n">
        <v>9.975</v>
      </c>
      <c r="Z368" s="38" t="n">
        <v>0</v>
      </c>
      <c r="AA368" s="36" t="n">
        <v>13</v>
      </c>
      <c r="AB368" s="37" t="n">
        <v>0.6842105263157895</v>
      </c>
      <c r="AC368" s="36" t="n">
        <v>6</v>
      </c>
      <c r="AD368" s="37" t="n">
        <v>1</v>
      </c>
      <c r="AE368" s="36" t="n">
        <v>7</v>
      </c>
      <c r="AF368" s="37" t="n">
        <v>0.5384615384615384</v>
      </c>
      <c r="AG368" s="36" t="n">
        <v>4</v>
      </c>
      <c r="AH368" s="37" t="n">
        <v>0.6666666666666666</v>
      </c>
    </row>
    <row r="369">
      <c r="A369" s="53" t="n">
        <v>45758</v>
      </c>
      <c r="B369" t="inlineStr">
        <is>
          <t>R06_Jawa Timur</t>
        </is>
      </c>
      <c r="C369" t="inlineStr">
        <is>
          <t>NOP MALANG</t>
        </is>
      </c>
      <c r="D369" s="38" t="n">
        <v>0.37</v>
      </c>
      <c r="E369" s="38" t="n">
        <v>0</v>
      </c>
      <c r="F369" s="36" t="n">
        <v>1.42</v>
      </c>
      <c r="G369" s="36" t="n">
        <v>2.693000000000001</v>
      </c>
      <c r="H369" s="36" t="n">
        <v>12</v>
      </c>
      <c r="I369" s="37" t="n">
        <v>0.8571428571428571</v>
      </c>
      <c r="J369" s="36" t="n">
        <v>0</v>
      </c>
      <c r="K369" s="37" t="n">
        <v>0</v>
      </c>
      <c r="L369" s="36" t="n">
        <v>12</v>
      </c>
      <c r="M369" s="37" t="n">
        <v>0.9230769230769231</v>
      </c>
      <c r="N369" s="36" t="n">
        <v>0</v>
      </c>
      <c r="O369" s="37" t="n">
        <v>0</v>
      </c>
      <c r="P369" s="36" t="n">
        <v>0</v>
      </c>
      <c r="Q369" s="37" t="n">
        <v>0</v>
      </c>
      <c r="R369" s="36" t="n">
        <v>14</v>
      </c>
      <c r="S369" s="37" t="n">
        <v>1</v>
      </c>
      <c r="T369" s="36" t="n">
        <v>11</v>
      </c>
      <c r="U369" s="37" t="n">
        <v>0.7857142857142857</v>
      </c>
      <c r="V369" s="38" t="n">
        <v>0</v>
      </c>
      <c r="W369" s="38" t="n">
        <v>2.796</v>
      </c>
      <c r="X369" s="38" t="n">
        <v>5.044</v>
      </c>
      <c r="Y369" s="38" t="n">
        <v>79.621</v>
      </c>
      <c r="Z369" s="38" t="n">
        <v>0</v>
      </c>
      <c r="AA369" s="36" t="n">
        <v>9</v>
      </c>
      <c r="AB369" s="37" t="n">
        <v>0.6428571428571429</v>
      </c>
      <c r="AC369" s="36" t="n">
        <v>2</v>
      </c>
      <c r="AD369" s="37" t="n">
        <v>0.6666666666666666</v>
      </c>
      <c r="AE369" s="36" t="n">
        <v>7</v>
      </c>
      <c r="AF369" s="37" t="n">
        <v>0.6363636363636364</v>
      </c>
      <c r="AG369" s="36" t="n">
        <v>2</v>
      </c>
      <c r="AH369" s="37" t="n">
        <v>1</v>
      </c>
    </row>
    <row r="370">
      <c r="A370" s="53" t="n">
        <v>45758</v>
      </c>
      <c r="B370" t="inlineStr">
        <is>
          <t>R06_Jawa Timur</t>
        </is>
      </c>
      <c r="C370" t="inlineStr">
        <is>
          <t>NOP SIDOARJO</t>
        </is>
      </c>
      <c r="D370" s="38" t="n">
        <v>3.089</v>
      </c>
      <c r="E370" s="38" t="n">
        <v>0</v>
      </c>
      <c r="F370" s="36" t="n">
        <v>3.02</v>
      </c>
      <c r="G370" s="36" t="n">
        <v>3.224</v>
      </c>
      <c r="H370" s="36" t="n">
        <v>17</v>
      </c>
      <c r="I370" s="37" t="n">
        <v>0.5151515151515151</v>
      </c>
      <c r="J370" s="36" t="n">
        <v>2</v>
      </c>
      <c r="K370" s="37" t="n">
        <v>1</v>
      </c>
      <c r="L370" s="36" t="n">
        <v>15</v>
      </c>
      <c r="M370" s="37" t="n">
        <v>0.4838709677419355</v>
      </c>
      <c r="N370" s="36" t="n">
        <v>2</v>
      </c>
      <c r="O370" s="37" t="n">
        <v>1</v>
      </c>
      <c r="P370" s="36" t="n">
        <v>2</v>
      </c>
      <c r="Q370" s="37" t="n">
        <v>1</v>
      </c>
      <c r="R370" s="36" t="n">
        <v>30</v>
      </c>
      <c r="S370" s="37" t="n">
        <v>0.9090909090909091</v>
      </c>
      <c r="T370" s="36" t="n">
        <v>10</v>
      </c>
      <c r="U370" s="37" t="n">
        <v>0.303030303030303</v>
      </c>
      <c r="V370" s="38" t="n">
        <v>0</v>
      </c>
      <c r="W370" s="38" t="n">
        <v>2.836000000000001</v>
      </c>
      <c r="X370" s="38" t="n">
        <v>10.036</v>
      </c>
      <c r="Y370" s="38" t="n">
        <v>23.391</v>
      </c>
      <c r="Z370" s="38" t="n">
        <v>0</v>
      </c>
      <c r="AA370" s="36" t="n">
        <v>12</v>
      </c>
      <c r="AB370" s="37" t="n">
        <v>0.5454545454545454</v>
      </c>
      <c r="AC370" s="36" t="n">
        <v>2</v>
      </c>
      <c r="AD370" s="37" t="n">
        <v>0.2857142857142857</v>
      </c>
      <c r="AE370" s="36" t="n">
        <v>10</v>
      </c>
      <c r="AF370" s="37" t="n">
        <v>0.6666666666666666</v>
      </c>
      <c r="AG370" s="36" t="n">
        <v>1</v>
      </c>
      <c r="AH370" s="37" t="n">
        <v>0.5</v>
      </c>
    </row>
    <row r="371">
      <c r="A371" s="53" t="n">
        <v>45758</v>
      </c>
      <c r="B371" t="inlineStr">
        <is>
          <t>R06_Jawa Timur</t>
        </is>
      </c>
      <c r="C371" t="inlineStr">
        <is>
          <t>NOP SURABAYA</t>
        </is>
      </c>
      <c r="D371" s="38" t="n">
        <v>0.41</v>
      </c>
      <c r="E371" s="38" t="n">
        <v>0</v>
      </c>
      <c r="F371" s="36" t="n">
        <v>5.193</v>
      </c>
      <c r="G371" s="36" t="n">
        <v>2.876</v>
      </c>
      <c r="H371" s="36" t="n">
        <v>5</v>
      </c>
      <c r="I371" s="37" t="n">
        <v>0.2777777777777778</v>
      </c>
      <c r="J371" s="36" t="n">
        <v>0</v>
      </c>
      <c r="K371" s="37" t="n">
        <v>0</v>
      </c>
      <c r="L371" s="36" t="n">
        <v>5</v>
      </c>
      <c r="M371" s="37" t="n">
        <v>0.2941176470588235</v>
      </c>
      <c r="N371" s="36" t="n">
        <v>0</v>
      </c>
      <c r="O371" s="37" t="n">
        <v>0</v>
      </c>
      <c r="P371" s="36" t="n">
        <v>0</v>
      </c>
      <c r="Q371" s="37" t="n">
        <v>0</v>
      </c>
      <c r="R371" s="36" t="n">
        <v>18</v>
      </c>
      <c r="S371" s="37" t="n">
        <v>1</v>
      </c>
      <c r="T371" s="36" t="n">
        <v>4</v>
      </c>
      <c r="U371" s="37" t="n">
        <v>0.2222222222222222</v>
      </c>
      <c r="V371" s="38" t="n">
        <v>0</v>
      </c>
      <c r="W371" s="38" t="n">
        <v>2.974</v>
      </c>
      <c r="X371" s="38" t="n">
        <v>28.40800000000002</v>
      </c>
      <c r="Y371" s="38" t="n">
        <v>15.628</v>
      </c>
      <c r="Z371" s="38" t="n">
        <v>0</v>
      </c>
      <c r="AA371" s="36" t="n">
        <v>17</v>
      </c>
      <c r="AB371" s="37" t="n">
        <v>0.8947368421052632</v>
      </c>
      <c r="AC371" s="36" t="n">
        <v>1</v>
      </c>
      <c r="AD371" s="37" t="n">
        <v>0.3333333333333333</v>
      </c>
      <c r="AE371" s="36" t="n">
        <v>16</v>
      </c>
      <c r="AF371" s="37" t="n">
        <v>1</v>
      </c>
      <c r="AG371" s="36" t="n">
        <v>1</v>
      </c>
      <c r="AH371" s="37" t="n">
        <v>1</v>
      </c>
    </row>
    <row r="372">
      <c r="A372" s="53" t="n">
        <v>45758</v>
      </c>
      <c r="B372" t="inlineStr">
        <is>
          <t>R07_Bali Nusra</t>
        </is>
      </c>
      <c r="C372" t="inlineStr">
        <is>
          <t>NOP DENPASAR</t>
        </is>
      </c>
      <c r="D372" s="38" t="n">
        <v>6.27</v>
      </c>
      <c r="E372" s="38" t="n">
        <v>0</v>
      </c>
      <c r="F372" s="36" t="n">
        <v>3.54</v>
      </c>
      <c r="G372" s="36" t="n">
        <v>5.883999999999999</v>
      </c>
      <c r="H372" s="36" t="n">
        <v>39</v>
      </c>
      <c r="I372" s="37" t="n">
        <v>0.9069767441860465</v>
      </c>
      <c r="J372" s="36" t="n">
        <v>7</v>
      </c>
      <c r="K372" s="37" t="n">
        <v>0.875</v>
      </c>
      <c r="L372" s="36" t="n">
        <v>32</v>
      </c>
      <c r="M372" s="37" t="n">
        <v>0.9142857142857143</v>
      </c>
      <c r="N372" s="36" t="n">
        <v>6</v>
      </c>
      <c r="O372" s="37" t="n">
        <v>0.8571428571428571</v>
      </c>
      <c r="P372" s="36" t="n">
        <v>6</v>
      </c>
      <c r="Q372" s="37" t="n">
        <v>0.8571428571428571</v>
      </c>
      <c r="R372" s="36" t="n">
        <v>41</v>
      </c>
      <c r="S372" s="37" t="n">
        <v>0.9534883720930233</v>
      </c>
      <c r="T372" s="36" t="n">
        <v>41</v>
      </c>
      <c r="U372" s="37" t="n">
        <v>0.9534883720930233</v>
      </c>
      <c r="V372" s="38" t="n">
        <v>0</v>
      </c>
      <c r="W372" s="38" t="n">
        <v>328.283</v>
      </c>
      <c r="X372" s="38" t="n">
        <v>21.11699999999999</v>
      </c>
      <c r="Y372" s="38" t="n">
        <v>71.462</v>
      </c>
      <c r="Z372" s="38" t="n">
        <v>0</v>
      </c>
      <c r="AA372" s="36" t="n">
        <v>48</v>
      </c>
      <c r="AB372" s="37" t="n">
        <v>0.8421052631578947</v>
      </c>
      <c r="AC372" s="36" t="n">
        <v>8</v>
      </c>
      <c r="AD372" s="37" t="n">
        <v>1</v>
      </c>
      <c r="AE372" s="36" t="n">
        <v>40</v>
      </c>
      <c r="AF372" s="37" t="n">
        <v>0.8163265306122449</v>
      </c>
      <c r="AG372" s="36" t="n">
        <v>3</v>
      </c>
      <c r="AH372" s="37" t="n">
        <v>0.375</v>
      </c>
    </row>
    <row r="373">
      <c r="A373" s="53" t="n">
        <v>45758</v>
      </c>
      <c r="B373" t="inlineStr">
        <is>
          <t>R07_Bali Nusra</t>
        </is>
      </c>
      <c r="C373" t="inlineStr">
        <is>
          <t>NOP FLORES</t>
        </is>
      </c>
      <c r="D373" s="38" t="n">
        <v>0.42</v>
      </c>
      <c r="E373" s="38" t="n">
        <v>3.593</v>
      </c>
      <c r="F373" s="36" t="n">
        <v>6.42</v>
      </c>
      <c r="G373" s="36" t="n">
        <v>8.921999999999999</v>
      </c>
      <c r="H373" s="36" t="n">
        <v>40</v>
      </c>
      <c r="I373" s="37" t="n">
        <v>0.5128205128205128</v>
      </c>
      <c r="J373" s="36" t="n">
        <v>12</v>
      </c>
      <c r="K373" s="37" t="n">
        <v>0.631578947368421</v>
      </c>
      <c r="L373" s="36" t="n">
        <v>28</v>
      </c>
      <c r="M373" s="37" t="n">
        <v>0.4745762711864407</v>
      </c>
      <c r="N373" s="36" t="n">
        <v>6</v>
      </c>
      <c r="O373" s="37" t="n">
        <v>0.5</v>
      </c>
      <c r="P373" s="36" t="n">
        <v>6</v>
      </c>
      <c r="Q373" s="37" t="n">
        <v>0.5</v>
      </c>
      <c r="R373" s="36" t="n">
        <v>78</v>
      </c>
      <c r="S373" s="37" t="n">
        <v>1</v>
      </c>
      <c r="T373" s="36" t="n">
        <v>28</v>
      </c>
      <c r="U373" s="37" t="n">
        <v>0.358974358974359</v>
      </c>
      <c r="V373" s="38" t="n">
        <v>0</v>
      </c>
      <c r="W373" s="38" t="n">
        <v>12.466</v>
      </c>
      <c r="X373" s="38" t="n">
        <v>12.62600000000001</v>
      </c>
      <c r="Y373" s="38" t="n">
        <v>82.03000000000002</v>
      </c>
      <c r="Z373" s="38" t="n">
        <v>0</v>
      </c>
      <c r="AA373" s="36" t="n">
        <v>67</v>
      </c>
      <c r="AB373" s="37" t="n">
        <v>0.489051094890511</v>
      </c>
      <c r="AC373" s="36" t="n">
        <v>54</v>
      </c>
      <c r="AD373" s="37" t="n">
        <v>0.5294117647058824</v>
      </c>
      <c r="AE373" s="36" t="n">
        <v>13</v>
      </c>
      <c r="AF373" s="37" t="n">
        <v>0.3714285714285714</v>
      </c>
      <c r="AG373" s="36" t="n">
        <v>43</v>
      </c>
      <c r="AH373" s="37" t="n">
        <v>0.7962962962962963</v>
      </c>
    </row>
    <row r="374">
      <c r="A374" s="53" t="n">
        <v>45758</v>
      </c>
      <c r="B374" t="inlineStr">
        <is>
          <t>R07_Bali Nusra</t>
        </is>
      </c>
      <c r="C374" t="inlineStr">
        <is>
          <t>NOP KUPANG</t>
        </is>
      </c>
      <c r="D374" s="38" t="n">
        <v>0</v>
      </c>
      <c r="E374" s="38" t="n">
        <v>3.817999999999996</v>
      </c>
      <c r="F374" s="36" t="n">
        <v>11.79</v>
      </c>
      <c r="G374" s="36" t="n">
        <v>3.3</v>
      </c>
      <c r="H374" s="36" t="n">
        <v>22</v>
      </c>
      <c r="I374" s="37" t="n">
        <v>0.5238095238095238</v>
      </c>
      <c r="J374" s="36" t="n">
        <v>5</v>
      </c>
      <c r="K374" s="37" t="n">
        <v>0.5</v>
      </c>
      <c r="L374" s="36" t="n">
        <v>17</v>
      </c>
      <c r="M374" s="37" t="n">
        <v>0.53125</v>
      </c>
      <c r="N374" s="36" t="n">
        <v>5</v>
      </c>
      <c r="O374" s="37" t="n">
        <v>1</v>
      </c>
      <c r="P374" s="36" t="n">
        <v>5</v>
      </c>
      <c r="Q374" s="37" t="n">
        <v>1</v>
      </c>
      <c r="R374" s="36" t="n">
        <v>42</v>
      </c>
      <c r="S374" s="37" t="n">
        <v>1</v>
      </c>
      <c r="T374" s="36" t="n">
        <v>10</v>
      </c>
      <c r="U374" s="37" t="n">
        <v>0.2380952380952381</v>
      </c>
      <c r="V374" s="38" t="n">
        <v>0</v>
      </c>
      <c r="W374" s="38" t="n">
        <v>9.023</v>
      </c>
      <c r="X374" s="38" t="n">
        <v>8.446</v>
      </c>
      <c r="Y374" s="38" t="n">
        <v>89.042</v>
      </c>
      <c r="Z374" s="38" t="n">
        <v>0</v>
      </c>
      <c r="AA374" s="36" t="n">
        <v>46</v>
      </c>
      <c r="AB374" s="37" t="n">
        <v>0.6571428571428571</v>
      </c>
      <c r="AC374" s="36" t="n">
        <v>26</v>
      </c>
      <c r="AD374" s="37" t="n">
        <v>0.5909090909090909</v>
      </c>
      <c r="AE374" s="36" t="n">
        <v>20</v>
      </c>
      <c r="AF374" s="37" t="n">
        <v>0.7692307692307693</v>
      </c>
      <c r="AG374" s="36" t="n">
        <v>13</v>
      </c>
      <c r="AH374" s="37" t="n">
        <v>0.5</v>
      </c>
    </row>
    <row r="375">
      <c r="A375" s="53" t="n">
        <v>45758</v>
      </c>
      <c r="B375" t="inlineStr">
        <is>
          <t>R07_Bali Nusra</t>
        </is>
      </c>
      <c r="C375" t="inlineStr">
        <is>
          <t>NOP MATARAM</t>
        </is>
      </c>
      <c r="D375" s="38" t="n">
        <v>0</v>
      </c>
      <c r="E375" s="38" t="n">
        <v>0</v>
      </c>
      <c r="F375" s="36" t="n">
        <v>1.66</v>
      </c>
      <c r="G375" s="36" t="n">
        <v>3.645</v>
      </c>
      <c r="H375" s="36" t="n">
        <v>8</v>
      </c>
      <c r="I375" s="37" t="n">
        <v>0.4444444444444444</v>
      </c>
      <c r="J375" s="36" t="n">
        <v>0</v>
      </c>
      <c r="K375" s="37" t="n">
        <v>0</v>
      </c>
      <c r="L375" s="36" t="n">
        <v>8</v>
      </c>
      <c r="M375" s="37" t="n">
        <v>0.4444444444444444</v>
      </c>
      <c r="N375" s="36" t="n">
        <v>0</v>
      </c>
      <c r="O375" s="37" t="n">
        <v>0</v>
      </c>
      <c r="P375" s="36" t="n">
        <v>0</v>
      </c>
      <c r="Q375" s="37" t="n">
        <v>0</v>
      </c>
      <c r="R375" s="36" t="n">
        <v>18</v>
      </c>
      <c r="S375" s="37" t="n">
        <v>1</v>
      </c>
      <c r="T375" s="36" t="n">
        <v>2</v>
      </c>
      <c r="U375" s="37" t="n">
        <v>0.1111111111111111</v>
      </c>
      <c r="V375" s="38" t="n">
        <v>0</v>
      </c>
      <c r="W375" s="38" t="n">
        <v>44.85299999999999</v>
      </c>
      <c r="X375" s="38" t="n">
        <v>15.928</v>
      </c>
      <c r="Y375" s="38" t="n">
        <v>17.198</v>
      </c>
      <c r="Z375" s="38" t="n">
        <v>0</v>
      </c>
      <c r="AA375" s="36" t="n">
        <v>15</v>
      </c>
      <c r="AB375" s="37" t="n">
        <v>0.2727272727272727</v>
      </c>
      <c r="AC375" s="36" t="n">
        <v>12</v>
      </c>
      <c r="AD375" s="37" t="n">
        <v>0.3529411764705883</v>
      </c>
      <c r="AE375" s="36" t="n">
        <v>3</v>
      </c>
      <c r="AF375" s="37" t="n">
        <v>0.1428571428571428</v>
      </c>
      <c r="AG375" s="36" t="n">
        <v>6</v>
      </c>
      <c r="AH375" s="37" t="n">
        <v>0.5</v>
      </c>
    </row>
    <row r="376">
      <c r="A376" s="53" t="n">
        <v>45759</v>
      </c>
      <c r="B376" t="inlineStr">
        <is>
          <t>R01_Sumbagut</t>
        </is>
      </c>
      <c r="C376" t="inlineStr">
        <is>
          <t>NOP ACEH</t>
        </is>
      </c>
      <c r="D376" s="38" t="n">
        <v>0</v>
      </c>
      <c r="E376" s="38" t="n">
        <v>7.486000000000001</v>
      </c>
      <c r="F376" s="36" t="n">
        <v>4.570000000000005</v>
      </c>
      <c r="G376" s="36" t="n">
        <v>11.63800000000001</v>
      </c>
      <c r="H376" s="36" t="n">
        <v>99</v>
      </c>
      <c r="I376" s="37" t="n">
        <v>0.8461538461538461</v>
      </c>
      <c r="J376" s="36" t="n">
        <v>21</v>
      </c>
      <c r="K376" s="37" t="n">
        <v>0.9130434782608695</v>
      </c>
      <c r="L376" s="36" t="n">
        <v>78</v>
      </c>
      <c r="M376" s="37" t="n">
        <v>0.8297872340425532</v>
      </c>
      <c r="N376" s="36" t="n">
        <v>6</v>
      </c>
      <c r="O376" s="37" t="n">
        <v>0.2857142857142857</v>
      </c>
      <c r="P376" s="36" t="n">
        <v>6</v>
      </c>
      <c r="Q376" s="37" t="n">
        <v>0.2857142857142857</v>
      </c>
      <c r="R376" s="36" t="n">
        <v>117</v>
      </c>
      <c r="S376" s="37" t="n">
        <v>1</v>
      </c>
      <c r="T376" s="36" t="n">
        <v>26</v>
      </c>
      <c r="U376" s="37" t="n">
        <v>0.2222222222222222</v>
      </c>
      <c r="V376" s="38" t="n">
        <v>0.02</v>
      </c>
      <c r="W376" s="38" t="n">
        <v>5.645999999999997</v>
      </c>
      <c r="X376" s="38" t="n">
        <v>94.77900000000002</v>
      </c>
      <c r="Y376" s="38" t="n">
        <v>91.72</v>
      </c>
      <c r="Z376" s="38" t="n">
        <v>0</v>
      </c>
      <c r="AA376" s="36" t="n">
        <v>225</v>
      </c>
      <c r="AB376" s="37" t="n">
        <v>0.8620689655172413</v>
      </c>
      <c r="AC376" s="36" t="n">
        <v>29</v>
      </c>
      <c r="AD376" s="37" t="n">
        <v>0.725</v>
      </c>
      <c r="AE376" s="36" t="n">
        <v>196</v>
      </c>
      <c r="AF376" s="37" t="n">
        <v>0.8909090909090909</v>
      </c>
      <c r="AG376" s="36" t="n">
        <v>11</v>
      </c>
      <c r="AH376" s="37" t="n">
        <v>0.3793103448275862</v>
      </c>
    </row>
    <row r="377">
      <c r="A377" s="53" t="n">
        <v>45759</v>
      </c>
      <c r="B377" t="inlineStr">
        <is>
          <t>R01_Sumbagut</t>
        </is>
      </c>
      <c r="C377" t="inlineStr">
        <is>
          <t>NOP BINJAI</t>
        </is>
      </c>
      <c r="D377" s="38" t="n">
        <v>0</v>
      </c>
      <c r="E377" s="38" t="n">
        <v>1.476</v>
      </c>
      <c r="F377" s="36" t="n">
        <v>6.58</v>
      </c>
      <c r="G377" s="36" t="n">
        <v>7.516000000000002</v>
      </c>
      <c r="H377" s="36" t="n">
        <v>22</v>
      </c>
      <c r="I377" s="37" t="n">
        <v>0.6111111111111112</v>
      </c>
      <c r="J377" s="36" t="n">
        <v>4</v>
      </c>
      <c r="K377" s="37" t="n">
        <v>0.5714285714285714</v>
      </c>
      <c r="L377" s="36" t="n">
        <v>18</v>
      </c>
      <c r="M377" s="37" t="n">
        <v>0.6206896551724138</v>
      </c>
      <c r="N377" s="36" t="n">
        <v>3</v>
      </c>
      <c r="O377" s="37" t="n">
        <v>0.75</v>
      </c>
      <c r="P377" s="36" t="n">
        <v>3</v>
      </c>
      <c r="Q377" s="37" t="n">
        <v>0.75</v>
      </c>
      <c r="R377" s="36" t="n">
        <v>36</v>
      </c>
      <c r="S377" s="37" t="n">
        <v>1</v>
      </c>
      <c r="T377" s="36" t="n">
        <v>14</v>
      </c>
      <c r="U377" s="37" t="n">
        <v>0.3888888888888889</v>
      </c>
      <c r="V377" s="38" t="n">
        <v>0</v>
      </c>
      <c r="W377" s="38" t="n">
        <v>1.2</v>
      </c>
      <c r="X377" s="38" t="n">
        <v>25.08</v>
      </c>
      <c r="Y377" s="38" t="n">
        <v>101.1080000000001</v>
      </c>
      <c r="Z377" s="38" t="n">
        <v>0</v>
      </c>
      <c r="AA377" s="36" t="n">
        <v>49</v>
      </c>
      <c r="AB377" s="37" t="n">
        <v>0.7777777777777778</v>
      </c>
      <c r="AC377" s="36" t="n">
        <v>9</v>
      </c>
      <c r="AD377" s="37" t="n">
        <v>0.8181818181818182</v>
      </c>
      <c r="AE377" s="36" t="n">
        <v>40</v>
      </c>
      <c r="AF377" s="37" t="n">
        <v>0.8</v>
      </c>
      <c r="AG377" s="36" t="n">
        <v>5</v>
      </c>
      <c r="AH377" s="37" t="n">
        <v>0.5555555555555556</v>
      </c>
    </row>
    <row r="378">
      <c r="A378" s="53" t="n">
        <v>45759</v>
      </c>
      <c r="B378" t="inlineStr">
        <is>
          <t>R01_Sumbagut</t>
        </is>
      </c>
      <c r="C378" t="inlineStr">
        <is>
          <t>NOP MEDAN</t>
        </is>
      </c>
      <c r="D378" s="38" t="n">
        <v>0</v>
      </c>
      <c r="E378" s="38" t="n">
        <v>3.46</v>
      </c>
      <c r="F378" s="36" t="n">
        <v>4.96</v>
      </c>
      <c r="G378" s="36" t="n">
        <v>4.684</v>
      </c>
      <c r="H378" s="36" t="n">
        <v>15</v>
      </c>
      <c r="I378" s="37" t="n">
        <v>0.4838709677419355</v>
      </c>
      <c r="J378" s="36" t="n">
        <v>1</v>
      </c>
      <c r="K378" s="37" t="n">
        <v>0.3333333333333333</v>
      </c>
      <c r="L378" s="36" t="n">
        <v>14</v>
      </c>
      <c r="M378" s="37" t="n">
        <v>0.5</v>
      </c>
      <c r="N378" s="36" t="n">
        <v>1</v>
      </c>
      <c r="O378" s="37" t="n">
        <v>1</v>
      </c>
      <c r="P378" s="36" t="n">
        <v>1</v>
      </c>
      <c r="Q378" s="37" t="n">
        <v>1</v>
      </c>
      <c r="R378" s="36" t="n">
        <v>31</v>
      </c>
      <c r="S378" s="37" t="n">
        <v>1</v>
      </c>
      <c r="T378" s="36" t="n">
        <v>10</v>
      </c>
      <c r="U378" s="37" t="n">
        <v>0.3225806451612903</v>
      </c>
      <c r="V378" s="38" t="n">
        <v>0</v>
      </c>
      <c r="W378" s="38" t="n">
        <v>14.34</v>
      </c>
      <c r="X378" s="38" t="n">
        <v>4.594000000000001</v>
      </c>
      <c r="Y378" s="38" t="n">
        <v>126.31</v>
      </c>
      <c r="Z378" s="38" t="n">
        <v>0</v>
      </c>
      <c r="AA378" s="36" t="n">
        <v>15</v>
      </c>
      <c r="AB378" s="37" t="n">
        <v>0.4054054054054054</v>
      </c>
      <c r="AC378" s="36" t="n">
        <v>3</v>
      </c>
      <c r="AD378" s="37" t="n">
        <v>0.25</v>
      </c>
      <c r="AE378" s="36" t="n">
        <v>12</v>
      </c>
      <c r="AF378" s="37" t="n">
        <v>0.5217391304347826</v>
      </c>
      <c r="AG378" s="36" t="n">
        <v>2</v>
      </c>
      <c r="AH378" s="37" t="n">
        <v>0.6666666666666666</v>
      </c>
    </row>
    <row r="379">
      <c r="A379" s="53" t="n">
        <v>45759</v>
      </c>
      <c r="B379" t="inlineStr">
        <is>
          <t>R01_Sumbagut</t>
        </is>
      </c>
      <c r="C379" t="inlineStr">
        <is>
          <t>NOP PADANG SIDEMPUAN</t>
        </is>
      </c>
      <c r="D379" s="38" t="n">
        <v>3.08</v>
      </c>
      <c r="E379" s="38" t="n">
        <v>2.85</v>
      </c>
      <c r="F379" s="36" t="n">
        <v>5.899</v>
      </c>
      <c r="G379" s="36" t="n">
        <v>9.856999999999999</v>
      </c>
      <c r="H379" s="36" t="n">
        <v>29</v>
      </c>
      <c r="I379" s="37" t="n">
        <v>0.3258426966292135</v>
      </c>
      <c r="J379" s="36" t="n">
        <v>9</v>
      </c>
      <c r="K379" s="37" t="n">
        <v>0.6923076923076923</v>
      </c>
      <c r="L379" s="36" t="n">
        <v>20</v>
      </c>
      <c r="M379" s="37" t="n">
        <v>0.2631578947368421</v>
      </c>
      <c r="N379" s="36" t="n">
        <v>6</v>
      </c>
      <c r="O379" s="37" t="n">
        <v>0.6666666666666666</v>
      </c>
      <c r="P379" s="36" t="n">
        <v>6</v>
      </c>
      <c r="Q379" s="37" t="n">
        <v>0.6666666666666666</v>
      </c>
      <c r="R379" s="36" t="n">
        <v>87</v>
      </c>
      <c r="S379" s="37" t="n">
        <v>0.9775280898876404</v>
      </c>
      <c r="T379" s="36" t="n">
        <v>11</v>
      </c>
      <c r="U379" s="37" t="n">
        <v>0.1235955056179775</v>
      </c>
      <c r="V379" s="38" t="n">
        <v>0.098</v>
      </c>
      <c r="W379" s="38" t="n">
        <v>4.458000000000007</v>
      </c>
      <c r="X379" s="38" t="n">
        <v>9.324000000000005</v>
      </c>
      <c r="Y379" s="38" t="n">
        <v>84.15500000000004</v>
      </c>
      <c r="Z379" s="38" t="n">
        <v>0</v>
      </c>
      <c r="AA379" s="36" t="n">
        <v>75</v>
      </c>
      <c r="AB379" s="37" t="n">
        <v>0.3024193548387097</v>
      </c>
      <c r="AC379" s="36" t="n">
        <v>39</v>
      </c>
      <c r="AD379" s="37" t="n">
        <v>0.5416666666666666</v>
      </c>
      <c r="AE379" s="36" t="n">
        <v>36</v>
      </c>
      <c r="AF379" s="37" t="n">
        <v>0.2068965517241379</v>
      </c>
      <c r="AG379" s="36" t="n">
        <v>15</v>
      </c>
      <c r="AH379" s="37" t="n">
        <v>0.3846153846153846</v>
      </c>
    </row>
    <row r="380">
      <c r="A380" s="53" t="n">
        <v>45759</v>
      </c>
      <c r="B380" t="inlineStr">
        <is>
          <t>R01_Sumbagut</t>
        </is>
      </c>
      <c r="C380" t="inlineStr">
        <is>
          <t>NOP PEMATANG SIANTAR</t>
        </is>
      </c>
      <c r="D380" s="38" t="n">
        <v>1.11</v>
      </c>
      <c r="E380" s="38" t="n">
        <v>0.769</v>
      </c>
      <c r="F380" s="36" t="n">
        <v>2.804000000000001</v>
      </c>
      <c r="G380" s="36" t="n">
        <v>2.495000000000002</v>
      </c>
      <c r="H380" s="36" t="n">
        <v>17</v>
      </c>
      <c r="I380" s="37" t="n">
        <v>0.10625</v>
      </c>
      <c r="J380" s="36" t="n">
        <v>6</v>
      </c>
      <c r="K380" s="37" t="n">
        <v>0.07792207792207792</v>
      </c>
      <c r="L380" s="36" t="n">
        <v>11</v>
      </c>
      <c r="M380" s="37" t="n">
        <v>0.1325301204819277</v>
      </c>
      <c r="N380" s="36" t="n">
        <v>4</v>
      </c>
      <c r="O380" s="37" t="n">
        <v>0.6666666666666666</v>
      </c>
      <c r="P380" s="36" t="n">
        <v>4</v>
      </c>
      <c r="Q380" s="37" t="n">
        <v>0.6666666666666666</v>
      </c>
      <c r="R380" s="36" t="n">
        <v>160</v>
      </c>
      <c r="S380" s="37" t="n">
        <v>1</v>
      </c>
      <c r="T380" s="36" t="n">
        <v>8</v>
      </c>
      <c r="U380" s="37" t="n">
        <v>0.05</v>
      </c>
      <c r="V380" s="38" t="n">
        <v>0</v>
      </c>
      <c r="W380" s="38" t="n">
        <v>6.390000000000008</v>
      </c>
      <c r="X380" s="38" t="n">
        <v>62.42200000000002</v>
      </c>
      <c r="Y380" s="38" t="n">
        <v>51.642</v>
      </c>
      <c r="Z380" s="38" t="n">
        <v>0</v>
      </c>
      <c r="AA380" s="36" t="n">
        <v>56</v>
      </c>
      <c r="AB380" s="37" t="n">
        <v>0.1220043572984749</v>
      </c>
      <c r="AC380" s="36" t="n">
        <v>14</v>
      </c>
      <c r="AD380" s="37" t="n">
        <v>0.5185185185185185</v>
      </c>
      <c r="AE380" s="36" t="n">
        <v>41</v>
      </c>
      <c r="AF380" s="37" t="n">
        <v>0.09557109557109557</v>
      </c>
      <c r="AG380" s="36" t="n">
        <v>14</v>
      </c>
      <c r="AH380" s="37" t="n">
        <v>1</v>
      </c>
    </row>
    <row r="381">
      <c r="A381" s="53" t="n">
        <v>45759</v>
      </c>
      <c r="B381" t="inlineStr">
        <is>
          <t>R01_Sumbagut</t>
        </is>
      </c>
      <c r="C381" t="inlineStr">
        <is>
          <t>NOP RANTAU PRAPAT</t>
        </is>
      </c>
      <c r="D381" s="38" t="n">
        <v>1.49</v>
      </c>
      <c r="E381" s="38" t="n">
        <v>3.76</v>
      </c>
      <c r="F381" s="36" t="n">
        <v>3.96</v>
      </c>
      <c r="G381" s="36" t="n">
        <v>5.683000000000001</v>
      </c>
      <c r="H381" s="36" t="n">
        <v>100</v>
      </c>
      <c r="I381" s="37" t="n">
        <v>0.3184713375796178</v>
      </c>
      <c r="J381" s="36" t="n">
        <v>24</v>
      </c>
      <c r="K381" s="37" t="n">
        <v>0.5217391304347826</v>
      </c>
      <c r="L381" s="36" t="n">
        <v>76</v>
      </c>
      <c r="M381" s="37" t="n">
        <v>0.2835820895522388</v>
      </c>
      <c r="N381" s="36" t="n">
        <v>21</v>
      </c>
      <c r="O381" s="37" t="n">
        <v>0.875</v>
      </c>
      <c r="P381" s="36" t="n">
        <v>21</v>
      </c>
      <c r="Q381" s="37" t="n">
        <v>0.875</v>
      </c>
      <c r="R381" s="36" t="n">
        <v>314</v>
      </c>
      <c r="S381" s="37" t="n">
        <v>1</v>
      </c>
      <c r="T381" s="36" t="n">
        <v>45</v>
      </c>
      <c r="U381" s="37" t="n">
        <v>0.143312101910828</v>
      </c>
      <c r="V381" s="38" t="n">
        <v>0.02</v>
      </c>
      <c r="W381" s="38" t="n">
        <v>3.234</v>
      </c>
      <c r="X381" s="38" t="n">
        <v>48.53800000000012</v>
      </c>
      <c r="Y381" s="38" t="n">
        <v>86.925</v>
      </c>
      <c r="Z381" s="38" t="n">
        <v>0</v>
      </c>
      <c r="AA381" s="36" t="n">
        <v>45</v>
      </c>
      <c r="AB381" s="37" t="n">
        <v>0.1271186440677966</v>
      </c>
      <c r="AC381" s="36" t="n">
        <v>15</v>
      </c>
      <c r="AD381" s="37" t="n">
        <v>0.2142857142857143</v>
      </c>
      <c r="AE381" s="36" t="n">
        <v>24</v>
      </c>
      <c r="AF381" s="37" t="n">
        <v>0.09375</v>
      </c>
      <c r="AG381" s="36" t="n">
        <v>8</v>
      </c>
      <c r="AH381" s="37" t="n">
        <v>0.5333333333333333</v>
      </c>
    </row>
    <row r="382">
      <c r="A382" s="53" t="n">
        <v>45759</v>
      </c>
      <c r="B382" t="inlineStr">
        <is>
          <t>R10_Sumbagteng</t>
        </is>
      </c>
      <c r="C382" t="inlineStr">
        <is>
          <t>NOP BATAM</t>
        </is>
      </c>
      <c r="D382" s="38" t="n">
        <v>2.09</v>
      </c>
      <c r="E382" s="38" t="n">
        <v>6.722</v>
      </c>
      <c r="F382" s="36" t="n">
        <v>4.24</v>
      </c>
      <c r="G382" s="36" t="n">
        <v>9.24</v>
      </c>
      <c r="H382" s="36" t="n">
        <v>49</v>
      </c>
      <c r="I382" s="37" t="n">
        <v>0.3888888888888889</v>
      </c>
      <c r="J382" s="36" t="n">
        <v>13</v>
      </c>
      <c r="K382" s="37" t="n">
        <v>0.3714285714285714</v>
      </c>
      <c r="L382" s="36" t="n">
        <v>36</v>
      </c>
      <c r="M382" s="37" t="n">
        <v>0.3956043956043956</v>
      </c>
      <c r="N382" s="36" t="n">
        <v>5</v>
      </c>
      <c r="O382" s="37" t="n">
        <v>0.3846153846153846</v>
      </c>
      <c r="P382" s="36" t="n">
        <v>5</v>
      </c>
      <c r="Q382" s="37" t="n">
        <v>0.3846153846153846</v>
      </c>
      <c r="R382" s="36" t="n">
        <v>124</v>
      </c>
      <c r="S382" s="37" t="n">
        <v>0.9841269841269841</v>
      </c>
      <c r="T382" s="36" t="n">
        <v>26</v>
      </c>
      <c r="U382" s="37" t="n">
        <v>0.2063492063492063</v>
      </c>
      <c r="V382" s="38" t="n">
        <v>0</v>
      </c>
      <c r="W382" s="38" t="n">
        <v>9.06</v>
      </c>
      <c r="X382" s="38" t="n">
        <v>23.912</v>
      </c>
      <c r="Y382" s="38" t="n">
        <v>1.87</v>
      </c>
      <c r="Z382" s="38" t="n">
        <v>0</v>
      </c>
      <c r="AA382" s="36" t="n">
        <v>71</v>
      </c>
      <c r="AB382" s="37" t="n">
        <v>0.1179401993355482</v>
      </c>
      <c r="AC382" s="36" t="n">
        <v>29</v>
      </c>
      <c r="AD382" s="37" t="n">
        <v>0.4142857142857143</v>
      </c>
      <c r="AE382" s="36" t="n">
        <v>41</v>
      </c>
      <c r="AF382" s="37" t="n">
        <v>0.07824427480916031</v>
      </c>
      <c r="AG382" s="36" t="n">
        <v>19</v>
      </c>
      <c r="AH382" s="37" t="n">
        <v>0.6551724137931034</v>
      </c>
    </row>
    <row r="383">
      <c r="A383" s="53" t="n">
        <v>45759</v>
      </c>
      <c r="B383" t="inlineStr">
        <is>
          <t>R10_Sumbagteng</t>
        </is>
      </c>
      <c r="C383" t="inlineStr">
        <is>
          <t>NOP BUKITTINGGI</t>
        </is>
      </c>
      <c r="D383" s="38" t="n">
        <v>1.72</v>
      </c>
      <c r="E383" s="38" t="n">
        <v>2.837</v>
      </c>
      <c r="F383" s="36" t="n">
        <v>3.28</v>
      </c>
      <c r="G383" s="36" t="n">
        <v>4.81</v>
      </c>
      <c r="H383" s="36" t="n">
        <v>35</v>
      </c>
      <c r="I383" s="37" t="n">
        <v>0.8333333333333334</v>
      </c>
      <c r="J383" s="36" t="n">
        <v>16</v>
      </c>
      <c r="K383" s="37" t="n">
        <v>1</v>
      </c>
      <c r="L383" s="36" t="n">
        <v>19</v>
      </c>
      <c r="M383" s="37" t="n">
        <v>0.7307692307692307</v>
      </c>
      <c r="N383" s="36" t="n">
        <v>13</v>
      </c>
      <c r="O383" s="37" t="n">
        <v>0.8125</v>
      </c>
      <c r="P383" s="36" t="n">
        <v>13</v>
      </c>
      <c r="Q383" s="37" t="n">
        <v>0.8125</v>
      </c>
      <c r="R383" s="36" t="n">
        <v>42</v>
      </c>
      <c r="S383" s="37" t="n">
        <v>1</v>
      </c>
      <c r="T383" s="36" t="n">
        <v>27</v>
      </c>
      <c r="U383" s="37" t="n">
        <v>0.6428571428571429</v>
      </c>
      <c r="V383" s="38" t="n">
        <v>0</v>
      </c>
      <c r="W383" s="38" t="n">
        <v>2.323</v>
      </c>
      <c r="X383" s="38" t="n">
        <v>8.521000000000003</v>
      </c>
      <c r="Y383" s="38" t="n">
        <v>54.75</v>
      </c>
      <c r="Z383" s="38" t="n">
        <v>0</v>
      </c>
      <c r="AA383" s="36" t="n">
        <v>89</v>
      </c>
      <c r="AB383" s="37" t="n">
        <v>0.489010989010989</v>
      </c>
      <c r="AC383" s="36" t="n">
        <v>12</v>
      </c>
      <c r="AD383" s="37" t="n">
        <v>0.6666666666666666</v>
      </c>
      <c r="AE383" s="36" t="n">
        <v>76</v>
      </c>
      <c r="AF383" s="37" t="n">
        <v>0.4691358024691358</v>
      </c>
      <c r="AG383" s="36" t="n">
        <v>11</v>
      </c>
      <c r="AH383" s="37" t="n">
        <v>0.9166666666666666</v>
      </c>
    </row>
    <row r="384">
      <c r="A384" s="53" t="n">
        <v>45759</v>
      </c>
      <c r="B384" t="inlineStr">
        <is>
          <t>R10_Sumbagteng</t>
        </is>
      </c>
      <c r="C384" t="inlineStr">
        <is>
          <t>NOP DUMAI</t>
        </is>
      </c>
      <c r="D384" s="38" t="n">
        <v>1.22</v>
      </c>
      <c r="E384" s="38" t="n">
        <v>5.01</v>
      </c>
      <c r="F384" s="36" t="n">
        <v>1.7</v>
      </c>
      <c r="G384" s="36" t="n">
        <v>5.694000000000006</v>
      </c>
      <c r="H384" s="36" t="n">
        <v>86</v>
      </c>
      <c r="I384" s="37" t="n">
        <v>0.589041095890411</v>
      </c>
      <c r="J384" s="36" t="n">
        <v>21</v>
      </c>
      <c r="K384" s="37" t="n">
        <v>0.65625</v>
      </c>
      <c r="L384" s="36" t="n">
        <v>65</v>
      </c>
      <c r="M384" s="37" t="n">
        <v>0.5701754385964912</v>
      </c>
      <c r="N384" s="36" t="n">
        <v>14</v>
      </c>
      <c r="O384" s="37" t="n">
        <v>0.6666666666666666</v>
      </c>
      <c r="P384" s="36" t="n">
        <v>14</v>
      </c>
      <c r="Q384" s="37" t="n">
        <v>0.6666666666666666</v>
      </c>
      <c r="R384" s="36" t="n">
        <v>146</v>
      </c>
      <c r="S384" s="37" t="n">
        <v>1</v>
      </c>
      <c r="T384" s="36" t="n">
        <v>39</v>
      </c>
      <c r="U384" s="37" t="n">
        <v>0.2671232876712329</v>
      </c>
      <c r="V384" s="38" t="n">
        <v>0.05</v>
      </c>
      <c r="W384" s="38" t="n">
        <v>3.815999999999999</v>
      </c>
      <c r="X384" s="38" t="n">
        <v>86.01800000000003</v>
      </c>
      <c r="Y384" s="38" t="n">
        <v>93.80600000000004</v>
      </c>
      <c r="Z384" s="38" t="n">
        <v>0</v>
      </c>
      <c r="AA384" s="36" t="n">
        <v>112</v>
      </c>
      <c r="AB384" s="37" t="n">
        <v>0.3771043771043771</v>
      </c>
      <c r="AC384" s="36" t="n">
        <v>30</v>
      </c>
      <c r="AD384" s="37" t="n">
        <v>0.5454545454545454</v>
      </c>
      <c r="AE384" s="36" t="n">
        <v>80</v>
      </c>
      <c r="AF384" s="37" t="n">
        <v>0.392156862745098</v>
      </c>
      <c r="AG384" s="36" t="n">
        <v>28</v>
      </c>
      <c r="AH384" s="37" t="n">
        <v>0.9333333333333333</v>
      </c>
    </row>
    <row r="385">
      <c r="A385" s="53" t="n">
        <v>45759</v>
      </c>
      <c r="B385" t="inlineStr">
        <is>
          <t>R10_Sumbagteng</t>
        </is>
      </c>
      <c r="C385" t="inlineStr">
        <is>
          <t>NOP PADANG</t>
        </is>
      </c>
      <c r="D385" s="38" t="n">
        <v>0</v>
      </c>
      <c r="E385" s="38" t="n">
        <v>0</v>
      </c>
      <c r="F385" s="36" t="n">
        <v>5.997999999999997</v>
      </c>
      <c r="G385" s="36" t="n">
        <v>8.9</v>
      </c>
      <c r="H385" s="36" t="n">
        <v>33</v>
      </c>
      <c r="I385" s="37" t="n">
        <v>0.6875</v>
      </c>
      <c r="J385" s="36" t="n">
        <v>0</v>
      </c>
      <c r="K385" s="37" t="n">
        <v>0</v>
      </c>
      <c r="L385" s="36" t="n">
        <v>33</v>
      </c>
      <c r="M385" s="37" t="n">
        <v>0.6875</v>
      </c>
      <c r="N385" s="36" t="n">
        <v>0</v>
      </c>
      <c r="O385" s="37" t="n">
        <v>0</v>
      </c>
      <c r="P385" s="36" t="n">
        <v>0</v>
      </c>
      <c r="Q385" s="37" t="n">
        <v>0</v>
      </c>
      <c r="R385" s="36" t="n">
        <v>48</v>
      </c>
      <c r="S385" s="37" t="n">
        <v>1</v>
      </c>
      <c r="T385" s="36" t="n">
        <v>17</v>
      </c>
      <c r="U385" s="37" t="n">
        <v>0.3541666666666667</v>
      </c>
      <c r="V385" s="38" t="n">
        <v>0</v>
      </c>
      <c r="W385" s="38" t="n">
        <v>4.4</v>
      </c>
      <c r="X385" s="38" t="n">
        <v>39.709</v>
      </c>
      <c r="Y385" s="38" t="n">
        <v>47.54800000000003</v>
      </c>
      <c r="Z385" s="38" t="n">
        <v>0</v>
      </c>
      <c r="AA385" s="36" t="n">
        <v>203</v>
      </c>
      <c r="AB385" s="37" t="n">
        <v>0.6207951070336392</v>
      </c>
      <c r="AC385" s="36" t="n">
        <v>24</v>
      </c>
      <c r="AD385" s="37" t="n">
        <v>0.6666666666666666</v>
      </c>
      <c r="AE385" s="36" t="n">
        <v>178</v>
      </c>
      <c r="AF385" s="37" t="n">
        <v>0.6289752650176679</v>
      </c>
      <c r="AG385" s="36" t="n">
        <v>5</v>
      </c>
      <c r="AH385" s="37" t="n">
        <v>0.2083333333333333</v>
      </c>
    </row>
    <row r="386">
      <c r="A386" s="53" t="n">
        <v>45759</v>
      </c>
      <c r="B386" t="inlineStr">
        <is>
          <t>R10_Sumbagteng</t>
        </is>
      </c>
      <c r="C386" t="inlineStr">
        <is>
          <t>NOP PEKANBARU</t>
        </is>
      </c>
      <c r="D386" s="38" t="n">
        <v>1.076</v>
      </c>
      <c r="E386" s="38" t="n">
        <v>3.66</v>
      </c>
      <c r="F386" s="36" t="n">
        <v>2.892</v>
      </c>
      <c r="G386" s="36" t="n">
        <v>4.84</v>
      </c>
      <c r="H386" s="36" t="n">
        <v>41</v>
      </c>
      <c r="I386" s="37" t="n">
        <v>0.405940594059406</v>
      </c>
      <c r="J386" s="36" t="n">
        <v>13</v>
      </c>
      <c r="K386" s="37" t="n">
        <v>0.5909090909090909</v>
      </c>
      <c r="L386" s="36" t="n">
        <v>28</v>
      </c>
      <c r="M386" s="37" t="n">
        <v>0.3544303797468354</v>
      </c>
      <c r="N386" s="36" t="n">
        <v>10</v>
      </c>
      <c r="O386" s="37" t="n">
        <v>0.7692307692307693</v>
      </c>
      <c r="P386" s="36" t="n">
        <v>10</v>
      </c>
      <c r="Q386" s="37" t="n">
        <v>0.7692307692307693</v>
      </c>
      <c r="R386" s="36" t="n">
        <v>100</v>
      </c>
      <c r="S386" s="37" t="n">
        <v>0.9900990099009901</v>
      </c>
      <c r="T386" s="36" t="n">
        <v>30</v>
      </c>
      <c r="U386" s="37" t="n">
        <v>0.297029702970297</v>
      </c>
      <c r="V386" s="38" t="n">
        <v>0</v>
      </c>
      <c r="W386" s="38" t="n">
        <v>2.943000000000003</v>
      </c>
      <c r="X386" s="38" t="n">
        <v>27.51</v>
      </c>
      <c r="Y386" s="38" t="n">
        <v>51.122</v>
      </c>
      <c r="Z386" s="38" t="n">
        <v>0</v>
      </c>
      <c r="AA386" s="36" t="n">
        <v>60</v>
      </c>
      <c r="AB386" s="37" t="n">
        <v>0.3174603174603174</v>
      </c>
      <c r="AC386" s="36" t="n">
        <v>22</v>
      </c>
      <c r="AD386" s="37" t="n">
        <v>0.3793103448275862</v>
      </c>
      <c r="AE386" s="36" t="n">
        <v>38</v>
      </c>
      <c r="AF386" s="37" t="n">
        <v>0.3247863247863248</v>
      </c>
      <c r="AG386" s="36" t="n">
        <v>18</v>
      </c>
      <c r="AH386" s="37" t="n">
        <v>0.8181818181818182</v>
      </c>
    </row>
    <row r="387">
      <c r="A387" s="53" t="n">
        <v>45759</v>
      </c>
      <c r="B387" t="inlineStr">
        <is>
          <t>R02_Sumbagsel</t>
        </is>
      </c>
      <c r="C387" t="inlineStr">
        <is>
          <t>NOP BENGKULU</t>
        </is>
      </c>
      <c r="D387" s="38" t="n">
        <v>0.55</v>
      </c>
      <c r="E387" s="38" t="n">
        <v>2.15</v>
      </c>
      <c r="F387" s="36" t="n">
        <v>2.745</v>
      </c>
      <c r="G387" s="36" t="n">
        <v>3.5</v>
      </c>
      <c r="H387" s="36" t="n">
        <v>52</v>
      </c>
      <c r="I387" s="37" t="n">
        <v>0.4521739130434783</v>
      </c>
      <c r="J387" s="36" t="n">
        <v>14</v>
      </c>
      <c r="K387" s="37" t="n">
        <v>0.5</v>
      </c>
      <c r="L387" s="36" t="n">
        <v>38</v>
      </c>
      <c r="M387" s="37" t="n">
        <v>0.4367816091954023</v>
      </c>
      <c r="N387" s="36" t="n">
        <v>10</v>
      </c>
      <c r="O387" s="37" t="n">
        <v>0.7142857142857143</v>
      </c>
      <c r="P387" s="36" t="n">
        <v>10</v>
      </c>
      <c r="Q387" s="37" t="n">
        <v>0.7142857142857143</v>
      </c>
      <c r="R387" s="36" t="n">
        <v>115</v>
      </c>
      <c r="S387" s="37" t="n">
        <v>1</v>
      </c>
      <c r="T387" s="36" t="n">
        <v>23</v>
      </c>
      <c r="U387" s="37" t="n">
        <v>0.2</v>
      </c>
      <c r="V387" s="38" t="n">
        <v>0</v>
      </c>
      <c r="W387" s="38" t="n">
        <v>4.593000000000002</v>
      </c>
      <c r="X387" s="38" t="n">
        <v>2.947000000000001</v>
      </c>
      <c r="Y387" s="38" t="n">
        <v>4.498000000000006</v>
      </c>
      <c r="Z387" s="38" t="n">
        <v>0</v>
      </c>
      <c r="AA387" s="36" t="n">
        <v>72</v>
      </c>
      <c r="AB387" s="37" t="n">
        <v>0.5217391304347826</v>
      </c>
      <c r="AC387" s="36" t="n">
        <v>52</v>
      </c>
      <c r="AD387" s="37" t="n">
        <v>0.5098039215686274</v>
      </c>
      <c r="AE387" s="36" t="n">
        <v>19</v>
      </c>
      <c r="AF387" s="37" t="n">
        <v>0.6785714285714286</v>
      </c>
      <c r="AG387" s="36" t="n">
        <v>42</v>
      </c>
      <c r="AH387" s="37" t="n">
        <v>0.8076923076923077</v>
      </c>
    </row>
    <row r="388">
      <c r="A388" s="53" t="n">
        <v>45759</v>
      </c>
      <c r="B388" t="inlineStr">
        <is>
          <t>R02_Sumbagsel</t>
        </is>
      </c>
      <c r="C388" t="inlineStr">
        <is>
          <t>NOP JAMBI</t>
        </is>
      </c>
      <c r="D388" s="38" t="n">
        <v>4.23</v>
      </c>
      <c r="E388" s="38" t="n">
        <v>6.981</v>
      </c>
      <c r="F388" s="36" t="n">
        <v>7.104000000000002</v>
      </c>
      <c r="G388" s="36" t="n">
        <v>6.066000000000006</v>
      </c>
      <c r="H388" s="36" t="n">
        <v>182</v>
      </c>
      <c r="I388" s="37" t="n">
        <v>0.6086956521739131</v>
      </c>
      <c r="J388" s="36" t="n">
        <v>68</v>
      </c>
      <c r="K388" s="37" t="n">
        <v>0.8095238095238095</v>
      </c>
      <c r="L388" s="36" t="n">
        <v>114</v>
      </c>
      <c r="M388" s="37" t="n">
        <v>0.5302325581395348</v>
      </c>
      <c r="N388" s="36" t="n">
        <v>36</v>
      </c>
      <c r="O388" s="37" t="n">
        <v>0.5294117647058824</v>
      </c>
      <c r="P388" s="36" t="n">
        <v>35</v>
      </c>
      <c r="Q388" s="37" t="n">
        <v>0.5303030303030303</v>
      </c>
      <c r="R388" s="36" t="n">
        <v>299</v>
      </c>
      <c r="S388" s="37" t="n">
        <v>1</v>
      </c>
      <c r="T388" s="36" t="n">
        <v>88</v>
      </c>
      <c r="U388" s="37" t="n">
        <v>0.294314381270903</v>
      </c>
      <c r="V388" s="38" t="n">
        <v>0</v>
      </c>
      <c r="W388" s="38" t="n">
        <v>5.972</v>
      </c>
      <c r="X388" s="38" t="n">
        <v>9.08</v>
      </c>
      <c r="Y388" s="38" t="n">
        <v>53.38100000000001</v>
      </c>
      <c r="Z388" s="38" t="n">
        <v>0</v>
      </c>
      <c r="AA388" s="36" t="n">
        <v>173</v>
      </c>
      <c r="AB388" s="37" t="n">
        <v>0.5598705501618123</v>
      </c>
      <c r="AC388" s="36" t="n">
        <v>77</v>
      </c>
      <c r="AD388" s="37" t="n">
        <v>0.5238095238095238</v>
      </c>
      <c r="AE388" s="36" t="n">
        <v>77</v>
      </c>
      <c r="AF388" s="37" t="n">
        <v>0.5877862595419847</v>
      </c>
      <c r="AG388" s="36" t="n">
        <v>58</v>
      </c>
      <c r="AH388" s="37" t="n">
        <v>0.7532467532467533</v>
      </c>
    </row>
    <row r="389">
      <c r="A389" s="53" t="n">
        <v>45759</v>
      </c>
      <c r="B389" t="inlineStr">
        <is>
          <t>R02_Sumbagsel</t>
        </is>
      </c>
      <c r="C389" t="inlineStr">
        <is>
          <t>NOP LAMPUNG</t>
        </is>
      </c>
      <c r="D389" s="38" t="n">
        <v>0</v>
      </c>
      <c r="E389" s="38" t="n">
        <v>3.982000000000001</v>
      </c>
      <c r="F389" s="36" t="n">
        <v>3.3</v>
      </c>
      <c r="G389" s="36" t="n">
        <v>4.509</v>
      </c>
      <c r="H389" s="36" t="n">
        <v>14</v>
      </c>
      <c r="I389" s="37" t="n">
        <v>0.5600000000000001</v>
      </c>
      <c r="J389" s="36" t="n">
        <v>6</v>
      </c>
      <c r="K389" s="37" t="n">
        <v>0.8571428571428571</v>
      </c>
      <c r="L389" s="36" t="n">
        <v>8</v>
      </c>
      <c r="M389" s="37" t="n">
        <v>0.4444444444444444</v>
      </c>
      <c r="N389" s="36" t="n">
        <v>6</v>
      </c>
      <c r="O389" s="37" t="n">
        <v>1</v>
      </c>
      <c r="P389" s="36" t="n">
        <v>6</v>
      </c>
      <c r="Q389" s="37" t="n">
        <v>1</v>
      </c>
      <c r="R389" s="36" t="n">
        <v>25</v>
      </c>
      <c r="S389" s="37" t="n">
        <v>1</v>
      </c>
      <c r="T389" s="36" t="n">
        <v>14</v>
      </c>
      <c r="U389" s="37" t="n">
        <v>0.5600000000000001</v>
      </c>
      <c r="V389" s="38" t="n">
        <v>1.511999999999999</v>
      </c>
      <c r="W389" s="38" t="n">
        <v>3.592000000000001</v>
      </c>
      <c r="X389" s="38" t="n">
        <v>3.326000000000001</v>
      </c>
      <c r="Y389" s="38" t="n">
        <v>18.106</v>
      </c>
      <c r="Z389" s="38" t="n">
        <v>0</v>
      </c>
      <c r="AA389" s="36" t="n">
        <v>92</v>
      </c>
      <c r="AB389" s="37" t="n">
        <v>0.8679245283018868</v>
      </c>
      <c r="AC389" s="36" t="n">
        <v>22</v>
      </c>
      <c r="AD389" s="37" t="n">
        <v>0.7333333333333333</v>
      </c>
      <c r="AE389" s="36" t="n">
        <v>66</v>
      </c>
      <c r="AF389" s="37" t="n">
        <v>0.9295774647887324</v>
      </c>
      <c r="AG389" s="36" t="n">
        <v>20</v>
      </c>
      <c r="AH389" s="37" t="n">
        <v>0.9090909090909091</v>
      </c>
    </row>
    <row r="390">
      <c r="A390" s="53" t="n">
        <v>45759</v>
      </c>
      <c r="B390" t="inlineStr">
        <is>
          <t>R02_Sumbagsel</t>
        </is>
      </c>
      <c r="C390" t="inlineStr">
        <is>
          <t>NOP MUARA ENIM</t>
        </is>
      </c>
      <c r="D390" s="38" t="n">
        <v>2.431</v>
      </c>
      <c r="E390" s="38" t="n">
        <v>3.888</v>
      </c>
      <c r="F390" s="36" t="n">
        <v>5.13</v>
      </c>
      <c r="G390" s="36" t="n">
        <v>3.72</v>
      </c>
      <c r="H390" s="36" t="n">
        <v>44</v>
      </c>
      <c r="I390" s="37" t="n">
        <v>0.3893805309734513</v>
      </c>
      <c r="J390" s="36" t="n">
        <v>9</v>
      </c>
      <c r="K390" s="37" t="n">
        <v>0.4285714285714285</v>
      </c>
      <c r="L390" s="36" t="n">
        <v>35</v>
      </c>
      <c r="M390" s="37" t="n">
        <v>0.3804347826086957</v>
      </c>
      <c r="N390" s="36" t="n">
        <v>5</v>
      </c>
      <c r="O390" s="37" t="n">
        <v>0.5555555555555556</v>
      </c>
      <c r="P390" s="36" t="n">
        <v>5</v>
      </c>
      <c r="Q390" s="37" t="n">
        <v>0.5555555555555556</v>
      </c>
      <c r="R390" s="36" t="n">
        <v>112</v>
      </c>
      <c r="S390" s="37" t="n">
        <v>0.9911504424778761</v>
      </c>
      <c r="T390" s="36" t="n">
        <v>32</v>
      </c>
      <c r="U390" s="37" t="n">
        <v>0.2831858407079646</v>
      </c>
      <c r="V390" s="38" t="n">
        <v>0</v>
      </c>
      <c r="W390" s="38" t="n">
        <v>2.625</v>
      </c>
      <c r="X390" s="38" t="n">
        <v>3.602000000000001</v>
      </c>
      <c r="Y390" s="38" t="n">
        <v>3.596</v>
      </c>
      <c r="Z390" s="38" t="n">
        <v>0</v>
      </c>
      <c r="AA390" s="36" t="n">
        <v>84</v>
      </c>
      <c r="AB390" s="37" t="n">
        <v>0.3800904977375565</v>
      </c>
      <c r="AC390" s="36" t="n">
        <v>42</v>
      </c>
      <c r="AD390" s="37" t="n">
        <v>0.4375</v>
      </c>
      <c r="AE390" s="36" t="n">
        <v>41</v>
      </c>
      <c r="AF390" s="37" t="n">
        <v>0.4505494505494506</v>
      </c>
      <c r="AG390" s="36" t="n">
        <v>35</v>
      </c>
      <c r="AH390" s="37" t="n">
        <v>0.8333333333333334</v>
      </c>
    </row>
    <row r="391">
      <c r="A391" s="53" t="n">
        <v>45759</v>
      </c>
      <c r="B391" t="inlineStr">
        <is>
          <t>R02_Sumbagsel</t>
        </is>
      </c>
      <c r="C391" t="inlineStr">
        <is>
          <t>NOP PALEMBANG</t>
        </is>
      </c>
      <c r="D391" s="38" t="n">
        <v>2.578</v>
      </c>
      <c r="E391" s="38" t="n">
        <v>4.499000000000001</v>
      </c>
      <c r="F391" s="36" t="n">
        <v>8.296000000000006</v>
      </c>
      <c r="G391" s="36" t="n">
        <v>7.24</v>
      </c>
      <c r="H391" s="36" t="n">
        <v>59</v>
      </c>
      <c r="I391" s="37" t="n">
        <v>0.3025641025641025</v>
      </c>
      <c r="J391" s="36" t="n">
        <v>4</v>
      </c>
      <c r="K391" s="37" t="n">
        <v>0.1739130434782609</v>
      </c>
      <c r="L391" s="36" t="n">
        <v>55</v>
      </c>
      <c r="M391" s="37" t="n">
        <v>0.3197674418604651</v>
      </c>
      <c r="N391" s="36" t="n">
        <v>2</v>
      </c>
      <c r="O391" s="37" t="n">
        <v>0.5</v>
      </c>
      <c r="P391" s="36" t="n">
        <v>2</v>
      </c>
      <c r="Q391" s="37" t="n">
        <v>0.5</v>
      </c>
      <c r="R391" s="36" t="n">
        <v>195</v>
      </c>
      <c r="S391" s="37" t="n">
        <v>1</v>
      </c>
      <c r="T391" s="36" t="n">
        <v>25</v>
      </c>
      <c r="U391" s="37" t="n">
        <v>0.1282051282051282</v>
      </c>
      <c r="V391" s="38" t="n">
        <v>0</v>
      </c>
      <c r="W391" s="38" t="n">
        <v>8.712000000000002</v>
      </c>
      <c r="X391" s="38" t="n">
        <v>7.908000000000003</v>
      </c>
      <c r="Y391" s="38" t="n">
        <v>7.041999999999998</v>
      </c>
      <c r="Z391" s="38" t="n">
        <v>0</v>
      </c>
      <c r="AA391" s="36" t="n">
        <v>44</v>
      </c>
      <c r="AB391" s="37" t="n">
        <v>0.2065727699530517</v>
      </c>
      <c r="AC391" s="36" t="n">
        <v>18</v>
      </c>
      <c r="AD391" s="37" t="n">
        <v>0.144</v>
      </c>
      <c r="AE391" s="36" t="n">
        <v>26</v>
      </c>
      <c r="AF391" s="37" t="n">
        <v>0.3466666666666667</v>
      </c>
      <c r="AG391" s="36" t="n">
        <v>8</v>
      </c>
      <c r="AH391" s="37" t="n">
        <v>0.4444444444444444</v>
      </c>
    </row>
    <row r="392">
      <c r="A392" s="53" t="n">
        <v>45759</v>
      </c>
      <c r="B392" t="inlineStr">
        <is>
          <t>R02_Sumbagsel</t>
        </is>
      </c>
      <c r="C392" t="inlineStr">
        <is>
          <t>NOP PANGKAL PINANG</t>
        </is>
      </c>
      <c r="D392" s="38" t="n">
        <v>0</v>
      </c>
      <c r="E392" s="38" t="n">
        <v>1.1</v>
      </c>
      <c r="F392" s="36" t="n">
        <v>3.82</v>
      </c>
      <c r="G392" s="36" t="n">
        <v>4.125</v>
      </c>
      <c r="H392" s="36" t="n">
        <v>20</v>
      </c>
      <c r="I392" s="37" t="n">
        <v>0.6451612903225806</v>
      </c>
      <c r="J392" s="36" t="n">
        <v>1</v>
      </c>
      <c r="K392" s="37" t="n">
        <v>1</v>
      </c>
      <c r="L392" s="36" t="n">
        <v>19</v>
      </c>
      <c r="M392" s="37" t="n">
        <v>0.6333333333333333</v>
      </c>
      <c r="N392" s="36" t="n">
        <v>0</v>
      </c>
      <c r="O392" s="37" t="n">
        <v>0</v>
      </c>
      <c r="P392" s="36" t="n">
        <v>0</v>
      </c>
      <c r="Q392" s="37" t="n">
        <v>0</v>
      </c>
      <c r="R392" s="36" t="n">
        <v>31</v>
      </c>
      <c r="S392" s="37" t="n">
        <v>1</v>
      </c>
      <c r="T392" s="36" t="n">
        <v>12</v>
      </c>
      <c r="U392" s="37" t="n">
        <v>0.3870967741935484</v>
      </c>
      <c r="V392" s="38" t="n">
        <v>0</v>
      </c>
      <c r="W392" s="38" t="n">
        <v>2.720000000000001</v>
      </c>
      <c r="X392" s="38" t="n">
        <v>8.295999999999998</v>
      </c>
      <c r="Y392" s="38" t="n">
        <v>2.83</v>
      </c>
      <c r="Z392" s="38" t="n">
        <v>0</v>
      </c>
      <c r="AA392" s="36" t="n">
        <v>44</v>
      </c>
      <c r="AB392" s="37" t="n">
        <v>0.8461538461538461</v>
      </c>
      <c r="AC392" s="36" t="n">
        <v>12</v>
      </c>
      <c r="AD392" s="37" t="n">
        <v>0.9230769230769231</v>
      </c>
      <c r="AE392" s="36" t="n">
        <v>32</v>
      </c>
      <c r="AF392" s="37" t="n">
        <v>0.9142857142857143</v>
      </c>
      <c r="AG392" s="36" t="n">
        <v>8</v>
      </c>
      <c r="AH392" s="37" t="n">
        <v>0.6666666666666666</v>
      </c>
    </row>
    <row r="393">
      <c r="A393" s="53" t="n">
        <v>45759</v>
      </c>
      <c r="B393" t="inlineStr">
        <is>
          <t>R05_Jawa Tengah DIY</t>
        </is>
      </c>
      <c r="C393" t="inlineStr">
        <is>
          <t>NOP MAGELANG</t>
        </is>
      </c>
      <c r="D393" s="38" t="n">
        <v>4.62</v>
      </c>
      <c r="E393" s="38" t="n">
        <v>0</v>
      </c>
      <c r="F393" s="36" t="n">
        <v>4.53</v>
      </c>
      <c r="G393" s="36" t="n">
        <v>3.43</v>
      </c>
      <c r="H393" s="36" t="n">
        <v>24</v>
      </c>
      <c r="I393" s="37" t="n">
        <v>0.8</v>
      </c>
      <c r="J393" s="36" t="n">
        <v>3</v>
      </c>
      <c r="K393" s="37" t="n">
        <v>1</v>
      </c>
      <c r="L393" s="36" t="n">
        <v>21</v>
      </c>
      <c r="M393" s="37" t="n">
        <v>0.7777777777777778</v>
      </c>
      <c r="N393" s="36" t="n">
        <v>3</v>
      </c>
      <c r="O393" s="37" t="n">
        <v>1</v>
      </c>
      <c r="P393" s="36" t="n">
        <v>3</v>
      </c>
      <c r="Q393" s="37" t="n">
        <v>1</v>
      </c>
      <c r="R393" s="36" t="n">
        <v>30</v>
      </c>
      <c r="S393" s="37" t="n">
        <v>1</v>
      </c>
      <c r="T393" s="36" t="n">
        <v>19</v>
      </c>
      <c r="U393" s="37" t="n">
        <v>0.6333333333333333</v>
      </c>
      <c r="V393" s="38" t="n">
        <v>0</v>
      </c>
      <c r="W393" s="38" t="n">
        <v>1.815</v>
      </c>
      <c r="X393" s="38" t="n">
        <v>11.274</v>
      </c>
      <c r="Y393" s="38" t="n">
        <v>12.864</v>
      </c>
      <c r="Z393" s="38" t="n">
        <v>0</v>
      </c>
      <c r="AA393" s="36" t="n">
        <v>27</v>
      </c>
      <c r="AB393" s="37" t="n">
        <v>1</v>
      </c>
      <c r="AC393" s="36" t="n">
        <v>6</v>
      </c>
      <c r="AD393" s="37" t="n">
        <v>1</v>
      </c>
      <c r="AE393" s="36" t="n">
        <v>21</v>
      </c>
      <c r="AF393" s="37" t="n">
        <v>1</v>
      </c>
      <c r="AG393" s="36" t="n">
        <v>3</v>
      </c>
      <c r="AH393" s="37" t="n">
        <v>0.5</v>
      </c>
    </row>
    <row r="394">
      <c r="A394" s="53" t="n">
        <v>45759</v>
      </c>
      <c r="B394" t="inlineStr">
        <is>
          <t>R05_Jawa Tengah DIY</t>
        </is>
      </c>
      <c r="C394" t="inlineStr">
        <is>
          <t>NOP PEKALONGAN</t>
        </is>
      </c>
      <c r="D394" s="38" t="n">
        <v>0.47</v>
      </c>
      <c r="E394" s="38" t="n">
        <v>0</v>
      </c>
      <c r="F394" s="36" t="n">
        <v>3.95</v>
      </c>
      <c r="G394" s="36" t="n">
        <v>4.600000000000001</v>
      </c>
      <c r="H394" s="36" t="n">
        <v>8</v>
      </c>
      <c r="I394" s="37" t="n">
        <v>0.8888888888888888</v>
      </c>
      <c r="J394" s="36" t="n">
        <v>0</v>
      </c>
      <c r="K394" s="37" t="n">
        <v>0</v>
      </c>
      <c r="L394" s="36" t="n">
        <v>8</v>
      </c>
      <c r="M394" s="37" t="n">
        <v>1</v>
      </c>
      <c r="N394" s="36" t="n">
        <v>0</v>
      </c>
      <c r="O394" s="37" t="n">
        <v>0</v>
      </c>
      <c r="P394" s="36" t="n">
        <v>0</v>
      </c>
      <c r="Q394" s="37" t="n">
        <v>0</v>
      </c>
      <c r="R394" s="36" t="n">
        <v>8</v>
      </c>
      <c r="S394" s="37" t="n">
        <v>0.8888888888888888</v>
      </c>
      <c r="T394" s="36" t="n">
        <v>7</v>
      </c>
      <c r="U394" s="37" t="n">
        <v>0.7777777777777778</v>
      </c>
      <c r="V394" s="38" t="n">
        <v>0</v>
      </c>
      <c r="W394" s="38" t="n">
        <v>3.426</v>
      </c>
      <c r="X394" s="38" t="n">
        <v>3.512</v>
      </c>
      <c r="Y394" s="38" t="n">
        <v>47.05</v>
      </c>
      <c r="Z394" s="38" t="n">
        <v>0</v>
      </c>
      <c r="AA394" s="36" t="n">
        <v>23</v>
      </c>
      <c r="AB394" s="37" t="n">
        <v>0.8518518518518519</v>
      </c>
      <c r="AC394" s="36" t="n">
        <v>3</v>
      </c>
      <c r="AD394" s="37" t="n">
        <v>0.6</v>
      </c>
      <c r="AE394" s="36" t="n">
        <v>20</v>
      </c>
      <c r="AF394" s="37" t="n">
        <v>0.9090909090909091</v>
      </c>
      <c r="AG394" s="36" t="n">
        <v>1</v>
      </c>
      <c r="AH394" s="37" t="n">
        <v>0.3333333333333333</v>
      </c>
    </row>
    <row r="395">
      <c r="A395" s="53" t="n">
        <v>45759</v>
      </c>
      <c r="B395" t="inlineStr">
        <is>
          <t>R05_Jawa Tengah DIY</t>
        </is>
      </c>
      <c r="C395" t="inlineStr">
        <is>
          <t>NOP PURWOKERTO</t>
        </is>
      </c>
      <c r="D395" s="38" t="n">
        <v>2.1</v>
      </c>
      <c r="E395" s="38" t="n">
        <v>0</v>
      </c>
      <c r="F395" s="36" t="n">
        <v>3.15</v>
      </c>
      <c r="G395" s="36" t="n">
        <v>2.216</v>
      </c>
      <c r="H395" s="36" t="n">
        <v>9</v>
      </c>
      <c r="I395" s="37" t="n">
        <v>0.6923076923076923</v>
      </c>
      <c r="J395" s="36" t="n">
        <v>1</v>
      </c>
      <c r="K395" s="37" t="n">
        <v>1</v>
      </c>
      <c r="L395" s="36" t="n">
        <v>8</v>
      </c>
      <c r="M395" s="37" t="n">
        <v>0.6666666666666666</v>
      </c>
      <c r="N395" s="36" t="n">
        <v>1</v>
      </c>
      <c r="O395" s="37" t="n">
        <v>1</v>
      </c>
      <c r="P395" s="36" t="n">
        <v>1</v>
      </c>
      <c r="Q395" s="37" t="n">
        <v>1</v>
      </c>
      <c r="R395" s="36" t="n">
        <v>13</v>
      </c>
      <c r="S395" s="37" t="n">
        <v>1</v>
      </c>
      <c r="T395" s="36" t="n">
        <v>7</v>
      </c>
      <c r="U395" s="37" t="n">
        <v>0.5384615384615384</v>
      </c>
      <c r="V395" s="38" t="n">
        <v>0.328</v>
      </c>
      <c r="W395" s="38" t="n">
        <v>1.862</v>
      </c>
      <c r="X395" s="38" t="n">
        <v>10.778</v>
      </c>
      <c r="Y395" s="38" t="n">
        <v>46.84999999999999</v>
      </c>
      <c r="Z395" s="38" t="n">
        <v>0</v>
      </c>
      <c r="AA395" s="36" t="n">
        <v>24</v>
      </c>
      <c r="AB395" s="37" t="n">
        <v>0.8</v>
      </c>
      <c r="AC395" s="36" t="n">
        <v>5</v>
      </c>
      <c r="AD395" s="37" t="n">
        <v>0.625</v>
      </c>
      <c r="AE395" s="36" t="n">
        <v>19</v>
      </c>
      <c r="AF395" s="37" t="n">
        <v>0.8636363636363636</v>
      </c>
      <c r="AG395" s="36" t="n">
        <v>5</v>
      </c>
      <c r="AH395" s="37" t="n">
        <v>1</v>
      </c>
    </row>
    <row r="396">
      <c r="A396" s="53" t="n">
        <v>45759</v>
      </c>
      <c r="B396" t="inlineStr">
        <is>
          <t>R05_Jawa Tengah DIY</t>
        </is>
      </c>
      <c r="C396" t="inlineStr">
        <is>
          <t>NOP SEMARANG</t>
        </is>
      </c>
      <c r="D396" s="38" t="n">
        <v>2.94</v>
      </c>
      <c r="E396" s="38" t="n">
        <v>0</v>
      </c>
      <c r="F396" s="36" t="n">
        <v>3.38</v>
      </c>
      <c r="G396" s="36" t="n">
        <v>1.976</v>
      </c>
      <c r="H396" s="36" t="n">
        <v>10</v>
      </c>
      <c r="I396" s="37" t="n">
        <v>0.5882352941176471</v>
      </c>
      <c r="J396" s="36" t="n">
        <v>1</v>
      </c>
      <c r="K396" s="37" t="n">
        <v>1</v>
      </c>
      <c r="L396" s="36" t="n">
        <v>9</v>
      </c>
      <c r="M396" s="37" t="n">
        <v>0.5625</v>
      </c>
      <c r="N396" s="36" t="n">
        <v>1</v>
      </c>
      <c r="O396" s="37" t="n">
        <v>1</v>
      </c>
      <c r="P396" s="36" t="n">
        <v>1</v>
      </c>
      <c r="Q396" s="37" t="n">
        <v>1</v>
      </c>
      <c r="R396" s="36" t="n">
        <v>17</v>
      </c>
      <c r="S396" s="37" t="n">
        <v>1</v>
      </c>
      <c r="T396" s="36" t="n">
        <v>5</v>
      </c>
      <c r="U396" s="37" t="n">
        <v>0.2941176470588235</v>
      </c>
      <c r="V396" s="38" t="n">
        <v>0</v>
      </c>
      <c r="W396" s="38" t="n">
        <v>2.565</v>
      </c>
      <c r="X396" s="38" t="n">
        <v>9.119999999999999</v>
      </c>
      <c r="Y396" s="38" t="n">
        <v>67.128</v>
      </c>
      <c r="Z396" s="38" t="n">
        <v>0</v>
      </c>
      <c r="AA396" s="36" t="n">
        <v>25</v>
      </c>
      <c r="AB396" s="37" t="n">
        <v>0.8333333333333334</v>
      </c>
      <c r="AC396" s="36" t="n">
        <v>5</v>
      </c>
      <c r="AD396" s="37" t="n">
        <v>0.8333333333333334</v>
      </c>
      <c r="AE396" s="36" t="n">
        <v>20</v>
      </c>
      <c r="AF396" s="37" t="n">
        <v>0.8333333333333334</v>
      </c>
      <c r="AG396" s="36" t="n">
        <v>4</v>
      </c>
      <c r="AH396" s="37" t="n">
        <v>0.8</v>
      </c>
    </row>
    <row r="397">
      <c r="A397" s="53" t="n">
        <v>45759</v>
      </c>
      <c r="B397" t="inlineStr">
        <is>
          <t>R05_Jawa Tengah DIY</t>
        </is>
      </c>
      <c r="C397" t="inlineStr">
        <is>
          <t>NOP SURAKARTA</t>
        </is>
      </c>
      <c r="D397" s="38" t="n">
        <v>2.982</v>
      </c>
      <c r="E397" s="38" t="n">
        <v>0</v>
      </c>
      <c r="F397" s="36" t="n">
        <v>0.615</v>
      </c>
      <c r="G397" s="36" t="n">
        <v>3.666000000000001</v>
      </c>
      <c r="H397" s="36" t="n">
        <v>9</v>
      </c>
      <c r="I397" s="37" t="n">
        <v>0.6428571428571429</v>
      </c>
      <c r="J397" s="36" t="n">
        <v>3</v>
      </c>
      <c r="K397" s="37" t="n">
        <v>1</v>
      </c>
      <c r="L397" s="36" t="n">
        <v>6</v>
      </c>
      <c r="M397" s="37" t="n">
        <v>0.5454545454545454</v>
      </c>
      <c r="N397" s="36" t="n">
        <v>2</v>
      </c>
      <c r="O397" s="37" t="n">
        <v>0.6666666666666666</v>
      </c>
      <c r="P397" s="36" t="n">
        <v>2</v>
      </c>
      <c r="Q397" s="37" t="n">
        <v>0.6666666666666666</v>
      </c>
      <c r="R397" s="36" t="n">
        <v>14</v>
      </c>
      <c r="S397" s="37" t="n">
        <v>1</v>
      </c>
      <c r="T397" s="36" t="n">
        <v>5</v>
      </c>
      <c r="U397" s="37" t="n">
        <v>0.3571428571428572</v>
      </c>
      <c r="V397" s="38" t="n">
        <v>0</v>
      </c>
      <c r="W397" s="38" t="n">
        <v>1.015</v>
      </c>
      <c r="X397" s="38" t="n">
        <v>4.91</v>
      </c>
      <c r="Y397" s="38" t="n">
        <v>48.977</v>
      </c>
      <c r="Z397" s="38" t="n">
        <v>0</v>
      </c>
      <c r="AA397" s="36" t="n">
        <v>16</v>
      </c>
      <c r="AB397" s="37" t="n">
        <v>0.5161290322580645</v>
      </c>
      <c r="AC397" s="36" t="n">
        <v>2</v>
      </c>
      <c r="AD397" s="37" t="n">
        <v>0.3333333333333333</v>
      </c>
      <c r="AE397" s="36" t="n">
        <v>14</v>
      </c>
      <c r="AF397" s="37" t="n">
        <v>0.5600000000000001</v>
      </c>
      <c r="AG397" s="36" t="n">
        <v>1</v>
      </c>
      <c r="AH397" s="37" t="n">
        <v>0.5</v>
      </c>
    </row>
    <row r="398">
      <c r="A398" s="53" t="n">
        <v>45759</v>
      </c>
      <c r="B398" t="inlineStr">
        <is>
          <t>R05_Jawa Tengah DIY</t>
        </is>
      </c>
      <c r="C398" t="inlineStr">
        <is>
          <t>NOP YOGYAKARTA</t>
        </is>
      </c>
      <c r="D398" s="38" t="n">
        <v>2.93</v>
      </c>
      <c r="E398" s="38" t="n">
        <v>0</v>
      </c>
      <c r="F398" s="36" t="n">
        <v>4.78</v>
      </c>
      <c r="G398" s="36" t="n">
        <v>2.88</v>
      </c>
      <c r="H398" s="36" t="n">
        <v>40</v>
      </c>
      <c r="I398" s="37" t="n">
        <v>0.7407407407407407</v>
      </c>
      <c r="J398" s="36" t="n">
        <v>10</v>
      </c>
      <c r="K398" s="37" t="n">
        <v>1</v>
      </c>
      <c r="L398" s="36" t="n">
        <v>30</v>
      </c>
      <c r="M398" s="37" t="n">
        <v>0.6818181818181818</v>
      </c>
      <c r="N398" s="36" t="n">
        <v>8</v>
      </c>
      <c r="O398" s="37" t="n">
        <v>0.8</v>
      </c>
      <c r="P398" s="36" t="n">
        <v>6</v>
      </c>
      <c r="Q398" s="37" t="n">
        <v>0.75</v>
      </c>
      <c r="R398" s="36" t="n">
        <v>53</v>
      </c>
      <c r="S398" s="37" t="n">
        <v>0.9814814814814815</v>
      </c>
      <c r="T398" s="36" t="n">
        <v>27</v>
      </c>
      <c r="U398" s="37" t="n">
        <v>0.5</v>
      </c>
      <c r="V398" s="38" t="n">
        <v>0</v>
      </c>
      <c r="W398" s="38" t="n">
        <v>2.888000000000001</v>
      </c>
      <c r="X398" s="38" t="n">
        <v>14.22200000000001</v>
      </c>
      <c r="Y398" s="38" t="n">
        <v>44.455</v>
      </c>
      <c r="Z398" s="38" t="n">
        <v>0</v>
      </c>
      <c r="AA398" s="36" t="n">
        <v>78</v>
      </c>
      <c r="AB398" s="37" t="n">
        <v>0.9397590361445783</v>
      </c>
      <c r="AC398" s="36" t="n">
        <v>24</v>
      </c>
      <c r="AD398" s="37" t="n">
        <v>0.96</v>
      </c>
      <c r="AE398" s="36" t="n">
        <v>54</v>
      </c>
      <c r="AF398" s="37" t="n">
        <v>0.9310344827586207</v>
      </c>
      <c r="AG398" s="36" t="n">
        <v>24</v>
      </c>
      <c r="AH398" s="37" t="n">
        <v>1</v>
      </c>
    </row>
    <row r="399">
      <c r="A399" s="53" t="n">
        <v>45759</v>
      </c>
      <c r="B399" t="inlineStr">
        <is>
          <t>R06_Jawa Timur</t>
        </is>
      </c>
      <c r="C399" t="inlineStr">
        <is>
          <t>NOP JEMBER</t>
        </is>
      </c>
      <c r="D399" s="38" t="n">
        <v>1.086</v>
      </c>
      <c r="E399" s="38" t="n">
        <v>0</v>
      </c>
      <c r="F399" s="36" t="n">
        <v>0.6860000000000001</v>
      </c>
      <c r="G399" s="36" t="n">
        <v>2.475</v>
      </c>
      <c r="H399" s="36" t="n">
        <v>10</v>
      </c>
      <c r="I399" s="37" t="n">
        <v>0.5882352941176471</v>
      </c>
      <c r="J399" s="36" t="n">
        <v>2</v>
      </c>
      <c r="K399" s="37" t="n">
        <v>0.6666666666666666</v>
      </c>
      <c r="L399" s="36" t="n">
        <v>8</v>
      </c>
      <c r="M399" s="37" t="n">
        <v>0.5714285714285714</v>
      </c>
      <c r="N399" s="36" t="n">
        <v>2</v>
      </c>
      <c r="O399" s="37" t="n">
        <v>1</v>
      </c>
      <c r="P399" s="36" t="n">
        <v>2</v>
      </c>
      <c r="Q399" s="37" t="n">
        <v>1</v>
      </c>
      <c r="R399" s="36" t="n">
        <v>16</v>
      </c>
      <c r="S399" s="37" t="n">
        <v>0.9411764705882353</v>
      </c>
      <c r="T399" s="36" t="n">
        <v>5</v>
      </c>
      <c r="U399" s="37" t="n">
        <v>0.2941176470588235</v>
      </c>
      <c r="V399" s="38" t="n">
        <v>0</v>
      </c>
      <c r="W399" s="38" t="n">
        <v>0.478</v>
      </c>
      <c r="X399" s="38" t="n">
        <v>3.125</v>
      </c>
      <c r="Y399" s="38" t="n">
        <v>132.721</v>
      </c>
      <c r="Z399" s="38" t="n">
        <v>0</v>
      </c>
      <c r="AA399" s="36" t="n">
        <v>18</v>
      </c>
      <c r="AB399" s="37" t="n">
        <v>0.75</v>
      </c>
      <c r="AC399" s="36" t="n">
        <v>1</v>
      </c>
      <c r="AD399" s="37" t="n">
        <v>0.5</v>
      </c>
      <c r="AE399" s="36" t="n">
        <v>17</v>
      </c>
      <c r="AF399" s="37" t="n">
        <v>0.7727272727272727</v>
      </c>
      <c r="AG399" s="36" t="n">
        <v>1</v>
      </c>
      <c r="AH399" s="37" t="n">
        <v>1</v>
      </c>
    </row>
    <row r="400">
      <c r="A400" s="53" t="n">
        <v>45759</v>
      </c>
      <c r="B400" t="inlineStr">
        <is>
          <t>R06_Jawa Timur</t>
        </is>
      </c>
      <c r="C400" t="inlineStr">
        <is>
          <t>NOP KEDIRI</t>
        </is>
      </c>
      <c r="D400" s="38" t="n">
        <v>0</v>
      </c>
      <c r="E400" s="38" t="n">
        <v>0</v>
      </c>
      <c r="F400" s="36" t="n">
        <v>0.394</v>
      </c>
      <c r="G400" s="36" t="n">
        <v>2.084</v>
      </c>
      <c r="H400" s="36" t="n">
        <v>5</v>
      </c>
      <c r="I400" s="37" t="n">
        <v>0.625</v>
      </c>
      <c r="J400" s="36" t="n">
        <v>0</v>
      </c>
      <c r="K400" s="37" t="n">
        <v>0</v>
      </c>
      <c r="L400" s="36" t="n">
        <v>5</v>
      </c>
      <c r="M400" s="37" t="n">
        <v>0.625</v>
      </c>
      <c r="N400" s="36" t="n">
        <v>0</v>
      </c>
      <c r="O400" s="37" t="n">
        <v>0</v>
      </c>
      <c r="P400" s="36" t="n">
        <v>0</v>
      </c>
      <c r="Q400" s="37" t="n">
        <v>0</v>
      </c>
      <c r="R400" s="36" t="n">
        <v>8</v>
      </c>
      <c r="S400" s="37" t="n">
        <v>1</v>
      </c>
      <c r="T400" s="36" t="n">
        <v>4</v>
      </c>
      <c r="U400" s="37" t="n">
        <v>0.5</v>
      </c>
      <c r="V400" s="38" t="n">
        <v>0</v>
      </c>
      <c r="W400" s="38" t="n">
        <v>0</v>
      </c>
      <c r="X400" s="38" t="n">
        <v>1.722000000000001</v>
      </c>
      <c r="Y400" s="38" t="n">
        <v>10.14</v>
      </c>
      <c r="Z400" s="38" t="n">
        <v>0</v>
      </c>
      <c r="AA400" s="36" t="n">
        <v>8</v>
      </c>
      <c r="AB400" s="37" t="n">
        <v>1</v>
      </c>
      <c r="AC400" s="36" t="n">
        <v>0</v>
      </c>
      <c r="AD400" s="37" t="n">
        <v>0</v>
      </c>
      <c r="AE400" s="36" t="n">
        <v>8</v>
      </c>
      <c r="AF400" s="37" t="n">
        <v>1</v>
      </c>
      <c r="AG400" s="36" t="n">
        <v>0</v>
      </c>
      <c r="AH400" s="37" t="n">
        <v>0</v>
      </c>
    </row>
    <row r="401">
      <c r="A401" s="53" t="n">
        <v>45759</v>
      </c>
      <c r="B401" t="inlineStr">
        <is>
          <t>R06_Jawa Timur</t>
        </is>
      </c>
      <c r="C401" t="inlineStr">
        <is>
          <t>NOP LAMONGAN</t>
        </is>
      </c>
      <c r="D401" s="38" t="n">
        <v>0</v>
      </c>
      <c r="E401" s="38" t="n">
        <v>0</v>
      </c>
      <c r="F401" s="36" t="n">
        <v>2.24</v>
      </c>
      <c r="G401" s="36" t="n">
        <v>1.464</v>
      </c>
      <c r="H401" s="36" t="n">
        <v>8</v>
      </c>
      <c r="I401" s="37" t="n">
        <v>0.6153846153846154</v>
      </c>
      <c r="J401" s="36" t="n">
        <v>0</v>
      </c>
      <c r="K401" s="37" t="n">
        <v>0</v>
      </c>
      <c r="L401" s="36" t="n">
        <v>8</v>
      </c>
      <c r="M401" s="37" t="n">
        <v>0.6153846153846154</v>
      </c>
      <c r="N401" s="36" t="n">
        <v>0</v>
      </c>
      <c r="O401" s="37" t="n">
        <v>0</v>
      </c>
      <c r="P401" s="36" t="n">
        <v>0</v>
      </c>
      <c r="Q401" s="37" t="n">
        <v>0</v>
      </c>
      <c r="R401" s="36" t="n">
        <v>13</v>
      </c>
      <c r="S401" s="37" t="n">
        <v>1</v>
      </c>
      <c r="T401" s="36" t="n">
        <v>8</v>
      </c>
      <c r="U401" s="37" t="n">
        <v>0.6153846153846154</v>
      </c>
      <c r="V401" s="38" t="n">
        <v>0</v>
      </c>
      <c r="W401" s="38" t="n">
        <v>2.294</v>
      </c>
      <c r="X401" s="38" t="n">
        <v>2.703</v>
      </c>
      <c r="Y401" s="38" t="n">
        <v>0.5309999999999999</v>
      </c>
      <c r="Z401" s="38" t="n">
        <v>0</v>
      </c>
      <c r="AA401" s="36" t="n">
        <v>15</v>
      </c>
      <c r="AB401" s="37" t="n">
        <v>0.8333333333333334</v>
      </c>
      <c r="AC401" s="36" t="n">
        <v>10</v>
      </c>
      <c r="AD401" s="37" t="n">
        <v>0.8333333333333334</v>
      </c>
      <c r="AE401" s="36" t="n">
        <v>5</v>
      </c>
      <c r="AF401" s="37" t="n">
        <v>0.8333333333333334</v>
      </c>
      <c r="AG401" s="36" t="n">
        <v>7</v>
      </c>
      <c r="AH401" s="37" t="n">
        <v>0.7</v>
      </c>
    </row>
    <row r="402">
      <c r="A402" s="53" t="n">
        <v>45759</v>
      </c>
      <c r="B402" t="inlineStr">
        <is>
          <t>R06_Jawa Timur</t>
        </is>
      </c>
      <c r="C402" t="inlineStr">
        <is>
          <t>NOP MADIUN</t>
        </is>
      </c>
      <c r="D402" s="38" t="n">
        <v>0</v>
      </c>
      <c r="E402" s="38" t="n">
        <v>0</v>
      </c>
      <c r="F402" s="36" t="n">
        <v>1.436</v>
      </c>
      <c r="G402" s="36" t="n">
        <v>2.508</v>
      </c>
      <c r="H402" s="36" t="n">
        <v>10</v>
      </c>
      <c r="I402" s="37" t="n">
        <v>0.7142857142857143</v>
      </c>
      <c r="J402" s="36" t="n">
        <v>0</v>
      </c>
      <c r="K402" s="37" t="n">
        <v>0</v>
      </c>
      <c r="L402" s="36" t="n">
        <v>10</v>
      </c>
      <c r="M402" s="37" t="n">
        <v>0.7142857142857143</v>
      </c>
      <c r="N402" s="36" t="n">
        <v>0</v>
      </c>
      <c r="O402" s="37" t="n">
        <v>0</v>
      </c>
      <c r="P402" s="36" t="n">
        <v>0</v>
      </c>
      <c r="Q402" s="37" t="n">
        <v>0</v>
      </c>
      <c r="R402" s="36" t="n">
        <v>14</v>
      </c>
      <c r="S402" s="37" t="n">
        <v>1</v>
      </c>
      <c r="T402" s="36" t="n">
        <v>5</v>
      </c>
      <c r="U402" s="37" t="n">
        <v>0.3571428571428572</v>
      </c>
      <c r="V402" s="38" t="n">
        <v>0</v>
      </c>
      <c r="W402" s="38" t="n">
        <v>3.114000000000001</v>
      </c>
      <c r="X402" s="38" t="n">
        <v>4.43</v>
      </c>
      <c r="Y402" s="38" t="n">
        <v>8.07</v>
      </c>
      <c r="Z402" s="38" t="n">
        <v>0</v>
      </c>
      <c r="AA402" s="36" t="n">
        <v>22</v>
      </c>
      <c r="AB402" s="37" t="n">
        <v>0.6470588235294118</v>
      </c>
      <c r="AC402" s="36" t="n">
        <v>11</v>
      </c>
      <c r="AD402" s="37" t="n">
        <v>0.9166666666666666</v>
      </c>
      <c r="AE402" s="36" t="n">
        <v>11</v>
      </c>
      <c r="AF402" s="37" t="n">
        <v>0.5</v>
      </c>
      <c r="AG402" s="36" t="n">
        <v>8</v>
      </c>
      <c r="AH402" s="37" t="n">
        <v>0.7272727272727273</v>
      </c>
    </row>
    <row r="403">
      <c r="A403" s="53" t="n">
        <v>45759</v>
      </c>
      <c r="B403" t="inlineStr">
        <is>
          <t>R06_Jawa Timur</t>
        </is>
      </c>
      <c r="C403" t="inlineStr">
        <is>
          <t>NOP MALANG</t>
        </is>
      </c>
      <c r="D403" s="38" t="n">
        <v>0</v>
      </c>
      <c r="E403" s="38" t="n">
        <v>0</v>
      </c>
      <c r="F403" s="36" t="n">
        <v>2.88</v>
      </c>
      <c r="G403" s="36" t="n">
        <v>0.8260000000000001</v>
      </c>
      <c r="H403" s="36" t="n">
        <v>7</v>
      </c>
      <c r="I403" s="37" t="n">
        <v>0.7777777777777778</v>
      </c>
      <c r="J403" s="36" t="n">
        <v>0</v>
      </c>
      <c r="K403" s="37" t="n">
        <v>0</v>
      </c>
      <c r="L403" s="36" t="n">
        <v>7</v>
      </c>
      <c r="M403" s="37" t="n">
        <v>0.7777777777777778</v>
      </c>
      <c r="N403" s="36" t="n">
        <v>0</v>
      </c>
      <c r="O403" s="37" t="n">
        <v>0</v>
      </c>
      <c r="P403" s="36" t="n">
        <v>0</v>
      </c>
      <c r="Q403" s="37" t="n">
        <v>0</v>
      </c>
      <c r="R403" s="36" t="n">
        <v>9</v>
      </c>
      <c r="S403" s="37" t="n">
        <v>1</v>
      </c>
      <c r="T403" s="36" t="n">
        <v>6</v>
      </c>
      <c r="U403" s="37" t="n">
        <v>0.6666666666666666</v>
      </c>
      <c r="V403" s="38" t="n">
        <v>0</v>
      </c>
      <c r="W403" s="38" t="n">
        <v>1.614</v>
      </c>
      <c r="X403" s="38" t="n">
        <v>9.265000000000001</v>
      </c>
      <c r="Y403" s="38" t="n">
        <v>13</v>
      </c>
      <c r="Z403" s="38" t="n">
        <v>0</v>
      </c>
      <c r="AA403" s="36" t="n">
        <v>9</v>
      </c>
      <c r="AB403" s="37" t="n">
        <v>0.75</v>
      </c>
      <c r="AC403" s="36" t="n">
        <v>2</v>
      </c>
      <c r="AD403" s="37" t="n">
        <v>0.4</v>
      </c>
      <c r="AE403" s="36" t="n">
        <v>7</v>
      </c>
      <c r="AF403" s="37" t="n">
        <v>1</v>
      </c>
      <c r="AG403" s="36" t="n">
        <v>2</v>
      </c>
      <c r="AH403" s="37" t="n">
        <v>1</v>
      </c>
    </row>
    <row r="404">
      <c r="A404" s="53" t="n">
        <v>45759</v>
      </c>
      <c r="B404" t="inlineStr">
        <is>
          <t>R06_Jawa Timur</t>
        </is>
      </c>
      <c r="C404" t="inlineStr">
        <is>
          <t>NOP SIDOARJO</t>
        </is>
      </c>
      <c r="D404" s="38" t="n">
        <v>2.692</v>
      </c>
      <c r="E404" s="38" t="n">
        <v>0</v>
      </c>
      <c r="F404" s="36" t="n">
        <v>2.9</v>
      </c>
      <c r="G404" s="36" t="n">
        <v>6.128</v>
      </c>
      <c r="H404" s="36" t="n">
        <v>7</v>
      </c>
      <c r="I404" s="37" t="n">
        <v>0.5</v>
      </c>
      <c r="J404" s="36" t="n">
        <v>3</v>
      </c>
      <c r="K404" s="37" t="n">
        <v>1</v>
      </c>
      <c r="L404" s="36" t="n">
        <v>4</v>
      </c>
      <c r="M404" s="37" t="n">
        <v>0.3636363636363636</v>
      </c>
      <c r="N404" s="36" t="n">
        <v>3</v>
      </c>
      <c r="O404" s="37" t="n">
        <v>1</v>
      </c>
      <c r="P404" s="36" t="n">
        <v>3</v>
      </c>
      <c r="Q404" s="37" t="n">
        <v>1</v>
      </c>
      <c r="R404" s="36" t="n">
        <v>14</v>
      </c>
      <c r="S404" s="37" t="n">
        <v>1</v>
      </c>
      <c r="T404" s="36" t="n">
        <v>7</v>
      </c>
      <c r="U404" s="37" t="n">
        <v>0.5</v>
      </c>
      <c r="V404" s="38" t="n">
        <v>0</v>
      </c>
      <c r="W404" s="38" t="n">
        <v>74.05200000000001</v>
      </c>
      <c r="X404" s="38" t="n">
        <v>5.266</v>
      </c>
      <c r="Y404" s="38" t="n">
        <v>11.67</v>
      </c>
      <c r="Z404" s="38" t="n">
        <v>0</v>
      </c>
      <c r="AA404" s="36" t="n">
        <v>5</v>
      </c>
      <c r="AB404" s="37" t="n">
        <v>0.625</v>
      </c>
      <c r="AC404" s="36" t="n">
        <v>1</v>
      </c>
      <c r="AD404" s="37" t="n">
        <v>0.3333333333333333</v>
      </c>
      <c r="AE404" s="36" t="n">
        <v>4</v>
      </c>
      <c r="AF404" s="37" t="n">
        <v>0.8</v>
      </c>
      <c r="AG404" s="36" t="n">
        <v>1</v>
      </c>
      <c r="AH404" s="37" t="n">
        <v>1</v>
      </c>
    </row>
    <row r="405">
      <c r="A405" s="53" t="n">
        <v>45759</v>
      </c>
      <c r="B405" t="inlineStr">
        <is>
          <t>R06_Jawa Timur</t>
        </is>
      </c>
      <c r="C405" t="inlineStr">
        <is>
          <t>NOP SURABAYA</t>
        </is>
      </c>
      <c r="D405" s="38" t="n">
        <v>1.71</v>
      </c>
      <c r="E405" s="38" t="n">
        <v>0</v>
      </c>
      <c r="F405" s="36" t="n">
        <v>3.52</v>
      </c>
      <c r="G405" s="36" t="n">
        <v>2.734</v>
      </c>
      <c r="H405" s="36" t="n">
        <v>7</v>
      </c>
      <c r="I405" s="37" t="n">
        <v>0.4375</v>
      </c>
      <c r="J405" s="36" t="n">
        <v>0</v>
      </c>
      <c r="K405" s="37" t="n">
        <v>0</v>
      </c>
      <c r="L405" s="36" t="n">
        <v>7</v>
      </c>
      <c r="M405" s="37" t="n">
        <v>0.5384615384615384</v>
      </c>
      <c r="N405" s="36" t="n">
        <v>0</v>
      </c>
      <c r="O405" s="37" t="n">
        <v>0</v>
      </c>
      <c r="P405" s="36" t="n">
        <v>0</v>
      </c>
      <c r="Q405" s="37" t="n">
        <v>0</v>
      </c>
      <c r="R405" s="36" t="n">
        <v>13</v>
      </c>
      <c r="S405" s="37" t="n">
        <v>0.8125</v>
      </c>
      <c r="T405" s="36" t="n">
        <v>6</v>
      </c>
      <c r="U405" s="37" t="n">
        <v>0.375</v>
      </c>
      <c r="V405" s="38" t="n">
        <v>0</v>
      </c>
      <c r="W405" s="38" t="n">
        <v>1.059</v>
      </c>
      <c r="X405" s="38" t="n">
        <v>6.214000000000002</v>
      </c>
      <c r="Y405" s="38" t="n">
        <v>22.331</v>
      </c>
      <c r="Z405" s="38" t="n">
        <v>0</v>
      </c>
      <c r="AA405" s="36" t="n">
        <v>23</v>
      </c>
      <c r="AB405" s="37" t="n">
        <v>0.6216216216216216</v>
      </c>
      <c r="AC405" s="36" t="n">
        <v>1</v>
      </c>
      <c r="AD405" s="37" t="n">
        <v>0.5</v>
      </c>
      <c r="AE405" s="36" t="n">
        <v>22</v>
      </c>
      <c r="AF405" s="37" t="n">
        <v>0.6285714285714286</v>
      </c>
      <c r="AG405" s="36" t="n">
        <v>1</v>
      </c>
      <c r="AH405" s="37" t="n">
        <v>1</v>
      </c>
    </row>
    <row r="406">
      <c r="A406" s="53" t="n">
        <v>45759</v>
      </c>
      <c r="B406" t="inlineStr">
        <is>
          <t>R07_Bali Nusra</t>
        </is>
      </c>
      <c r="C406" t="inlineStr">
        <is>
          <t>NOP DENPASAR</t>
        </is>
      </c>
      <c r="D406" s="38" t="n">
        <v>2.09</v>
      </c>
      <c r="E406" s="38" t="n">
        <v>0</v>
      </c>
      <c r="F406" s="36" t="n">
        <v>5.36</v>
      </c>
      <c r="G406" s="36" t="n">
        <v>5.522000000000001</v>
      </c>
      <c r="H406" s="36" t="n">
        <v>17</v>
      </c>
      <c r="I406" s="37" t="n">
        <v>0.9444444444444444</v>
      </c>
      <c r="J406" s="36" t="n">
        <v>5</v>
      </c>
      <c r="K406" s="37" t="n">
        <v>1</v>
      </c>
      <c r="L406" s="36" t="n">
        <v>12</v>
      </c>
      <c r="M406" s="37" t="n">
        <v>0.9230769230769231</v>
      </c>
      <c r="N406" s="36" t="n">
        <v>5</v>
      </c>
      <c r="O406" s="37" t="n">
        <v>1</v>
      </c>
      <c r="P406" s="36" t="n">
        <v>5</v>
      </c>
      <c r="Q406" s="37" t="n">
        <v>1</v>
      </c>
      <c r="R406" s="36" t="n">
        <v>18</v>
      </c>
      <c r="S406" s="37" t="n">
        <v>1</v>
      </c>
      <c r="T406" s="36" t="n">
        <v>16</v>
      </c>
      <c r="U406" s="37" t="n">
        <v>0.8888888888888888</v>
      </c>
      <c r="V406" s="38" t="n">
        <v>0</v>
      </c>
      <c r="W406" s="38" t="n">
        <v>141.978</v>
      </c>
      <c r="X406" s="38" t="n">
        <v>14.15</v>
      </c>
      <c r="Y406" s="38" t="n">
        <v>67.25800000000001</v>
      </c>
      <c r="Z406" s="38" t="n">
        <v>0</v>
      </c>
      <c r="AA406" s="36" t="n">
        <v>26</v>
      </c>
      <c r="AB406" s="37" t="n">
        <v>0.8387096774193549</v>
      </c>
      <c r="AC406" s="36" t="n">
        <v>2</v>
      </c>
      <c r="AD406" s="37" t="n">
        <v>0.4</v>
      </c>
      <c r="AE406" s="36" t="n">
        <v>24</v>
      </c>
      <c r="AF406" s="37" t="n">
        <v>0.9230769230769231</v>
      </c>
      <c r="AG406" s="36" t="n">
        <v>1</v>
      </c>
      <c r="AH406" s="37" t="n">
        <v>0.5</v>
      </c>
    </row>
    <row r="407">
      <c r="A407" s="53" t="n">
        <v>45759</v>
      </c>
      <c r="B407" t="inlineStr">
        <is>
          <t>R07_Bali Nusra</t>
        </is>
      </c>
      <c r="C407" t="inlineStr">
        <is>
          <t>NOP FLORES</t>
        </is>
      </c>
      <c r="D407" s="38" t="n">
        <v>9.390000000000001</v>
      </c>
      <c r="E407" s="38" t="n">
        <v>6.494</v>
      </c>
      <c r="F407" s="36" t="n">
        <v>9.199999999999999</v>
      </c>
      <c r="G407" s="36" t="n">
        <v>9.52</v>
      </c>
      <c r="H407" s="36" t="n">
        <v>42</v>
      </c>
      <c r="I407" s="37" t="n">
        <v>0.5454545454545454</v>
      </c>
      <c r="J407" s="36" t="n">
        <v>30</v>
      </c>
      <c r="K407" s="37" t="n">
        <v>0.7142857142857143</v>
      </c>
      <c r="L407" s="36" t="n">
        <v>12</v>
      </c>
      <c r="M407" s="37" t="n">
        <v>0.3428571428571429</v>
      </c>
      <c r="N407" s="36" t="n">
        <v>27</v>
      </c>
      <c r="O407" s="37" t="n">
        <v>0.9</v>
      </c>
      <c r="P407" s="36" t="n">
        <v>27</v>
      </c>
      <c r="Q407" s="37" t="n">
        <v>0.9</v>
      </c>
      <c r="R407" s="36" t="n">
        <v>77</v>
      </c>
      <c r="S407" s="37" t="n">
        <v>1</v>
      </c>
      <c r="T407" s="36" t="n">
        <v>37</v>
      </c>
      <c r="U407" s="37" t="n">
        <v>0.4805194805194805</v>
      </c>
      <c r="V407" s="38" t="n">
        <v>0</v>
      </c>
      <c r="W407" s="38" t="n">
        <v>15.828</v>
      </c>
      <c r="X407" s="38" t="n">
        <v>8.119999999999999</v>
      </c>
      <c r="Y407" s="38" t="n">
        <v>19.07000000000001</v>
      </c>
      <c r="Z407" s="38" t="n">
        <v>0</v>
      </c>
      <c r="AA407" s="36" t="n">
        <v>51</v>
      </c>
      <c r="AB407" s="37" t="n">
        <v>0.3863636363636364</v>
      </c>
      <c r="AC407" s="36" t="n">
        <v>35</v>
      </c>
      <c r="AD407" s="37" t="n">
        <v>0.4166666666666667</v>
      </c>
      <c r="AE407" s="36" t="n">
        <v>16</v>
      </c>
      <c r="AF407" s="37" t="n">
        <v>0.3333333333333333</v>
      </c>
      <c r="AG407" s="36" t="n">
        <v>24</v>
      </c>
      <c r="AH407" s="37" t="n">
        <v>0.6857142857142857</v>
      </c>
    </row>
    <row r="408">
      <c r="A408" s="53" t="n">
        <v>45759</v>
      </c>
      <c r="B408" t="inlineStr">
        <is>
          <t>R07_Bali Nusra</t>
        </is>
      </c>
      <c r="C408" t="inlineStr">
        <is>
          <t>NOP KUPANG</t>
        </is>
      </c>
      <c r="D408" s="38" t="n">
        <v>1.18</v>
      </c>
      <c r="E408" s="38" t="n">
        <v>4.444000000000001</v>
      </c>
      <c r="F408" s="36" t="n">
        <v>8.34</v>
      </c>
      <c r="G408" s="36" t="n">
        <v>7.369</v>
      </c>
      <c r="H408" s="36" t="n">
        <v>74</v>
      </c>
      <c r="I408" s="37" t="n">
        <v>0.6788990825688074</v>
      </c>
      <c r="J408" s="36" t="n">
        <v>13</v>
      </c>
      <c r="K408" s="37" t="n">
        <v>0.8125</v>
      </c>
      <c r="L408" s="36" t="n">
        <v>61</v>
      </c>
      <c r="M408" s="37" t="n">
        <v>0.6559139784946236</v>
      </c>
      <c r="N408" s="36" t="n">
        <v>8</v>
      </c>
      <c r="O408" s="37" t="n">
        <v>0.6153846153846154</v>
      </c>
      <c r="P408" s="36" t="n">
        <v>8</v>
      </c>
      <c r="Q408" s="37" t="n">
        <v>0.6153846153846154</v>
      </c>
      <c r="R408" s="36" t="n">
        <v>105</v>
      </c>
      <c r="S408" s="37" t="n">
        <v>0.963302752293578</v>
      </c>
      <c r="T408" s="36" t="n">
        <v>32</v>
      </c>
      <c r="U408" s="37" t="n">
        <v>0.2935779816513762</v>
      </c>
      <c r="V408" s="38" t="n">
        <v>0.15</v>
      </c>
      <c r="W408" s="38" t="n">
        <v>3.58</v>
      </c>
      <c r="X408" s="38" t="n">
        <v>9.645999999999999</v>
      </c>
      <c r="Y408" s="38" t="n">
        <v>374.71</v>
      </c>
      <c r="Z408" s="38" t="n">
        <v>0</v>
      </c>
      <c r="AA408" s="36" t="n">
        <v>140</v>
      </c>
      <c r="AB408" s="37" t="n">
        <v>0.8</v>
      </c>
      <c r="AC408" s="36" t="n">
        <v>84</v>
      </c>
      <c r="AD408" s="37" t="n">
        <v>0.7777777777777778</v>
      </c>
      <c r="AE408" s="36" t="n">
        <v>56</v>
      </c>
      <c r="AF408" s="37" t="n">
        <v>0.835820895522388</v>
      </c>
      <c r="AG408" s="36" t="n">
        <v>61</v>
      </c>
      <c r="AH408" s="37" t="n">
        <v>0.7261904761904762</v>
      </c>
    </row>
    <row r="409">
      <c r="A409" s="53" t="n">
        <v>45759</v>
      </c>
      <c r="B409" t="inlineStr">
        <is>
          <t>R07_Bali Nusra</t>
        </is>
      </c>
      <c r="C409" t="inlineStr">
        <is>
          <t>NOP MATARAM</t>
        </is>
      </c>
      <c r="D409" s="38" t="n">
        <v>1.28</v>
      </c>
      <c r="E409" s="38" t="n">
        <v>0.9620000000000001</v>
      </c>
      <c r="F409" s="36" t="n">
        <v>15.102</v>
      </c>
      <c r="G409" s="36" t="n">
        <v>3.87</v>
      </c>
      <c r="H409" s="36" t="n">
        <v>11</v>
      </c>
      <c r="I409" s="37" t="n">
        <v>0.3793103448275862</v>
      </c>
      <c r="J409" s="36" t="n">
        <v>3</v>
      </c>
      <c r="K409" s="37" t="n">
        <v>0.75</v>
      </c>
      <c r="L409" s="36" t="n">
        <v>8</v>
      </c>
      <c r="M409" s="37" t="n">
        <v>0.32</v>
      </c>
      <c r="N409" s="36" t="n">
        <v>1</v>
      </c>
      <c r="O409" s="37" t="n">
        <v>0.3333333333333333</v>
      </c>
      <c r="P409" s="36" t="n">
        <v>1</v>
      </c>
      <c r="Q409" s="37" t="n">
        <v>0.3333333333333333</v>
      </c>
      <c r="R409" s="36" t="n">
        <v>29</v>
      </c>
      <c r="S409" s="37" t="n">
        <v>1</v>
      </c>
      <c r="T409" s="36" t="n">
        <v>7</v>
      </c>
      <c r="U409" s="37" t="n">
        <v>0.2413793103448276</v>
      </c>
      <c r="V409" s="38" t="n">
        <v>0.02</v>
      </c>
      <c r="W409" s="38" t="n">
        <v>14.149</v>
      </c>
      <c r="X409" s="38" t="n">
        <v>2.824</v>
      </c>
      <c r="Y409" s="38" t="n">
        <v>9.653</v>
      </c>
      <c r="Z409" s="38" t="n">
        <v>0</v>
      </c>
      <c r="AA409" s="36" t="n">
        <v>17</v>
      </c>
      <c r="AB409" s="37" t="n">
        <v>0.3269230769230769</v>
      </c>
      <c r="AC409" s="36" t="n">
        <v>13</v>
      </c>
      <c r="AD409" s="37" t="n">
        <v>0.3939393939393939</v>
      </c>
      <c r="AE409" s="36" t="n">
        <v>4</v>
      </c>
      <c r="AF409" s="37" t="n">
        <v>0.2105263157894737</v>
      </c>
      <c r="AG409" s="36" t="n">
        <v>7</v>
      </c>
      <c r="AH409" s="37" t="n">
        <v>0.5384615384615384</v>
      </c>
    </row>
    <row r="410">
      <c r="A410" s="53" t="n">
        <v>45760</v>
      </c>
      <c r="B410" t="inlineStr">
        <is>
          <t>R01_Sumbagut</t>
        </is>
      </c>
      <c r="C410" t="inlineStr">
        <is>
          <t>NOP ACEH</t>
        </is>
      </c>
      <c r="D410" s="38" t="n">
        <v>1.53</v>
      </c>
      <c r="E410" s="38" t="n">
        <v>5.18</v>
      </c>
      <c r="F410" s="36" t="n">
        <v>5.35</v>
      </c>
      <c r="G410" s="36" t="n">
        <v>18.196</v>
      </c>
      <c r="H410" s="36" t="n">
        <v>82</v>
      </c>
      <c r="I410" s="37" t="n">
        <v>0.803921568627451</v>
      </c>
      <c r="J410" s="36" t="n">
        <v>25</v>
      </c>
      <c r="K410" s="37" t="n">
        <v>0.8620689655172413</v>
      </c>
      <c r="L410" s="36" t="n">
        <v>57</v>
      </c>
      <c r="M410" s="37" t="n">
        <v>0.7808219178082192</v>
      </c>
      <c r="N410" s="36" t="n">
        <v>9</v>
      </c>
      <c r="O410" s="37" t="n">
        <v>0.36</v>
      </c>
      <c r="P410" s="36" t="n">
        <v>9</v>
      </c>
      <c r="Q410" s="37" t="n">
        <v>0.36</v>
      </c>
      <c r="R410" s="36" t="n">
        <v>102</v>
      </c>
      <c r="S410" s="37" t="n">
        <v>1</v>
      </c>
      <c r="T410" s="36" t="n">
        <v>24</v>
      </c>
      <c r="U410" s="37" t="n">
        <v>0.2352941176470588</v>
      </c>
      <c r="V410" s="38" t="n">
        <v>0.029</v>
      </c>
      <c r="W410" s="38" t="n">
        <v>2.13</v>
      </c>
      <c r="X410" s="38" t="n">
        <v>76.735</v>
      </c>
      <c r="Y410" s="38" t="n">
        <v>101.7339999999999</v>
      </c>
      <c r="Z410" s="38" t="n">
        <v>0</v>
      </c>
      <c r="AA410" s="36" t="n">
        <v>246</v>
      </c>
      <c r="AB410" s="37" t="n">
        <v>0.8692579505300353</v>
      </c>
      <c r="AC410" s="36" t="n">
        <v>34</v>
      </c>
      <c r="AD410" s="37" t="n">
        <v>0.7906976744186046</v>
      </c>
      <c r="AE410" s="36" t="n">
        <v>212</v>
      </c>
      <c r="AF410" s="37" t="n">
        <v>0.8983050847457628</v>
      </c>
      <c r="AG410" s="36" t="n">
        <v>4</v>
      </c>
      <c r="AH410" s="37" t="n">
        <v>0.1176470588235294</v>
      </c>
    </row>
    <row r="411">
      <c r="A411" s="53" t="n">
        <v>45760</v>
      </c>
      <c r="B411" t="inlineStr">
        <is>
          <t>R01_Sumbagut</t>
        </is>
      </c>
      <c r="C411" t="inlineStr">
        <is>
          <t>NOP BINJAI</t>
        </is>
      </c>
      <c r="D411" s="38" t="n">
        <v>0</v>
      </c>
      <c r="E411" s="38" t="n">
        <v>10.6</v>
      </c>
      <c r="F411" s="36" t="n">
        <v>3.16</v>
      </c>
      <c r="G411" s="36" t="n">
        <v>3.137999999999999</v>
      </c>
      <c r="H411" s="36" t="n">
        <v>33</v>
      </c>
      <c r="I411" s="37" t="n">
        <v>0.7333333333333333</v>
      </c>
      <c r="J411" s="36" t="n">
        <v>22</v>
      </c>
      <c r="K411" s="37" t="n">
        <v>0.88</v>
      </c>
      <c r="L411" s="36" t="n">
        <v>11</v>
      </c>
      <c r="M411" s="37" t="n">
        <v>0.55</v>
      </c>
      <c r="N411" s="36" t="n">
        <v>11</v>
      </c>
      <c r="O411" s="37" t="n">
        <v>0.5</v>
      </c>
      <c r="P411" s="36" t="n">
        <v>11</v>
      </c>
      <c r="Q411" s="37" t="n">
        <v>0.5</v>
      </c>
      <c r="R411" s="36" t="n">
        <v>45</v>
      </c>
      <c r="S411" s="37" t="n">
        <v>1</v>
      </c>
      <c r="T411" s="36" t="n">
        <v>17</v>
      </c>
      <c r="U411" s="37" t="n">
        <v>0.3777777777777778</v>
      </c>
      <c r="V411" s="38" t="n">
        <v>0.02</v>
      </c>
      <c r="W411" s="38" t="n">
        <v>2.9</v>
      </c>
      <c r="X411" s="38" t="n">
        <v>35.52700000000007</v>
      </c>
      <c r="Y411" s="38" t="n">
        <v>235.6460000000001</v>
      </c>
      <c r="Z411" s="38" t="n">
        <v>0</v>
      </c>
      <c r="AA411" s="36" t="n">
        <v>72</v>
      </c>
      <c r="AB411" s="37" t="n">
        <v>0.6545454545454545</v>
      </c>
      <c r="AC411" s="36" t="n">
        <v>23</v>
      </c>
      <c r="AD411" s="37" t="n">
        <v>0.6052631578947368</v>
      </c>
      <c r="AE411" s="36" t="n">
        <v>49</v>
      </c>
      <c r="AF411" s="37" t="n">
        <v>0.7538461538461538</v>
      </c>
      <c r="AG411" s="36" t="n">
        <v>6</v>
      </c>
      <c r="AH411" s="37" t="n">
        <v>0.2608695652173913</v>
      </c>
    </row>
    <row r="412">
      <c r="A412" s="53" t="n">
        <v>45760</v>
      </c>
      <c r="B412" t="inlineStr">
        <is>
          <t>R01_Sumbagut</t>
        </is>
      </c>
      <c r="C412" t="inlineStr">
        <is>
          <t>NOP MEDAN</t>
        </is>
      </c>
      <c r="D412" s="38" t="n">
        <v>0.35</v>
      </c>
      <c r="E412" s="38" t="n">
        <v>3.034000000000001</v>
      </c>
      <c r="F412" s="36" t="n">
        <v>1.59</v>
      </c>
      <c r="G412" s="36" t="n">
        <v>10.278</v>
      </c>
      <c r="H412" s="36" t="n">
        <v>12</v>
      </c>
      <c r="I412" s="37" t="n">
        <v>0.3870967741935484</v>
      </c>
      <c r="J412" s="36" t="n">
        <v>7</v>
      </c>
      <c r="K412" s="37" t="n">
        <v>0.7</v>
      </c>
      <c r="L412" s="36" t="n">
        <v>5</v>
      </c>
      <c r="M412" s="37" t="n">
        <v>0.2380952380952381</v>
      </c>
      <c r="N412" s="36" t="n">
        <v>5</v>
      </c>
      <c r="O412" s="37" t="n">
        <v>0.7142857142857143</v>
      </c>
      <c r="P412" s="36" t="n">
        <v>5</v>
      </c>
      <c r="Q412" s="37" t="n">
        <v>0.7142857142857143</v>
      </c>
      <c r="R412" s="36" t="n">
        <v>31</v>
      </c>
      <c r="S412" s="37" t="n">
        <v>1</v>
      </c>
      <c r="T412" s="36" t="n">
        <v>9</v>
      </c>
      <c r="U412" s="37" t="n">
        <v>0.2903225806451613</v>
      </c>
      <c r="V412" s="38" t="n">
        <v>0</v>
      </c>
      <c r="W412" s="38" t="n">
        <v>167.4280000000001</v>
      </c>
      <c r="X412" s="38" t="n">
        <v>20.81400000000004</v>
      </c>
      <c r="Y412" s="38" t="n">
        <v>0</v>
      </c>
      <c r="Z412" s="38" t="n">
        <v>0</v>
      </c>
      <c r="AA412" s="36" t="n">
        <v>17</v>
      </c>
      <c r="AB412" s="37" t="n">
        <v>0.3617021276595745</v>
      </c>
      <c r="AC412" s="36" t="n">
        <v>0</v>
      </c>
      <c r="AD412" s="37" t="n">
        <v>0</v>
      </c>
      <c r="AE412" s="36" t="n">
        <v>16</v>
      </c>
      <c r="AF412" s="37" t="n">
        <v>0.4705882352941176</v>
      </c>
      <c r="AG412" s="36" t="n">
        <v>0</v>
      </c>
      <c r="AH412" s="37" t="n">
        <v>0</v>
      </c>
    </row>
    <row r="413">
      <c r="A413" s="53" t="n">
        <v>45760</v>
      </c>
      <c r="B413" t="inlineStr">
        <is>
          <t>R01_Sumbagut</t>
        </is>
      </c>
      <c r="C413" t="inlineStr">
        <is>
          <t>NOP PADANG SIDEMPUAN</t>
        </is>
      </c>
      <c r="D413" s="38" t="n">
        <v>0</v>
      </c>
      <c r="E413" s="38" t="n">
        <v>3.356000000000001</v>
      </c>
      <c r="F413" s="36" t="n">
        <v>2.27</v>
      </c>
      <c r="G413" s="36" t="n">
        <v>11.658</v>
      </c>
      <c r="H413" s="36" t="n">
        <v>22</v>
      </c>
      <c r="I413" s="37" t="n">
        <v>0.3235294117647059</v>
      </c>
      <c r="J413" s="36" t="n">
        <v>6</v>
      </c>
      <c r="K413" s="37" t="n">
        <v>0.6666666666666666</v>
      </c>
      <c r="L413" s="36" t="n">
        <v>16</v>
      </c>
      <c r="M413" s="37" t="n">
        <v>0.2711864406779661</v>
      </c>
      <c r="N413" s="36" t="n">
        <v>5</v>
      </c>
      <c r="O413" s="37" t="n">
        <v>0.8333333333333334</v>
      </c>
      <c r="P413" s="36" t="n">
        <v>5</v>
      </c>
      <c r="Q413" s="37" t="n">
        <v>0.8333333333333334</v>
      </c>
      <c r="R413" s="36" t="n">
        <v>68</v>
      </c>
      <c r="S413" s="37" t="n">
        <v>1</v>
      </c>
      <c r="T413" s="36" t="n">
        <v>9</v>
      </c>
      <c r="U413" s="37" t="n">
        <v>0.1323529411764706</v>
      </c>
      <c r="V413" s="38" t="n">
        <v>0.01</v>
      </c>
      <c r="W413" s="38" t="n">
        <v>1.994</v>
      </c>
      <c r="X413" s="38" t="n">
        <v>8.318000000000003</v>
      </c>
      <c r="Y413" s="38" t="n">
        <v>40.036</v>
      </c>
      <c r="Z413" s="38" t="n">
        <v>0</v>
      </c>
      <c r="AA413" s="36" t="n">
        <v>65</v>
      </c>
      <c r="AB413" s="37" t="n">
        <v>0.2425373134328358</v>
      </c>
      <c r="AC413" s="36" t="n">
        <v>29</v>
      </c>
      <c r="AD413" s="37" t="n">
        <v>0.3625</v>
      </c>
      <c r="AE413" s="36" t="n">
        <v>35</v>
      </c>
      <c r="AF413" s="37" t="n">
        <v>0.1902173913043478</v>
      </c>
      <c r="AG413" s="36" t="n">
        <v>15</v>
      </c>
      <c r="AH413" s="37" t="n">
        <v>0.5172413793103449</v>
      </c>
    </row>
    <row r="414">
      <c r="A414" s="53" t="n">
        <v>45760</v>
      </c>
      <c r="B414" t="inlineStr">
        <is>
          <t>R01_Sumbagut</t>
        </is>
      </c>
      <c r="C414" t="inlineStr">
        <is>
          <t>NOP PEMATANG SIANTAR</t>
        </is>
      </c>
      <c r="D414" s="38" t="n">
        <v>1.822</v>
      </c>
      <c r="E414" s="38" t="n">
        <v>4.442000000000002</v>
      </c>
      <c r="F414" s="36" t="n">
        <v>2.152</v>
      </c>
      <c r="G414" s="36" t="n">
        <v>5.212999999999997</v>
      </c>
      <c r="H414" s="36" t="n">
        <v>39</v>
      </c>
      <c r="I414" s="37" t="n">
        <v>0.3786407766990291</v>
      </c>
      <c r="J414" s="36" t="n">
        <v>9</v>
      </c>
      <c r="K414" s="37" t="n">
        <v>0.36</v>
      </c>
      <c r="L414" s="36" t="n">
        <v>30</v>
      </c>
      <c r="M414" s="37" t="n">
        <v>0.3846153846153846</v>
      </c>
      <c r="N414" s="36" t="n">
        <v>8</v>
      </c>
      <c r="O414" s="37" t="n">
        <v>0.8888888888888888</v>
      </c>
      <c r="P414" s="36" t="n">
        <v>8</v>
      </c>
      <c r="Q414" s="37" t="n">
        <v>0.8888888888888888</v>
      </c>
      <c r="R414" s="36" t="n">
        <v>103</v>
      </c>
      <c r="S414" s="37" t="n">
        <v>1</v>
      </c>
      <c r="T414" s="36" t="n">
        <v>21</v>
      </c>
      <c r="U414" s="37" t="n">
        <v>0.2038834951456311</v>
      </c>
      <c r="V414" s="38" t="n">
        <v>0.01</v>
      </c>
      <c r="W414" s="38" t="n">
        <v>5.090000000000002</v>
      </c>
      <c r="X414" s="38" t="n">
        <v>58.47600000000002</v>
      </c>
      <c r="Y414" s="38" t="n">
        <v>61.25700000000001</v>
      </c>
      <c r="Z414" s="38" t="n">
        <v>0</v>
      </c>
      <c r="AA414" s="36" t="n">
        <v>40</v>
      </c>
      <c r="AB414" s="37" t="n">
        <v>0.08528784648187633</v>
      </c>
      <c r="AC414" s="36" t="n">
        <v>8</v>
      </c>
      <c r="AD414" s="37" t="n">
        <v>0.2352941176470588</v>
      </c>
      <c r="AE414" s="36" t="n">
        <v>32</v>
      </c>
      <c r="AF414" s="37" t="n">
        <v>0.07407407407407407</v>
      </c>
      <c r="AG414" s="36" t="n">
        <v>8</v>
      </c>
      <c r="AH414" s="37" t="n">
        <v>1</v>
      </c>
    </row>
    <row r="415">
      <c r="A415" s="53" t="n">
        <v>45760</v>
      </c>
      <c r="B415" t="inlineStr">
        <is>
          <t>R01_Sumbagut</t>
        </is>
      </c>
      <c r="C415" t="inlineStr">
        <is>
          <t>NOP RANTAU PRAPAT</t>
        </is>
      </c>
      <c r="D415" s="38" t="n">
        <v>0.65</v>
      </c>
      <c r="E415" s="38" t="n">
        <v>3.5</v>
      </c>
      <c r="F415" s="36" t="n">
        <v>2.58</v>
      </c>
      <c r="G415" s="36" t="n">
        <v>2.966000000000002</v>
      </c>
      <c r="H415" s="36" t="n">
        <v>35</v>
      </c>
      <c r="I415" s="37" t="n">
        <v>0.3043478260869565</v>
      </c>
      <c r="J415" s="36" t="n">
        <v>5</v>
      </c>
      <c r="K415" s="37" t="n">
        <v>0.4545454545454545</v>
      </c>
      <c r="L415" s="36" t="n">
        <v>30</v>
      </c>
      <c r="M415" s="37" t="n">
        <v>0.2884615384615384</v>
      </c>
      <c r="N415" s="36" t="n">
        <v>5</v>
      </c>
      <c r="O415" s="37" t="n">
        <v>1</v>
      </c>
      <c r="P415" s="36" t="n">
        <v>5</v>
      </c>
      <c r="Q415" s="37" t="n">
        <v>1</v>
      </c>
      <c r="R415" s="36" t="n">
        <v>115</v>
      </c>
      <c r="S415" s="37" t="n">
        <v>1</v>
      </c>
      <c r="T415" s="36" t="n">
        <v>29</v>
      </c>
      <c r="U415" s="37" t="n">
        <v>0.2521739130434782</v>
      </c>
      <c r="V415" s="38" t="n">
        <v>0</v>
      </c>
      <c r="W415" s="38" t="n">
        <v>1.682000000000001</v>
      </c>
      <c r="X415" s="38" t="n">
        <v>37.54200000000002</v>
      </c>
      <c r="Y415" s="38" t="n">
        <v>151.56</v>
      </c>
      <c r="Z415" s="38" t="n">
        <v>0</v>
      </c>
      <c r="AA415" s="36" t="n">
        <v>18</v>
      </c>
      <c r="AB415" s="37" t="n">
        <v>0.05732484076433121</v>
      </c>
      <c r="AC415" s="36" t="n">
        <v>6</v>
      </c>
      <c r="AD415" s="37" t="n">
        <v>0.1395348837209302</v>
      </c>
      <c r="AE415" s="36" t="n">
        <v>10</v>
      </c>
      <c r="AF415" s="37" t="n">
        <v>0.03802281368821293</v>
      </c>
      <c r="AG415" s="36" t="n">
        <v>5</v>
      </c>
      <c r="AH415" s="37" t="n">
        <v>0.8333333333333334</v>
      </c>
    </row>
    <row r="416">
      <c r="A416" s="53" t="n">
        <v>45760</v>
      </c>
      <c r="B416" t="inlineStr">
        <is>
          <t>R10_Sumbagteng</t>
        </is>
      </c>
      <c r="C416" t="inlineStr">
        <is>
          <t>NOP BATAM</t>
        </is>
      </c>
      <c r="D416" s="38" t="n">
        <v>0</v>
      </c>
      <c r="E416" s="38" t="n">
        <v>15.896</v>
      </c>
      <c r="F416" s="36" t="n">
        <v>7.08</v>
      </c>
      <c r="G416" s="36" t="n">
        <v>9.69</v>
      </c>
      <c r="H416" s="36" t="n">
        <v>62</v>
      </c>
      <c r="I416" s="37" t="n">
        <v>0.4525547445255474</v>
      </c>
      <c r="J416" s="36" t="n">
        <v>14</v>
      </c>
      <c r="K416" s="37" t="n">
        <v>0.4827586206896552</v>
      </c>
      <c r="L416" s="36" t="n">
        <v>48</v>
      </c>
      <c r="M416" s="37" t="n">
        <v>0.4444444444444444</v>
      </c>
      <c r="N416" s="36" t="n">
        <v>6</v>
      </c>
      <c r="O416" s="37" t="n">
        <v>0.4285714285714285</v>
      </c>
      <c r="P416" s="36" t="n">
        <v>6</v>
      </c>
      <c r="Q416" s="37" t="n">
        <v>0.4285714285714285</v>
      </c>
      <c r="R416" s="36" t="n">
        <v>136</v>
      </c>
      <c r="S416" s="37" t="n">
        <v>0.9927007299270073</v>
      </c>
      <c r="T416" s="36" t="n">
        <v>30</v>
      </c>
      <c r="U416" s="37" t="n">
        <v>0.218978102189781</v>
      </c>
      <c r="V416" s="38" t="n">
        <v>0</v>
      </c>
      <c r="W416" s="38" t="n">
        <v>9.130000000000001</v>
      </c>
      <c r="X416" s="38" t="n">
        <v>24.00400000000002</v>
      </c>
      <c r="Y416" s="38" t="n">
        <v>11.33</v>
      </c>
      <c r="Z416" s="38" t="n">
        <v>0</v>
      </c>
      <c r="AA416" s="36" t="n">
        <v>82</v>
      </c>
      <c r="AB416" s="37" t="n">
        <v>0.1810154525386314</v>
      </c>
      <c r="AC416" s="36" t="n">
        <v>25</v>
      </c>
      <c r="AD416" s="37" t="n">
        <v>0.3787878787878788</v>
      </c>
      <c r="AE416" s="36" t="n">
        <v>56</v>
      </c>
      <c r="AF416" s="37" t="n">
        <v>0.1469816272965879</v>
      </c>
      <c r="AG416" s="36" t="n">
        <v>16</v>
      </c>
      <c r="AH416" s="37" t="n">
        <v>0.64</v>
      </c>
    </row>
    <row r="417">
      <c r="A417" s="53" t="n">
        <v>45760</v>
      </c>
      <c r="B417" t="inlineStr">
        <is>
          <t>R10_Sumbagteng</t>
        </is>
      </c>
      <c r="C417" t="inlineStr">
        <is>
          <t>NOP BUKITTINGGI</t>
        </is>
      </c>
      <c r="D417" s="38" t="n">
        <v>0</v>
      </c>
      <c r="E417" s="38" t="n">
        <v>7.306</v>
      </c>
      <c r="F417" s="36" t="n">
        <v>3.238</v>
      </c>
      <c r="G417" s="36" t="n">
        <v>7.29</v>
      </c>
      <c r="H417" s="36" t="n">
        <v>23</v>
      </c>
      <c r="I417" s="37" t="n">
        <v>0.7666666666666667</v>
      </c>
      <c r="J417" s="36" t="n">
        <v>3</v>
      </c>
      <c r="K417" s="37" t="n">
        <v>1</v>
      </c>
      <c r="L417" s="36" t="n">
        <v>20</v>
      </c>
      <c r="M417" s="37" t="n">
        <v>0.7407407407407407</v>
      </c>
      <c r="N417" s="36" t="n">
        <v>2</v>
      </c>
      <c r="O417" s="37" t="n">
        <v>0.6666666666666666</v>
      </c>
      <c r="P417" s="36" t="n">
        <v>2</v>
      </c>
      <c r="Q417" s="37" t="n">
        <v>0.6666666666666666</v>
      </c>
      <c r="R417" s="36" t="n">
        <v>30</v>
      </c>
      <c r="S417" s="37" t="n">
        <v>1</v>
      </c>
      <c r="T417" s="36" t="n">
        <v>14</v>
      </c>
      <c r="U417" s="37" t="n">
        <v>0.4666666666666667</v>
      </c>
      <c r="V417" s="38" t="n">
        <v>0</v>
      </c>
      <c r="W417" s="38" t="n">
        <v>8.024000000000001</v>
      </c>
      <c r="X417" s="38" t="n">
        <v>11.41</v>
      </c>
      <c r="Y417" s="38" t="n">
        <v>28.95</v>
      </c>
      <c r="Z417" s="38" t="n">
        <v>0</v>
      </c>
      <c r="AA417" s="36" t="n">
        <v>60</v>
      </c>
      <c r="AB417" s="37" t="n">
        <v>0.1643835616438356</v>
      </c>
      <c r="AC417" s="36" t="n">
        <v>10</v>
      </c>
      <c r="AD417" s="37" t="n">
        <v>0.6666666666666666</v>
      </c>
      <c r="AE417" s="36" t="n">
        <v>50</v>
      </c>
      <c r="AF417" s="37" t="n">
        <v>0.1432664756446991</v>
      </c>
      <c r="AG417" s="36" t="n">
        <v>7</v>
      </c>
      <c r="AH417" s="37" t="n">
        <v>0.7</v>
      </c>
    </row>
    <row r="418">
      <c r="A418" s="53" t="n">
        <v>45760</v>
      </c>
      <c r="B418" t="inlineStr">
        <is>
          <t>R10_Sumbagteng</t>
        </is>
      </c>
      <c r="C418" t="inlineStr">
        <is>
          <t>NOP DUMAI</t>
        </is>
      </c>
      <c r="D418" s="38" t="n">
        <v>2.71</v>
      </c>
      <c r="E418" s="38" t="n">
        <v>3.607000000000002</v>
      </c>
      <c r="F418" s="36" t="n">
        <v>2.826000000000001</v>
      </c>
      <c r="G418" s="36" t="n">
        <v>2.5</v>
      </c>
      <c r="H418" s="36" t="n">
        <v>48</v>
      </c>
      <c r="I418" s="37" t="n">
        <v>0.4210526315789473</v>
      </c>
      <c r="J418" s="36" t="n">
        <v>17</v>
      </c>
      <c r="K418" s="37" t="n">
        <v>0.4358974358974359</v>
      </c>
      <c r="L418" s="36" t="n">
        <v>31</v>
      </c>
      <c r="M418" s="37" t="n">
        <v>0.4133333333333333</v>
      </c>
      <c r="N418" s="36" t="n">
        <v>9</v>
      </c>
      <c r="O418" s="37" t="n">
        <v>0.5294117647058824</v>
      </c>
      <c r="P418" s="36" t="n">
        <v>8</v>
      </c>
      <c r="Q418" s="37" t="n">
        <v>0.5333333333333333</v>
      </c>
      <c r="R418" s="36" t="n">
        <v>113</v>
      </c>
      <c r="S418" s="37" t="n">
        <v>0.9912280701754386</v>
      </c>
      <c r="T418" s="36" t="n">
        <v>22</v>
      </c>
      <c r="U418" s="37" t="n">
        <v>0.1929824561403509</v>
      </c>
      <c r="V418" s="38" t="n">
        <v>0</v>
      </c>
      <c r="W418" s="38" t="n">
        <v>3.112000000000001</v>
      </c>
      <c r="X418" s="38" t="n">
        <v>68.366</v>
      </c>
      <c r="Y418" s="38" t="n">
        <v>81.74200000000002</v>
      </c>
      <c r="Z418" s="38" t="n">
        <v>0</v>
      </c>
      <c r="AA418" s="36" t="n">
        <v>84</v>
      </c>
      <c r="AB418" s="37" t="n">
        <v>0.3255813953488372</v>
      </c>
      <c r="AC418" s="36" t="n">
        <v>19</v>
      </c>
      <c r="AD418" s="37" t="n">
        <v>0.3584905660377358</v>
      </c>
      <c r="AE418" s="36" t="n">
        <v>63</v>
      </c>
      <c r="AF418" s="37" t="n">
        <v>0.3684210526315789</v>
      </c>
      <c r="AG418" s="36" t="n">
        <v>18</v>
      </c>
      <c r="AH418" s="37" t="n">
        <v>0.9473684210526315</v>
      </c>
    </row>
    <row r="419">
      <c r="A419" s="53" t="n">
        <v>45760</v>
      </c>
      <c r="B419" t="inlineStr">
        <is>
          <t>R10_Sumbagteng</t>
        </is>
      </c>
      <c r="C419" t="inlineStr">
        <is>
          <t>NOP PADANG</t>
        </is>
      </c>
      <c r="D419" s="38" t="n">
        <v>1.391</v>
      </c>
      <c r="E419" s="38" t="n">
        <v>2.590000000000001</v>
      </c>
      <c r="F419" s="36" t="n">
        <v>3.536</v>
      </c>
      <c r="G419" s="36" t="n">
        <v>3.51</v>
      </c>
      <c r="H419" s="36" t="n">
        <v>59</v>
      </c>
      <c r="I419" s="37" t="n">
        <v>0.855072463768116</v>
      </c>
      <c r="J419" s="36" t="n">
        <v>8</v>
      </c>
      <c r="K419" s="37" t="n">
        <v>0.8888888888888888</v>
      </c>
      <c r="L419" s="36" t="n">
        <v>51</v>
      </c>
      <c r="M419" s="37" t="n">
        <v>0.85</v>
      </c>
      <c r="N419" s="36" t="n">
        <v>4</v>
      </c>
      <c r="O419" s="37" t="n">
        <v>0.5</v>
      </c>
      <c r="P419" s="36" t="n">
        <v>4</v>
      </c>
      <c r="Q419" s="37" t="n">
        <v>0.5</v>
      </c>
      <c r="R419" s="36" t="n">
        <v>67</v>
      </c>
      <c r="S419" s="37" t="n">
        <v>0.9710144927536232</v>
      </c>
      <c r="T419" s="36" t="n">
        <v>27</v>
      </c>
      <c r="U419" s="37" t="n">
        <v>0.391304347826087</v>
      </c>
      <c r="V419" s="38" t="n">
        <v>0.06</v>
      </c>
      <c r="W419" s="38" t="n">
        <v>2.648</v>
      </c>
      <c r="X419" s="38" t="n">
        <v>240</v>
      </c>
      <c r="Y419" s="38" t="n">
        <v>26.05600000000001</v>
      </c>
      <c r="Z419" s="38" t="n">
        <v>0</v>
      </c>
      <c r="AA419" s="36" t="n">
        <v>287</v>
      </c>
      <c r="AB419" s="37" t="n">
        <v>0.7928176795580111</v>
      </c>
      <c r="AC419" s="36" t="n">
        <v>28</v>
      </c>
      <c r="AD419" s="37" t="n">
        <v>0.8235294117647058</v>
      </c>
      <c r="AE419" s="36" t="n">
        <v>253</v>
      </c>
      <c r="AF419" s="37" t="n">
        <v>0.8031746031746032</v>
      </c>
      <c r="AG419" s="36" t="n">
        <v>12</v>
      </c>
      <c r="AH419" s="37" t="n">
        <v>0.4285714285714285</v>
      </c>
    </row>
    <row r="420">
      <c r="A420" s="53" t="n">
        <v>45760</v>
      </c>
      <c r="B420" t="inlineStr">
        <is>
          <t>R10_Sumbagteng</t>
        </is>
      </c>
      <c r="C420" t="inlineStr">
        <is>
          <t>NOP PEKANBARU</t>
        </is>
      </c>
      <c r="D420" s="38" t="n">
        <v>0</v>
      </c>
      <c r="E420" s="38" t="n">
        <v>14.733</v>
      </c>
      <c r="F420" s="36" t="n">
        <v>15.39</v>
      </c>
      <c r="G420" s="36" t="n">
        <v>20.523</v>
      </c>
      <c r="H420" s="36" t="n">
        <v>29</v>
      </c>
      <c r="I420" s="37" t="n">
        <v>0.2660550458715596</v>
      </c>
      <c r="J420" s="36" t="n">
        <v>6</v>
      </c>
      <c r="K420" s="37" t="n">
        <v>0.5</v>
      </c>
      <c r="L420" s="36" t="n">
        <v>23</v>
      </c>
      <c r="M420" s="37" t="n">
        <v>0.2371134020618557</v>
      </c>
      <c r="N420" s="36" t="n">
        <v>5</v>
      </c>
      <c r="O420" s="37" t="n">
        <v>0.8333333333333334</v>
      </c>
      <c r="P420" s="36" t="n">
        <v>5</v>
      </c>
      <c r="Q420" s="37" t="n">
        <v>0.8333333333333334</v>
      </c>
      <c r="R420" s="36" t="n">
        <v>109</v>
      </c>
      <c r="S420" s="37" t="n">
        <v>1</v>
      </c>
      <c r="T420" s="36" t="n">
        <v>23</v>
      </c>
      <c r="U420" s="37" t="n">
        <v>0.2110091743119266</v>
      </c>
      <c r="V420" s="38" t="n">
        <v>0.01</v>
      </c>
      <c r="W420" s="38" t="n">
        <v>2.636</v>
      </c>
      <c r="X420" s="38" t="n">
        <v>37.66800000000004</v>
      </c>
      <c r="Y420" s="38" t="n">
        <v>62.508</v>
      </c>
      <c r="Z420" s="38" t="n">
        <v>0</v>
      </c>
      <c r="AA420" s="36" t="n">
        <v>60</v>
      </c>
      <c r="AB420" s="37" t="n">
        <v>0.2777777777777778</v>
      </c>
      <c r="AC420" s="36" t="n">
        <v>19</v>
      </c>
      <c r="AD420" s="37" t="n">
        <v>0.2567567567567567</v>
      </c>
      <c r="AE420" s="36" t="n">
        <v>41</v>
      </c>
      <c r="AF420" s="37" t="n">
        <v>0.3228346456692913</v>
      </c>
      <c r="AG420" s="36" t="n">
        <v>19</v>
      </c>
      <c r="AH420" s="37" t="n">
        <v>1</v>
      </c>
    </row>
    <row r="421">
      <c r="A421" s="53" t="n">
        <v>45760</v>
      </c>
      <c r="B421" t="inlineStr">
        <is>
          <t>R02_Sumbagsel</t>
        </is>
      </c>
      <c r="C421" t="inlineStr">
        <is>
          <t>NOP BENGKULU</t>
        </is>
      </c>
      <c r="D421" s="38" t="n">
        <v>0</v>
      </c>
      <c r="E421" s="38" t="n">
        <v>3.654</v>
      </c>
      <c r="F421" s="36" t="n">
        <v>4.087999999999999</v>
      </c>
      <c r="G421" s="36" t="n">
        <v>5.32</v>
      </c>
      <c r="H421" s="36" t="n">
        <v>44</v>
      </c>
      <c r="I421" s="37" t="n">
        <v>0.5176470588235295</v>
      </c>
      <c r="J421" s="36" t="n">
        <v>4</v>
      </c>
      <c r="K421" s="37" t="n">
        <v>0.5714285714285714</v>
      </c>
      <c r="L421" s="36" t="n">
        <v>40</v>
      </c>
      <c r="M421" s="37" t="n">
        <v>0.5128205128205128</v>
      </c>
      <c r="N421" s="36" t="n">
        <v>3</v>
      </c>
      <c r="O421" s="37" t="n">
        <v>0.75</v>
      </c>
      <c r="P421" s="36" t="n">
        <v>3</v>
      </c>
      <c r="Q421" s="37" t="n">
        <v>0.75</v>
      </c>
      <c r="R421" s="36" t="n">
        <v>85</v>
      </c>
      <c r="S421" s="37" t="n">
        <v>1</v>
      </c>
      <c r="T421" s="36" t="n">
        <v>23</v>
      </c>
      <c r="U421" s="37" t="n">
        <v>0.2705882352941176</v>
      </c>
      <c r="V421" s="38" t="n">
        <v>0</v>
      </c>
      <c r="W421" s="38" t="n">
        <v>10.22000000000001</v>
      </c>
      <c r="X421" s="38" t="n">
        <v>4.552</v>
      </c>
      <c r="Y421" s="38" t="n">
        <v>20.77</v>
      </c>
      <c r="Z421" s="38" t="n">
        <v>0</v>
      </c>
      <c r="AA421" s="36" t="n">
        <v>74</v>
      </c>
      <c r="AB421" s="37" t="n">
        <v>0.6491228070175439</v>
      </c>
      <c r="AC421" s="36" t="n">
        <v>37</v>
      </c>
      <c r="AD421" s="37" t="n">
        <v>0.5692307692307692</v>
      </c>
      <c r="AE421" s="36" t="n">
        <v>36</v>
      </c>
      <c r="AF421" s="37" t="n">
        <v>0.8181818181818182</v>
      </c>
      <c r="AG421" s="36" t="n">
        <v>35</v>
      </c>
      <c r="AH421" s="37" t="n">
        <v>0.9459459459459459</v>
      </c>
    </row>
    <row r="422">
      <c r="A422" s="53" t="n">
        <v>45760</v>
      </c>
      <c r="B422" t="inlineStr">
        <is>
          <t>R02_Sumbagsel</t>
        </is>
      </c>
      <c r="C422" t="inlineStr">
        <is>
          <t>NOP JAMBI</t>
        </is>
      </c>
      <c r="D422" s="38" t="n">
        <v>3.631</v>
      </c>
      <c r="E422" s="38" t="n">
        <v>4.417000000000001</v>
      </c>
      <c r="F422" s="36" t="n">
        <v>5.7</v>
      </c>
      <c r="G422" s="36" t="n">
        <v>6.961999999999999</v>
      </c>
      <c r="H422" s="36" t="n">
        <v>89</v>
      </c>
      <c r="I422" s="37" t="n">
        <v>0.5460122699386503</v>
      </c>
      <c r="J422" s="36" t="n">
        <v>27</v>
      </c>
      <c r="K422" s="37" t="n">
        <v>0.5192307692307693</v>
      </c>
      <c r="L422" s="36" t="n">
        <v>62</v>
      </c>
      <c r="M422" s="37" t="n">
        <v>0.5585585585585585</v>
      </c>
      <c r="N422" s="36" t="n">
        <v>20</v>
      </c>
      <c r="O422" s="37" t="n">
        <v>0.7407407407407407</v>
      </c>
      <c r="P422" s="36" t="n">
        <v>20</v>
      </c>
      <c r="Q422" s="37" t="n">
        <v>0.7407407407407407</v>
      </c>
      <c r="R422" s="36" t="n">
        <v>163</v>
      </c>
      <c r="S422" s="37" t="n">
        <v>1</v>
      </c>
      <c r="T422" s="36" t="n">
        <v>48</v>
      </c>
      <c r="U422" s="37" t="n">
        <v>0.294478527607362</v>
      </c>
      <c r="V422" s="38" t="n">
        <v>0</v>
      </c>
      <c r="W422" s="38" t="n">
        <v>5.088999999999999</v>
      </c>
      <c r="X422" s="38" t="n">
        <v>14.5</v>
      </c>
      <c r="Y422" s="38" t="n">
        <v>17.358</v>
      </c>
      <c r="Z422" s="38" t="n">
        <v>0</v>
      </c>
      <c r="AA422" s="36" t="n">
        <v>136</v>
      </c>
      <c r="AB422" s="37" t="n">
        <v>0.6355140186915887</v>
      </c>
      <c r="AC422" s="36" t="n">
        <v>75</v>
      </c>
      <c r="AD422" s="37" t="n">
        <v>0.635593220338983</v>
      </c>
      <c r="AE422" s="36" t="n">
        <v>45</v>
      </c>
      <c r="AF422" s="37" t="n">
        <v>0.5921052631578947</v>
      </c>
      <c r="AG422" s="36" t="n">
        <v>66</v>
      </c>
      <c r="AH422" s="37" t="n">
        <v>0.88</v>
      </c>
    </row>
    <row r="423">
      <c r="A423" s="53" t="n">
        <v>45760</v>
      </c>
      <c r="B423" t="inlineStr">
        <is>
          <t>R02_Sumbagsel</t>
        </is>
      </c>
      <c r="C423" t="inlineStr">
        <is>
          <t>NOP LAMPUNG</t>
        </is>
      </c>
      <c r="D423" s="38" t="n">
        <v>0</v>
      </c>
      <c r="E423" s="38" t="n">
        <v>2.572</v>
      </c>
      <c r="F423" s="36" t="n">
        <v>2.27</v>
      </c>
      <c r="G423" s="36" t="n">
        <v>3.915</v>
      </c>
      <c r="H423" s="36" t="n">
        <v>24</v>
      </c>
      <c r="I423" s="37" t="n">
        <v>0.5454545454545454</v>
      </c>
      <c r="J423" s="36" t="n">
        <v>7</v>
      </c>
      <c r="K423" s="37" t="n">
        <v>0.5384615384615384</v>
      </c>
      <c r="L423" s="36" t="n">
        <v>17</v>
      </c>
      <c r="M423" s="37" t="n">
        <v>0.5483870967741935</v>
      </c>
      <c r="N423" s="36" t="n">
        <v>6</v>
      </c>
      <c r="O423" s="37" t="n">
        <v>0.8571428571428571</v>
      </c>
      <c r="P423" s="36" t="n">
        <v>6</v>
      </c>
      <c r="Q423" s="37" t="n">
        <v>0.8571428571428571</v>
      </c>
      <c r="R423" s="36" t="n">
        <v>44</v>
      </c>
      <c r="S423" s="37" t="n">
        <v>1</v>
      </c>
      <c r="T423" s="36" t="n">
        <v>17</v>
      </c>
      <c r="U423" s="37" t="n">
        <v>0.3863636363636364</v>
      </c>
      <c r="V423" s="38" t="n">
        <v>0</v>
      </c>
      <c r="W423" s="38" t="n">
        <v>3.105</v>
      </c>
      <c r="X423" s="38" t="n">
        <v>3.268000000000001</v>
      </c>
      <c r="Y423" s="38" t="n">
        <v>25.664</v>
      </c>
      <c r="Z423" s="38" t="n">
        <v>0</v>
      </c>
      <c r="AA423" s="36" t="n">
        <v>107</v>
      </c>
      <c r="AB423" s="37" t="n">
        <v>0.9145299145299145</v>
      </c>
      <c r="AC423" s="36" t="n">
        <v>17</v>
      </c>
      <c r="AD423" s="37" t="n">
        <v>0.6538461538461539</v>
      </c>
      <c r="AE423" s="36" t="n">
        <v>86</v>
      </c>
      <c r="AF423" s="37" t="n">
        <v>1</v>
      </c>
      <c r="AG423" s="36" t="n">
        <v>15</v>
      </c>
      <c r="AH423" s="37" t="n">
        <v>0.8823529411764706</v>
      </c>
    </row>
    <row r="424">
      <c r="A424" s="53" t="n">
        <v>45760</v>
      </c>
      <c r="B424" t="inlineStr">
        <is>
          <t>R02_Sumbagsel</t>
        </is>
      </c>
      <c r="C424" t="inlineStr">
        <is>
          <t>NOP MUARA ENIM</t>
        </is>
      </c>
      <c r="D424" s="38" t="n">
        <v>2.422</v>
      </c>
      <c r="E424" s="38" t="n">
        <v>5.113999999999998</v>
      </c>
      <c r="F424" s="36" t="n">
        <v>4.19</v>
      </c>
      <c r="G424" s="36" t="n">
        <v>3.98</v>
      </c>
      <c r="H424" s="36" t="n">
        <v>100</v>
      </c>
      <c r="I424" s="37" t="n">
        <v>0.5347593582887701</v>
      </c>
      <c r="J424" s="36" t="n">
        <v>21</v>
      </c>
      <c r="K424" s="37" t="n">
        <v>0.4375</v>
      </c>
      <c r="L424" s="36" t="n">
        <v>79</v>
      </c>
      <c r="M424" s="37" t="n">
        <v>0.5683453237410072</v>
      </c>
      <c r="N424" s="36" t="n">
        <v>9</v>
      </c>
      <c r="O424" s="37" t="n">
        <v>0.4285714285714285</v>
      </c>
      <c r="P424" s="36" t="n">
        <v>9</v>
      </c>
      <c r="Q424" s="37" t="n">
        <v>0.4736842105263158</v>
      </c>
      <c r="R424" s="36" t="n">
        <v>176</v>
      </c>
      <c r="S424" s="37" t="n">
        <v>0.9411764705882353</v>
      </c>
      <c r="T424" s="36" t="n">
        <v>37</v>
      </c>
      <c r="U424" s="37" t="n">
        <v>0.1978609625668449</v>
      </c>
      <c r="V424" s="38" t="n">
        <v>0</v>
      </c>
      <c r="W424" s="38" t="n">
        <v>3.462000000000001</v>
      </c>
      <c r="X424" s="38" t="n">
        <v>4.832</v>
      </c>
      <c r="Y424" s="38" t="n">
        <v>9.954000000000001</v>
      </c>
      <c r="Z424" s="38" t="n">
        <v>0</v>
      </c>
      <c r="AA424" s="36" t="n">
        <v>74</v>
      </c>
      <c r="AB424" s="37" t="n">
        <v>0.4180790960451977</v>
      </c>
      <c r="AC424" s="36" t="n">
        <v>35</v>
      </c>
      <c r="AD424" s="37" t="n">
        <v>0.4117647058823529</v>
      </c>
      <c r="AE424" s="36" t="n">
        <v>37</v>
      </c>
      <c r="AF424" s="37" t="n">
        <v>0.4933333333333333</v>
      </c>
      <c r="AG424" s="36" t="n">
        <v>28</v>
      </c>
      <c r="AH424" s="37" t="n">
        <v>0.8</v>
      </c>
    </row>
    <row r="425">
      <c r="A425" s="53" t="n">
        <v>45760</v>
      </c>
      <c r="B425" t="inlineStr">
        <is>
          <t>R02_Sumbagsel</t>
        </is>
      </c>
      <c r="C425" t="inlineStr">
        <is>
          <t>NOP PALEMBANG</t>
        </is>
      </c>
      <c r="D425" s="38" t="n">
        <v>9.725000000000001</v>
      </c>
      <c r="E425" s="38" t="n">
        <v>7.92</v>
      </c>
      <c r="F425" s="36" t="n">
        <v>6.423999999999999</v>
      </c>
      <c r="G425" s="36" t="n">
        <v>9.463000000000001</v>
      </c>
      <c r="H425" s="36" t="n">
        <v>59</v>
      </c>
      <c r="I425" s="37" t="n">
        <v>0.297979797979798</v>
      </c>
      <c r="J425" s="36" t="n">
        <v>4</v>
      </c>
      <c r="K425" s="37" t="n">
        <v>0.2666666666666667</v>
      </c>
      <c r="L425" s="36" t="n">
        <v>55</v>
      </c>
      <c r="M425" s="37" t="n">
        <v>0.3005464480874317</v>
      </c>
      <c r="N425" s="36" t="n">
        <v>1</v>
      </c>
      <c r="O425" s="37" t="n">
        <v>0.25</v>
      </c>
      <c r="P425" s="36" t="n">
        <v>1</v>
      </c>
      <c r="Q425" s="37" t="n">
        <v>0.25</v>
      </c>
      <c r="R425" s="36" t="n">
        <v>198</v>
      </c>
      <c r="S425" s="37" t="n">
        <v>1</v>
      </c>
      <c r="T425" s="36" t="n">
        <v>26</v>
      </c>
      <c r="U425" s="37" t="n">
        <v>0.1313131313131313</v>
      </c>
      <c r="V425" s="38" t="n">
        <v>0</v>
      </c>
      <c r="W425" s="38" t="n">
        <v>7.200999999999999</v>
      </c>
      <c r="X425" s="38" t="n">
        <v>11.174</v>
      </c>
      <c r="Y425" s="38" t="n">
        <v>11.82</v>
      </c>
      <c r="Z425" s="38" t="n">
        <v>0</v>
      </c>
      <c r="AA425" s="36" t="n">
        <v>35</v>
      </c>
      <c r="AB425" s="37" t="n">
        <v>0.2134146341463415</v>
      </c>
      <c r="AC425" s="36" t="n">
        <v>18</v>
      </c>
      <c r="AD425" s="37" t="n">
        <v>0.2045454545454546</v>
      </c>
      <c r="AE425" s="36" t="n">
        <v>17</v>
      </c>
      <c r="AF425" s="37" t="n">
        <v>0.2833333333333333</v>
      </c>
      <c r="AG425" s="36" t="n">
        <v>12</v>
      </c>
      <c r="AH425" s="37" t="n">
        <v>0.6666666666666666</v>
      </c>
    </row>
    <row r="426">
      <c r="A426" s="53" t="n">
        <v>45760</v>
      </c>
      <c r="B426" t="inlineStr">
        <is>
          <t>R02_Sumbagsel</t>
        </is>
      </c>
      <c r="C426" t="inlineStr">
        <is>
          <t>NOP PANGKAL PINANG</t>
        </is>
      </c>
      <c r="D426" s="38" t="n">
        <v>0</v>
      </c>
      <c r="E426" s="38" t="n">
        <v>0.66</v>
      </c>
      <c r="F426" s="36" t="n">
        <v>0.82</v>
      </c>
      <c r="G426" s="36" t="n">
        <v>8.016000000000002</v>
      </c>
      <c r="H426" s="36" t="n">
        <v>10</v>
      </c>
      <c r="I426" s="37" t="n">
        <v>0.7142857142857143</v>
      </c>
      <c r="J426" s="36" t="n">
        <v>0</v>
      </c>
      <c r="K426" s="37" t="n">
        <v>0</v>
      </c>
      <c r="L426" s="36" t="n">
        <v>10</v>
      </c>
      <c r="M426" s="37" t="n">
        <v>0.7692307692307693</v>
      </c>
      <c r="N426" s="36" t="n">
        <v>0</v>
      </c>
      <c r="O426" s="37" t="n">
        <v>0</v>
      </c>
      <c r="P426" s="36" t="n">
        <v>0</v>
      </c>
      <c r="Q426" s="37" t="n">
        <v>0</v>
      </c>
      <c r="R426" s="36" t="n">
        <v>14</v>
      </c>
      <c r="S426" s="37" t="n">
        <v>1</v>
      </c>
      <c r="T426" s="36" t="n">
        <v>5</v>
      </c>
      <c r="U426" s="37" t="n">
        <v>0.3571428571428572</v>
      </c>
      <c r="V426" s="38" t="n">
        <v>0</v>
      </c>
      <c r="W426" s="38" t="n">
        <v>1.68</v>
      </c>
      <c r="X426" s="38" t="n">
        <v>68.41800000000001</v>
      </c>
      <c r="Y426" s="38" t="n">
        <v>7.029999999999999</v>
      </c>
      <c r="Z426" s="38" t="n">
        <v>0</v>
      </c>
      <c r="AA426" s="36" t="n">
        <v>29</v>
      </c>
      <c r="AB426" s="37" t="n">
        <v>0.4915254237288136</v>
      </c>
      <c r="AC426" s="36" t="n">
        <v>4</v>
      </c>
      <c r="AD426" s="37" t="n">
        <v>0.6666666666666666</v>
      </c>
      <c r="AE426" s="36" t="n">
        <v>24</v>
      </c>
      <c r="AF426" s="37" t="n">
        <v>0.6153846153846154</v>
      </c>
      <c r="AG426" s="36" t="n">
        <v>3</v>
      </c>
      <c r="AH426" s="37" t="n">
        <v>0.75</v>
      </c>
    </row>
    <row r="427">
      <c r="A427" s="53" t="n">
        <v>45760</v>
      </c>
      <c r="B427" t="inlineStr">
        <is>
          <t>R05_Jawa Tengah DIY</t>
        </is>
      </c>
      <c r="C427" t="inlineStr">
        <is>
          <t>NOP MAGELANG</t>
        </is>
      </c>
      <c r="D427" s="38" t="n">
        <v>0</v>
      </c>
      <c r="E427" s="38" t="n">
        <v>0</v>
      </c>
      <c r="F427" s="36" t="n">
        <v>4.72</v>
      </c>
      <c r="G427" s="36" t="n">
        <v>11.495</v>
      </c>
      <c r="H427" s="36" t="n">
        <v>22</v>
      </c>
      <c r="I427" s="37" t="n">
        <v>0.88</v>
      </c>
      <c r="J427" s="36" t="n">
        <v>0</v>
      </c>
      <c r="K427" s="37" t="n">
        <v>0</v>
      </c>
      <c r="L427" s="36" t="n">
        <v>22</v>
      </c>
      <c r="M427" s="37" t="n">
        <v>0.88</v>
      </c>
      <c r="N427" s="36" t="n">
        <v>0</v>
      </c>
      <c r="O427" s="37" t="n">
        <v>0</v>
      </c>
      <c r="P427" s="36" t="n">
        <v>0</v>
      </c>
      <c r="Q427" s="37" t="n">
        <v>0</v>
      </c>
      <c r="R427" s="36" t="n">
        <v>25</v>
      </c>
      <c r="S427" s="37" t="n">
        <v>1</v>
      </c>
      <c r="T427" s="36" t="n">
        <v>21</v>
      </c>
      <c r="U427" s="37" t="n">
        <v>0.84</v>
      </c>
      <c r="V427" s="38" t="n">
        <v>0</v>
      </c>
      <c r="W427" s="38" t="n">
        <v>2.378000000000001</v>
      </c>
      <c r="X427" s="38" t="n">
        <v>7.216000000000001</v>
      </c>
      <c r="Y427" s="38" t="n">
        <v>14.308</v>
      </c>
      <c r="Z427" s="38" t="n">
        <v>0</v>
      </c>
      <c r="AA427" s="36" t="n">
        <v>45</v>
      </c>
      <c r="AB427" s="37" t="n">
        <v>0.9375</v>
      </c>
      <c r="AC427" s="36" t="n">
        <v>7</v>
      </c>
      <c r="AD427" s="37" t="n">
        <v>0.7777777777777778</v>
      </c>
      <c r="AE427" s="36" t="n">
        <v>38</v>
      </c>
      <c r="AF427" s="37" t="n">
        <v>0.9743589743589743</v>
      </c>
      <c r="AG427" s="36" t="n">
        <v>7</v>
      </c>
      <c r="AH427" s="37" t="n">
        <v>1</v>
      </c>
    </row>
    <row r="428">
      <c r="A428" s="53" t="n">
        <v>45760</v>
      </c>
      <c r="B428" t="inlineStr">
        <is>
          <t>R05_Jawa Tengah DIY</t>
        </is>
      </c>
      <c r="C428" t="inlineStr">
        <is>
          <t>NOP PEKALONGAN</t>
        </is>
      </c>
      <c r="D428" s="38" t="n">
        <v>0</v>
      </c>
      <c r="E428" s="38" t="n">
        <v>0</v>
      </c>
      <c r="F428" s="36" t="n">
        <v>1.91</v>
      </c>
      <c r="G428" s="36" t="n">
        <v>1.222</v>
      </c>
      <c r="H428" s="36" t="n">
        <v>8</v>
      </c>
      <c r="I428" s="37" t="n">
        <v>0.7272727272727273</v>
      </c>
      <c r="J428" s="36" t="n">
        <v>0</v>
      </c>
      <c r="K428" s="37" t="n">
        <v>0</v>
      </c>
      <c r="L428" s="36" t="n">
        <v>8</v>
      </c>
      <c r="M428" s="37" t="n">
        <v>0.7272727272727273</v>
      </c>
      <c r="N428" s="36" t="n">
        <v>0</v>
      </c>
      <c r="O428" s="37" t="n">
        <v>0</v>
      </c>
      <c r="P428" s="36" t="n">
        <v>0</v>
      </c>
      <c r="Q428" s="37" t="n">
        <v>0</v>
      </c>
      <c r="R428" s="36" t="n">
        <v>11</v>
      </c>
      <c r="S428" s="37" t="n">
        <v>1</v>
      </c>
      <c r="T428" s="36" t="n">
        <v>10</v>
      </c>
      <c r="U428" s="37" t="n">
        <v>0.9090909090909091</v>
      </c>
      <c r="V428" s="38" t="n">
        <v>0</v>
      </c>
      <c r="W428" s="38" t="n">
        <v>3.214000000000002</v>
      </c>
      <c r="X428" s="38" t="n">
        <v>3.306</v>
      </c>
      <c r="Y428" s="38" t="n">
        <v>77.84999999999999</v>
      </c>
      <c r="Z428" s="38" t="n">
        <v>0</v>
      </c>
      <c r="AA428" s="36" t="n">
        <v>25</v>
      </c>
      <c r="AB428" s="37" t="n">
        <v>0.78125</v>
      </c>
      <c r="AC428" s="36" t="n">
        <v>4</v>
      </c>
      <c r="AD428" s="37" t="n">
        <v>0.5714285714285714</v>
      </c>
      <c r="AE428" s="36" t="n">
        <v>21</v>
      </c>
      <c r="AF428" s="37" t="n">
        <v>0.84</v>
      </c>
      <c r="AG428" s="36" t="n">
        <v>1</v>
      </c>
      <c r="AH428" s="37" t="n">
        <v>0.25</v>
      </c>
    </row>
    <row r="429">
      <c r="A429" s="53" t="n">
        <v>45760</v>
      </c>
      <c r="B429" t="inlineStr">
        <is>
          <t>R05_Jawa Tengah DIY</t>
        </is>
      </c>
      <c r="C429" t="inlineStr">
        <is>
          <t>NOP PURWOKERTO</t>
        </is>
      </c>
      <c r="D429" s="38" t="n">
        <v>2.12</v>
      </c>
      <c r="E429" s="38" t="n">
        <v>0</v>
      </c>
      <c r="F429" s="36" t="n">
        <v>2.322</v>
      </c>
      <c r="G429" s="36" t="n">
        <v>2.340999999999997</v>
      </c>
      <c r="H429" s="36" t="n">
        <v>8</v>
      </c>
      <c r="I429" s="37" t="n">
        <v>0.5714285714285714</v>
      </c>
      <c r="J429" s="36" t="n">
        <v>1</v>
      </c>
      <c r="K429" s="37" t="n">
        <v>1</v>
      </c>
      <c r="L429" s="36" t="n">
        <v>7</v>
      </c>
      <c r="M429" s="37" t="n">
        <v>0.5384615384615384</v>
      </c>
      <c r="N429" s="36" t="n">
        <v>1</v>
      </c>
      <c r="O429" s="37" t="n">
        <v>1</v>
      </c>
      <c r="P429" s="36" t="n">
        <v>1</v>
      </c>
      <c r="Q429" s="37" t="n">
        <v>1</v>
      </c>
      <c r="R429" s="36" t="n">
        <v>14</v>
      </c>
      <c r="S429" s="37" t="n">
        <v>1</v>
      </c>
      <c r="T429" s="36" t="n">
        <v>5</v>
      </c>
      <c r="U429" s="37" t="n">
        <v>0.3571428571428572</v>
      </c>
      <c r="V429" s="38" t="n">
        <v>0</v>
      </c>
      <c r="W429" s="38" t="n">
        <v>3.875</v>
      </c>
      <c r="X429" s="38" t="n">
        <v>18.188</v>
      </c>
      <c r="Y429" s="38" t="n">
        <v>18.879</v>
      </c>
      <c r="Z429" s="38" t="n">
        <v>0</v>
      </c>
      <c r="AA429" s="36" t="n">
        <v>23</v>
      </c>
      <c r="AB429" s="37" t="n">
        <v>0.6571428571428571</v>
      </c>
      <c r="AC429" s="36" t="n">
        <v>4</v>
      </c>
      <c r="AD429" s="37" t="n">
        <v>0.6666666666666666</v>
      </c>
      <c r="AE429" s="36" t="n">
        <v>19</v>
      </c>
      <c r="AF429" s="37" t="n">
        <v>0.6551724137931034</v>
      </c>
      <c r="AG429" s="36" t="n">
        <v>4</v>
      </c>
      <c r="AH429" s="37" t="n">
        <v>1</v>
      </c>
    </row>
    <row r="430">
      <c r="A430" s="53" t="n">
        <v>45760</v>
      </c>
      <c r="B430" t="inlineStr">
        <is>
          <t>R05_Jawa Tengah DIY</t>
        </is>
      </c>
      <c r="C430" t="inlineStr">
        <is>
          <t>NOP SEMARANG</t>
        </is>
      </c>
      <c r="D430" s="38" t="n">
        <v>1.028</v>
      </c>
      <c r="E430" s="38" t="n">
        <v>0</v>
      </c>
      <c r="F430" s="36" t="n">
        <v>1.876</v>
      </c>
      <c r="G430" s="36" t="n">
        <v>2.166</v>
      </c>
      <c r="H430" s="36" t="n">
        <v>1</v>
      </c>
      <c r="I430" s="37" t="n">
        <v>0.07142857142857142</v>
      </c>
      <c r="J430" s="36" t="n">
        <v>0</v>
      </c>
      <c r="K430" s="37" t="n">
        <v>0</v>
      </c>
      <c r="L430" s="36" t="n">
        <v>1</v>
      </c>
      <c r="M430" s="37" t="n">
        <v>0.09090909090909091</v>
      </c>
      <c r="N430" s="36" t="n">
        <v>0</v>
      </c>
      <c r="O430" s="37" t="n">
        <v>0</v>
      </c>
      <c r="P430" s="36" t="n">
        <v>0</v>
      </c>
      <c r="Q430" s="37" t="n">
        <v>0</v>
      </c>
      <c r="R430" s="36" t="n">
        <v>11</v>
      </c>
      <c r="S430" s="37" t="n">
        <v>0.7857142857142857</v>
      </c>
      <c r="T430" s="36" t="n">
        <v>1</v>
      </c>
      <c r="U430" s="37" t="n">
        <v>0.07142857142857142</v>
      </c>
      <c r="V430" s="38" t="n">
        <v>0</v>
      </c>
      <c r="W430" s="38" t="n">
        <v>26.822</v>
      </c>
      <c r="X430" s="38" t="n">
        <v>12.216</v>
      </c>
      <c r="Y430" s="38" t="n">
        <v>52.92600000000002</v>
      </c>
      <c r="Z430" s="38" t="n">
        <v>0</v>
      </c>
      <c r="AA430" s="36" t="n">
        <v>23</v>
      </c>
      <c r="AB430" s="37" t="n">
        <v>0.9583333333333334</v>
      </c>
      <c r="AC430" s="36" t="n">
        <v>4</v>
      </c>
      <c r="AD430" s="37" t="n">
        <v>0.8</v>
      </c>
      <c r="AE430" s="36" t="n">
        <v>19</v>
      </c>
      <c r="AF430" s="37" t="n">
        <v>1</v>
      </c>
      <c r="AG430" s="36" t="n">
        <v>3</v>
      </c>
      <c r="AH430" s="37" t="n">
        <v>0.75</v>
      </c>
    </row>
    <row r="431">
      <c r="A431" s="53" t="n">
        <v>45760</v>
      </c>
      <c r="B431" t="inlineStr">
        <is>
          <t>R05_Jawa Tengah DIY</t>
        </is>
      </c>
      <c r="C431" t="inlineStr">
        <is>
          <t>NOP SURAKARTA</t>
        </is>
      </c>
      <c r="D431" s="38" t="n">
        <v>1.763</v>
      </c>
      <c r="E431" s="38" t="n">
        <v>0</v>
      </c>
      <c r="F431" s="36" t="n">
        <v>1.204</v>
      </c>
      <c r="G431" s="36" t="n">
        <v>6.022000000000003</v>
      </c>
      <c r="H431" s="36" t="n">
        <v>15</v>
      </c>
      <c r="I431" s="37" t="n">
        <v>0.4545454545454545</v>
      </c>
      <c r="J431" s="36" t="n">
        <v>1</v>
      </c>
      <c r="K431" s="37" t="n">
        <v>0.5</v>
      </c>
      <c r="L431" s="36" t="n">
        <v>14</v>
      </c>
      <c r="M431" s="37" t="n">
        <v>0.4516129032258064</v>
      </c>
      <c r="N431" s="36" t="n">
        <v>1</v>
      </c>
      <c r="O431" s="37" t="n">
        <v>1</v>
      </c>
      <c r="P431" s="36" t="n">
        <v>1</v>
      </c>
      <c r="Q431" s="37" t="n">
        <v>1</v>
      </c>
      <c r="R431" s="36" t="n">
        <v>31</v>
      </c>
      <c r="S431" s="37" t="n">
        <v>0.9393939393939394</v>
      </c>
      <c r="T431" s="36" t="n">
        <v>8</v>
      </c>
      <c r="U431" s="37" t="n">
        <v>0.2424242424242424</v>
      </c>
      <c r="V431" s="38" t="n">
        <v>0</v>
      </c>
      <c r="W431" s="38" t="n">
        <v>1.236</v>
      </c>
      <c r="X431" s="38" t="n">
        <v>8.352000000000004</v>
      </c>
      <c r="Y431" s="38" t="n">
        <v>16.529</v>
      </c>
      <c r="Z431" s="38" t="n">
        <v>0</v>
      </c>
      <c r="AA431" s="36" t="n">
        <v>22</v>
      </c>
      <c r="AB431" s="37" t="n">
        <v>0.8461538461538461</v>
      </c>
      <c r="AC431" s="36" t="n">
        <v>4</v>
      </c>
      <c r="AD431" s="37" t="n">
        <v>0.8</v>
      </c>
      <c r="AE431" s="36" t="n">
        <v>18</v>
      </c>
      <c r="AF431" s="37" t="n">
        <v>0.8571428571428571</v>
      </c>
      <c r="AG431" s="36" t="n">
        <v>4</v>
      </c>
      <c r="AH431" s="37" t="n">
        <v>1</v>
      </c>
    </row>
    <row r="432">
      <c r="A432" s="53" t="n">
        <v>45760</v>
      </c>
      <c r="B432" t="inlineStr">
        <is>
          <t>R05_Jawa Tengah DIY</t>
        </is>
      </c>
      <c r="C432" t="inlineStr">
        <is>
          <t>NOP YOGYAKARTA</t>
        </is>
      </c>
      <c r="D432" s="38" t="n">
        <v>3.035</v>
      </c>
      <c r="E432" s="38" t="n">
        <v>0</v>
      </c>
      <c r="F432" s="36" t="n">
        <v>5.52</v>
      </c>
      <c r="G432" s="36" t="n">
        <v>1.566999999999999</v>
      </c>
      <c r="H432" s="36" t="n">
        <v>21</v>
      </c>
      <c r="I432" s="37" t="n">
        <v>0.5526315789473685</v>
      </c>
      <c r="J432" s="36" t="n">
        <v>2</v>
      </c>
      <c r="K432" s="37" t="n">
        <v>1</v>
      </c>
      <c r="L432" s="36" t="n">
        <v>19</v>
      </c>
      <c r="M432" s="37" t="n">
        <v>0.5277777777777778</v>
      </c>
      <c r="N432" s="36" t="n">
        <v>2</v>
      </c>
      <c r="O432" s="37" t="n">
        <v>1</v>
      </c>
      <c r="P432" s="36" t="n">
        <v>2</v>
      </c>
      <c r="Q432" s="37" t="n">
        <v>1</v>
      </c>
      <c r="R432" s="36" t="n">
        <v>38</v>
      </c>
      <c r="S432" s="37" t="n">
        <v>1</v>
      </c>
      <c r="T432" s="36" t="n">
        <v>12</v>
      </c>
      <c r="U432" s="37" t="n">
        <v>0.3157894736842105</v>
      </c>
      <c r="V432" s="38" t="n">
        <v>0</v>
      </c>
      <c r="W432" s="38" t="n">
        <v>0</v>
      </c>
      <c r="X432" s="38" t="n">
        <v>25.08</v>
      </c>
      <c r="Y432" s="38" t="n">
        <v>33.717</v>
      </c>
      <c r="Z432" s="38" t="n">
        <v>0</v>
      </c>
      <c r="AA432" s="36" t="n">
        <v>24</v>
      </c>
      <c r="AB432" s="37" t="n">
        <v>0.9230769230769231</v>
      </c>
      <c r="AC432" s="36" t="n">
        <v>0</v>
      </c>
      <c r="AD432" s="37" t="n">
        <v>0</v>
      </c>
      <c r="AE432" s="36" t="n">
        <v>24</v>
      </c>
      <c r="AF432" s="37" t="n">
        <v>0.9230769230769231</v>
      </c>
      <c r="AG432" s="36" t="n">
        <v>0</v>
      </c>
      <c r="AH432" s="37" t="n">
        <v>0</v>
      </c>
    </row>
    <row r="433">
      <c r="A433" s="53" t="n">
        <v>45760</v>
      </c>
      <c r="B433" t="inlineStr">
        <is>
          <t>R06_Jawa Timur</t>
        </is>
      </c>
      <c r="C433" t="inlineStr">
        <is>
          <t>NOP JEMBER</t>
        </is>
      </c>
      <c r="D433" s="38" t="n">
        <v>0.37</v>
      </c>
      <c r="E433" s="38" t="n">
        <v>0</v>
      </c>
      <c r="F433" s="36" t="n">
        <v>1.58</v>
      </c>
      <c r="G433" s="36" t="n">
        <v>1.831</v>
      </c>
      <c r="H433" s="36" t="n">
        <v>7</v>
      </c>
      <c r="I433" s="37" t="n">
        <v>0.4666666666666667</v>
      </c>
      <c r="J433" s="36" t="n">
        <v>0</v>
      </c>
      <c r="K433" s="37" t="n">
        <v>0</v>
      </c>
      <c r="L433" s="36" t="n">
        <v>7</v>
      </c>
      <c r="M433" s="37" t="n">
        <v>0.5</v>
      </c>
      <c r="N433" s="36" t="n">
        <v>0</v>
      </c>
      <c r="O433" s="37" t="n">
        <v>0</v>
      </c>
      <c r="P433" s="36" t="n">
        <v>0</v>
      </c>
      <c r="Q433" s="37" t="n">
        <v>0</v>
      </c>
      <c r="R433" s="36" t="n">
        <v>14</v>
      </c>
      <c r="S433" s="37" t="n">
        <v>0.9333333333333333</v>
      </c>
      <c r="T433" s="36" t="n">
        <v>5</v>
      </c>
      <c r="U433" s="37" t="n">
        <v>0.3333333333333333</v>
      </c>
      <c r="V433" s="38" t="n">
        <v>0</v>
      </c>
      <c r="W433" s="38" t="n">
        <v>1.797</v>
      </c>
      <c r="X433" s="38" t="n">
        <v>10.176</v>
      </c>
      <c r="Y433" s="38" t="n">
        <v>14.73</v>
      </c>
      <c r="Z433" s="38" t="n">
        <v>0</v>
      </c>
      <c r="AA433" s="36" t="n">
        <v>12</v>
      </c>
      <c r="AB433" s="37" t="n">
        <v>0.8571428571428571</v>
      </c>
      <c r="AC433" s="36" t="n">
        <v>3</v>
      </c>
      <c r="AD433" s="37" t="n">
        <v>0.75</v>
      </c>
      <c r="AE433" s="36" t="n">
        <v>9</v>
      </c>
      <c r="AF433" s="37" t="n">
        <v>0.9</v>
      </c>
      <c r="AG433" s="36" t="n">
        <v>3</v>
      </c>
      <c r="AH433" s="37" t="n">
        <v>1</v>
      </c>
    </row>
    <row r="434">
      <c r="A434" s="53" t="n">
        <v>45760</v>
      </c>
      <c r="B434" t="inlineStr">
        <is>
          <t>R06_Jawa Timur</t>
        </is>
      </c>
      <c r="C434" t="inlineStr">
        <is>
          <t>NOP KEDIRI</t>
        </is>
      </c>
      <c r="D434" s="38" t="n">
        <v>0</v>
      </c>
      <c r="E434" s="38" t="n">
        <v>0</v>
      </c>
      <c r="F434" s="36" t="n">
        <v>0.35</v>
      </c>
      <c r="G434" s="36" t="n">
        <v>1.23</v>
      </c>
      <c r="H434" s="36" t="n">
        <v>1</v>
      </c>
      <c r="I434" s="37" t="n">
        <v>0.5</v>
      </c>
      <c r="J434" s="36" t="n">
        <v>0</v>
      </c>
      <c r="K434" s="37" t="n">
        <v>0</v>
      </c>
      <c r="L434" s="36" t="n">
        <v>1</v>
      </c>
      <c r="M434" s="37" t="n">
        <v>0.5</v>
      </c>
      <c r="N434" s="36" t="n">
        <v>0</v>
      </c>
      <c r="O434" s="37" t="n">
        <v>0</v>
      </c>
      <c r="P434" s="36" t="n">
        <v>0</v>
      </c>
      <c r="Q434" s="37" t="n">
        <v>0</v>
      </c>
      <c r="R434" s="36" t="n">
        <v>2</v>
      </c>
      <c r="S434" s="37" t="n">
        <v>1</v>
      </c>
      <c r="T434" s="36" t="n">
        <v>1</v>
      </c>
      <c r="U434" s="37" t="n">
        <v>0.5</v>
      </c>
      <c r="V434" s="38" t="n">
        <v>0</v>
      </c>
      <c r="W434" s="38" t="n">
        <v>0</v>
      </c>
      <c r="X434" s="38" t="n">
        <v>3.175</v>
      </c>
      <c r="Y434" s="38" t="n">
        <v>0</v>
      </c>
      <c r="Z434" s="38" t="n">
        <v>0</v>
      </c>
      <c r="AA434" s="36" t="n">
        <v>4</v>
      </c>
      <c r="AB434" s="37" t="n">
        <v>1</v>
      </c>
      <c r="AC434" s="36" t="n">
        <v>0</v>
      </c>
      <c r="AD434" s="37" t="n">
        <v>0</v>
      </c>
      <c r="AE434" s="36" t="n">
        <v>4</v>
      </c>
      <c r="AF434" s="37" t="n">
        <v>1</v>
      </c>
      <c r="AG434" s="36" t="n">
        <v>0</v>
      </c>
      <c r="AH434" s="37" t="n">
        <v>0</v>
      </c>
    </row>
    <row r="435">
      <c r="A435" s="53" t="n">
        <v>45760</v>
      </c>
      <c r="B435" t="inlineStr">
        <is>
          <t>R06_Jawa Timur</t>
        </is>
      </c>
      <c r="C435" t="inlineStr">
        <is>
          <t>NOP LAMONGAN</t>
        </is>
      </c>
      <c r="D435" s="38" t="n">
        <v>1.24</v>
      </c>
      <c r="E435" s="38" t="n">
        <v>0</v>
      </c>
      <c r="F435" s="36" t="n">
        <v>0.982</v>
      </c>
      <c r="G435" s="36" t="n">
        <v>0</v>
      </c>
      <c r="H435" s="36" t="n">
        <v>3</v>
      </c>
      <c r="I435" s="37" t="n">
        <v>0.75</v>
      </c>
      <c r="J435" s="36" t="n">
        <v>1</v>
      </c>
      <c r="K435" s="37" t="n">
        <v>1</v>
      </c>
      <c r="L435" s="36" t="n">
        <v>2</v>
      </c>
      <c r="M435" s="37" t="n">
        <v>0.6666666666666666</v>
      </c>
      <c r="N435" s="36" t="n">
        <v>1</v>
      </c>
      <c r="O435" s="37" t="n">
        <v>1</v>
      </c>
      <c r="P435" s="36" t="n">
        <v>1</v>
      </c>
      <c r="Q435" s="37" t="n">
        <v>1</v>
      </c>
      <c r="R435" s="36" t="n">
        <v>4</v>
      </c>
      <c r="S435" s="37" t="n">
        <v>1</v>
      </c>
      <c r="T435" s="36" t="n">
        <v>2</v>
      </c>
      <c r="U435" s="37" t="n">
        <v>0.5</v>
      </c>
      <c r="V435" s="38" t="n">
        <v>0</v>
      </c>
      <c r="W435" s="38" t="n">
        <v>0</v>
      </c>
      <c r="X435" s="38" t="n">
        <v>5.792</v>
      </c>
      <c r="Y435" s="38" t="n">
        <v>15.41</v>
      </c>
      <c r="Z435" s="38" t="n">
        <v>0</v>
      </c>
      <c r="AA435" s="36" t="n">
        <v>4</v>
      </c>
      <c r="AB435" s="37" t="n">
        <v>1</v>
      </c>
      <c r="AC435" s="36" t="n">
        <v>0</v>
      </c>
      <c r="AD435" s="37" t="n">
        <v>0</v>
      </c>
      <c r="AE435" s="36" t="n">
        <v>4</v>
      </c>
      <c r="AF435" s="37" t="n">
        <v>1</v>
      </c>
      <c r="AG435" s="36" t="n">
        <v>0</v>
      </c>
      <c r="AH435" s="37" t="n">
        <v>0</v>
      </c>
    </row>
    <row r="436">
      <c r="A436" s="53" t="n">
        <v>45760</v>
      </c>
      <c r="B436" t="inlineStr">
        <is>
          <t>R06_Jawa Timur</t>
        </is>
      </c>
      <c r="C436" t="inlineStr">
        <is>
          <t>NOP MADIUN</t>
        </is>
      </c>
      <c r="D436" s="38" t="n">
        <v>0</v>
      </c>
      <c r="E436" s="38" t="n">
        <v>0</v>
      </c>
      <c r="F436" s="36" t="n">
        <v>2.21</v>
      </c>
      <c r="G436" s="36" t="n">
        <v>4.505</v>
      </c>
      <c r="H436" s="36" t="n">
        <v>13</v>
      </c>
      <c r="I436" s="37" t="n">
        <v>0.9285714285714286</v>
      </c>
      <c r="J436" s="36" t="n">
        <v>0</v>
      </c>
      <c r="K436" s="37" t="n">
        <v>0</v>
      </c>
      <c r="L436" s="36" t="n">
        <v>13</v>
      </c>
      <c r="M436" s="37" t="n">
        <v>0.9285714285714286</v>
      </c>
      <c r="N436" s="36" t="n">
        <v>0</v>
      </c>
      <c r="O436" s="37" t="n">
        <v>0</v>
      </c>
      <c r="P436" s="36" t="n">
        <v>0</v>
      </c>
      <c r="Q436" s="37" t="n">
        <v>0</v>
      </c>
      <c r="R436" s="36" t="n">
        <v>14</v>
      </c>
      <c r="S436" s="37" t="n">
        <v>1</v>
      </c>
      <c r="T436" s="36" t="n">
        <v>7</v>
      </c>
      <c r="U436" s="37" t="n">
        <v>0.5</v>
      </c>
      <c r="V436" s="38" t="n">
        <v>0</v>
      </c>
      <c r="W436" s="38" t="n">
        <v>2.708000000000001</v>
      </c>
      <c r="X436" s="38" t="n">
        <v>3.26</v>
      </c>
      <c r="Y436" s="38" t="n">
        <v>8.6</v>
      </c>
      <c r="Z436" s="38" t="n">
        <v>0</v>
      </c>
      <c r="AA436" s="36" t="n">
        <v>14</v>
      </c>
      <c r="AB436" s="37" t="n">
        <v>0.6666666666666666</v>
      </c>
      <c r="AC436" s="36" t="n">
        <v>7</v>
      </c>
      <c r="AD436" s="37" t="n">
        <v>0.7777777777777778</v>
      </c>
      <c r="AE436" s="36" t="n">
        <v>7</v>
      </c>
      <c r="AF436" s="37" t="n">
        <v>0.5833333333333334</v>
      </c>
      <c r="AG436" s="36" t="n">
        <v>5</v>
      </c>
      <c r="AH436" s="37" t="n">
        <v>0.7142857142857143</v>
      </c>
    </row>
    <row r="437">
      <c r="A437" s="53" t="n">
        <v>45760</v>
      </c>
      <c r="B437" t="inlineStr">
        <is>
          <t>R06_Jawa Timur</t>
        </is>
      </c>
      <c r="C437" t="inlineStr">
        <is>
          <t>NOP MALANG</t>
        </is>
      </c>
      <c r="D437" s="38" t="n">
        <v>0</v>
      </c>
      <c r="E437" s="38" t="n">
        <v>0</v>
      </c>
      <c r="F437" s="36" t="n">
        <v>2.205</v>
      </c>
      <c r="G437" s="36" t="n">
        <v>0.8220000000000001</v>
      </c>
      <c r="H437" s="36" t="n">
        <v>16</v>
      </c>
      <c r="I437" s="37" t="n">
        <v>0.8</v>
      </c>
      <c r="J437" s="36" t="n">
        <v>0</v>
      </c>
      <c r="K437" s="37" t="n">
        <v>0</v>
      </c>
      <c r="L437" s="36" t="n">
        <v>16</v>
      </c>
      <c r="M437" s="37" t="n">
        <v>0.8</v>
      </c>
      <c r="N437" s="36" t="n">
        <v>0</v>
      </c>
      <c r="O437" s="37" t="n">
        <v>0</v>
      </c>
      <c r="P437" s="36" t="n">
        <v>0</v>
      </c>
      <c r="Q437" s="37" t="n">
        <v>0</v>
      </c>
      <c r="R437" s="36" t="n">
        <v>20</v>
      </c>
      <c r="S437" s="37" t="n">
        <v>1</v>
      </c>
      <c r="T437" s="36" t="n">
        <v>15</v>
      </c>
      <c r="U437" s="37" t="n">
        <v>0.75</v>
      </c>
      <c r="V437" s="38" t="n">
        <v>0</v>
      </c>
      <c r="W437" s="38" t="n">
        <v>1.518</v>
      </c>
      <c r="X437" s="38" t="n">
        <v>3.162</v>
      </c>
      <c r="Y437" s="38" t="n">
        <v>8</v>
      </c>
      <c r="Z437" s="38" t="n">
        <v>0</v>
      </c>
      <c r="AA437" s="36" t="n">
        <v>10</v>
      </c>
      <c r="AB437" s="37" t="n">
        <v>0.7692307692307693</v>
      </c>
      <c r="AC437" s="36" t="n">
        <v>2</v>
      </c>
      <c r="AD437" s="37" t="n">
        <v>0.4</v>
      </c>
      <c r="AE437" s="36" t="n">
        <v>8</v>
      </c>
      <c r="AF437" s="37" t="n">
        <v>1</v>
      </c>
      <c r="AG437" s="36" t="n">
        <v>1</v>
      </c>
      <c r="AH437" s="37" t="n">
        <v>0.5</v>
      </c>
    </row>
    <row r="438">
      <c r="A438" s="53" t="n">
        <v>45760</v>
      </c>
      <c r="B438" t="inlineStr">
        <is>
          <t>R06_Jawa Timur</t>
        </is>
      </c>
      <c r="C438" t="inlineStr">
        <is>
          <t>NOP SIDOARJO</t>
        </is>
      </c>
      <c r="D438" s="38" t="n">
        <v>0.63</v>
      </c>
      <c r="E438" s="38" t="n">
        <v>0</v>
      </c>
      <c r="F438" s="36" t="n">
        <v>2.226000000000001</v>
      </c>
      <c r="G438" s="36" t="n">
        <v>9.256</v>
      </c>
      <c r="H438" s="36" t="n">
        <v>5</v>
      </c>
      <c r="I438" s="37" t="n">
        <v>0.4545454545454545</v>
      </c>
      <c r="J438" s="36" t="n">
        <v>1</v>
      </c>
      <c r="K438" s="37" t="n">
        <v>1</v>
      </c>
      <c r="L438" s="36" t="n">
        <v>4</v>
      </c>
      <c r="M438" s="37" t="n">
        <v>0.4</v>
      </c>
      <c r="N438" s="36" t="n">
        <v>1</v>
      </c>
      <c r="O438" s="37" t="n">
        <v>1</v>
      </c>
      <c r="P438" s="36" t="n">
        <v>1</v>
      </c>
      <c r="Q438" s="37" t="n">
        <v>1</v>
      </c>
      <c r="R438" s="36" t="n">
        <v>11</v>
      </c>
      <c r="S438" s="37" t="n">
        <v>1</v>
      </c>
      <c r="T438" s="36" t="n">
        <v>4</v>
      </c>
      <c r="U438" s="37" t="n">
        <v>0.3636363636363636</v>
      </c>
      <c r="V438" s="38" t="n">
        <v>0</v>
      </c>
      <c r="W438" s="38" t="n">
        <v>0.55</v>
      </c>
      <c r="X438" s="38" t="n">
        <v>11.29</v>
      </c>
      <c r="Y438" s="38" t="n">
        <v>22.984</v>
      </c>
      <c r="Z438" s="38" t="n">
        <v>0</v>
      </c>
      <c r="AA438" s="36" t="n">
        <v>9</v>
      </c>
      <c r="AB438" s="37" t="n">
        <v>0.9</v>
      </c>
      <c r="AC438" s="36" t="n">
        <v>1</v>
      </c>
      <c r="AD438" s="37" t="n">
        <v>1</v>
      </c>
      <c r="AE438" s="36" t="n">
        <v>8</v>
      </c>
      <c r="AF438" s="37" t="n">
        <v>0.8888888888888888</v>
      </c>
      <c r="AG438" s="36" t="n">
        <v>0</v>
      </c>
      <c r="AH438" s="37" t="n">
        <v>0</v>
      </c>
    </row>
    <row r="439">
      <c r="A439" s="53" t="n">
        <v>45760</v>
      </c>
      <c r="B439" t="inlineStr">
        <is>
          <t>R06_Jawa Timur</t>
        </is>
      </c>
      <c r="C439" t="inlineStr">
        <is>
          <t>NOP SURABAYA</t>
        </is>
      </c>
      <c r="D439" s="38" t="n">
        <v>0</v>
      </c>
      <c r="E439" s="38" t="n">
        <v>0</v>
      </c>
      <c r="F439" s="36" t="n">
        <v>42.1</v>
      </c>
      <c r="G439" s="36" t="n">
        <v>0</v>
      </c>
      <c r="H439" s="36" t="n">
        <v>6</v>
      </c>
      <c r="I439" s="37" t="n">
        <v>0.6</v>
      </c>
      <c r="J439" s="36" t="n">
        <v>0</v>
      </c>
      <c r="K439" s="37" t="n">
        <v>0</v>
      </c>
      <c r="L439" s="36" t="n">
        <v>6</v>
      </c>
      <c r="M439" s="37" t="n">
        <v>0.6</v>
      </c>
      <c r="N439" s="36" t="n">
        <v>0</v>
      </c>
      <c r="O439" s="37" t="n">
        <v>0</v>
      </c>
      <c r="P439" s="36" t="n">
        <v>0</v>
      </c>
      <c r="Q439" s="37" t="n">
        <v>0</v>
      </c>
      <c r="R439" s="36" t="n">
        <v>10</v>
      </c>
      <c r="S439" s="37" t="n">
        <v>1</v>
      </c>
      <c r="T439" s="36" t="n">
        <v>4</v>
      </c>
      <c r="U439" s="37" t="n">
        <v>0.4</v>
      </c>
      <c r="V439" s="38" t="n">
        <v>0.04</v>
      </c>
      <c r="W439" s="38" t="n">
        <v>2.53</v>
      </c>
      <c r="X439" s="38" t="n">
        <v>6.53</v>
      </c>
      <c r="Y439" s="38" t="n">
        <v>39.29099999999999</v>
      </c>
      <c r="Z439" s="38" t="n">
        <v>0</v>
      </c>
      <c r="AA439" s="36" t="n">
        <v>22</v>
      </c>
      <c r="AB439" s="37" t="n">
        <v>0.5789473684210527</v>
      </c>
      <c r="AC439" s="36" t="n">
        <v>7</v>
      </c>
      <c r="AD439" s="37" t="n">
        <v>0.7777777777777778</v>
      </c>
      <c r="AE439" s="36" t="n">
        <v>15</v>
      </c>
      <c r="AF439" s="37" t="n">
        <v>0.5172413793103449</v>
      </c>
      <c r="AG439" s="36" t="n">
        <v>7</v>
      </c>
      <c r="AH439" s="37" t="n">
        <v>1</v>
      </c>
    </row>
    <row r="440">
      <c r="A440" s="53" t="n">
        <v>45760</v>
      </c>
      <c r="B440" t="inlineStr">
        <is>
          <t>R07_Bali Nusra</t>
        </is>
      </c>
      <c r="C440" t="inlineStr">
        <is>
          <t>NOP DENPASAR</t>
        </is>
      </c>
      <c r="D440" s="38" t="n">
        <v>1.5</v>
      </c>
      <c r="E440" s="38" t="n">
        <v>0</v>
      </c>
      <c r="F440" s="36" t="n">
        <v>18.212</v>
      </c>
      <c r="G440" s="36" t="n">
        <v>5.68</v>
      </c>
      <c r="H440" s="36" t="n">
        <v>7</v>
      </c>
      <c r="I440" s="37" t="n">
        <v>1</v>
      </c>
      <c r="J440" s="36" t="n">
        <v>1</v>
      </c>
      <c r="K440" s="37" t="n">
        <v>1</v>
      </c>
      <c r="L440" s="36" t="n">
        <v>6</v>
      </c>
      <c r="M440" s="37" t="n">
        <v>1</v>
      </c>
      <c r="N440" s="36" t="n">
        <v>1</v>
      </c>
      <c r="O440" s="37" t="n">
        <v>1</v>
      </c>
      <c r="P440" s="36" t="n">
        <v>1</v>
      </c>
      <c r="Q440" s="37" t="n">
        <v>1</v>
      </c>
      <c r="R440" s="36" t="n">
        <v>7</v>
      </c>
      <c r="S440" s="37" t="n">
        <v>1</v>
      </c>
      <c r="T440" s="36" t="n">
        <v>6</v>
      </c>
      <c r="U440" s="37" t="n">
        <v>0.8571428571428571</v>
      </c>
      <c r="V440" s="38" t="n">
        <v>0</v>
      </c>
      <c r="W440" s="38" t="n">
        <v>4.676</v>
      </c>
      <c r="X440" s="38" t="n">
        <v>47.17</v>
      </c>
      <c r="Y440" s="38" t="n">
        <v>44.432</v>
      </c>
      <c r="Z440" s="38" t="n">
        <v>0</v>
      </c>
      <c r="AA440" s="36" t="n">
        <v>28</v>
      </c>
      <c r="AB440" s="37" t="n">
        <v>0.9655172413793104</v>
      </c>
      <c r="AC440" s="36" t="n">
        <v>2</v>
      </c>
      <c r="AD440" s="37" t="n">
        <v>0.6666666666666666</v>
      </c>
      <c r="AE440" s="36" t="n">
        <v>26</v>
      </c>
      <c r="AF440" s="37" t="n">
        <v>1</v>
      </c>
      <c r="AG440" s="36" t="n">
        <v>0</v>
      </c>
      <c r="AH440" s="37" t="n">
        <v>0</v>
      </c>
    </row>
    <row r="441">
      <c r="A441" s="53" t="n">
        <v>45760</v>
      </c>
      <c r="B441" t="inlineStr">
        <is>
          <t>R07_Bali Nusra</t>
        </is>
      </c>
      <c r="C441" t="inlineStr">
        <is>
          <t>NOP FLORES</t>
        </is>
      </c>
      <c r="D441" s="38" t="n">
        <v>0</v>
      </c>
      <c r="E441" s="38" t="n">
        <v>4.534999999999997</v>
      </c>
      <c r="F441" s="36" t="n">
        <v>22.76500000000001</v>
      </c>
      <c r="G441" s="36" t="n">
        <v>12.56</v>
      </c>
      <c r="H441" s="36" t="n">
        <v>20</v>
      </c>
      <c r="I441" s="37" t="n">
        <v>0.4545454545454545</v>
      </c>
      <c r="J441" s="36" t="n">
        <v>5</v>
      </c>
      <c r="K441" s="37" t="n">
        <v>0.5</v>
      </c>
      <c r="L441" s="36" t="n">
        <v>15</v>
      </c>
      <c r="M441" s="37" t="n">
        <v>0.4411764705882353</v>
      </c>
      <c r="N441" s="36" t="n">
        <v>3</v>
      </c>
      <c r="O441" s="37" t="n">
        <v>0.6</v>
      </c>
      <c r="P441" s="36" t="n">
        <v>3</v>
      </c>
      <c r="Q441" s="37" t="n">
        <v>0.6</v>
      </c>
      <c r="R441" s="36" t="n">
        <v>44</v>
      </c>
      <c r="S441" s="37" t="n">
        <v>1</v>
      </c>
      <c r="T441" s="36" t="n">
        <v>6</v>
      </c>
      <c r="U441" s="37" t="n">
        <v>0.1363636363636364</v>
      </c>
      <c r="V441" s="38" t="n">
        <v>0</v>
      </c>
      <c r="W441" s="38" t="n">
        <v>15.3</v>
      </c>
      <c r="X441" s="38" t="n">
        <v>4.576000000000001</v>
      </c>
      <c r="Y441" s="38" t="n">
        <v>61.483</v>
      </c>
      <c r="Z441" s="38" t="n">
        <v>0</v>
      </c>
      <c r="AA441" s="36" t="n">
        <v>41</v>
      </c>
      <c r="AB441" s="37" t="n">
        <v>0.405940594059406</v>
      </c>
      <c r="AC441" s="36" t="n">
        <v>29</v>
      </c>
      <c r="AD441" s="37" t="n">
        <v>0.3815789473684211</v>
      </c>
      <c r="AE441" s="36" t="n">
        <v>12</v>
      </c>
      <c r="AF441" s="37" t="n">
        <v>0.48</v>
      </c>
      <c r="AG441" s="36" t="n">
        <v>10</v>
      </c>
      <c r="AH441" s="37" t="n">
        <v>0.3448275862068966</v>
      </c>
    </row>
    <row r="442">
      <c r="A442" s="53" t="n">
        <v>45760</v>
      </c>
      <c r="B442" t="inlineStr">
        <is>
          <t>R07_Bali Nusra</t>
        </is>
      </c>
      <c r="C442" t="inlineStr">
        <is>
          <t>NOP KUPANG</t>
        </is>
      </c>
      <c r="D442" s="38" t="n">
        <v>0</v>
      </c>
      <c r="E442" s="38" t="n">
        <v>7.86</v>
      </c>
      <c r="F442" s="36" t="n">
        <v>3.318000000000001</v>
      </c>
      <c r="G442" s="36" t="n">
        <v>16.37</v>
      </c>
      <c r="H442" s="36" t="n">
        <v>29</v>
      </c>
      <c r="I442" s="37" t="n">
        <v>0.6444444444444445</v>
      </c>
      <c r="J442" s="36" t="n">
        <v>6</v>
      </c>
      <c r="K442" s="37" t="n">
        <v>0.6666666666666666</v>
      </c>
      <c r="L442" s="36" t="n">
        <v>23</v>
      </c>
      <c r="M442" s="37" t="n">
        <v>0.6388888888888888</v>
      </c>
      <c r="N442" s="36" t="n">
        <v>1</v>
      </c>
      <c r="O442" s="37" t="n">
        <v>0.1666666666666667</v>
      </c>
      <c r="P442" s="36" t="n">
        <v>1</v>
      </c>
      <c r="Q442" s="37" t="n">
        <v>0.1666666666666667</v>
      </c>
      <c r="R442" s="36" t="n">
        <v>45</v>
      </c>
      <c r="S442" s="37" t="n">
        <v>1</v>
      </c>
      <c r="T442" s="36" t="n">
        <v>9</v>
      </c>
      <c r="U442" s="37" t="n">
        <v>0.2</v>
      </c>
      <c r="V442" s="38" t="n">
        <v>0</v>
      </c>
      <c r="W442" s="38" t="n">
        <v>5.398</v>
      </c>
      <c r="X442" s="38" t="n">
        <v>9.16</v>
      </c>
      <c r="Y442" s="38" t="n">
        <v>153.1460000000001</v>
      </c>
      <c r="Z442" s="38" t="n">
        <v>0</v>
      </c>
      <c r="AA442" s="36" t="n">
        <v>52</v>
      </c>
      <c r="AB442" s="37" t="n">
        <v>0.611764705882353</v>
      </c>
      <c r="AC442" s="36" t="n">
        <v>31</v>
      </c>
      <c r="AD442" s="37" t="n">
        <v>0.543859649122807</v>
      </c>
      <c r="AE442" s="36" t="n">
        <v>21</v>
      </c>
      <c r="AF442" s="37" t="n">
        <v>0.75</v>
      </c>
      <c r="AG442" s="36" t="n">
        <v>20</v>
      </c>
      <c r="AH442" s="37" t="n">
        <v>0.6451612903225806</v>
      </c>
    </row>
    <row r="443">
      <c r="A443" s="53" t="n">
        <v>45760</v>
      </c>
      <c r="B443" t="inlineStr">
        <is>
          <t>R07_Bali Nusra</t>
        </is>
      </c>
      <c r="C443" t="inlineStr">
        <is>
          <t>NOP MATARAM</t>
        </is>
      </c>
      <c r="D443" s="38" t="n">
        <v>7.17</v>
      </c>
      <c r="E443" s="38" t="n">
        <v>1.164</v>
      </c>
      <c r="F443" s="36" t="n">
        <v>1.79</v>
      </c>
      <c r="G443" s="36" t="n">
        <v>1.096</v>
      </c>
      <c r="H443" s="36" t="n">
        <v>4</v>
      </c>
      <c r="I443" s="37" t="n">
        <v>0.2</v>
      </c>
      <c r="J443" s="36" t="n">
        <v>1</v>
      </c>
      <c r="K443" s="37" t="n">
        <v>0.25</v>
      </c>
      <c r="L443" s="36" t="n">
        <v>3</v>
      </c>
      <c r="M443" s="37" t="n">
        <v>0.1875</v>
      </c>
      <c r="N443" s="36" t="n">
        <v>1</v>
      </c>
      <c r="O443" s="37" t="n">
        <v>1</v>
      </c>
      <c r="P443" s="36" t="n">
        <v>1</v>
      </c>
      <c r="Q443" s="37" t="n">
        <v>1</v>
      </c>
      <c r="R443" s="36" t="n">
        <v>20</v>
      </c>
      <c r="S443" s="37" t="n">
        <v>1</v>
      </c>
      <c r="T443" s="36" t="n">
        <v>2</v>
      </c>
      <c r="U443" s="37" t="n">
        <v>0.1</v>
      </c>
      <c r="V443" s="38" t="n">
        <v>0</v>
      </c>
      <c r="W443" s="38" t="n">
        <v>24.75600000000001</v>
      </c>
      <c r="X443" s="38" t="n">
        <v>10.38200000000003</v>
      </c>
      <c r="Y443" s="38" t="n">
        <v>602.28</v>
      </c>
      <c r="Z443" s="38" t="n">
        <v>0</v>
      </c>
      <c r="AA443" s="36" t="n">
        <v>16</v>
      </c>
      <c r="AB443" s="37" t="n">
        <v>0.2711864406779661</v>
      </c>
      <c r="AC443" s="36" t="n">
        <v>9</v>
      </c>
      <c r="AD443" s="37" t="n">
        <v>0.3214285714285715</v>
      </c>
      <c r="AE443" s="36" t="n">
        <v>7</v>
      </c>
      <c r="AF443" s="37" t="n">
        <v>0.2258064516129032</v>
      </c>
      <c r="AG443" s="36" t="n">
        <v>6</v>
      </c>
      <c r="AH443" s="37" t="n">
        <v>0.6666666666666666</v>
      </c>
    </row>
    <row r="444">
      <c r="A444" s="53" t="n">
        <v>45761</v>
      </c>
      <c r="B444" t="inlineStr">
        <is>
          <t>R01_Sumbagut</t>
        </is>
      </c>
      <c r="C444" t="inlineStr">
        <is>
          <t>NOP ACEH</t>
        </is>
      </c>
      <c r="D444" s="38" t="n">
        <v>12.224</v>
      </c>
      <c r="E444" s="38" t="n">
        <v>4.922000000000002</v>
      </c>
      <c r="F444" s="36" t="n">
        <v>8.639999999999997</v>
      </c>
      <c r="G444" s="36" t="n">
        <v>8.859999999999999</v>
      </c>
      <c r="H444" s="36" t="n">
        <v>93</v>
      </c>
      <c r="I444" s="37" t="n">
        <v>0.768595041322314</v>
      </c>
      <c r="J444" s="36" t="n">
        <v>18</v>
      </c>
      <c r="K444" s="37" t="n">
        <v>0.6666666666666666</v>
      </c>
      <c r="L444" s="36" t="n">
        <v>75</v>
      </c>
      <c r="M444" s="37" t="n">
        <v>0.7978723404255319</v>
      </c>
      <c r="N444" s="36" t="n">
        <v>9</v>
      </c>
      <c r="O444" s="37" t="n">
        <v>0.5</v>
      </c>
      <c r="P444" s="36" t="n">
        <v>9</v>
      </c>
      <c r="Q444" s="37" t="n">
        <v>0.5</v>
      </c>
      <c r="R444" s="36" t="n">
        <v>121</v>
      </c>
      <c r="S444" s="37" t="n">
        <v>1</v>
      </c>
      <c r="T444" s="36" t="n">
        <v>43</v>
      </c>
      <c r="U444" s="37" t="n">
        <v>0.3553719008264463</v>
      </c>
      <c r="V444" s="38" t="n">
        <v>0.02</v>
      </c>
      <c r="W444" s="38" t="n">
        <v>3.496000000000001</v>
      </c>
      <c r="X444" s="38" t="n">
        <v>183.77</v>
      </c>
      <c r="Y444" s="38" t="n">
        <v>139.59</v>
      </c>
      <c r="Z444" s="38" t="n">
        <v>0</v>
      </c>
      <c r="AA444" s="36" t="n">
        <v>306</v>
      </c>
      <c r="AB444" s="37" t="n">
        <v>0.9</v>
      </c>
      <c r="AC444" s="36" t="n">
        <v>45</v>
      </c>
      <c r="AD444" s="37" t="n">
        <v>0.6818181818181818</v>
      </c>
      <c r="AE444" s="36" t="n">
        <v>260</v>
      </c>
      <c r="AF444" s="37" t="n">
        <v>0.9629629629629629</v>
      </c>
      <c r="AG444" s="36" t="n">
        <v>8</v>
      </c>
      <c r="AH444" s="37" t="n">
        <v>0.1777777777777778</v>
      </c>
    </row>
    <row r="445">
      <c r="A445" s="53" t="n">
        <v>45761</v>
      </c>
      <c r="B445" t="inlineStr">
        <is>
          <t>R01_Sumbagut</t>
        </is>
      </c>
      <c r="C445" t="inlineStr">
        <is>
          <t>NOP BINJAI</t>
        </is>
      </c>
      <c r="D445" s="38" t="n">
        <v>9.9</v>
      </c>
      <c r="E445" s="38" t="n">
        <v>1.111</v>
      </c>
      <c r="F445" s="36" t="n">
        <v>1.14</v>
      </c>
      <c r="G445" s="36" t="n">
        <v>14.00200000000001</v>
      </c>
      <c r="H445" s="36" t="n">
        <v>28</v>
      </c>
      <c r="I445" s="37" t="n">
        <v>0.6511627906976745</v>
      </c>
      <c r="J445" s="36" t="n">
        <v>17</v>
      </c>
      <c r="K445" s="37" t="n">
        <v>0.85</v>
      </c>
      <c r="L445" s="36" t="n">
        <v>11</v>
      </c>
      <c r="M445" s="37" t="n">
        <v>0.4782608695652174</v>
      </c>
      <c r="N445" s="36" t="n">
        <v>8</v>
      </c>
      <c r="O445" s="37" t="n">
        <v>0.4705882352941176</v>
      </c>
      <c r="P445" s="36" t="n">
        <v>7</v>
      </c>
      <c r="Q445" s="37" t="n">
        <v>0.4375</v>
      </c>
      <c r="R445" s="36" t="n">
        <v>43</v>
      </c>
      <c r="S445" s="37" t="n">
        <v>1</v>
      </c>
      <c r="T445" s="36" t="n">
        <v>17</v>
      </c>
      <c r="U445" s="37" t="n">
        <v>0.3953488372093023</v>
      </c>
      <c r="V445" s="38" t="n">
        <v>0.01</v>
      </c>
      <c r="W445" s="38" t="n">
        <v>1.409</v>
      </c>
      <c r="X445" s="38" t="n">
        <v>103.802</v>
      </c>
      <c r="Y445" s="38" t="n">
        <v>34.96</v>
      </c>
      <c r="Z445" s="38" t="n">
        <v>0</v>
      </c>
      <c r="AA445" s="36" t="n">
        <v>73</v>
      </c>
      <c r="AB445" s="37" t="n">
        <v>0.6134453781512605</v>
      </c>
      <c r="AC445" s="36" t="n">
        <v>20</v>
      </c>
      <c r="AD445" s="37" t="n">
        <v>0.3636363636363636</v>
      </c>
      <c r="AE445" s="36" t="n">
        <v>53</v>
      </c>
      <c r="AF445" s="37" t="n">
        <v>0.8688524590163934</v>
      </c>
      <c r="AG445" s="36" t="n">
        <v>13</v>
      </c>
      <c r="AH445" s="37" t="n">
        <v>0.65</v>
      </c>
    </row>
    <row r="446">
      <c r="A446" s="53" t="n">
        <v>45761</v>
      </c>
      <c r="B446" t="inlineStr">
        <is>
          <t>R01_Sumbagut</t>
        </is>
      </c>
      <c r="C446" t="inlineStr">
        <is>
          <t>NOP MEDAN</t>
        </is>
      </c>
      <c r="D446" s="38" t="n">
        <v>2.542</v>
      </c>
      <c r="E446" s="38" t="n">
        <v>6.704000000000002</v>
      </c>
      <c r="F446" s="36" t="n">
        <v>2.07</v>
      </c>
      <c r="G446" s="36" t="n">
        <v>6.835</v>
      </c>
      <c r="H446" s="36" t="n">
        <v>18</v>
      </c>
      <c r="I446" s="37" t="n">
        <v>0.4186046511627907</v>
      </c>
      <c r="J446" s="36" t="n">
        <v>4</v>
      </c>
      <c r="K446" s="37" t="n">
        <v>0.3636363636363636</v>
      </c>
      <c r="L446" s="36" t="n">
        <v>14</v>
      </c>
      <c r="M446" s="37" t="n">
        <v>0.4375</v>
      </c>
      <c r="N446" s="36" t="n">
        <v>4</v>
      </c>
      <c r="O446" s="37" t="n">
        <v>1</v>
      </c>
      <c r="P446" s="36" t="n">
        <v>4</v>
      </c>
      <c r="Q446" s="37" t="n">
        <v>1</v>
      </c>
      <c r="R446" s="36" t="n">
        <v>43</v>
      </c>
      <c r="S446" s="37" t="n">
        <v>1</v>
      </c>
      <c r="T446" s="36" t="n">
        <v>10</v>
      </c>
      <c r="U446" s="37" t="n">
        <v>0.2325581395348837</v>
      </c>
      <c r="V446" s="38" t="n">
        <v>0</v>
      </c>
      <c r="W446" s="38" t="n">
        <v>6.524000000000003</v>
      </c>
      <c r="X446" s="38" t="n">
        <v>19.11</v>
      </c>
      <c r="Y446" s="38" t="n">
        <v>0.4199999999999985</v>
      </c>
      <c r="Z446" s="38" t="n">
        <v>0</v>
      </c>
      <c r="AA446" s="36" t="n">
        <v>19</v>
      </c>
      <c r="AB446" s="37" t="n">
        <v>0.3114754098360656</v>
      </c>
      <c r="AC446" s="36" t="n">
        <v>2</v>
      </c>
      <c r="AD446" s="37" t="n">
        <v>0.1428571428571428</v>
      </c>
      <c r="AE446" s="36" t="n">
        <v>16</v>
      </c>
      <c r="AF446" s="37" t="n">
        <v>0.4444444444444444</v>
      </c>
      <c r="AG446" s="36" t="n">
        <v>2</v>
      </c>
      <c r="AH446" s="37" t="n">
        <v>1</v>
      </c>
    </row>
    <row r="447">
      <c r="A447" s="53" t="n">
        <v>45761</v>
      </c>
      <c r="B447" t="inlineStr">
        <is>
          <t>R01_Sumbagut</t>
        </is>
      </c>
      <c r="C447" t="inlineStr">
        <is>
          <t>NOP PADANG SIDEMPUAN</t>
        </is>
      </c>
      <c r="D447" s="38" t="n">
        <v>0</v>
      </c>
      <c r="E447" s="38" t="n">
        <v>1.33</v>
      </c>
      <c r="F447" s="36" t="n">
        <v>4.86</v>
      </c>
      <c r="G447" s="36" t="n">
        <v>7.094000000000003</v>
      </c>
      <c r="H447" s="36" t="n">
        <v>29</v>
      </c>
      <c r="I447" s="37" t="n">
        <v>0.3118279569892473</v>
      </c>
      <c r="J447" s="36" t="n">
        <v>5</v>
      </c>
      <c r="K447" s="37" t="n">
        <v>0.4545454545454545</v>
      </c>
      <c r="L447" s="36" t="n">
        <v>24</v>
      </c>
      <c r="M447" s="37" t="n">
        <v>0.2926829268292683</v>
      </c>
      <c r="N447" s="36" t="n">
        <v>1</v>
      </c>
      <c r="O447" s="37" t="n">
        <v>0.2</v>
      </c>
      <c r="P447" s="36" t="n">
        <v>1</v>
      </c>
      <c r="Q447" s="37" t="n">
        <v>0.2</v>
      </c>
      <c r="R447" s="36" t="n">
        <v>93</v>
      </c>
      <c r="S447" s="37" t="n">
        <v>1</v>
      </c>
      <c r="T447" s="36" t="n">
        <v>12</v>
      </c>
      <c r="U447" s="37" t="n">
        <v>0.1290322580645161</v>
      </c>
      <c r="V447" s="38" t="n">
        <v>0.01</v>
      </c>
      <c r="W447" s="38" t="n">
        <v>1.716</v>
      </c>
      <c r="X447" s="38" t="n">
        <v>17.598</v>
      </c>
      <c r="Y447" s="38" t="n">
        <v>132.4260000000003</v>
      </c>
      <c r="Z447" s="38" t="n">
        <v>0</v>
      </c>
      <c r="AA447" s="36" t="n">
        <v>98</v>
      </c>
      <c r="AB447" s="37" t="n">
        <v>0.3602941176470588</v>
      </c>
      <c r="AC447" s="36" t="n">
        <v>42</v>
      </c>
      <c r="AD447" s="37" t="n">
        <v>0.4883720930232558</v>
      </c>
      <c r="AE447" s="36" t="n">
        <v>54</v>
      </c>
      <c r="AF447" s="37" t="n">
        <v>0.3</v>
      </c>
      <c r="AG447" s="36" t="n">
        <v>16</v>
      </c>
      <c r="AH447" s="37" t="n">
        <v>0.3809523809523809</v>
      </c>
    </row>
    <row r="448">
      <c r="A448" s="53" t="n">
        <v>45761</v>
      </c>
      <c r="B448" t="inlineStr">
        <is>
          <t>R01_Sumbagut</t>
        </is>
      </c>
      <c r="C448" t="inlineStr">
        <is>
          <t>NOP PEMATANG SIANTAR</t>
        </is>
      </c>
      <c r="D448" s="38" t="n">
        <v>0.976</v>
      </c>
      <c r="E448" s="38" t="n">
        <v>2.609999999999999</v>
      </c>
      <c r="F448" s="36" t="n">
        <v>3.3</v>
      </c>
      <c r="G448" s="36" t="n">
        <v>3.552</v>
      </c>
      <c r="H448" s="36" t="n">
        <v>40</v>
      </c>
      <c r="I448" s="37" t="n">
        <v>0.4166666666666667</v>
      </c>
      <c r="J448" s="36" t="n">
        <v>10</v>
      </c>
      <c r="K448" s="37" t="n">
        <v>0.3703703703703703</v>
      </c>
      <c r="L448" s="36" t="n">
        <v>30</v>
      </c>
      <c r="M448" s="37" t="n">
        <v>0.4347826086956522</v>
      </c>
      <c r="N448" s="36" t="n">
        <v>9</v>
      </c>
      <c r="O448" s="37" t="n">
        <v>0.9</v>
      </c>
      <c r="P448" s="36" t="n">
        <v>9</v>
      </c>
      <c r="Q448" s="37" t="n">
        <v>0.9</v>
      </c>
      <c r="R448" s="36" t="n">
        <v>96</v>
      </c>
      <c r="S448" s="37" t="n">
        <v>1</v>
      </c>
      <c r="T448" s="36" t="n">
        <v>25</v>
      </c>
      <c r="U448" s="37" t="n">
        <v>0.2604166666666667</v>
      </c>
      <c r="V448" s="38" t="n">
        <v>0.01</v>
      </c>
      <c r="W448" s="38" t="n">
        <v>5.388</v>
      </c>
      <c r="X448" s="38" t="n">
        <v>38.486</v>
      </c>
      <c r="Y448" s="38" t="n">
        <v>90.976</v>
      </c>
      <c r="Z448" s="38" t="n">
        <v>0</v>
      </c>
      <c r="AA448" s="36" t="n">
        <v>72</v>
      </c>
      <c r="AB448" s="37" t="n">
        <v>0.1522198731501057</v>
      </c>
      <c r="AC448" s="36" t="n">
        <v>23</v>
      </c>
      <c r="AD448" s="37" t="n">
        <v>0.396551724137931</v>
      </c>
      <c r="AE448" s="36" t="n">
        <v>49</v>
      </c>
      <c r="AF448" s="37" t="n">
        <v>0.1203931203931204</v>
      </c>
      <c r="AG448" s="36" t="n">
        <v>22</v>
      </c>
      <c r="AH448" s="37" t="n">
        <v>0.9565217391304348</v>
      </c>
    </row>
    <row r="449">
      <c r="A449" s="53" t="n">
        <v>45761</v>
      </c>
      <c r="B449" t="inlineStr">
        <is>
          <t>R01_Sumbagut</t>
        </is>
      </c>
      <c r="C449" t="inlineStr">
        <is>
          <t>NOP RANTAU PRAPAT</t>
        </is>
      </c>
      <c r="D449" s="38" t="n">
        <v>0</v>
      </c>
      <c r="E449" s="38" t="n">
        <v>2.54</v>
      </c>
      <c r="F449" s="36" t="n">
        <v>5.59</v>
      </c>
      <c r="G449" s="36" t="n">
        <v>2.563000000000001</v>
      </c>
      <c r="H449" s="36" t="n">
        <v>46</v>
      </c>
      <c r="I449" s="37" t="n">
        <v>0.3108108108108108</v>
      </c>
      <c r="J449" s="36" t="n">
        <v>5</v>
      </c>
      <c r="K449" s="37" t="n">
        <v>0.15625</v>
      </c>
      <c r="L449" s="36" t="n">
        <v>41</v>
      </c>
      <c r="M449" s="37" t="n">
        <v>0.353448275862069</v>
      </c>
      <c r="N449" s="36" t="n">
        <v>5</v>
      </c>
      <c r="O449" s="37" t="n">
        <v>1</v>
      </c>
      <c r="P449" s="36" t="n">
        <v>5</v>
      </c>
      <c r="Q449" s="37" t="n">
        <v>1</v>
      </c>
      <c r="R449" s="36" t="n">
        <v>148</v>
      </c>
      <c r="S449" s="37" t="n">
        <v>1</v>
      </c>
      <c r="T449" s="36" t="n">
        <v>36</v>
      </c>
      <c r="U449" s="37" t="n">
        <v>0.2432432432432433</v>
      </c>
      <c r="V449" s="38" t="n">
        <v>0</v>
      </c>
      <c r="W449" s="38" t="n">
        <v>3.995</v>
      </c>
      <c r="X449" s="38" t="n">
        <v>31.15600000000004</v>
      </c>
      <c r="Y449" s="38" t="n">
        <v>86.67</v>
      </c>
      <c r="Z449" s="38" t="n">
        <v>0</v>
      </c>
      <c r="AA449" s="36" t="n">
        <v>22</v>
      </c>
      <c r="AB449" s="37" t="n">
        <v>0.0873015873015873</v>
      </c>
      <c r="AC449" s="36" t="n">
        <v>3</v>
      </c>
      <c r="AD449" s="37" t="n">
        <v>0.08333333333333333</v>
      </c>
      <c r="AE449" s="36" t="n">
        <v>16</v>
      </c>
      <c r="AF449" s="37" t="n">
        <v>0.07804878048780488</v>
      </c>
      <c r="AG449" s="36" t="n">
        <v>1</v>
      </c>
      <c r="AH449" s="37" t="n">
        <v>0.3333333333333333</v>
      </c>
    </row>
    <row r="450">
      <c r="A450" s="53" t="n">
        <v>45761</v>
      </c>
      <c r="B450" t="inlineStr">
        <is>
          <t>R10_Sumbagteng</t>
        </is>
      </c>
      <c r="C450" t="inlineStr">
        <is>
          <t>NOP BATAM</t>
        </is>
      </c>
      <c r="D450" s="38" t="n">
        <v>1.43</v>
      </c>
      <c r="E450" s="38" t="n">
        <v>6.242</v>
      </c>
      <c r="F450" s="36" t="n">
        <v>5.871999999999999</v>
      </c>
      <c r="G450" s="36" t="n">
        <v>10.56</v>
      </c>
      <c r="H450" s="36" t="n">
        <v>37</v>
      </c>
      <c r="I450" s="37" t="n">
        <v>0.3274336283185841</v>
      </c>
      <c r="J450" s="36" t="n">
        <v>6</v>
      </c>
      <c r="K450" s="37" t="n">
        <v>0.3</v>
      </c>
      <c r="L450" s="36" t="n">
        <v>31</v>
      </c>
      <c r="M450" s="37" t="n">
        <v>0.3333333333333333</v>
      </c>
      <c r="N450" s="36" t="n">
        <v>4</v>
      </c>
      <c r="O450" s="37" t="n">
        <v>0.6666666666666666</v>
      </c>
      <c r="P450" s="36" t="n">
        <v>4</v>
      </c>
      <c r="Q450" s="37" t="n">
        <v>0.6666666666666666</v>
      </c>
      <c r="R450" s="36" t="n">
        <v>112</v>
      </c>
      <c r="S450" s="37" t="n">
        <v>0.9911504424778761</v>
      </c>
      <c r="T450" s="36" t="n">
        <v>31</v>
      </c>
      <c r="U450" s="37" t="n">
        <v>0.2743362831858407</v>
      </c>
      <c r="V450" s="38" t="n">
        <v>0</v>
      </c>
      <c r="W450" s="38" t="n">
        <v>8.253000000000002</v>
      </c>
      <c r="X450" s="38" t="n">
        <v>15.69</v>
      </c>
      <c r="Y450" s="38" t="n">
        <v>3.56</v>
      </c>
      <c r="Z450" s="38" t="n">
        <v>0</v>
      </c>
      <c r="AA450" s="36" t="n">
        <v>55</v>
      </c>
      <c r="AB450" s="37" t="n">
        <v>0.0875796178343949</v>
      </c>
      <c r="AC450" s="36" t="n">
        <v>28</v>
      </c>
      <c r="AD450" s="37" t="n">
        <v>0.4</v>
      </c>
      <c r="AE450" s="36" t="n">
        <v>25</v>
      </c>
      <c r="AF450" s="37" t="n">
        <v>0.04537205081669692</v>
      </c>
      <c r="AG450" s="36" t="n">
        <v>20</v>
      </c>
      <c r="AH450" s="37" t="n">
        <v>0.7142857142857143</v>
      </c>
    </row>
    <row r="451">
      <c r="A451" s="53" t="n">
        <v>45761</v>
      </c>
      <c r="B451" t="inlineStr">
        <is>
          <t>R10_Sumbagteng</t>
        </is>
      </c>
      <c r="C451" t="inlineStr">
        <is>
          <t>NOP BUKITTINGGI</t>
        </is>
      </c>
      <c r="D451" s="38" t="n">
        <v>0.662</v>
      </c>
      <c r="E451" s="38" t="n">
        <v>4.619999999999999</v>
      </c>
      <c r="F451" s="36" t="n">
        <v>2.818000000000001</v>
      </c>
      <c r="G451" s="36" t="n">
        <v>6.867000000000001</v>
      </c>
      <c r="H451" s="36" t="n">
        <v>28</v>
      </c>
      <c r="I451" s="37" t="n">
        <v>0.7</v>
      </c>
      <c r="J451" s="36" t="n">
        <v>11</v>
      </c>
      <c r="K451" s="37" t="n">
        <v>1</v>
      </c>
      <c r="L451" s="36" t="n">
        <v>17</v>
      </c>
      <c r="M451" s="37" t="n">
        <v>0.5862068965517241</v>
      </c>
      <c r="N451" s="36" t="n">
        <v>7</v>
      </c>
      <c r="O451" s="37" t="n">
        <v>0.6363636363636364</v>
      </c>
      <c r="P451" s="36" t="n">
        <v>7</v>
      </c>
      <c r="Q451" s="37" t="n">
        <v>0.6363636363636364</v>
      </c>
      <c r="R451" s="36" t="n">
        <v>37</v>
      </c>
      <c r="S451" s="37" t="n">
        <v>0.925</v>
      </c>
      <c r="T451" s="36" t="n">
        <v>21</v>
      </c>
      <c r="U451" s="37" t="n">
        <v>0.525</v>
      </c>
      <c r="V451" s="38" t="n">
        <v>0</v>
      </c>
      <c r="W451" s="38" t="n">
        <v>2.287</v>
      </c>
      <c r="X451" s="38" t="n">
        <v>8</v>
      </c>
      <c r="Y451" s="38" t="n">
        <v>64.01900000000001</v>
      </c>
      <c r="Z451" s="38" t="n">
        <v>0</v>
      </c>
      <c r="AA451" s="36" t="n">
        <v>72</v>
      </c>
      <c r="AB451" s="37" t="n">
        <v>0.1850899742930591</v>
      </c>
      <c r="AC451" s="36" t="n">
        <v>10</v>
      </c>
      <c r="AD451" s="37" t="n">
        <v>0.7142857142857143</v>
      </c>
      <c r="AE451" s="36" t="n">
        <v>62</v>
      </c>
      <c r="AF451" s="37" t="n">
        <v>0.1684782608695652</v>
      </c>
      <c r="AG451" s="36" t="n">
        <v>6</v>
      </c>
      <c r="AH451" s="37" t="n">
        <v>0.6</v>
      </c>
    </row>
    <row r="452">
      <c r="A452" s="53" t="n">
        <v>45761</v>
      </c>
      <c r="B452" t="inlineStr">
        <is>
          <t>R10_Sumbagteng</t>
        </is>
      </c>
      <c r="C452" t="inlineStr">
        <is>
          <t>NOP DUMAI</t>
        </is>
      </c>
      <c r="D452" s="38" t="n">
        <v>1.89</v>
      </c>
      <c r="E452" s="38" t="n">
        <v>2.748000000000001</v>
      </c>
      <c r="F452" s="36" t="n">
        <v>4.903999999999998</v>
      </c>
      <c r="G452" s="36" t="n">
        <v>14.15400000000001</v>
      </c>
      <c r="H452" s="36" t="n">
        <v>55</v>
      </c>
      <c r="I452" s="37" t="n">
        <v>0.4365079365079365</v>
      </c>
      <c r="J452" s="36" t="n">
        <v>14</v>
      </c>
      <c r="K452" s="37" t="n">
        <v>0.3414634146341464</v>
      </c>
      <c r="L452" s="36" t="n">
        <v>41</v>
      </c>
      <c r="M452" s="37" t="n">
        <v>0.4823529411764706</v>
      </c>
      <c r="N452" s="36" t="n">
        <v>12</v>
      </c>
      <c r="O452" s="37" t="n">
        <v>0.8571428571428571</v>
      </c>
      <c r="P452" s="36" t="n">
        <v>12</v>
      </c>
      <c r="Q452" s="37" t="n">
        <v>0.8571428571428571</v>
      </c>
      <c r="R452" s="36" t="n">
        <v>122</v>
      </c>
      <c r="S452" s="37" t="n">
        <v>0.9682539682539683</v>
      </c>
      <c r="T452" s="36" t="n">
        <v>39</v>
      </c>
      <c r="U452" s="37" t="n">
        <v>0.3095238095238095</v>
      </c>
      <c r="V452" s="38" t="n">
        <v>0.134</v>
      </c>
      <c r="W452" s="38" t="n">
        <v>3.867</v>
      </c>
      <c r="X452" s="38" t="n">
        <v>39.21300000000001</v>
      </c>
      <c r="Y452" s="38" t="n">
        <v>157.09</v>
      </c>
      <c r="Z452" s="38" t="n">
        <v>0</v>
      </c>
      <c r="AA452" s="36" t="n">
        <v>104</v>
      </c>
      <c r="AB452" s="37" t="n">
        <v>0.3344051446945338</v>
      </c>
      <c r="AC452" s="36" t="n">
        <v>32</v>
      </c>
      <c r="AD452" s="37" t="n">
        <v>0.3440860215053764</v>
      </c>
      <c r="AE452" s="36" t="n">
        <v>72</v>
      </c>
      <c r="AF452" s="37" t="n">
        <v>0.3582089552238806</v>
      </c>
      <c r="AG452" s="36" t="n">
        <v>30</v>
      </c>
      <c r="AH452" s="37" t="n">
        <v>0.9375</v>
      </c>
    </row>
    <row r="453">
      <c r="A453" s="53" t="n">
        <v>45761</v>
      </c>
      <c r="B453" t="inlineStr">
        <is>
          <t>R10_Sumbagteng</t>
        </is>
      </c>
      <c r="C453" t="inlineStr">
        <is>
          <t>NOP PADANG</t>
        </is>
      </c>
      <c r="D453" s="38" t="n">
        <v>3.28</v>
      </c>
      <c r="E453" s="38" t="n">
        <v>3.486</v>
      </c>
      <c r="F453" s="36" t="n">
        <v>7.385</v>
      </c>
      <c r="G453" s="36" t="n">
        <v>6.71</v>
      </c>
      <c r="H453" s="36" t="n">
        <v>93</v>
      </c>
      <c r="I453" s="37" t="n">
        <v>0.8230088495575221</v>
      </c>
      <c r="J453" s="36" t="n">
        <v>12</v>
      </c>
      <c r="K453" s="37" t="n">
        <v>0.631578947368421</v>
      </c>
      <c r="L453" s="36" t="n">
        <v>81</v>
      </c>
      <c r="M453" s="37" t="n">
        <v>0.8617021276595744</v>
      </c>
      <c r="N453" s="36" t="n">
        <v>7</v>
      </c>
      <c r="O453" s="37" t="n">
        <v>0.5833333333333334</v>
      </c>
      <c r="P453" s="36" t="n">
        <v>7</v>
      </c>
      <c r="Q453" s="37" t="n">
        <v>0.5833333333333334</v>
      </c>
      <c r="R453" s="36" t="n">
        <v>110</v>
      </c>
      <c r="S453" s="37" t="n">
        <v>0.9734513274336283</v>
      </c>
      <c r="T453" s="36" t="n">
        <v>38</v>
      </c>
      <c r="U453" s="37" t="n">
        <v>0.336283185840708</v>
      </c>
      <c r="V453" s="38" t="n">
        <v>0</v>
      </c>
      <c r="W453" s="38" t="n">
        <v>5.27</v>
      </c>
      <c r="X453" s="38" t="n">
        <v>36.422</v>
      </c>
      <c r="Y453" s="38" t="n">
        <v>16.514</v>
      </c>
      <c r="Z453" s="38" t="n">
        <v>0</v>
      </c>
      <c r="AA453" s="36" t="n">
        <v>342</v>
      </c>
      <c r="AB453" s="37" t="n">
        <v>0.8952879581151832</v>
      </c>
      <c r="AC453" s="36" t="n">
        <v>36</v>
      </c>
      <c r="AD453" s="37" t="n">
        <v>0.8372093023255814</v>
      </c>
      <c r="AE453" s="36" t="n">
        <v>297</v>
      </c>
      <c r="AF453" s="37" t="n">
        <v>0.9082568807339449</v>
      </c>
      <c r="AG453" s="36" t="n">
        <v>15</v>
      </c>
      <c r="AH453" s="37" t="n">
        <v>0.4166666666666667</v>
      </c>
    </row>
    <row r="454">
      <c r="A454" s="53" t="n">
        <v>45761</v>
      </c>
      <c r="B454" t="inlineStr">
        <is>
          <t>R10_Sumbagteng</t>
        </is>
      </c>
      <c r="C454" t="inlineStr">
        <is>
          <t>NOP PEKANBARU</t>
        </is>
      </c>
      <c r="D454" s="38" t="n">
        <v>3.493000000000001</v>
      </c>
      <c r="E454" s="38" t="n">
        <v>5.04</v>
      </c>
      <c r="F454" s="36" t="n">
        <v>4.57</v>
      </c>
      <c r="G454" s="36" t="n">
        <v>4.911999999999998</v>
      </c>
      <c r="H454" s="36" t="n">
        <v>98</v>
      </c>
      <c r="I454" s="37" t="n">
        <v>0.4474885844748858</v>
      </c>
      <c r="J454" s="36" t="n">
        <v>13</v>
      </c>
      <c r="K454" s="37" t="n">
        <v>0.52</v>
      </c>
      <c r="L454" s="36" t="n">
        <v>85</v>
      </c>
      <c r="M454" s="37" t="n">
        <v>0.4381443298969072</v>
      </c>
      <c r="N454" s="36" t="n">
        <v>11</v>
      </c>
      <c r="O454" s="37" t="n">
        <v>0.8461538461538461</v>
      </c>
      <c r="P454" s="36" t="n">
        <v>11</v>
      </c>
      <c r="Q454" s="37" t="n">
        <v>0.8461538461538461</v>
      </c>
      <c r="R454" s="36" t="n">
        <v>216</v>
      </c>
      <c r="S454" s="37" t="n">
        <v>0.9863013698630136</v>
      </c>
      <c r="T454" s="36" t="n">
        <v>50</v>
      </c>
      <c r="U454" s="37" t="n">
        <v>0.228310502283105</v>
      </c>
      <c r="V454" s="38" t="n">
        <v>0</v>
      </c>
      <c r="W454" s="38" t="n">
        <v>5.03</v>
      </c>
      <c r="X454" s="38" t="n">
        <v>95.86</v>
      </c>
      <c r="Y454" s="38" t="n">
        <v>170.234</v>
      </c>
      <c r="Z454" s="38" t="n">
        <v>0</v>
      </c>
      <c r="AA454" s="36" t="n">
        <v>106</v>
      </c>
      <c r="AB454" s="37" t="n">
        <v>0.2819148936170213</v>
      </c>
      <c r="AC454" s="36" t="n">
        <v>37</v>
      </c>
      <c r="AD454" s="37" t="n">
        <v>0.2824427480916031</v>
      </c>
      <c r="AE454" s="36" t="n">
        <v>60</v>
      </c>
      <c r="AF454" s="37" t="n">
        <v>0.303030303030303</v>
      </c>
      <c r="AG454" s="36" t="n">
        <v>28</v>
      </c>
      <c r="AH454" s="37" t="n">
        <v>0.7567567567567568</v>
      </c>
    </row>
    <row r="455">
      <c r="A455" s="53" t="n">
        <v>45761</v>
      </c>
      <c r="B455" t="inlineStr">
        <is>
          <t>R02_Sumbagsel</t>
        </is>
      </c>
      <c r="C455" t="inlineStr">
        <is>
          <t>NOP BENGKULU</t>
        </is>
      </c>
      <c r="D455" s="38" t="n">
        <v>2.04</v>
      </c>
      <c r="E455" s="38" t="n">
        <v>6.773000000000002</v>
      </c>
      <c r="F455" s="36" t="n">
        <v>9</v>
      </c>
      <c r="G455" s="36" t="n">
        <v>5.367999999999999</v>
      </c>
      <c r="H455" s="36" t="n">
        <v>68</v>
      </c>
      <c r="I455" s="37" t="n">
        <v>0.3333333333333333</v>
      </c>
      <c r="J455" s="36" t="n">
        <v>20</v>
      </c>
      <c r="K455" s="37" t="n">
        <v>0.2985074626865671</v>
      </c>
      <c r="L455" s="36" t="n">
        <v>48</v>
      </c>
      <c r="M455" s="37" t="n">
        <v>0.3503649635036497</v>
      </c>
      <c r="N455" s="36" t="n">
        <v>15</v>
      </c>
      <c r="O455" s="37" t="n">
        <v>0.75</v>
      </c>
      <c r="P455" s="36" t="n">
        <v>15</v>
      </c>
      <c r="Q455" s="37" t="n">
        <v>0.75</v>
      </c>
      <c r="R455" s="36" t="n">
        <v>200</v>
      </c>
      <c r="S455" s="37" t="n">
        <v>0.9803921568627451</v>
      </c>
      <c r="T455" s="36" t="n">
        <v>34</v>
      </c>
      <c r="U455" s="37" t="n">
        <v>0.1666666666666667</v>
      </c>
      <c r="V455" s="38" t="n">
        <v>0</v>
      </c>
      <c r="W455" s="38" t="n">
        <v>9.6</v>
      </c>
      <c r="X455" s="38" t="n">
        <v>9.700000000000005</v>
      </c>
      <c r="Y455" s="38" t="n">
        <v>1.199999999999996</v>
      </c>
      <c r="Z455" s="38" t="n">
        <v>0</v>
      </c>
      <c r="AA455" s="36" t="n">
        <v>100</v>
      </c>
      <c r="AB455" s="37" t="n">
        <v>0.4310344827586207</v>
      </c>
      <c r="AC455" s="36" t="n">
        <v>60</v>
      </c>
      <c r="AD455" s="37" t="n">
        <v>0.425531914893617</v>
      </c>
      <c r="AE455" s="36" t="n">
        <v>25</v>
      </c>
      <c r="AF455" s="37" t="n">
        <v>0.4310344827586207</v>
      </c>
      <c r="AG455" s="36" t="n">
        <v>57</v>
      </c>
      <c r="AH455" s="37" t="n">
        <v>0.95</v>
      </c>
    </row>
    <row r="456">
      <c r="A456" s="53" t="n">
        <v>45761</v>
      </c>
      <c r="B456" t="inlineStr">
        <is>
          <t>R02_Sumbagsel</t>
        </is>
      </c>
      <c r="C456" t="inlineStr">
        <is>
          <t>NOP JAMBI</t>
        </is>
      </c>
      <c r="D456" s="38" t="n">
        <v>3.498</v>
      </c>
      <c r="E456" s="38" t="n">
        <v>8.910000000000005</v>
      </c>
      <c r="F456" s="36" t="n">
        <v>10.42</v>
      </c>
      <c r="G456" s="36" t="n">
        <v>11.98</v>
      </c>
      <c r="H456" s="36" t="n">
        <v>124</v>
      </c>
      <c r="I456" s="37" t="n">
        <v>0.5344827586206896</v>
      </c>
      <c r="J456" s="36" t="n">
        <v>56</v>
      </c>
      <c r="K456" s="37" t="n">
        <v>0.5490196078431373</v>
      </c>
      <c r="L456" s="36" t="n">
        <v>68</v>
      </c>
      <c r="M456" s="37" t="n">
        <v>0.5230769230769231</v>
      </c>
      <c r="N456" s="36" t="n">
        <v>38</v>
      </c>
      <c r="O456" s="37" t="n">
        <v>0.6785714285714286</v>
      </c>
      <c r="P456" s="36" t="n">
        <v>38</v>
      </c>
      <c r="Q456" s="37" t="n">
        <v>0.6785714285714286</v>
      </c>
      <c r="R456" s="36" t="n">
        <v>232</v>
      </c>
      <c r="S456" s="37" t="n">
        <v>1</v>
      </c>
      <c r="T456" s="36" t="n">
        <v>75</v>
      </c>
      <c r="U456" s="37" t="n">
        <v>0.3232758620689655</v>
      </c>
      <c r="V456" s="38" t="n">
        <v>0</v>
      </c>
      <c r="W456" s="38" t="n">
        <v>9.135999999999997</v>
      </c>
      <c r="X456" s="38" t="n">
        <v>20.2</v>
      </c>
      <c r="Y456" s="38" t="n">
        <v>18.994</v>
      </c>
      <c r="Z456" s="38" t="n">
        <v>0</v>
      </c>
      <c r="AA456" s="36" t="n">
        <v>192</v>
      </c>
      <c r="AB456" s="37" t="n">
        <v>0.6784452296819788</v>
      </c>
      <c r="AC456" s="36" t="n">
        <v>94</v>
      </c>
      <c r="AD456" s="37" t="n">
        <v>0.706766917293233</v>
      </c>
      <c r="AE456" s="36" t="n">
        <v>83</v>
      </c>
      <c r="AF456" s="37" t="n">
        <v>0.6747967479674797</v>
      </c>
      <c r="AG456" s="36" t="n">
        <v>72</v>
      </c>
      <c r="AH456" s="37" t="n">
        <v>0.7659574468085106</v>
      </c>
    </row>
    <row r="457">
      <c r="A457" s="53" t="n">
        <v>45761</v>
      </c>
      <c r="B457" t="inlineStr">
        <is>
          <t>R02_Sumbagsel</t>
        </is>
      </c>
      <c r="C457" t="inlineStr">
        <is>
          <t>NOP LAMPUNG</t>
        </is>
      </c>
      <c r="D457" s="38" t="n">
        <v>0</v>
      </c>
      <c r="E457" s="38" t="n">
        <v>0.574</v>
      </c>
      <c r="F457" s="36" t="n">
        <v>3.698</v>
      </c>
      <c r="G457" s="36" t="n">
        <v>4.676</v>
      </c>
      <c r="H457" s="36" t="n">
        <v>21</v>
      </c>
      <c r="I457" s="37" t="n">
        <v>0.5384615384615384</v>
      </c>
      <c r="J457" s="36" t="n">
        <v>0</v>
      </c>
      <c r="K457" s="37" t="n">
        <v>0</v>
      </c>
      <c r="L457" s="36" t="n">
        <v>21</v>
      </c>
      <c r="M457" s="37" t="n">
        <v>0.5833333333333334</v>
      </c>
      <c r="N457" s="36" t="n">
        <v>0</v>
      </c>
      <c r="O457" s="37" t="n">
        <v>0</v>
      </c>
      <c r="P457" s="36" t="n">
        <v>0</v>
      </c>
      <c r="Q457" s="37" t="n">
        <v>0</v>
      </c>
      <c r="R457" s="36" t="n">
        <v>39</v>
      </c>
      <c r="S457" s="37" t="n">
        <v>1</v>
      </c>
      <c r="T457" s="36" t="n">
        <v>14</v>
      </c>
      <c r="U457" s="37" t="n">
        <v>0.358974358974359</v>
      </c>
      <c r="V457" s="38" t="n">
        <v>0</v>
      </c>
      <c r="W457" s="38" t="n">
        <v>2.083</v>
      </c>
      <c r="X457" s="38" t="n">
        <v>3.247999999999999</v>
      </c>
      <c r="Y457" s="38" t="n">
        <v>24.714</v>
      </c>
      <c r="Z457" s="38" t="n">
        <v>0</v>
      </c>
      <c r="AA457" s="36" t="n">
        <v>167</v>
      </c>
      <c r="AB457" s="37" t="n">
        <v>0.8882978723404256</v>
      </c>
      <c r="AC457" s="36" t="n">
        <v>27</v>
      </c>
      <c r="AD457" s="37" t="n">
        <v>0.7105263157894737</v>
      </c>
      <c r="AE457" s="36" t="n">
        <v>134</v>
      </c>
      <c r="AF457" s="37" t="n">
        <v>0.9503546099290781</v>
      </c>
      <c r="AG457" s="36" t="n">
        <v>25</v>
      </c>
      <c r="AH457" s="37" t="n">
        <v>0.9259259259259259</v>
      </c>
    </row>
    <row r="458">
      <c r="A458" s="53" t="n">
        <v>45761</v>
      </c>
      <c r="B458" t="inlineStr">
        <is>
          <t>R02_Sumbagsel</t>
        </is>
      </c>
      <c r="C458" t="inlineStr">
        <is>
          <t>NOP MUARA ENIM</t>
        </is>
      </c>
      <c r="D458" s="38" t="n">
        <v>3.005</v>
      </c>
      <c r="E458" s="38" t="n">
        <v>4.750000000000002</v>
      </c>
      <c r="F458" s="36" t="n">
        <v>4.211999999999998</v>
      </c>
      <c r="G458" s="36" t="n">
        <v>4.856</v>
      </c>
      <c r="H458" s="36" t="n">
        <v>45</v>
      </c>
      <c r="I458" s="37" t="n">
        <v>0.4090909090909091</v>
      </c>
      <c r="J458" s="36" t="n">
        <v>9</v>
      </c>
      <c r="K458" s="37" t="n">
        <v>0.45</v>
      </c>
      <c r="L458" s="36" t="n">
        <v>36</v>
      </c>
      <c r="M458" s="37" t="n">
        <v>0.4</v>
      </c>
      <c r="N458" s="36" t="n">
        <v>4</v>
      </c>
      <c r="O458" s="37" t="n">
        <v>0.4444444444444444</v>
      </c>
      <c r="P458" s="36" t="n">
        <v>4</v>
      </c>
      <c r="Q458" s="37" t="n">
        <v>0.4444444444444444</v>
      </c>
      <c r="R458" s="36" t="n">
        <v>107</v>
      </c>
      <c r="S458" s="37" t="n">
        <v>0.9727272727272728</v>
      </c>
      <c r="T458" s="36" t="n">
        <v>23</v>
      </c>
      <c r="U458" s="37" t="n">
        <v>0.2090909090909091</v>
      </c>
      <c r="V458" s="38" t="n">
        <v>0</v>
      </c>
      <c r="W458" s="38" t="n">
        <v>4.099000000000001</v>
      </c>
      <c r="X458" s="38" t="n">
        <v>3.462</v>
      </c>
      <c r="Y458" s="38" t="n">
        <v>4.210000000000002</v>
      </c>
      <c r="Z458" s="38" t="n">
        <v>0</v>
      </c>
      <c r="AA458" s="36" t="n">
        <v>110</v>
      </c>
      <c r="AB458" s="37" t="n">
        <v>0.582010582010582</v>
      </c>
      <c r="AC458" s="36" t="n">
        <v>46</v>
      </c>
      <c r="AD458" s="37" t="n">
        <v>0.5609756097560976</v>
      </c>
      <c r="AE458" s="36" t="n">
        <v>62</v>
      </c>
      <c r="AF458" s="37" t="n">
        <v>0.6739130434782609</v>
      </c>
      <c r="AG458" s="36" t="n">
        <v>33</v>
      </c>
      <c r="AH458" s="37" t="n">
        <v>0.7173913043478261</v>
      </c>
    </row>
    <row r="459">
      <c r="A459" s="53" t="n">
        <v>45761</v>
      </c>
      <c r="B459" t="inlineStr">
        <is>
          <t>R02_Sumbagsel</t>
        </is>
      </c>
      <c r="C459" t="inlineStr">
        <is>
          <t>NOP PALEMBANG</t>
        </is>
      </c>
      <c r="D459" s="38" t="n">
        <v>2.88</v>
      </c>
      <c r="E459" s="38" t="n">
        <v>3.397000000000002</v>
      </c>
      <c r="F459" s="36" t="n">
        <v>5.515</v>
      </c>
      <c r="G459" s="36" t="n">
        <v>8.566000000000003</v>
      </c>
      <c r="H459" s="36" t="n">
        <v>62</v>
      </c>
      <c r="I459" s="37" t="n">
        <v>0.2767857142857143</v>
      </c>
      <c r="J459" s="36" t="n">
        <v>7</v>
      </c>
      <c r="K459" s="37" t="n">
        <v>0.25</v>
      </c>
      <c r="L459" s="36" t="n">
        <v>55</v>
      </c>
      <c r="M459" s="37" t="n">
        <v>0.2806122448979592</v>
      </c>
      <c r="N459" s="36" t="n">
        <v>2</v>
      </c>
      <c r="O459" s="37" t="n">
        <v>0.2857142857142857</v>
      </c>
      <c r="P459" s="36" t="n">
        <v>2</v>
      </c>
      <c r="Q459" s="37" t="n">
        <v>0.2857142857142857</v>
      </c>
      <c r="R459" s="36" t="n">
        <v>224</v>
      </c>
      <c r="S459" s="37" t="n">
        <v>1</v>
      </c>
      <c r="T459" s="36" t="n">
        <v>21</v>
      </c>
      <c r="U459" s="37" t="n">
        <v>0.09375</v>
      </c>
      <c r="V459" s="38" t="n">
        <v>0</v>
      </c>
      <c r="W459" s="38" t="n">
        <v>14.93</v>
      </c>
      <c r="X459" s="38" t="n">
        <v>10.644</v>
      </c>
      <c r="Y459" s="38" t="n">
        <v>0</v>
      </c>
      <c r="Z459" s="38" t="n">
        <v>0</v>
      </c>
      <c r="AA459" s="36" t="n">
        <v>87</v>
      </c>
      <c r="AB459" s="37" t="n">
        <v>0.3198529411764706</v>
      </c>
      <c r="AC459" s="36" t="n">
        <v>35</v>
      </c>
      <c r="AD459" s="37" t="n">
        <v>0.330188679245283</v>
      </c>
      <c r="AE459" s="36" t="n">
        <v>51</v>
      </c>
      <c r="AF459" s="37" t="n">
        <v>0.3517241379310345</v>
      </c>
      <c r="AG459" s="36" t="n">
        <v>17</v>
      </c>
      <c r="AH459" s="37" t="n">
        <v>0.4857142857142857</v>
      </c>
    </row>
    <row r="460">
      <c r="A460" s="53" t="n">
        <v>45761</v>
      </c>
      <c r="B460" t="inlineStr">
        <is>
          <t>R02_Sumbagsel</t>
        </is>
      </c>
      <c r="C460" t="inlineStr">
        <is>
          <t>NOP PANGKAL PINANG</t>
        </is>
      </c>
      <c r="D460" s="38" t="n">
        <v>0</v>
      </c>
      <c r="E460" s="38" t="n">
        <v>5.1</v>
      </c>
      <c r="F460" s="36" t="n">
        <v>5.63</v>
      </c>
      <c r="G460" s="36" t="n">
        <v>5.510000000000001</v>
      </c>
      <c r="H460" s="36" t="n">
        <v>20</v>
      </c>
      <c r="I460" s="37" t="n">
        <v>0.8333333333333334</v>
      </c>
      <c r="J460" s="36" t="n">
        <v>3</v>
      </c>
      <c r="K460" s="37" t="n">
        <v>1</v>
      </c>
      <c r="L460" s="36" t="n">
        <v>17</v>
      </c>
      <c r="M460" s="37" t="n">
        <v>0.8095238095238095</v>
      </c>
      <c r="N460" s="36" t="n">
        <v>3</v>
      </c>
      <c r="O460" s="37" t="n">
        <v>1</v>
      </c>
      <c r="P460" s="36" t="n">
        <v>3</v>
      </c>
      <c r="Q460" s="37" t="n">
        <v>1</v>
      </c>
      <c r="R460" s="36" t="n">
        <v>24</v>
      </c>
      <c r="S460" s="37" t="n">
        <v>1</v>
      </c>
      <c r="T460" s="36" t="n">
        <v>10</v>
      </c>
      <c r="U460" s="37" t="n">
        <v>0.4166666666666667</v>
      </c>
      <c r="V460" s="38" t="n">
        <v>0</v>
      </c>
      <c r="W460" s="38" t="n">
        <v>24.43799999999999</v>
      </c>
      <c r="X460" s="38" t="n">
        <v>5.124</v>
      </c>
      <c r="Y460" s="38" t="n">
        <v>12.24100000000002</v>
      </c>
      <c r="Z460" s="38" t="n">
        <v>0</v>
      </c>
      <c r="AA460" s="36" t="n">
        <v>50</v>
      </c>
      <c r="AB460" s="37" t="n">
        <v>0.9259259259259259</v>
      </c>
      <c r="AC460" s="36" t="n">
        <v>15</v>
      </c>
      <c r="AD460" s="37" t="n">
        <v>1</v>
      </c>
      <c r="AE460" s="36" t="n">
        <v>35</v>
      </c>
      <c r="AF460" s="37" t="n">
        <v>0.8974358974358975</v>
      </c>
      <c r="AG460" s="36" t="n">
        <v>11</v>
      </c>
      <c r="AH460" s="37" t="n">
        <v>0.7333333333333333</v>
      </c>
    </row>
    <row r="461">
      <c r="A461" s="53" t="n">
        <v>45761</v>
      </c>
      <c r="B461" t="inlineStr">
        <is>
          <t>R05_Jawa Tengah DIY</t>
        </is>
      </c>
      <c r="C461" t="inlineStr">
        <is>
          <t>NOP MAGELANG</t>
        </is>
      </c>
      <c r="D461" s="38" t="n">
        <v>4.673</v>
      </c>
      <c r="E461" s="38" t="n">
        <v>0</v>
      </c>
      <c r="F461" s="36" t="n">
        <v>2.584</v>
      </c>
      <c r="G461" s="36" t="n">
        <v>2.338</v>
      </c>
      <c r="H461" s="36" t="n">
        <v>18</v>
      </c>
      <c r="I461" s="37" t="n">
        <v>0.8571428571428571</v>
      </c>
      <c r="J461" s="36" t="n">
        <v>2</v>
      </c>
      <c r="K461" s="37" t="n">
        <v>1</v>
      </c>
      <c r="L461" s="36" t="n">
        <v>16</v>
      </c>
      <c r="M461" s="37" t="n">
        <v>0.8421052631578947</v>
      </c>
      <c r="N461" s="36" t="n">
        <v>2</v>
      </c>
      <c r="O461" s="37" t="n">
        <v>1</v>
      </c>
      <c r="P461" s="36" t="n">
        <v>2</v>
      </c>
      <c r="Q461" s="37" t="n">
        <v>1</v>
      </c>
      <c r="R461" s="36" t="n">
        <v>21</v>
      </c>
      <c r="S461" s="37" t="n">
        <v>1</v>
      </c>
      <c r="T461" s="36" t="n">
        <v>18</v>
      </c>
      <c r="U461" s="37" t="n">
        <v>0.8571428571428571</v>
      </c>
      <c r="V461" s="38" t="n">
        <v>0</v>
      </c>
      <c r="W461" s="38" t="n">
        <v>2.12</v>
      </c>
      <c r="X461" s="38" t="n">
        <v>4.433999999999999</v>
      </c>
      <c r="Y461" s="38" t="n">
        <v>10.243</v>
      </c>
      <c r="Z461" s="38" t="n">
        <v>0</v>
      </c>
      <c r="AA461" s="36" t="n">
        <v>51</v>
      </c>
      <c r="AB461" s="37" t="n">
        <v>0.9807692307692307</v>
      </c>
      <c r="AC461" s="36" t="n">
        <v>7</v>
      </c>
      <c r="AD461" s="37" t="n">
        <v>1</v>
      </c>
      <c r="AE461" s="36" t="n">
        <v>44</v>
      </c>
      <c r="AF461" s="37" t="n">
        <v>0.9777777777777777</v>
      </c>
      <c r="AG461" s="36" t="n">
        <v>7</v>
      </c>
      <c r="AH461" s="37" t="n">
        <v>1</v>
      </c>
    </row>
    <row r="462">
      <c r="A462" s="53" t="n">
        <v>45761</v>
      </c>
      <c r="B462" t="inlineStr">
        <is>
          <t>R05_Jawa Tengah DIY</t>
        </is>
      </c>
      <c r="C462" t="inlineStr">
        <is>
          <t>NOP PEKALONGAN</t>
        </is>
      </c>
      <c r="D462" s="38" t="n">
        <v>1.5</v>
      </c>
      <c r="E462" s="38" t="n">
        <v>0</v>
      </c>
      <c r="F462" s="36" t="n">
        <v>4.076</v>
      </c>
      <c r="G462" s="36" t="n">
        <v>4.192</v>
      </c>
      <c r="H462" s="36" t="n">
        <v>3</v>
      </c>
      <c r="I462" s="37" t="n">
        <v>0.5</v>
      </c>
      <c r="J462" s="36" t="n">
        <v>1</v>
      </c>
      <c r="K462" s="37" t="n">
        <v>1</v>
      </c>
      <c r="L462" s="36" t="n">
        <v>2</v>
      </c>
      <c r="M462" s="37" t="n">
        <v>0.4</v>
      </c>
      <c r="N462" s="36" t="n">
        <v>1</v>
      </c>
      <c r="O462" s="37" t="n">
        <v>1</v>
      </c>
      <c r="P462" s="36" t="n">
        <v>1</v>
      </c>
      <c r="Q462" s="37" t="n">
        <v>1</v>
      </c>
      <c r="R462" s="36" t="n">
        <v>6</v>
      </c>
      <c r="S462" s="37" t="n">
        <v>1</v>
      </c>
      <c r="T462" s="36" t="n">
        <v>2</v>
      </c>
      <c r="U462" s="37" t="n">
        <v>0.3333333333333333</v>
      </c>
      <c r="V462" s="38" t="n">
        <v>0</v>
      </c>
      <c r="W462" s="38" t="n">
        <v>3.404</v>
      </c>
      <c r="X462" s="38" t="n">
        <v>29.805</v>
      </c>
      <c r="Y462" s="38" t="n">
        <v>16.07100000000002</v>
      </c>
      <c r="Z462" s="38" t="n">
        <v>0</v>
      </c>
      <c r="AA462" s="36" t="n">
        <v>17</v>
      </c>
      <c r="AB462" s="37" t="n">
        <v>0.7727272727272727</v>
      </c>
      <c r="AC462" s="36" t="n">
        <v>2</v>
      </c>
      <c r="AD462" s="37" t="n">
        <v>1</v>
      </c>
      <c r="AE462" s="36" t="n">
        <v>15</v>
      </c>
      <c r="AF462" s="37" t="n">
        <v>0.75</v>
      </c>
      <c r="AG462" s="36" t="n">
        <v>2</v>
      </c>
      <c r="AH462" s="37" t="n">
        <v>1</v>
      </c>
    </row>
    <row r="463">
      <c r="A463" s="53" t="n">
        <v>45761</v>
      </c>
      <c r="B463" t="inlineStr">
        <is>
          <t>R05_Jawa Tengah DIY</t>
        </is>
      </c>
      <c r="C463" t="inlineStr">
        <is>
          <t>NOP PURWOKERTO</t>
        </is>
      </c>
      <c r="D463" s="38" t="n">
        <v>0</v>
      </c>
      <c r="E463" s="38" t="n">
        <v>0</v>
      </c>
      <c r="F463" s="36" t="n">
        <v>2.636</v>
      </c>
      <c r="G463" s="36" t="n">
        <v>0.9299999999999999</v>
      </c>
      <c r="H463" s="36" t="n">
        <v>9</v>
      </c>
      <c r="I463" s="37" t="n">
        <v>0.5</v>
      </c>
      <c r="J463" s="36" t="n">
        <v>0</v>
      </c>
      <c r="K463" s="37" t="n">
        <v>0</v>
      </c>
      <c r="L463" s="36" t="n">
        <v>9</v>
      </c>
      <c r="M463" s="37" t="n">
        <v>0.5</v>
      </c>
      <c r="N463" s="36" t="n">
        <v>0</v>
      </c>
      <c r="O463" s="37" t="n">
        <v>0</v>
      </c>
      <c r="P463" s="36" t="n">
        <v>0</v>
      </c>
      <c r="Q463" s="37" t="n">
        <v>0</v>
      </c>
      <c r="R463" s="36" t="n">
        <v>18</v>
      </c>
      <c r="S463" s="37" t="n">
        <v>1</v>
      </c>
      <c r="T463" s="36" t="n">
        <v>5</v>
      </c>
      <c r="U463" s="37" t="n">
        <v>0.2777777777777778</v>
      </c>
      <c r="V463" s="38" t="n">
        <v>0</v>
      </c>
      <c r="W463" s="38" t="n">
        <v>5.970000000000001</v>
      </c>
      <c r="X463" s="38" t="n">
        <v>10.105</v>
      </c>
      <c r="Y463" s="38" t="n">
        <v>33.232</v>
      </c>
      <c r="Z463" s="38" t="n">
        <v>0</v>
      </c>
      <c r="AA463" s="36" t="n">
        <v>37</v>
      </c>
      <c r="AB463" s="37" t="n">
        <v>0.8409090909090909</v>
      </c>
      <c r="AC463" s="36" t="n">
        <v>3</v>
      </c>
      <c r="AD463" s="37" t="n">
        <v>1</v>
      </c>
      <c r="AE463" s="36" t="n">
        <v>34</v>
      </c>
      <c r="AF463" s="37" t="n">
        <v>0.8292682926829268</v>
      </c>
      <c r="AG463" s="36" t="n">
        <v>2</v>
      </c>
      <c r="AH463" s="37" t="n">
        <v>0.6666666666666666</v>
      </c>
    </row>
    <row r="464">
      <c r="A464" s="53" t="n">
        <v>45761</v>
      </c>
      <c r="B464" t="inlineStr">
        <is>
          <t>R05_Jawa Tengah DIY</t>
        </is>
      </c>
      <c r="C464" t="inlineStr">
        <is>
          <t>NOP SEMARANG</t>
        </is>
      </c>
      <c r="D464" s="38" t="n">
        <v>0</v>
      </c>
      <c r="E464" s="38" t="n">
        <v>0</v>
      </c>
      <c r="F464" s="36" t="n">
        <v>2.4</v>
      </c>
      <c r="G464" s="36" t="n">
        <v>2.589</v>
      </c>
      <c r="H464" s="36" t="n">
        <v>15</v>
      </c>
      <c r="I464" s="37" t="n">
        <v>0.5172413793103449</v>
      </c>
      <c r="J464" s="36" t="n">
        <v>0</v>
      </c>
      <c r="K464" s="37" t="n">
        <v>0</v>
      </c>
      <c r="L464" s="36" t="n">
        <v>15</v>
      </c>
      <c r="M464" s="37" t="n">
        <v>0.5172413793103449</v>
      </c>
      <c r="N464" s="36" t="n">
        <v>0</v>
      </c>
      <c r="O464" s="37" t="n">
        <v>0</v>
      </c>
      <c r="P464" s="36" t="n">
        <v>0</v>
      </c>
      <c r="Q464" s="37" t="n">
        <v>0</v>
      </c>
      <c r="R464" s="36" t="n">
        <v>29</v>
      </c>
      <c r="S464" s="37" t="n">
        <v>1</v>
      </c>
      <c r="T464" s="36" t="n">
        <v>8</v>
      </c>
      <c r="U464" s="37" t="n">
        <v>0.2758620689655172</v>
      </c>
      <c r="V464" s="38" t="n">
        <v>0</v>
      </c>
      <c r="W464" s="38" t="n">
        <v>4.096000000000003</v>
      </c>
      <c r="X464" s="38" t="n">
        <v>10.2</v>
      </c>
      <c r="Y464" s="38" t="n">
        <v>49.846</v>
      </c>
      <c r="Z464" s="38" t="n">
        <v>0</v>
      </c>
      <c r="AA464" s="36" t="n">
        <v>33</v>
      </c>
      <c r="AB464" s="37" t="n">
        <v>0.7173913043478261</v>
      </c>
      <c r="AC464" s="36" t="n">
        <v>8</v>
      </c>
      <c r="AD464" s="37" t="n">
        <v>0.4444444444444444</v>
      </c>
      <c r="AE464" s="36" t="n">
        <v>25</v>
      </c>
      <c r="AF464" s="37" t="n">
        <v>0.8928571428571429</v>
      </c>
      <c r="AG464" s="36" t="n">
        <v>8</v>
      </c>
      <c r="AH464" s="37" t="n">
        <v>1</v>
      </c>
    </row>
    <row r="465">
      <c r="A465" s="53" t="n">
        <v>45761</v>
      </c>
      <c r="B465" t="inlineStr">
        <is>
          <t>R05_Jawa Tengah DIY</t>
        </is>
      </c>
      <c r="C465" t="inlineStr">
        <is>
          <t>NOP SURAKARTA</t>
        </is>
      </c>
      <c r="D465" s="38" t="n">
        <v>0</v>
      </c>
      <c r="E465" s="38" t="n">
        <v>0</v>
      </c>
      <c r="F465" s="36" t="n">
        <v>2.656000000000001</v>
      </c>
      <c r="G465" s="36" t="n">
        <v>3.798</v>
      </c>
      <c r="H465" s="36" t="n">
        <v>8</v>
      </c>
      <c r="I465" s="37" t="n">
        <v>0.6666666666666666</v>
      </c>
      <c r="J465" s="36" t="n">
        <v>0</v>
      </c>
      <c r="K465" s="37" t="n">
        <v>0</v>
      </c>
      <c r="L465" s="36" t="n">
        <v>8</v>
      </c>
      <c r="M465" s="37" t="n">
        <v>0.6666666666666666</v>
      </c>
      <c r="N465" s="36" t="n">
        <v>0</v>
      </c>
      <c r="O465" s="37" t="n">
        <v>0</v>
      </c>
      <c r="P465" s="36" t="n">
        <v>0</v>
      </c>
      <c r="Q465" s="37" t="n">
        <v>0</v>
      </c>
      <c r="R465" s="36" t="n">
        <v>12</v>
      </c>
      <c r="S465" s="37" t="n">
        <v>1</v>
      </c>
      <c r="T465" s="36" t="n">
        <v>5</v>
      </c>
      <c r="U465" s="37" t="n">
        <v>0.4166666666666667</v>
      </c>
      <c r="V465" s="38" t="n">
        <v>0</v>
      </c>
      <c r="W465" s="38" t="n">
        <v>2.856</v>
      </c>
      <c r="X465" s="38" t="n">
        <v>4.144000000000002</v>
      </c>
      <c r="Y465" s="38" t="n">
        <v>54.175</v>
      </c>
      <c r="Z465" s="38" t="n">
        <v>0</v>
      </c>
      <c r="AA465" s="36" t="n">
        <v>36</v>
      </c>
      <c r="AB465" s="37" t="n">
        <v>0.8181818181818182</v>
      </c>
      <c r="AC465" s="36" t="n">
        <v>4</v>
      </c>
      <c r="AD465" s="37" t="n">
        <v>0.5714285714285714</v>
      </c>
      <c r="AE465" s="36" t="n">
        <v>32</v>
      </c>
      <c r="AF465" s="37" t="n">
        <v>0.8648648648648649</v>
      </c>
      <c r="AG465" s="36" t="n">
        <v>2</v>
      </c>
      <c r="AH465" s="37" t="n">
        <v>0.5</v>
      </c>
    </row>
    <row r="466">
      <c r="A466" s="53" t="n">
        <v>45761</v>
      </c>
      <c r="B466" t="inlineStr">
        <is>
          <t>R05_Jawa Tengah DIY</t>
        </is>
      </c>
      <c r="C466" t="inlineStr">
        <is>
          <t>NOP YOGYAKARTA</t>
        </is>
      </c>
      <c r="D466" s="38" t="n">
        <v>0</v>
      </c>
      <c r="E466" s="38" t="n">
        <v>0</v>
      </c>
      <c r="F466" s="36" t="n">
        <v>1.286</v>
      </c>
      <c r="G466" s="36" t="n">
        <v>3.04</v>
      </c>
      <c r="H466" s="36" t="n">
        <v>6</v>
      </c>
      <c r="I466" s="37" t="n">
        <v>0.4</v>
      </c>
      <c r="J466" s="36" t="n">
        <v>0</v>
      </c>
      <c r="K466" s="37" t="n">
        <v>0</v>
      </c>
      <c r="L466" s="36" t="n">
        <v>6</v>
      </c>
      <c r="M466" s="37" t="n">
        <v>0.4</v>
      </c>
      <c r="N466" s="36" t="n">
        <v>0</v>
      </c>
      <c r="O466" s="37" t="n">
        <v>0</v>
      </c>
      <c r="P466" s="36" t="n">
        <v>0</v>
      </c>
      <c r="Q466" s="37" t="n">
        <v>0</v>
      </c>
      <c r="R466" s="36" t="n">
        <v>15</v>
      </c>
      <c r="S466" s="37" t="n">
        <v>1</v>
      </c>
      <c r="T466" s="36" t="n">
        <v>5</v>
      </c>
      <c r="U466" s="37" t="n">
        <v>0.3333333333333333</v>
      </c>
      <c r="V466" s="38" t="n">
        <v>0</v>
      </c>
      <c r="W466" s="38" t="n">
        <v>2.272000000000001</v>
      </c>
      <c r="X466" s="38" t="n">
        <v>10.917</v>
      </c>
      <c r="Y466" s="38" t="n">
        <v>20.902</v>
      </c>
      <c r="Z466" s="38" t="n">
        <v>0</v>
      </c>
      <c r="AA466" s="36" t="n">
        <v>65</v>
      </c>
      <c r="AB466" s="37" t="n">
        <v>0.9420289855072463</v>
      </c>
      <c r="AC466" s="36" t="n">
        <v>4</v>
      </c>
      <c r="AD466" s="37" t="n">
        <v>0.5714285714285714</v>
      </c>
      <c r="AE466" s="36" t="n">
        <v>61</v>
      </c>
      <c r="AF466" s="37" t="n">
        <v>0.9838709677419355</v>
      </c>
      <c r="AG466" s="36" t="n">
        <v>3</v>
      </c>
      <c r="AH466" s="37" t="n">
        <v>0.75</v>
      </c>
    </row>
    <row r="467">
      <c r="A467" s="53" t="n">
        <v>45761</v>
      </c>
      <c r="B467" t="inlineStr">
        <is>
          <t>R06_Jawa Timur</t>
        </is>
      </c>
      <c r="C467" t="inlineStr">
        <is>
          <t>NOP JEMBER</t>
        </is>
      </c>
      <c r="D467" s="38" t="n">
        <v>0</v>
      </c>
      <c r="E467" s="38" t="n">
        <v>0</v>
      </c>
      <c r="F467" s="36" t="n">
        <v>2.364</v>
      </c>
      <c r="G467" s="36" t="n">
        <v>2.279999999999999</v>
      </c>
      <c r="H467" s="36" t="n">
        <v>11</v>
      </c>
      <c r="I467" s="37" t="n">
        <v>0.6875</v>
      </c>
      <c r="J467" s="36" t="n">
        <v>0</v>
      </c>
      <c r="K467" s="37" t="n">
        <v>0</v>
      </c>
      <c r="L467" s="36" t="n">
        <v>11</v>
      </c>
      <c r="M467" s="37" t="n">
        <v>0.6875</v>
      </c>
      <c r="N467" s="36" t="n">
        <v>0</v>
      </c>
      <c r="O467" s="37" t="n">
        <v>0</v>
      </c>
      <c r="P467" s="36" t="n">
        <v>0</v>
      </c>
      <c r="Q467" s="37" t="n">
        <v>0</v>
      </c>
      <c r="R467" s="36" t="n">
        <v>16</v>
      </c>
      <c r="S467" s="37" t="n">
        <v>1</v>
      </c>
      <c r="T467" s="36" t="n">
        <v>5</v>
      </c>
      <c r="U467" s="37" t="n">
        <v>0.3125</v>
      </c>
      <c r="V467" s="38" t="n">
        <v>0</v>
      </c>
      <c r="W467" s="38" t="n">
        <v>2.404</v>
      </c>
      <c r="X467" s="38" t="n">
        <v>4.345</v>
      </c>
      <c r="Y467" s="38" t="n">
        <v>196.939</v>
      </c>
      <c r="Z467" s="38" t="n">
        <v>0</v>
      </c>
      <c r="AA467" s="36" t="n">
        <v>26</v>
      </c>
      <c r="AB467" s="37" t="n">
        <v>0.9285714285714286</v>
      </c>
      <c r="AC467" s="36" t="n">
        <v>8</v>
      </c>
      <c r="AD467" s="37" t="n">
        <v>1</v>
      </c>
      <c r="AE467" s="36" t="n">
        <v>18</v>
      </c>
      <c r="AF467" s="37" t="n">
        <v>0.9</v>
      </c>
      <c r="AG467" s="36" t="n">
        <v>6</v>
      </c>
      <c r="AH467" s="37" t="n">
        <v>0.75</v>
      </c>
    </row>
    <row r="468">
      <c r="A468" s="53" t="n">
        <v>45761</v>
      </c>
      <c r="B468" t="inlineStr">
        <is>
          <t>R06_Jawa Timur</t>
        </is>
      </c>
      <c r="C468" t="inlineStr">
        <is>
          <t>NOP KEDIRI</t>
        </is>
      </c>
      <c r="D468" s="38" t="n">
        <v>0.46</v>
      </c>
      <c r="E468" s="38" t="n">
        <v>0</v>
      </c>
      <c r="F468" s="36" t="n">
        <v>0.74</v>
      </c>
      <c r="G468" s="36" t="n">
        <v>1.288</v>
      </c>
      <c r="H468" s="36" t="n">
        <v>5</v>
      </c>
      <c r="I468" s="37" t="n">
        <v>0.8333333333333334</v>
      </c>
      <c r="J468" s="36" t="n">
        <v>1</v>
      </c>
      <c r="K468" s="37" t="n">
        <v>1</v>
      </c>
      <c r="L468" s="36" t="n">
        <v>4</v>
      </c>
      <c r="M468" s="37" t="n">
        <v>0.8</v>
      </c>
      <c r="N468" s="36" t="n">
        <v>0</v>
      </c>
      <c r="O468" s="37" t="n">
        <v>0</v>
      </c>
      <c r="P468" s="36" t="n">
        <v>0</v>
      </c>
      <c r="Q468" s="37" t="n">
        <v>0</v>
      </c>
      <c r="R468" s="36" t="n">
        <v>6</v>
      </c>
      <c r="S468" s="37" t="n">
        <v>1</v>
      </c>
      <c r="T468" s="36" t="n">
        <v>3</v>
      </c>
      <c r="U468" s="37" t="n">
        <v>0.5</v>
      </c>
      <c r="V468" s="38" t="n">
        <v>0</v>
      </c>
      <c r="W468" s="38" t="n">
        <v>0.982</v>
      </c>
      <c r="X468" s="38" t="n">
        <v>2.624999999999999</v>
      </c>
      <c r="Y468" s="38" t="n">
        <v>9.673</v>
      </c>
      <c r="Z468" s="38" t="n">
        <v>0</v>
      </c>
      <c r="AA468" s="36" t="n">
        <v>12</v>
      </c>
      <c r="AB468" s="37" t="n">
        <v>0.8571428571428571</v>
      </c>
      <c r="AC468" s="36" t="n">
        <v>2</v>
      </c>
      <c r="AD468" s="37" t="n">
        <v>1</v>
      </c>
      <c r="AE468" s="36" t="n">
        <v>10</v>
      </c>
      <c r="AF468" s="37" t="n">
        <v>0.8333333333333334</v>
      </c>
      <c r="AG468" s="36" t="n">
        <v>1</v>
      </c>
      <c r="AH468" s="37" t="n">
        <v>0.5</v>
      </c>
    </row>
    <row r="469">
      <c r="A469" s="53" t="n">
        <v>45761</v>
      </c>
      <c r="B469" t="inlineStr">
        <is>
          <t>R06_Jawa Timur</t>
        </is>
      </c>
      <c r="C469" t="inlineStr">
        <is>
          <t>NOP LAMONGAN</t>
        </is>
      </c>
      <c r="D469" s="38" t="n">
        <v>1.056</v>
      </c>
      <c r="E469" s="38" t="n">
        <v>0</v>
      </c>
      <c r="F469" s="36" t="n">
        <v>0.8090000000000001</v>
      </c>
      <c r="G469" s="36" t="n">
        <v>1.276</v>
      </c>
      <c r="H469" s="36" t="n">
        <v>5</v>
      </c>
      <c r="I469" s="37" t="n">
        <v>0.8333333333333334</v>
      </c>
      <c r="J469" s="36" t="n">
        <v>2</v>
      </c>
      <c r="K469" s="37" t="n">
        <v>1</v>
      </c>
      <c r="L469" s="36" t="n">
        <v>3</v>
      </c>
      <c r="M469" s="37" t="n">
        <v>0.75</v>
      </c>
      <c r="N469" s="36" t="n">
        <v>2</v>
      </c>
      <c r="O469" s="37" t="n">
        <v>1</v>
      </c>
      <c r="P469" s="36" t="n">
        <v>2</v>
      </c>
      <c r="Q469" s="37" t="n">
        <v>1</v>
      </c>
      <c r="R469" s="36" t="n">
        <v>6</v>
      </c>
      <c r="S469" s="37" t="n">
        <v>1</v>
      </c>
      <c r="T469" s="36" t="n">
        <v>5</v>
      </c>
      <c r="U469" s="37" t="n">
        <v>0.8333333333333334</v>
      </c>
      <c r="V469" s="38" t="n">
        <v>0</v>
      </c>
      <c r="W469" s="38" t="n">
        <v>2.186</v>
      </c>
      <c r="X469" s="38" t="n">
        <v>14.442</v>
      </c>
      <c r="Y469" s="38" t="n">
        <v>17.996</v>
      </c>
      <c r="Z469" s="38" t="n">
        <v>0</v>
      </c>
      <c r="AA469" s="36" t="n">
        <v>16</v>
      </c>
      <c r="AB469" s="37" t="n">
        <v>0.8421052631578947</v>
      </c>
      <c r="AC469" s="36" t="n">
        <v>6</v>
      </c>
      <c r="AD469" s="37" t="n">
        <v>0.75</v>
      </c>
      <c r="AE469" s="36" t="n">
        <v>10</v>
      </c>
      <c r="AF469" s="37" t="n">
        <v>0.9090909090909091</v>
      </c>
      <c r="AG469" s="36" t="n">
        <v>5</v>
      </c>
      <c r="AH469" s="37" t="n">
        <v>0.8333333333333334</v>
      </c>
    </row>
    <row r="470">
      <c r="A470" s="53" t="n">
        <v>45761</v>
      </c>
      <c r="B470" t="inlineStr">
        <is>
          <t>R06_Jawa Timur</t>
        </is>
      </c>
      <c r="C470" t="inlineStr">
        <is>
          <t>NOP MADIUN</t>
        </is>
      </c>
      <c r="D470" s="38" t="n">
        <v>0</v>
      </c>
      <c r="E470" s="38" t="n">
        <v>0</v>
      </c>
      <c r="F470" s="36" t="n">
        <v>4.77</v>
      </c>
      <c r="G470" s="36" t="n">
        <v>1.378</v>
      </c>
      <c r="H470" s="36" t="n">
        <v>6</v>
      </c>
      <c r="I470" s="37" t="n">
        <v>0.5454545454545454</v>
      </c>
      <c r="J470" s="36" t="n">
        <v>0</v>
      </c>
      <c r="K470" s="37" t="n">
        <v>0</v>
      </c>
      <c r="L470" s="36" t="n">
        <v>6</v>
      </c>
      <c r="M470" s="37" t="n">
        <v>0.5454545454545454</v>
      </c>
      <c r="N470" s="36" t="n">
        <v>0</v>
      </c>
      <c r="O470" s="37" t="n">
        <v>0</v>
      </c>
      <c r="P470" s="36" t="n">
        <v>0</v>
      </c>
      <c r="Q470" s="37" t="n">
        <v>0</v>
      </c>
      <c r="R470" s="36" t="n">
        <v>11</v>
      </c>
      <c r="S470" s="37" t="n">
        <v>1</v>
      </c>
      <c r="T470" s="36" t="n">
        <v>4</v>
      </c>
      <c r="U470" s="37" t="n">
        <v>0.3636363636363636</v>
      </c>
      <c r="V470" s="38" t="n">
        <v>0</v>
      </c>
      <c r="W470" s="38" t="n">
        <v>1.798</v>
      </c>
      <c r="X470" s="38" t="n">
        <v>5.558000000000003</v>
      </c>
      <c r="Y470" s="38" t="n">
        <v>74.78</v>
      </c>
      <c r="Z470" s="38" t="n">
        <v>0</v>
      </c>
      <c r="AA470" s="36" t="n">
        <v>21</v>
      </c>
      <c r="AB470" s="37" t="n">
        <v>0.8076923076923077</v>
      </c>
      <c r="AC470" s="36" t="n">
        <v>5</v>
      </c>
      <c r="AD470" s="37" t="n">
        <v>0.7142857142857143</v>
      </c>
      <c r="AE470" s="36" t="n">
        <v>16</v>
      </c>
      <c r="AF470" s="37" t="n">
        <v>0.8421052631578947</v>
      </c>
      <c r="AG470" s="36" t="n">
        <v>5</v>
      </c>
      <c r="AH470" s="37" t="n">
        <v>1</v>
      </c>
    </row>
    <row r="471">
      <c r="A471" s="53" t="n">
        <v>45761</v>
      </c>
      <c r="B471" t="inlineStr">
        <is>
          <t>R06_Jawa Timur</t>
        </is>
      </c>
      <c r="C471" t="inlineStr">
        <is>
          <t>NOP MALANG</t>
        </is>
      </c>
      <c r="D471" s="38" t="n">
        <v>0.8540000000000001</v>
      </c>
      <c r="E471" s="38" t="n">
        <v>0</v>
      </c>
      <c r="F471" s="36" t="n">
        <v>2.66</v>
      </c>
      <c r="G471" s="36" t="n">
        <v>2.074</v>
      </c>
      <c r="H471" s="36" t="n">
        <v>13</v>
      </c>
      <c r="I471" s="37" t="n">
        <v>0.8666666666666667</v>
      </c>
      <c r="J471" s="36" t="n">
        <v>2</v>
      </c>
      <c r="K471" s="37" t="n">
        <v>1</v>
      </c>
      <c r="L471" s="36" t="n">
        <v>11</v>
      </c>
      <c r="M471" s="37" t="n">
        <v>0.8461538461538461</v>
      </c>
      <c r="N471" s="36" t="n">
        <v>2</v>
      </c>
      <c r="O471" s="37" t="n">
        <v>1</v>
      </c>
      <c r="P471" s="36" t="n">
        <v>2</v>
      </c>
      <c r="Q471" s="37" t="n">
        <v>1</v>
      </c>
      <c r="R471" s="36" t="n">
        <v>15</v>
      </c>
      <c r="S471" s="37" t="n">
        <v>1</v>
      </c>
      <c r="T471" s="36" t="n">
        <v>10</v>
      </c>
      <c r="U471" s="37" t="n">
        <v>0.6666666666666666</v>
      </c>
      <c r="V471" s="38" t="n">
        <v>0</v>
      </c>
      <c r="W471" s="38" t="n">
        <v>1.46</v>
      </c>
      <c r="X471" s="38" t="n">
        <v>8.240999999999998</v>
      </c>
      <c r="Y471" s="38" t="n">
        <v>0</v>
      </c>
      <c r="Z471" s="38" t="n">
        <v>0</v>
      </c>
      <c r="AA471" s="36" t="n">
        <v>16</v>
      </c>
      <c r="AB471" s="37" t="n">
        <v>0.8421052631578947</v>
      </c>
      <c r="AC471" s="36" t="n">
        <v>11</v>
      </c>
      <c r="AD471" s="37" t="n">
        <v>1</v>
      </c>
      <c r="AE471" s="36" t="n">
        <v>5</v>
      </c>
      <c r="AF471" s="37" t="n">
        <v>0.625</v>
      </c>
      <c r="AG471" s="36" t="n">
        <v>3</v>
      </c>
      <c r="AH471" s="37" t="n">
        <v>0.2727272727272727</v>
      </c>
    </row>
    <row r="472">
      <c r="A472" s="53" t="n">
        <v>45761</v>
      </c>
      <c r="B472" t="inlineStr">
        <is>
          <t>R06_Jawa Timur</t>
        </is>
      </c>
      <c r="C472" t="inlineStr">
        <is>
          <t>NOP SIDOARJO</t>
        </is>
      </c>
      <c r="D472" s="38" t="n">
        <v>0</v>
      </c>
      <c r="E472" s="38" t="n">
        <v>0</v>
      </c>
      <c r="F472" s="36" t="n">
        <v>2.047</v>
      </c>
      <c r="G472" s="36" t="n">
        <v>2.654</v>
      </c>
      <c r="H472" s="36" t="n">
        <v>7</v>
      </c>
      <c r="I472" s="37" t="n">
        <v>0.6363636363636364</v>
      </c>
      <c r="J472" s="36" t="n">
        <v>0</v>
      </c>
      <c r="K472" s="37" t="n">
        <v>0</v>
      </c>
      <c r="L472" s="36" t="n">
        <v>7</v>
      </c>
      <c r="M472" s="37" t="n">
        <v>0.6363636363636364</v>
      </c>
      <c r="N472" s="36" t="n">
        <v>0</v>
      </c>
      <c r="O472" s="37" t="n">
        <v>0</v>
      </c>
      <c r="P472" s="36" t="n">
        <v>0</v>
      </c>
      <c r="Q472" s="37" t="n">
        <v>0</v>
      </c>
      <c r="R472" s="36" t="n">
        <v>11</v>
      </c>
      <c r="S472" s="37" t="n">
        <v>1</v>
      </c>
      <c r="T472" s="36" t="n">
        <v>3</v>
      </c>
      <c r="U472" s="37" t="n">
        <v>0.2727272727272727</v>
      </c>
      <c r="V472" s="38" t="n">
        <v>0</v>
      </c>
      <c r="W472" s="38" t="n">
        <v>0</v>
      </c>
      <c r="X472" s="38" t="n">
        <v>9.402000000000001</v>
      </c>
      <c r="Y472" s="38" t="n">
        <v>47.74</v>
      </c>
      <c r="Z472" s="38" t="n">
        <v>0</v>
      </c>
      <c r="AA472" s="36" t="n">
        <v>6</v>
      </c>
      <c r="AB472" s="37" t="n">
        <v>1</v>
      </c>
      <c r="AC472" s="36" t="n">
        <v>0</v>
      </c>
      <c r="AD472" s="37" t="n">
        <v>0</v>
      </c>
      <c r="AE472" s="36" t="n">
        <v>6</v>
      </c>
      <c r="AF472" s="37" t="n">
        <v>1</v>
      </c>
      <c r="AG472" s="36" t="n">
        <v>0</v>
      </c>
      <c r="AH472" s="37" t="n">
        <v>0</v>
      </c>
    </row>
    <row r="473">
      <c r="A473" s="53" t="n">
        <v>45761</v>
      </c>
      <c r="B473" t="inlineStr">
        <is>
          <t>R06_Jawa Timur</t>
        </is>
      </c>
      <c r="C473" t="inlineStr">
        <is>
          <t>NOP SURABAYA</t>
        </is>
      </c>
      <c r="D473" s="38" t="n">
        <v>1.39</v>
      </c>
      <c r="E473" s="38" t="n">
        <v>0</v>
      </c>
      <c r="F473" s="36" t="n">
        <v>4.574000000000001</v>
      </c>
      <c r="G473" s="36" t="n">
        <v>6.976999999999999</v>
      </c>
      <c r="H473" s="36" t="n">
        <v>13</v>
      </c>
      <c r="I473" s="37" t="n">
        <v>0.7222222222222222</v>
      </c>
      <c r="J473" s="36" t="n">
        <v>0</v>
      </c>
      <c r="K473" s="37" t="n">
        <v>0</v>
      </c>
      <c r="L473" s="36" t="n">
        <v>13</v>
      </c>
      <c r="M473" s="37" t="n">
        <v>0.7647058823529411</v>
      </c>
      <c r="N473" s="36" t="n">
        <v>0</v>
      </c>
      <c r="O473" s="37" t="n">
        <v>0</v>
      </c>
      <c r="P473" s="36" t="n">
        <v>0</v>
      </c>
      <c r="Q473" s="37" t="n">
        <v>0</v>
      </c>
      <c r="R473" s="36" t="n">
        <v>17</v>
      </c>
      <c r="S473" s="37" t="n">
        <v>0.9444444444444444</v>
      </c>
      <c r="T473" s="36" t="n">
        <v>12</v>
      </c>
      <c r="U473" s="37" t="n">
        <v>0.6666666666666666</v>
      </c>
      <c r="V473" s="38" t="n">
        <v>0</v>
      </c>
      <c r="W473" s="38" t="n">
        <v>2.928</v>
      </c>
      <c r="X473" s="38" t="n">
        <v>7.584</v>
      </c>
      <c r="Y473" s="38" t="n">
        <v>24.866</v>
      </c>
      <c r="Z473" s="38" t="n">
        <v>0</v>
      </c>
      <c r="AA473" s="36" t="n">
        <v>10</v>
      </c>
      <c r="AB473" s="37" t="n">
        <v>0.4545454545454545</v>
      </c>
      <c r="AC473" s="36" t="n">
        <v>1</v>
      </c>
      <c r="AD473" s="37" t="n">
        <v>0.2</v>
      </c>
      <c r="AE473" s="36" t="n">
        <v>9</v>
      </c>
      <c r="AF473" s="37" t="n">
        <v>0.5294117647058824</v>
      </c>
      <c r="AG473" s="36" t="n">
        <v>1</v>
      </c>
      <c r="AH473" s="37" t="n">
        <v>1</v>
      </c>
    </row>
    <row r="474">
      <c r="A474" s="53" t="n">
        <v>45761</v>
      </c>
      <c r="B474" t="inlineStr">
        <is>
          <t>R07_Bali Nusra</t>
        </is>
      </c>
      <c r="C474" t="inlineStr">
        <is>
          <t>NOP DENPASAR</t>
        </is>
      </c>
      <c r="D474" s="38" t="n">
        <v>1.24</v>
      </c>
      <c r="E474" s="38" t="n">
        <v>0</v>
      </c>
      <c r="F474" s="36" t="n">
        <v>4.444000000000001</v>
      </c>
      <c r="G474" s="36" t="n">
        <v>3.722</v>
      </c>
      <c r="H474" s="36" t="n">
        <v>17</v>
      </c>
      <c r="I474" s="37" t="n">
        <v>0.85</v>
      </c>
      <c r="J474" s="36" t="n">
        <v>4</v>
      </c>
      <c r="K474" s="37" t="n">
        <v>0.6666666666666666</v>
      </c>
      <c r="L474" s="36" t="n">
        <v>13</v>
      </c>
      <c r="M474" s="37" t="n">
        <v>0.9285714285714286</v>
      </c>
      <c r="N474" s="36" t="n">
        <v>4</v>
      </c>
      <c r="O474" s="37" t="n">
        <v>1</v>
      </c>
      <c r="P474" s="36" t="n">
        <v>4</v>
      </c>
      <c r="Q474" s="37" t="n">
        <v>1</v>
      </c>
      <c r="R474" s="36" t="n">
        <v>20</v>
      </c>
      <c r="S474" s="37" t="n">
        <v>1</v>
      </c>
      <c r="T474" s="36" t="n">
        <v>16</v>
      </c>
      <c r="U474" s="37" t="n">
        <v>0.8</v>
      </c>
      <c r="V474" s="38" t="n">
        <v>0</v>
      </c>
      <c r="W474" s="38" t="n">
        <v>6.734000000000003</v>
      </c>
      <c r="X474" s="38" t="n">
        <v>10.586</v>
      </c>
      <c r="Y474" s="38" t="n">
        <v>69.17799999999986</v>
      </c>
      <c r="Z474" s="38" t="n">
        <v>0</v>
      </c>
      <c r="AA474" s="36" t="n">
        <v>30</v>
      </c>
      <c r="AB474" s="37" t="n">
        <v>0.8333333333333334</v>
      </c>
      <c r="AC474" s="36" t="n">
        <v>8</v>
      </c>
      <c r="AD474" s="37" t="n">
        <v>0.8888888888888888</v>
      </c>
      <c r="AE474" s="36" t="n">
        <v>22</v>
      </c>
      <c r="AF474" s="37" t="n">
        <v>0.8148148148148148</v>
      </c>
      <c r="AG474" s="36" t="n">
        <v>2</v>
      </c>
      <c r="AH474" s="37" t="n">
        <v>0.25</v>
      </c>
    </row>
    <row r="475">
      <c r="A475" s="53" t="n">
        <v>45761</v>
      </c>
      <c r="B475" t="inlineStr">
        <is>
          <t>R07_Bali Nusra</t>
        </is>
      </c>
      <c r="C475" t="inlineStr">
        <is>
          <t>NOP FLORES</t>
        </is>
      </c>
      <c r="D475" s="38" t="n">
        <v>0.73</v>
      </c>
      <c r="E475" s="38" t="n">
        <v>4.348</v>
      </c>
      <c r="F475" s="36" t="n">
        <v>9.943</v>
      </c>
      <c r="G475" s="36" t="n">
        <v>19.55</v>
      </c>
      <c r="H475" s="36" t="n">
        <v>39</v>
      </c>
      <c r="I475" s="37" t="n">
        <v>0.5</v>
      </c>
      <c r="J475" s="36" t="n">
        <v>20</v>
      </c>
      <c r="K475" s="37" t="n">
        <v>0.7692307692307693</v>
      </c>
      <c r="L475" s="36" t="n">
        <v>19</v>
      </c>
      <c r="M475" s="37" t="n">
        <v>0.3653846153846154</v>
      </c>
      <c r="N475" s="36" t="n">
        <v>6</v>
      </c>
      <c r="O475" s="37" t="n">
        <v>0.3</v>
      </c>
      <c r="P475" s="36" t="n">
        <v>5</v>
      </c>
      <c r="Q475" s="37" t="n">
        <v>0.3571428571428572</v>
      </c>
      <c r="R475" s="36" t="n">
        <v>78</v>
      </c>
      <c r="S475" s="37" t="n">
        <v>1</v>
      </c>
      <c r="T475" s="36" t="n">
        <v>19</v>
      </c>
      <c r="U475" s="37" t="n">
        <v>0.2435897435897436</v>
      </c>
      <c r="V475" s="38" t="n">
        <v>0</v>
      </c>
      <c r="W475" s="38" t="n">
        <v>11.203</v>
      </c>
      <c r="X475" s="38" t="n">
        <v>5.64000000000001</v>
      </c>
      <c r="Y475" s="38" t="n">
        <v>12.859</v>
      </c>
      <c r="Z475" s="38" t="n">
        <v>0</v>
      </c>
      <c r="AA475" s="36" t="n">
        <v>65</v>
      </c>
      <c r="AB475" s="37" t="n">
        <v>0.3963414634146342</v>
      </c>
      <c r="AC475" s="36" t="n">
        <v>52</v>
      </c>
      <c r="AD475" s="37" t="n">
        <v>0.4262295081967213</v>
      </c>
      <c r="AE475" s="36" t="n">
        <v>13</v>
      </c>
      <c r="AF475" s="37" t="n">
        <v>0.3095238095238095</v>
      </c>
      <c r="AG475" s="36" t="n">
        <v>27</v>
      </c>
      <c r="AH475" s="37" t="n">
        <v>0.5192307692307693</v>
      </c>
    </row>
    <row r="476">
      <c r="A476" s="53" t="n">
        <v>45761</v>
      </c>
      <c r="B476" t="inlineStr">
        <is>
          <t>R07_Bali Nusra</t>
        </is>
      </c>
      <c r="C476" t="inlineStr">
        <is>
          <t>NOP KUPANG</t>
        </is>
      </c>
      <c r="D476" s="38" t="n">
        <v>0.38</v>
      </c>
      <c r="E476" s="38" t="n">
        <v>1.564999999999999</v>
      </c>
      <c r="F476" s="36" t="n">
        <v>3.961000000000001</v>
      </c>
      <c r="G476" s="36" t="n">
        <v>33.236</v>
      </c>
      <c r="H476" s="36" t="n">
        <v>21</v>
      </c>
      <c r="I476" s="37" t="n">
        <v>0.4117647058823529</v>
      </c>
      <c r="J476" s="36" t="n">
        <v>5</v>
      </c>
      <c r="K476" s="37" t="n">
        <v>0.4166666666666667</v>
      </c>
      <c r="L476" s="36" t="n">
        <v>16</v>
      </c>
      <c r="M476" s="37" t="n">
        <v>0.4102564102564102</v>
      </c>
      <c r="N476" s="36" t="n">
        <v>4</v>
      </c>
      <c r="O476" s="37" t="n">
        <v>0.8</v>
      </c>
      <c r="P476" s="36" t="n">
        <v>4</v>
      </c>
      <c r="Q476" s="37" t="n">
        <v>0.8</v>
      </c>
      <c r="R476" s="36" t="n">
        <v>49</v>
      </c>
      <c r="S476" s="37" t="n">
        <v>0.9607843137254902</v>
      </c>
      <c r="T476" s="36" t="n">
        <v>12</v>
      </c>
      <c r="U476" s="37" t="n">
        <v>0.2352941176470588</v>
      </c>
      <c r="V476" s="38" t="n">
        <v>0.01</v>
      </c>
      <c r="W476" s="38" t="n">
        <v>7.495</v>
      </c>
      <c r="X476" s="38" t="n">
        <v>22.82300000000001</v>
      </c>
      <c r="Y476" s="38" t="n">
        <v>62.1</v>
      </c>
      <c r="Z476" s="38" t="n">
        <v>0</v>
      </c>
      <c r="AA476" s="36" t="n">
        <v>34</v>
      </c>
      <c r="AB476" s="37" t="n">
        <v>0.4857142857142857</v>
      </c>
      <c r="AC476" s="36" t="n">
        <v>28</v>
      </c>
      <c r="AD476" s="37" t="n">
        <v>0.4912280701754386</v>
      </c>
      <c r="AE476" s="36" t="n">
        <v>6</v>
      </c>
      <c r="AF476" s="37" t="n">
        <v>0.4615384615384616</v>
      </c>
      <c r="AG476" s="36" t="n">
        <v>21</v>
      </c>
      <c r="AH476" s="37" t="n">
        <v>0.75</v>
      </c>
    </row>
    <row r="477">
      <c r="A477" s="53" t="n">
        <v>45761</v>
      </c>
      <c r="B477" t="inlineStr">
        <is>
          <t>R07_Bali Nusra</t>
        </is>
      </c>
      <c r="C477" t="inlineStr">
        <is>
          <t>NOP MATARAM</t>
        </is>
      </c>
      <c r="D477" s="38" t="n">
        <v>2.194</v>
      </c>
      <c r="E477" s="38" t="n">
        <v>1.13</v>
      </c>
      <c r="F477" s="36" t="n">
        <v>6.573</v>
      </c>
      <c r="G477" s="36" t="n">
        <v>2.898</v>
      </c>
      <c r="H477" s="36" t="n">
        <v>31</v>
      </c>
      <c r="I477" s="37" t="n">
        <v>0.6458333333333334</v>
      </c>
      <c r="J477" s="36" t="n">
        <v>7</v>
      </c>
      <c r="K477" s="37" t="n">
        <v>0.7777777777777778</v>
      </c>
      <c r="L477" s="36" t="n">
        <v>24</v>
      </c>
      <c r="M477" s="37" t="n">
        <v>0.6153846153846154</v>
      </c>
      <c r="N477" s="36" t="n">
        <v>6</v>
      </c>
      <c r="O477" s="37" t="n">
        <v>0.8571428571428571</v>
      </c>
      <c r="P477" s="36" t="n">
        <v>6</v>
      </c>
      <c r="Q477" s="37" t="n">
        <v>0.8571428571428571</v>
      </c>
      <c r="R477" s="36" t="n">
        <v>48</v>
      </c>
      <c r="S477" s="37" t="n">
        <v>1</v>
      </c>
      <c r="T477" s="36" t="n">
        <v>14</v>
      </c>
      <c r="U477" s="37" t="n">
        <v>0.2916666666666667</v>
      </c>
      <c r="V477" s="38" t="n">
        <v>0</v>
      </c>
      <c r="W477" s="38" t="n">
        <v>20.17700000000004</v>
      </c>
      <c r="X477" s="38" t="n">
        <v>5.574000000000001</v>
      </c>
      <c r="Y477" s="38" t="n">
        <v>500.1810000000001</v>
      </c>
      <c r="Z477" s="38" t="n">
        <v>0</v>
      </c>
      <c r="AA477" s="36" t="n">
        <v>47</v>
      </c>
      <c r="AB477" s="37" t="n">
        <v>0.5949367088607594</v>
      </c>
      <c r="AC477" s="36" t="n">
        <v>32</v>
      </c>
      <c r="AD477" s="37" t="n">
        <v>0.64</v>
      </c>
      <c r="AE477" s="36" t="n">
        <v>15</v>
      </c>
      <c r="AF477" s="37" t="n">
        <v>0.5172413793103449</v>
      </c>
      <c r="AG477" s="36" t="n">
        <v>18</v>
      </c>
      <c r="AH477" s="37" t="n">
        <v>0.5625</v>
      </c>
    </row>
    <row r="478">
      <c r="A478" s="53" t="n">
        <v>45762</v>
      </c>
      <c r="B478" t="inlineStr">
        <is>
          <t>R01_Sumbagut</t>
        </is>
      </c>
      <c r="C478" t="inlineStr">
        <is>
          <t>NOP ACEH</t>
        </is>
      </c>
      <c r="D478" s="38" t="n">
        <v>1.614</v>
      </c>
      <c r="E478" s="38" t="n">
        <v>1.95</v>
      </c>
      <c r="F478" s="36" t="n">
        <v>2.98</v>
      </c>
      <c r="G478" s="36" t="n">
        <v>3.112</v>
      </c>
      <c r="H478" s="36" t="n">
        <v>138</v>
      </c>
      <c r="I478" s="37" t="n">
        <v>0.8466257668711656</v>
      </c>
      <c r="J478" s="36" t="n">
        <v>27</v>
      </c>
      <c r="K478" s="37" t="n">
        <v>0.8181818181818182</v>
      </c>
      <c r="L478" s="36" t="n">
        <v>111</v>
      </c>
      <c r="M478" s="37" t="n">
        <v>0.8538461538461538</v>
      </c>
      <c r="N478" s="36" t="n">
        <v>12</v>
      </c>
      <c r="O478" s="37" t="n">
        <v>0.4444444444444444</v>
      </c>
      <c r="P478" s="36" t="n">
        <v>12</v>
      </c>
      <c r="Q478" s="37" t="n">
        <v>0.4444444444444444</v>
      </c>
      <c r="R478" s="36" t="n">
        <v>163</v>
      </c>
      <c r="S478" s="37" t="n">
        <v>1</v>
      </c>
      <c r="T478" s="36" t="n">
        <v>39</v>
      </c>
      <c r="U478" s="37" t="n">
        <v>0.2392638036809816</v>
      </c>
      <c r="V478" s="38" t="n">
        <v>0.052</v>
      </c>
      <c r="W478" s="38" t="n">
        <v>2.96</v>
      </c>
      <c r="X478" s="38" t="n">
        <v>90.87800000000001</v>
      </c>
      <c r="Y478" s="38" t="n">
        <v>178.3680000000002</v>
      </c>
      <c r="Z478" s="38" t="n">
        <v>0</v>
      </c>
      <c r="AA478" s="36" t="n">
        <v>318</v>
      </c>
      <c r="AB478" s="37" t="n">
        <v>0.8760330578512396</v>
      </c>
      <c r="AC478" s="36" t="n">
        <v>46</v>
      </c>
      <c r="AD478" s="37" t="n">
        <v>0.7666666666666667</v>
      </c>
      <c r="AE478" s="36" t="n">
        <v>269</v>
      </c>
      <c r="AF478" s="37" t="n">
        <v>0.8996655518394648</v>
      </c>
      <c r="AG478" s="36" t="n">
        <v>6</v>
      </c>
      <c r="AH478" s="37" t="n">
        <v>0.1304347826086956</v>
      </c>
    </row>
    <row r="479">
      <c r="A479" s="53" t="n">
        <v>45762</v>
      </c>
      <c r="B479" t="inlineStr">
        <is>
          <t>R01_Sumbagut</t>
        </is>
      </c>
      <c r="C479" t="inlineStr">
        <is>
          <t>NOP BINJAI</t>
        </is>
      </c>
      <c r="D479" s="38" t="n">
        <v>0</v>
      </c>
      <c r="E479" s="38" t="n">
        <v>3.635</v>
      </c>
      <c r="F479" s="36" t="n">
        <v>4.518000000000003</v>
      </c>
      <c r="G479" s="36" t="n">
        <v>3.076000000000001</v>
      </c>
      <c r="H479" s="36" t="n">
        <v>25</v>
      </c>
      <c r="I479" s="37" t="n">
        <v>0.5208333333333334</v>
      </c>
      <c r="J479" s="36" t="n">
        <v>10</v>
      </c>
      <c r="K479" s="37" t="n">
        <v>0.625</v>
      </c>
      <c r="L479" s="36" t="n">
        <v>15</v>
      </c>
      <c r="M479" s="37" t="n">
        <v>0.46875</v>
      </c>
      <c r="N479" s="36" t="n">
        <v>7</v>
      </c>
      <c r="O479" s="37" t="n">
        <v>0.7</v>
      </c>
      <c r="P479" s="36" t="n">
        <v>7</v>
      </c>
      <c r="Q479" s="37" t="n">
        <v>0.7</v>
      </c>
      <c r="R479" s="36" t="n">
        <v>48</v>
      </c>
      <c r="S479" s="37" t="n">
        <v>1</v>
      </c>
      <c r="T479" s="36" t="n">
        <v>13</v>
      </c>
      <c r="U479" s="37" t="n">
        <v>0.2708333333333333</v>
      </c>
      <c r="V479" s="38" t="n">
        <v>0</v>
      </c>
      <c r="W479" s="38" t="n">
        <v>0.992</v>
      </c>
      <c r="X479" s="38" t="n">
        <v>89.18699999999995</v>
      </c>
      <c r="Y479" s="38" t="n">
        <v>17.188</v>
      </c>
      <c r="Z479" s="38" t="n">
        <v>0</v>
      </c>
      <c r="AA479" s="36" t="n">
        <v>78</v>
      </c>
      <c r="AB479" s="37" t="n">
        <v>0.624</v>
      </c>
      <c r="AC479" s="36" t="n">
        <v>28</v>
      </c>
      <c r="AD479" s="37" t="n">
        <v>0.4307692307692308</v>
      </c>
      <c r="AE479" s="36" t="n">
        <v>50</v>
      </c>
      <c r="AF479" s="37" t="n">
        <v>0.847457627118644</v>
      </c>
      <c r="AG479" s="36" t="n">
        <v>17</v>
      </c>
      <c r="AH479" s="37" t="n">
        <v>0.6071428571428571</v>
      </c>
    </row>
    <row r="480">
      <c r="A480" s="53" t="n">
        <v>45762</v>
      </c>
      <c r="B480" t="inlineStr">
        <is>
          <t>R01_Sumbagut</t>
        </is>
      </c>
      <c r="C480" t="inlineStr">
        <is>
          <t>NOP MEDAN</t>
        </is>
      </c>
      <c r="D480" s="38" t="n">
        <v>2.815</v>
      </c>
      <c r="E480" s="38" t="n">
        <v>5.912</v>
      </c>
      <c r="F480" s="36" t="n">
        <v>2.873</v>
      </c>
      <c r="G480" s="36" t="n">
        <v>6.548000000000004</v>
      </c>
      <c r="H480" s="36" t="n">
        <v>23</v>
      </c>
      <c r="I480" s="37" t="n">
        <v>0.3108108108108108</v>
      </c>
      <c r="J480" s="36" t="n">
        <v>6</v>
      </c>
      <c r="K480" s="37" t="n">
        <v>0.2857142857142857</v>
      </c>
      <c r="L480" s="36" t="n">
        <v>17</v>
      </c>
      <c r="M480" s="37" t="n">
        <v>0.3207547169811321</v>
      </c>
      <c r="N480" s="36" t="n">
        <v>5</v>
      </c>
      <c r="O480" s="37" t="n">
        <v>0.8333333333333334</v>
      </c>
      <c r="P480" s="36" t="n">
        <v>5</v>
      </c>
      <c r="Q480" s="37" t="n">
        <v>0.8333333333333334</v>
      </c>
      <c r="R480" s="36" t="n">
        <v>74</v>
      </c>
      <c r="S480" s="37" t="n">
        <v>1</v>
      </c>
      <c r="T480" s="36" t="n">
        <v>12</v>
      </c>
      <c r="U480" s="37" t="n">
        <v>0.1621621621621622</v>
      </c>
      <c r="V480" s="38" t="n">
        <v>0</v>
      </c>
      <c r="W480" s="38" t="n">
        <v>5.83</v>
      </c>
      <c r="X480" s="38" t="n">
        <v>12.843</v>
      </c>
      <c r="Y480" s="38" t="n">
        <v>11.4</v>
      </c>
      <c r="Z480" s="38" t="n">
        <v>0</v>
      </c>
      <c r="AA480" s="36" t="n">
        <v>29</v>
      </c>
      <c r="AB480" s="37" t="n">
        <v>0.4603174603174603</v>
      </c>
      <c r="AC480" s="36" t="n">
        <v>3</v>
      </c>
      <c r="AD480" s="37" t="n">
        <v>0.2727272727272727</v>
      </c>
      <c r="AE480" s="36" t="n">
        <v>26</v>
      </c>
      <c r="AF480" s="37" t="n">
        <v>0.52</v>
      </c>
      <c r="AG480" s="36" t="n">
        <v>3</v>
      </c>
      <c r="AH480" s="37" t="n">
        <v>1</v>
      </c>
    </row>
    <row r="481">
      <c r="A481" s="53" t="n">
        <v>45762</v>
      </c>
      <c r="B481" t="inlineStr">
        <is>
          <t>R01_Sumbagut</t>
        </is>
      </c>
      <c r="C481" t="inlineStr">
        <is>
          <t>NOP PADANG SIDEMPUAN</t>
        </is>
      </c>
      <c r="D481" s="38" t="n">
        <v>0</v>
      </c>
      <c r="E481" s="38" t="n">
        <v>2.123999999999999</v>
      </c>
      <c r="F481" s="36" t="n">
        <v>5.21</v>
      </c>
      <c r="G481" s="36" t="n">
        <v>11.87</v>
      </c>
      <c r="H481" s="36" t="n">
        <v>40</v>
      </c>
      <c r="I481" s="37" t="n">
        <v>0.3809523809523809</v>
      </c>
      <c r="J481" s="36" t="n">
        <v>6</v>
      </c>
      <c r="K481" s="37" t="n">
        <v>0.6</v>
      </c>
      <c r="L481" s="36" t="n">
        <v>34</v>
      </c>
      <c r="M481" s="37" t="n">
        <v>0.3578947368421053</v>
      </c>
      <c r="N481" s="36" t="n">
        <v>1</v>
      </c>
      <c r="O481" s="37" t="n">
        <v>0.1666666666666667</v>
      </c>
      <c r="P481" s="36" t="n">
        <v>1</v>
      </c>
      <c r="Q481" s="37" t="n">
        <v>0.1666666666666667</v>
      </c>
      <c r="R481" s="36" t="n">
        <v>104</v>
      </c>
      <c r="S481" s="37" t="n">
        <v>0.9904761904761905</v>
      </c>
      <c r="T481" s="36" t="n">
        <v>15</v>
      </c>
      <c r="U481" s="37" t="n">
        <v>0.1428571428571428</v>
      </c>
      <c r="V481" s="38" t="n">
        <v>0</v>
      </c>
      <c r="W481" s="38" t="n">
        <v>2.29</v>
      </c>
      <c r="X481" s="38" t="n">
        <v>12.88700000000001</v>
      </c>
      <c r="Y481" s="38" t="n">
        <v>23.99</v>
      </c>
      <c r="Z481" s="38" t="n">
        <v>0</v>
      </c>
      <c r="AA481" s="36" t="n">
        <v>76</v>
      </c>
      <c r="AB481" s="37" t="n">
        <v>0.2783882783882784</v>
      </c>
      <c r="AC481" s="36" t="n">
        <v>36</v>
      </c>
      <c r="AD481" s="37" t="n">
        <v>0.3302752293577982</v>
      </c>
      <c r="AE481" s="36" t="n">
        <v>40</v>
      </c>
      <c r="AF481" s="37" t="n">
        <v>0.2515723270440252</v>
      </c>
      <c r="AG481" s="36" t="n">
        <v>19</v>
      </c>
      <c r="AH481" s="37" t="n">
        <v>0.5277777777777778</v>
      </c>
    </row>
    <row r="482">
      <c r="A482" s="53" t="n">
        <v>45762</v>
      </c>
      <c r="B482" t="inlineStr">
        <is>
          <t>R01_Sumbagut</t>
        </is>
      </c>
      <c r="C482" t="inlineStr">
        <is>
          <t>NOP PEMATANG SIANTAR</t>
        </is>
      </c>
      <c r="D482" s="38" t="n">
        <v>19.72</v>
      </c>
      <c r="E482" s="38" t="n">
        <v>9.157000000000011</v>
      </c>
      <c r="F482" s="36" t="n">
        <v>21.07</v>
      </c>
      <c r="G482" s="36" t="n">
        <v>5.224000000000003</v>
      </c>
      <c r="H482" s="36" t="n">
        <v>97</v>
      </c>
      <c r="I482" s="37" t="n">
        <v>0.6024844720496895</v>
      </c>
      <c r="J482" s="36" t="n">
        <v>21</v>
      </c>
      <c r="K482" s="37" t="n">
        <v>0.6774193548387096</v>
      </c>
      <c r="L482" s="36" t="n">
        <v>76</v>
      </c>
      <c r="M482" s="37" t="n">
        <v>0.5846153846153846</v>
      </c>
      <c r="N482" s="36" t="n">
        <v>11</v>
      </c>
      <c r="O482" s="37" t="n">
        <v>0.5238095238095238</v>
      </c>
      <c r="P482" s="36" t="n">
        <v>11</v>
      </c>
      <c r="Q482" s="37" t="n">
        <v>0.55</v>
      </c>
      <c r="R482" s="36" t="n">
        <v>160</v>
      </c>
      <c r="S482" s="37" t="n">
        <v>0.9937888198757764</v>
      </c>
      <c r="T482" s="36" t="n">
        <v>53</v>
      </c>
      <c r="U482" s="37" t="n">
        <v>0.3291925465838509</v>
      </c>
      <c r="V482" s="38" t="n">
        <v>0.01</v>
      </c>
      <c r="W482" s="38" t="n">
        <v>5.226</v>
      </c>
      <c r="X482" s="38" t="n">
        <v>111.4239999999999</v>
      </c>
      <c r="Y482" s="38" t="n">
        <v>47.94</v>
      </c>
      <c r="Z482" s="38" t="n">
        <v>0</v>
      </c>
      <c r="AA482" s="36" t="n">
        <v>79</v>
      </c>
      <c r="AB482" s="37" t="n">
        <v>0.1561264822134387</v>
      </c>
      <c r="AC482" s="36" t="n">
        <v>20</v>
      </c>
      <c r="AD482" s="37" t="n">
        <v>0.4545454545454545</v>
      </c>
      <c r="AE482" s="36" t="n">
        <v>58</v>
      </c>
      <c r="AF482" s="37" t="n">
        <v>0.1283185840707965</v>
      </c>
      <c r="AG482" s="36" t="n">
        <v>16</v>
      </c>
      <c r="AH482" s="37" t="n">
        <v>0.8</v>
      </c>
    </row>
    <row r="483">
      <c r="A483" s="53" t="n">
        <v>45762</v>
      </c>
      <c r="B483" t="inlineStr">
        <is>
          <t>R01_Sumbagut</t>
        </is>
      </c>
      <c r="C483" t="inlineStr">
        <is>
          <t>NOP RANTAU PRAPAT</t>
        </is>
      </c>
      <c r="D483" s="38" t="n">
        <v>3.21</v>
      </c>
      <c r="E483" s="38" t="n">
        <v>2.124999999999999</v>
      </c>
      <c r="F483" s="36" t="n">
        <v>3.31</v>
      </c>
      <c r="G483" s="36" t="n">
        <v>4.063000000000001</v>
      </c>
      <c r="H483" s="36" t="n">
        <v>67</v>
      </c>
      <c r="I483" s="37" t="n">
        <v>0.4036144578313253</v>
      </c>
      <c r="J483" s="36" t="n">
        <v>10</v>
      </c>
      <c r="K483" s="37" t="n">
        <v>0.3225806451612903</v>
      </c>
      <c r="L483" s="36" t="n">
        <v>57</v>
      </c>
      <c r="M483" s="37" t="n">
        <v>0.4222222222222222</v>
      </c>
      <c r="N483" s="36" t="n">
        <v>8</v>
      </c>
      <c r="O483" s="37" t="n">
        <v>0.8</v>
      </c>
      <c r="P483" s="36" t="n">
        <v>8</v>
      </c>
      <c r="Q483" s="37" t="n">
        <v>0.8</v>
      </c>
      <c r="R483" s="36" t="n">
        <v>165</v>
      </c>
      <c r="S483" s="37" t="n">
        <v>0.9939759036144579</v>
      </c>
      <c r="T483" s="36" t="n">
        <v>37</v>
      </c>
      <c r="U483" s="37" t="n">
        <v>0.2228915662650602</v>
      </c>
      <c r="V483" s="38" t="n">
        <v>0</v>
      </c>
      <c r="W483" s="38" t="n">
        <v>3.680000000000001</v>
      </c>
      <c r="X483" s="38" t="n">
        <v>57.93400000000002</v>
      </c>
      <c r="Y483" s="38" t="n">
        <v>45.134</v>
      </c>
      <c r="Z483" s="38" t="n">
        <v>0</v>
      </c>
      <c r="AA483" s="36" t="n">
        <v>26</v>
      </c>
      <c r="AB483" s="37" t="n">
        <v>0.09386281588447654</v>
      </c>
      <c r="AC483" s="36" t="n">
        <v>8</v>
      </c>
      <c r="AD483" s="37" t="n">
        <v>0.186046511627907</v>
      </c>
      <c r="AE483" s="36" t="n">
        <v>13</v>
      </c>
      <c r="AF483" s="37" t="n">
        <v>0.0593607305936073</v>
      </c>
      <c r="AG483" s="36" t="n">
        <v>5</v>
      </c>
      <c r="AH483" s="37" t="n">
        <v>0.625</v>
      </c>
    </row>
    <row r="484">
      <c r="A484" s="53" t="n">
        <v>45762</v>
      </c>
      <c r="B484" t="inlineStr">
        <is>
          <t>R10_Sumbagteng</t>
        </is>
      </c>
      <c r="C484" t="inlineStr">
        <is>
          <t>NOP BATAM</t>
        </is>
      </c>
      <c r="D484" s="38" t="n">
        <v>0</v>
      </c>
      <c r="E484" s="38" t="n">
        <v>6.985999999999999</v>
      </c>
      <c r="F484" s="36" t="n">
        <v>5.359000000000004</v>
      </c>
      <c r="G484" s="36" t="n">
        <v>7.12</v>
      </c>
      <c r="H484" s="36" t="n">
        <v>34</v>
      </c>
      <c r="I484" s="37" t="n">
        <v>0.3505154639175257</v>
      </c>
      <c r="J484" s="36" t="n">
        <v>6</v>
      </c>
      <c r="K484" s="37" t="n">
        <v>0.3157894736842105</v>
      </c>
      <c r="L484" s="36" t="n">
        <v>28</v>
      </c>
      <c r="M484" s="37" t="n">
        <v>0.358974358974359</v>
      </c>
      <c r="N484" s="36" t="n">
        <v>6</v>
      </c>
      <c r="O484" s="37" t="n">
        <v>1</v>
      </c>
      <c r="P484" s="36" t="n">
        <v>6</v>
      </c>
      <c r="Q484" s="37" t="n">
        <v>1</v>
      </c>
      <c r="R484" s="36" t="n">
        <v>96</v>
      </c>
      <c r="S484" s="37" t="n">
        <v>0.9896907216494846</v>
      </c>
      <c r="T484" s="36" t="n">
        <v>24</v>
      </c>
      <c r="U484" s="37" t="n">
        <v>0.2474226804123711</v>
      </c>
      <c r="V484" s="38" t="n">
        <v>0</v>
      </c>
      <c r="W484" s="38" t="n">
        <v>3.782</v>
      </c>
      <c r="X484" s="38" t="n">
        <v>18.48</v>
      </c>
      <c r="Y484" s="38" t="n">
        <v>1.78</v>
      </c>
      <c r="Z484" s="38" t="n">
        <v>0</v>
      </c>
      <c r="AA484" s="36" t="n">
        <v>39</v>
      </c>
      <c r="AB484" s="37" t="n">
        <v>0.05619596541786744</v>
      </c>
      <c r="AC484" s="36" t="n">
        <v>17</v>
      </c>
      <c r="AD484" s="37" t="n">
        <v>0.3207547169811321</v>
      </c>
      <c r="AE484" s="36" t="n">
        <v>20</v>
      </c>
      <c r="AF484" s="37" t="n">
        <v>0.03164556962025317</v>
      </c>
      <c r="AG484" s="36" t="n">
        <v>11</v>
      </c>
      <c r="AH484" s="37" t="n">
        <v>0.6470588235294118</v>
      </c>
    </row>
    <row r="485">
      <c r="A485" s="53" t="n">
        <v>45762</v>
      </c>
      <c r="B485" t="inlineStr">
        <is>
          <t>R10_Sumbagteng</t>
        </is>
      </c>
      <c r="C485" t="inlineStr">
        <is>
          <t>NOP BUKITTINGGI</t>
        </is>
      </c>
      <c r="D485" s="38" t="n">
        <v>0</v>
      </c>
      <c r="E485" s="38" t="n">
        <v>1.42</v>
      </c>
      <c r="F485" s="36" t="n">
        <v>6</v>
      </c>
      <c r="G485" s="36" t="n">
        <v>7.784999999999995</v>
      </c>
      <c r="H485" s="36" t="n">
        <v>34</v>
      </c>
      <c r="I485" s="37" t="n">
        <v>0.723404255319149</v>
      </c>
      <c r="J485" s="36" t="n">
        <v>8</v>
      </c>
      <c r="K485" s="37" t="n">
        <v>0.7272727272727273</v>
      </c>
      <c r="L485" s="36" t="n">
        <v>26</v>
      </c>
      <c r="M485" s="37" t="n">
        <v>0.7222222222222222</v>
      </c>
      <c r="N485" s="36" t="n">
        <v>6</v>
      </c>
      <c r="O485" s="37" t="n">
        <v>0.75</v>
      </c>
      <c r="P485" s="36" t="n">
        <v>6</v>
      </c>
      <c r="Q485" s="37" t="n">
        <v>0.75</v>
      </c>
      <c r="R485" s="36" t="n">
        <v>47</v>
      </c>
      <c r="S485" s="37" t="n">
        <v>1</v>
      </c>
      <c r="T485" s="36" t="n">
        <v>16</v>
      </c>
      <c r="U485" s="37" t="n">
        <v>0.3404255319148936</v>
      </c>
      <c r="V485" s="38" t="n">
        <v>0</v>
      </c>
      <c r="W485" s="38" t="n">
        <v>2.324000000000005</v>
      </c>
      <c r="X485" s="38" t="n">
        <v>8</v>
      </c>
      <c r="Y485" s="38" t="n">
        <v>159.342</v>
      </c>
      <c r="Z485" s="38" t="n">
        <v>0</v>
      </c>
      <c r="AA485" s="36" t="n">
        <v>148</v>
      </c>
      <c r="AB485" s="37" t="n">
        <v>0.279773156899811</v>
      </c>
      <c r="AC485" s="36" t="n">
        <v>31</v>
      </c>
      <c r="AD485" s="37" t="n">
        <v>0.8157894736842105</v>
      </c>
      <c r="AE485" s="36" t="n">
        <v>116</v>
      </c>
      <c r="AF485" s="37" t="n">
        <v>0.2377049180327869</v>
      </c>
      <c r="AG485" s="36" t="n">
        <v>14</v>
      </c>
      <c r="AH485" s="37" t="n">
        <v>0.4516129032258064</v>
      </c>
    </row>
    <row r="486">
      <c r="A486" s="53" t="n">
        <v>45762</v>
      </c>
      <c r="B486" t="inlineStr">
        <is>
          <t>R10_Sumbagteng</t>
        </is>
      </c>
      <c r="C486" t="inlineStr">
        <is>
          <t>NOP DUMAI</t>
        </is>
      </c>
      <c r="D486" s="38" t="n">
        <v>2.422</v>
      </c>
      <c r="E486" s="38" t="n">
        <v>8.468000000000011</v>
      </c>
      <c r="F486" s="36" t="n">
        <v>7.692</v>
      </c>
      <c r="G486" s="36" t="n">
        <v>7.755000000000001</v>
      </c>
      <c r="H486" s="36" t="n">
        <v>63</v>
      </c>
      <c r="I486" s="37" t="n">
        <v>0.3442622950819672</v>
      </c>
      <c r="J486" s="36" t="n">
        <v>28</v>
      </c>
      <c r="K486" s="37" t="n">
        <v>0.4827586206896552</v>
      </c>
      <c r="L486" s="36" t="n">
        <v>35</v>
      </c>
      <c r="M486" s="37" t="n">
        <v>0.28</v>
      </c>
      <c r="N486" s="36" t="n">
        <v>24</v>
      </c>
      <c r="O486" s="37" t="n">
        <v>0.8571428571428571</v>
      </c>
      <c r="P486" s="36" t="n">
        <v>24</v>
      </c>
      <c r="Q486" s="37" t="n">
        <v>0.8571428571428571</v>
      </c>
      <c r="R486" s="36" t="n">
        <v>179</v>
      </c>
      <c r="S486" s="37" t="n">
        <v>0.9781420765027322</v>
      </c>
      <c r="T486" s="36" t="n">
        <v>43</v>
      </c>
      <c r="U486" s="37" t="n">
        <v>0.2349726775956284</v>
      </c>
      <c r="V486" s="38" t="n">
        <v>3.03</v>
      </c>
      <c r="W486" s="38" t="n">
        <v>5.388</v>
      </c>
      <c r="X486" s="38" t="n">
        <v>39.85500000000001</v>
      </c>
      <c r="Y486" s="38" t="n">
        <v>229.958</v>
      </c>
      <c r="Z486" s="38" t="n">
        <v>0</v>
      </c>
      <c r="AA486" s="36" t="n">
        <v>117</v>
      </c>
      <c r="AB486" s="37" t="n">
        <v>0.2237093690248566</v>
      </c>
      <c r="AC486" s="36" t="n">
        <v>28</v>
      </c>
      <c r="AD486" s="37" t="n">
        <v>0.3544303797468354</v>
      </c>
      <c r="AE486" s="36" t="n">
        <v>87</v>
      </c>
      <c r="AF486" s="37" t="n">
        <v>0.20763723150358</v>
      </c>
      <c r="AG486" s="36" t="n">
        <v>27</v>
      </c>
      <c r="AH486" s="37" t="n">
        <v>0.9642857142857143</v>
      </c>
    </row>
    <row r="487">
      <c r="A487" s="53" t="n">
        <v>45762</v>
      </c>
      <c r="B487" t="inlineStr">
        <is>
          <t>R10_Sumbagteng</t>
        </is>
      </c>
      <c r="C487" t="inlineStr">
        <is>
          <t>NOP PADANG</t>
        </is>
      </c>
      <c r="D487" s="38" t="n">
        <v>0</v>
      </c>
      <c r="E487" s="38" t="n">
        <v>1.677999999999999</v>
      </c>
      <c r="F487" s="36" t="n">
        <v>6.95</v>
      </c>
      <c r="G487" s="36" t="n">
        <v>4.356</v>
      </c>
      <c r="H487" s="36" t="n">
        <v>82</v>
      </c>
      <c r="I487" s="37" t="n">
        <v>0.7663551401869159</v>
      </c>
      <c r="J487" s="36" t="n">
        <v>10</v>
      </c>
      <c r="K487" s="37" t="n">
        <v>0.6666666666666666</v>
      </c>
      <c r="L487" s="36" t="n">
        <v>72</v>
      </c>
      <c r="M487" s="37" t="n">
        <v>0.7826086956521739</v>
      </c>
      <c r="N487" s="36" t="n">
        <v>3</v>
      </c>
      <c r="O487" s="37" t="n">
        <v>0.3</v>
      </c>
      <c r="P487" s="36" t="n">
        <v>3</v>
      </c>
      <c r="Q487" s="37" t="n">
        <v>0.3</v>
      </c>
      <c r="R487" s="36" t="n">
        <v>107</v>
      </c>
      <c r="S487" s="37" t="n">
        <v>1</v>
      </c>
      <c r="T487" s="36" t="n">
        <v>20</v>
      </c>
      <c r="U487" s="37" t="n">
        <v>0.1869158878504673</v>
      </c>
      <c r="V487" s="38" t="n">
        <v>0</v>
      </c>
      <c r="W487" s="38" t="n">
        <v>2.708</v>
      </c>
      <c r="X487" s="38" t="n">
        <v>22.52</v>
      </c>
      <c r="Y487" s="38" t="n">
        <v>150.186</v>
      </c>
      <c r="Z487" s="38" t="n">
        <v>0</v>
      </c>
      <c r="AA487" s="36" t="n">
        <v>623</v>
      </c>
      <c r="AB487" s="37" t="n">
        <v>0.8464673913043478</v>
      </c>
      <c r="AC487" s="36" t="n">
        <v>47</v>
      </c>
      <c r="AD487" s="37" t="n">
        <v>0.7230769230769231</v>
      </c>
      <c r="AE487" s="36" t="n">
        <v>574</v>
      </c>
      <c r="AF487" s="37" t="n">
        <v>0.8605697151424287</v>
      </c>
      <c r="AG487" s="36" t="n">
        <v>18</v>
      </c>
      <c r="AH487" s="37" t="n">
        <v>0.3829787234042553</v>
      </c>
    </row>
    <row r="488">
      <c r="A488" s="53" t="n">
        <v>45762</v>
      </c>
      <c r="B488" t="inlineStr">
        <is>
          <t>R10_Sumbagteng</t>
        </is>
      </c>
      <c r="C488" t="inlineStr">
        <is>
          <t>NOP PEKANBARU</t>
        </is>
      </c>
      <c r="D488" s="38" t="n">
        <v>5.146999999999999</v>
      </c>
      <c r="E488" s="38" t="n">
        <v>6.290000000000001</v>
      </c>
      <c r="F488" s="36" t="n">
        <v>5.09</v>
      </c>
      <c r="G488" s="36" t="n">
        <v>6.776000000000003</v>
      </c>
      <c r="H488" s="36" t="n">
        <v>118</v>
      </c>
      <c r="I488" s="37" t="n">
        <v>0.4402985074626866</v>
      </c>
      <c r="J488" s="36" t="n">
        <v>26</v>
      </c>
      <c r="K488" s="37" t="n">
        <v>0.6341463414634146</v>
      </c>
      <c r="L488" s="36" t="n">
        <v>92</v>
      </c>
      <c r="M488" s="37" t="n">
        <v>0.4052863436123348</v>
      </c>
      <c r="N488" s="36" t="n">
        <v>18</v>
      </c>
      <c r="O488" s="37" t="n">
        <v>0.6923076923076923</v>
      </c>
      <c r="P488" s="36" t="n">
        <v>18</v>
      </c>
      <c r="Q488" s="37" t="n">
        <v>0.6923076923076923</v>
      </c>
      <c r="R488" s="36" t="n">
        <v>266</v>
      </c>
      <c r="S488" s="37" t="n">
        <v>0.9925373134328358</v>
      </c>
      <c r="T488" s="36" t="n">
        <v>54</v>
      </c>
      <c r="U488" s="37" t="n">
        <v>0.2014925373134328</v>
      </c>
      <c r="V488" s="38" t="n">
        <v>0</v>
      </c>
      <c r="W488" s="38" t="n">
        <v>4.421999999999998</v>
      </c>
      <c r="X488" s="38" t="n">
        <v>44.38200000000002</v>
      </c>
      <c r="Y488" s="38" t="n">
        <v>182.9580000000002</v>
      </c>
      <c r="Z488" s="38" t="n">
        <v>0</v>
      </c>
      <c r="AA488" s="36" t="n">
        <v>113</v>
      </c>
      <c r="AB488" s="37" t="n">
        <v>0.2942708333333333</v>
      </c>
      <c r="AC488" s="36" t="n">
        <v>37</v>
      </c>
      <c r="AD488" s="37" t="n">
        <v>0.3978494623655914</v>
      </c>
      <c r="AE488" s="36" t="n">
        <v>76</v>
      </c>
      <c r="AF488" s="37" t="n">
        <v>0.2957198443579767</v>
      </c>
      <c r="AG488" s="36" t="n">
        <v>33</v>
      </c>
      <c r="AH488" s="37" t="n">
        <v>0.8918918918918919</v>
      </c>
    </row>
    <row r="489">
      <c r="A489" s="53" t="n">
        <v>45762</v>
      </c>
      <c r="B489" t="inlineStr">
        <is>
          <t>R02_Sumbagsel</t>
        </is>
      </c>
      <c r="C489" t="inlineStr">
        <is>
          <t>NOP BENGKULU</t>
        </is>
      </c>
      <c r="D489" s="38" t="n">
        <v>1.946000000000001</v>
      </c>
      <c r="E489" s="38" t="n">
        <v>3.29</v>
      </c>
      <c r="F489" s="36" t="n">
        <v>6.624000000000001</v>
      </c>
      <c r="G489" s="36" t="n">
        <v>5.607000000000001</v>
      </c>
      <c r="H489" s="36" t="n">
        <v>58</v>
      </c>
      <c r="I489" s="37" t="n">
        <v>0.3333333333333333</v>
      </c>
      <c r="J489" s="36" t="n">
        <v>20</v>
      </c>
      <c r="K489" s="37" t="n">
        <v>0.4444444444444444</v>
      </c>
      <c r="L489" s="36" t="n">
        <v>38</v>
      </c>
      <c r="M489" s="37" t="n">
        <v>0.2945736434108527</v>
      </c>
      <c r="N489" s="36" t="n">
        <v>10</v>
      </c>
      <c r="O489" s="37" t="n">
        <v>0.5</v>
      </c>
      <c r="P489" s="36" t="n">
        <v>10</v>
      </c>
      <c r="Q489" s="37" t="n">
        <v>0.5</v>
      </c>
      <c r="R489" s="36" t="n">
        <v>174</v>
      </c>
      <c r="S489" s="37" t="n">
        <v>1</v>
      </c>
      <c r="T489" s="36" t="n">
        <v>28</v>
      </c>
      <c r="U489" s="37" t="n">
        <v>0.1609195402298851</v>
      </c>
      <c r="V489" s="38" t="n">
        <v>0</v>
      </c>
      <c r="W489" s="38" t="n">
        <v>7.946000000000009</v>
      </c>
      <c r="X489" s="38" t="n">
        <v>7.965</v>
      </c>
      <c r="Y489" s="38" t="n">
        <v>13.88100000000003</v>
      </c>
      <c r="Z489" s="38" t="n">
        <v>0</v>
      </c>
      <c r="AA489" s="36" t="n">
        <v>106</v>
      </c>
      <c r="AB489" s="37" t="n">
        <v>0.4015151515151515</v>
      </c>
      <c r="AC489" s="36" t="n">
        <v>64</v>
      </c>
      <c r="AD489" s="37" t="n">
        <v>0.3902439024390244</v>
      </c>
      <c r="AE489" s="36" t="n">
        <v>27</v>
      </c>
      <c r="AF489" s="37" t="n">
        <v>0.5</v>
      </c>
      <c r="AG489" s="36" t="n">
        <v>57</v>
      </c>
      <c r="AH489" s="37" t="n">
        <v>0.890625</v>
      </c>
    </row>
    <row r="490">
      <c r="A490" s="53" t="n">
        <v>45762</v>
      </c>
      <c r="B490" t="inlineStr">
        <is>
          <t>R02_Sumbagsel</t>
        </is>
      </c>
      <c r="C490" t="inlineStr">
        <is>
          <t>NOP JAMBI</t>
        </is>
      </c>
      <c r="D490" s="38" t="n">
        <v>3.35</v>
      </c>
      <c r="E490" s="38" t="n">
        <v>5.52</v>
      </c>
      <c r="F490" s="36" t="n">
        <v>5.58</v>
      </c>
      <c r="G490" s="36" t="n">
        <v>5.29</v>
      </c>
      <c r="H490" s="36" t="n">
        <v>186</v>
      </c>
      <c r="I490" s="37" t="n">
        <v>0.543859649122807</v>
      </c>
      <c r="J490" s="36" t="n">
        <v>54</v>
      </c>
      <c r="K490" s="37" t="n">
        <v>0.5934065934065934</v>
      </c>
      <c r="L490" s="36" t="n">
        <v>132</v>
      </c>
      <c r="M490" s="37" t="n">
        <v>0.5258964143426295</v>
      </c>
      <c r="N490" s="36" t="n">
        <v>35</v>
      </c>
      <c r="O490" s="37" t="n">
        <v>0.6481481481481481</v>
      </c>
      <c r="P490" s="36" t="n">
        <v>35</v>
      </c>
      <c r="Q490" s="37" t="n">
        <v>0.6481481481481481</v>
      </c>
      <c r="R490" s="36" t="n">
        <v>342</v>
      </c>
      <c r="S490" s="37" t="n">
        <v>1</v>
      </c>
      <c r="T490" s="36" t="n">
        <v>75</v>
      </c>
      <c r="U490" s="37" t="n">
        <v>0.2192982456140351</v>
      </c>
      <c r="V490" s="38" t="n">
        <v>0</v>
      </c>
      <c r="W490" s="38" t="n">
        <v>12.13600000000003</v>
      </c>
      <c r="X490" s="38" t="n">
        <v>22.964</v>
      </c>
      <c r="Y490" s="38" t="n">
        <v>4.232000000000003</v>
      </c>
      <c r="Z490" s="38" t="n">
        <v>0</v>
      </c>
      <c r="AA490" s="36" t="n">
        <v>201</v>
      </c>
      <c r="AB490" s="37" t="n">
        <v>0.5911764705882353</v>
      </c>
      <c r="AC490" s="36" t="n">
        <v>106</v>
      </c>
      <c r="AD490" s="37" t="n">
        <v>0.6272189349112426</v>
      </c>
      <c r="AE490" s="36" t="n">
        <v>82</v>
      </c>
      <c r="AF490" s="37" t="n">
        <v>0.5734265734265734</v>
      </c>
      <c r="AG490" s="36" t="n">
        <v>88</v>
      </c>
      <c r="AH490" s="37" t="n">
        <v>0.8301886792452831</v>
      </c>
    </row>
    <row r="491">
      <c r="A491" s="53" t="n">
        <v>45762</v>
      </c>
      <c r="B491" t="inlineStr">
        <is>
          <t>R02_Sumbagsel</t>
        </is>
      </c>
      <c r="C491" t="inlineStr">
        <is>
          <t>NOP LAMPUNG</t>
        </is>
      </c>
      <c r="D491" s="38" t="n">
        <v>0.632</v>
      </c>
      <c r="E491" s="38" t="n">
        <v>6.542</v>
      </c>
      <c r="F491" s="36" t="n">
        <v>8.789999999999999</v>
      </c>
      <c r="G491" s="36" t="n">
        <v>7.087000000000001</v>
      </c>
      <c r="H491" s="36" t="n">
        <v>57</v>
      </c>
      <c r="I491" s="37" t="n">
        <v>0.5327102803738317</v>
      </c>
      <c r="J491" s="36" t="n">
        <v>16</v>
      </c>
      <c r="K491" s="37" t="n">
        <v>0.7619047619047619</v>
      </c>
      <c r="L491" s="36" t="n">
        <v>41</v>
      </c>
      <c r="M491" s="37" t="n">
        <v>0.4767441860465116</v>
      </c>
      <c r="N491" s="36" t="n">
        <v>12</v>
      </c>
      <c r="O491" s="37" t="n">
        <v>0.75</v>
      </c>
      <c r="P491" s="36" t="n">
        <v>12</v>
      </c>
      <c r="Q491" s="37" t="n">
        <v>0.75</v>
      </c>
      <c r="R491" s="36" t="n">
        <v>107</v>
      </c>
      <c r="S491" s="37" t="n">
        <v>1</v>
      </c>
      <c r="T491" s="36" t="n">
        <v>38</v>
      </c>
      <c r="U491" s="37" t="n">
        <v>0.3551401869158878</v>
      </c>
      <c r="V491" s="38" t="n">
        <v>0</v>
      </c>
      <c r="W491" s="38" t="n">
        <v>6.241000000000001</v>
      </c>
      <c r="X491" s="38" t="n">
        <v>3.64</v>
      </c>
      <c r="Y491" s="38" t="n">
        <v>36.482</v>
      </c>
      <c r="Z491" s="38" t="n">
        <v>0</v>
      </c>
      <c r="AA491" s="36" t="n">
        <v>187</v>
      </c>
      <c r="AB491" s="37" t="n">
        <v>0.9257425742574258</v>
      </c>
      <c r="AC491" s="36" t="n">
        <v>58</v>
      </c>
      <c r="AD491" s="37" t="n">
        <v>1</v>
      </c>
      <c r="AE491" s="36" t="n">
        <v>119</v>
      </c>
      <c r="AF491" s="37" t="n">
        <v>0.9296875</v>
      </c>
      <c r="AG491" s="36" t="n">
        <v>56</v>
      </c>
      <c r="AH491" s="37" t="n">
        <v>0.9655172413793104</v>
      </c>
    </row>
    <row r="492">
      <c r="A492" s="53" t="n">
        <v>45762</v>
      </c>
      <c r="B492" t="inlineStr">
        <is>
          <t>R02_Sumbagsel</t>
        </is>
      </c>
      <c r="C492" t="inlineStr">
        <is>
          <t>NOP MUARA ENIM</t>
        </is>
      </c>
      <c r="D492" s="38" t="n">
        <v>2.86</v>
      </c>
      <c r="E492" s="38" t="n">
        <v>4.29</v>
      </c>
      <c r="F492" s="36" t="n">
        <v>5.33</v>
      </c>
      <c r="G492" s="36" t="n">
        <v>3.72</v>
      </c>
      <c r="H492" s="36" t="n">
        <v>88</v>
      </c>
      <c r="I492" s="37" t="n">
        <v>0.3424124513618677</v>
      </c>
      <c r="J492" s="36" t="n">
        <v>18</v>
      </c>
      <c r="K492" s="37" t="n">
        <v>0.3829787234042553</v>
      </c>
      <c r="L492" s="36" t="n">
        <v>70</v>
      </c>
      <c r="M492" s="37" t="n">
        <v>0.3333333333333333</v>
      </c>
      <c r="N492" s="36" t="n">
        <v>11</v>
      </c>
      <c r="O492" s="37" t="n">
        <v>0.6111111111111112</v>
      </c>
      <c r="P492" s="36" t="n">
        <v>11</v>
      </c>
      <c r="Q492" s="37" t="n">
        <v>0.6111111111111112</v>
      </c>
      <c r="R492" s="36" t="n">
        <v>251</v>
      </c>
      <c r="S492" s="37" t="n">
        <v>0.9766536964980544</v>
      </c>
      <c r="T492" s="36" t="n">
        <v>39</v>
      </c>
      <c r="U492" s="37" t="n">
        <v>0.1517509727626459</v>
      </c>
      <c r="V492" s="38" t="n">
        <v>0</v>
      </c>
      <c r="W492" s="38" t="n">
        <v>5.245999999999998</v>
      </c>
      <c r="X492" s="38" t="n">
        <v>6.404</v>
      </c>
      <c r="Y492" s="38" t="n">
        <v>8.58</v>
      </c>
      <c r="Z492" s="38" t="n">
        <v>0</v>
      </c>
      <c r="AA492" s="36" t="n">
        <v>79</v>
      </c>
      <c r="AB492" s="37" t="n">
        <v>0.395</v>
      </c>
      <c r="AC492" s="36" t="n">
        <v>36</v>
      </c>
      <c r="AD492" s="37" t="n">
        <v>0.3333333333333333</v>
      </c>
      <c r="AE492" s="36" t="n">
        <v>41</v>
      </c>
      <c r="AF492" s="37" t="n">
        <v>0.5256410256410257</v>
      </c>
      <c r="AG492" s="36" t="n">
        <v>28</v>
      </c>
      <c r="AH492" s="37" t="n">
        <v>0.7777777777777778</v>
      </c>
    </row>
    <row r="493">
      <c r="A493" s="53" t="n">
        <v>45762</v>
      </c>
      <c r="B493" t="inlineStr">
        <is>
          <t>R02_Sumbagsel</t>
        </is>
      </c>
      <c r="C493" t="inlineStr">
        <is>
          <t>NOP PALEMBANG</t>
        </is>
      </c>
      <c r="D493" s="38" t="n">
        <v>4.125000000000001</v>
      </c>
      <c r="E493" s="38" t="n">
        <v>5.16</v>
      </c>
      <c r="F493" s="36" t="n">
        <v>5.509000000000008</v>
      </c>
      <c r="G493" s="36" t="n">
        <v>6.218</v>
      </c>
      <c r="H493" s="36" t="n">
        <v>83</v>
      </c>
      <c r="I493" s="37" t="n">
        <v>0.2766666666666667</v>
      </c>
      <c r="J493" s="36" t="n">
        <v>12</v>
      </c>
      <c r="K493" s="37" t="n">
        <v>0.3428571428571429</v>
      </c>
      <c r="L493" s="36" t="n">
        <v>71</v>
      </c>
      <c r="M493" s="37" t="n">
        <v>0.2679245283018868</v>
      </c>
      <c r="N493" s="36" t="n">
        <v>4</v>
      </c>
      <c r="O493" s="37" t="n">
        <v>0.3333333333333333</v>
      </c>
      <c r="P493" s="36" t="n">
        <v>4</v>
      </c>
      <c r="Q493" s="37" t="n">
        <v>0.3333333333333333</v>
      </c>
      <c r="R493" s="36" t="n">
        <v>300</v>
      </c>
      <c r="S493" s="37" t="n">
        <v>1</v>
      </c>
      <c r="T493" s="36" t="n">
        <v>30</v>
      </c>
      <c r="U493" s="37" t="n">
        <v>0.1</v>
      </c>
      <c r="V493" s="38" t="n">
        <v>0</v>
      </c>
      <c r="W493" s="38" t="n">
        <v>7.14</v>
      </c>
      <c r="X493" s="38" t="n">
        <v>15.85900000000001</v>
      </c>
      <c r="Y493" s="38" t="n">
        <v>0.3939999999999994</v>
      </c>
      <c r="Z493" s="38" t="n">
        <v>0</v>
      </c>
      <c r="AA493" s="36" t="n">
        <v>77</v>
      </c>
      <c r="AB493" s="37" t="n">
        <v>0.2759856630824373</v>
      </c>
      <c r="AC493" s="36" t="n">
        <v>24</v>
      </c>
      <c r="AD493" s="37" t="n">
        <v>0.2162162162162162</v>
      </c>
      <c r="AE493" s="36" t="n">
        <v>52</v>
      </c>
      <c r="AF493" s="37" t="n">
        <v>0.3687943262411347</v>
      </c>
      <c r="AG493" s="36" t="n">
        <v>12</v>
      </c>
      <c r="AH493" s="37" t="n">
        <v>0.5</v>
      </c>
    </row>
    <row r="494">
      <c r="A494" s="53" t="n">
        <v>45762</v>
      </c>
      <c r="B494" t="inlineStr">
        <is>
          <t>R02_Sumbagsel</t>
        </is>
      </c>
      <c r="C494" t="inlineStr">
        <is>
          <t>NOP PANGKAL PINANG</t>
        </is>
      </c>
      <c r="D494" s="38" t="n">
        <v>0</v>
      </c>
      <c r="E494" s="38" t="n">
        <v>1.53</v>
      </c>
      <c r="F494" s="36" t="n">
        <v>4.49</v>
      </c>
      <c r="G494" s="36" t="n">
        <v>5.776000000000001</v>
      </c>
      <c r="H494" s="36" t="n">
        <v>13</v>
      </c>
      <c r="I494" s="37" t="n">
        <v>0.5416666666666666</v>
      </c>
      <c r="J494" s="36" t="n">
        <v>2</v>
      </c>
      <c r="K494" s="37" t="n">
        <v>1</v>
      </c>
      <c r="L494" s="36" t="n">
        <v>11</v>
      </c>
      <c r="M494" s="37" t="n">
        <v>0.5</v>
      </c>
      <c r="N494" s="36" t="n">
        <v>2</v>
      </c>
      <c r="O494" s="37" t="n">
        <v>1</v>
      </c>
      <c r="P494" s="36" t="n">
        <v>2</v>
      </c>
      <c r="Q494" s="37" t="n">
        <v>1</v>
      </c>
      <c r="R494" s="36" t="n">
        <v>24</v>
      </c>
      <c r="S494" s="37" t="n">
        <v>1</v>
      </c>
      <c r="T494" s="36" t="n">
        <v>10</v>
      </c>
      <c r="U494" s="37" t="n">
        <v>0.4166666666666667</v>
      </c>
      <c r="V494" s="38" t="n">
        <v>0</v>
      </c>
      <c r="W494" s="38" t="n">
        <v>1.73</v>
      </c>
      <c r="X494" s="38" t="n">
        <v>5.696000000000001</v>
      </c>
      <c r="Y494" s="38" t="n">
        <v>1.466</v>
      </c>
      <c r="Z494" s="38" t="n">
        <v>0</v>
      </c>
      <c r="AA494" s="36" t="n">
        <v>56</v>
      </c>
      <c r="AB494" s="37" t="n">
        <v>0.8615384615384616</v>
      </c>
      <c r="AC494" s="36" t="n">
        <v>9</v>
      </c>
      <c r="AD494" s="37" t="n">
        <v>0.75</v>
      </c>
      <c r="AE494" s="36" t="n">
        <v>47</v>
      </c>
      <c r="AF494" s="37" t="n">
        <v>0.8867924528301887</v>
      </c>
      <c r="AG494" s="36" t="n">
        <v>6</v>
      </c>
      <c r="AH494" s="37" t="n">
        <v>0.6666666666666666</v>
      </c>
    </row>
    <row r="495">
      <c r="A495" s="53" t="n">
        <v>45762</v>
      </c>
      <c r="B495" t="inlineStr">
        <is>
          <t>R05_Jawa Tengah DIY</t>
        </is>
      </c>
      <c r="C495" t="inlineStr">
        <is>
          <t>NOP MAGELANG</t>
        </is>
      </c>
      <c r="D495" s="38" t="n">
        <v>0</v>
      </c>
      <c r="E495" s="38" t="n">
        <v>0</v>
      </c>
      <c r="F495" s="36" t="n">
        <v>4.48</v>
      </c>
      <c r="G495" s="36" t="n">
        <v>4.613</v>
      </c>
      <c r="H495" s="36" t="n">
        <v>10</v>
      </c>
      <c r="I495" s="37" t="n">
        <v>0.9090909090909091</v>
      </c>
      <c r="J495" s="36" t="n">
        <v>0</v>
      </c>
      <c r="K495" s="37" t="n">
        <v>0</v>
      </c>
      <c r="L495" s="36" t="n">
        <v>10</v>
      </c>
      <c r="M495" s="37" t="n">
        <v>0.9090909090909091</v>
      </c>
      <c r="N495" s="36" t="n">
        <v>0</v>
      </c>
      <c r="O495" s="37" t="n">
        <v>0</v>
      </c>
      <c r="P495" s="36" t="n">
        <v>0</v>
      </c>
      <c r="Q495" s="37" t="n">
        <v>0</v>
      </c>
      <c r="R495" s="36" t="n">
        <v>11</v>
      </c>
      <c r="S495" s="37" t="n">
        <v>1</v>
      </c>
      <c r="T495" s="36" t="n">
        <v>9</v>
      </c>
      <c r="U495" s="37" t="n">
        <v>0.8181818181818182</v>
      </c>
      <c r="V495" s="38" t="n">
        <v>0</v>
      </c>
      <c r="W495" s="38" t="n">
        <v>3.306</v>
      </c>
      <c r="X495" s="38" t="n">
        <v>3.77</v>
      </c>
      <c r="Y495" s="38" t="n">
        <v>10.898</v>
      </c>
      <c r="Z495" s="38" t="n">
        <v>0</v>
      </c>
      <c r="AA495" s="36" t="n">
        <v>50</v>
      </c>
      <c r="AB495" s="37" t="n">
        <v>0.9803921568627451</v>
      </c>
      <c r="AC495" s="36" t="n">
        <v>3</v>
      </c>
      <c r="AD495" s="37" t="n">
        <v>1</v>
      </c>
      <c r="AE495" s="36" t="n">
        <v>47</v>
      </c>
      <c r="AF495" s="37" t="n">
        <v>0.9791666666666666</v>
      </c>
      <c r="AG495" s="36" t="n">
        <v>2</v>
      </c>
      <c r="AH495" s="37" t="n">
        <v>0.6666666666666666</v>
      </c>
    </row>
    <row r="496">
      <c r="A496" s="53" t="n">
        <v>45762</v>
      </c>
      <c r="B496" t="inlineStr">
        <is>
          <t>R05_Jawa Tengah DIY</t>
        </is>
      </c>
      <c r="C496" t="inlineStr">
        <is>
          <t>NOP PEKALONGAN</t>
        </is>
      </c>
      <c r="D496" s="38" t="n">
        <v>3.857</v>
      </c>
      <c r="E496" s="38" t="n">
        <v>0</v>
      </c>
      <c r="F496" s="36" t="n">
        <v>3.29</v>
      </c>
      <c r="G496" s="36" t="n">
        <v>2.542</v>
      </c>
      <c r="H496" s="36" t="n">
        <v>18</v>
      </c>
      <c r="I496" s="37" t="n">
        <v>0.75</v>
      </c>
      <c r="J496" s="36" t="n">
        <v>2</v>
      </c>
      <c r="K496" s="37" t="n">
        <v>1</v>
      </c>
      <c r="L496" s="36" t="n">
        <v>16</v>
      </c>
      <c r="M496" s="37" t="n">
        <v>0.7272727272727273</v>
      </c>
      <c r="N496" s="36" t="n">
        <v>2</v>
      </c>
      <c r="O496" s="37" t="n">
        <v>1</v>
      </c>
      <c r="P496" s="36" t="n">
        <v>2</v>
      </c>
      <c r="Q496" s="37" t="n">
        <v>1</v>
      </c>
      <c r="R496" s="36" t="n">
        <v>23</v>
      </c>
      <c r="S496" s="37" t="n">
        <v>0.9583333333333334</v>
      </c>
      <c r="T496" s="36" t="n">
        <v>12</v>
      </c>
      <c r="U496" s="37" t="n">
        <v>0.5</v>
      </c>
      <c r="V496" s="38" t="n">
        <v>0</v>
      </c>
      <c r="W496" s="38" t="n">
        <v>3.132000000000001</v>
      </c>
      <c r="X496" s="38" t="n">
        <v>4.115</v>
      </c>
      <c r="Y496" s="38" t="n">
        <v>17.716</v>
      </c>
      <c r="Z496" s="38" t="n">
        <v>0</v>
      </c>
      <c r="AA496" s="36" t="n">
        <v>34</v>
      </c>
      <c r="AB496" s="37" t="n">
        <v>0.7727272727272727</v>
      </c>
      <c r="AC496" s="36" t="n">
        <v>12</v>
      </c>
      <c r="AD496" s="37" t="n">
        <v>0.8571428571428571</v>
      </c>
      <c r="AE496" s="36" t="n">
        <v>22</v>
      </c>
      <c r="AF496" s="37" t="n">
        <v>0.7333333333333333</v>
      </c>
      <c r="AG496" s="36" t="n">
        <v>9</v>
      </c>
      <c r="AH496" s="37" t="n">
        <v>0.75</v>
      </c>
    </row>
    <row r="497">
      <c r="A497" s="53" t="n">
        <v>45762</v>
      </c>
      <c r="B497" t="inlineStr">
        <is>
          <t>R05_Jawa Tengah DIY</t>
        </is>
      </c>
      <c r="C497" t="inlineStr">
        <is>
          <t>NOP PURWOKERTO</t>
        </is>
      </c>
      <c r="D497" s="38" t="n">
        <v>0.8</v>
      </c>
      <c r="E497" s="38" t="n">
        <v>0</v>
      </c>
      <c r="F497" s="36" t="n">
        <v>1.142</v>
      </c>
      <c r="G497" s="36" t="n">
        <v>1.702</v>
      </c>
      <c r="H497" s="36" t="n">
        <v>8</v>
      </c>
      <c r="I497" s="37" t="n">
        <v>0.7272727272727273</v>
      </c>
      <c r="J497" s="36" t="n">
        <v>0</v>
      </c>
      <c r="K497" s="37" t="n">
        <v>0</v>
      </c>
      <c r="L497" s="36" t="n">
        <v>8</v>
      </c>
      <c r="M497" s="37" t="n">
        <v>0.8</v>
      </c>
      <c r="N497" s="36" t="n">
        <v>0</v>
      </c>
      <c r="O497" s="37" t="n">
        <v>0</v>
      </c>
      <c r="P497" s="36" t="n">
        <v>0</v>
      </c>
      <c r="Q497" s="37" t="n">
        <v>0</v>
      </c>
      <c r="R497" s="36" t="n">
        <v>10</v>
      </c>
      <c r="S497" s="37" t="n">
        <v>0.9090909090909091</v>
      </c>
      <c r="T497" s="36" t="n">
        <v>4</v>
      </c>
      <c r="U497" s="37" t="n">
        <v>0.3636363636363636</v>
      </c>
      <c r="V497" s="38" t="n">
        <v>0</v>
      </c>
      <c r="W497" s="38" t="n">
        <v>1.406</v>
      </c>
      <c r="X497" s="38" t="n">
        <v>4.829000000000002</v>
      </c>
      <c r="Y497" s="38" t="n">
        <v>11.297</v>
      </c>
      <c r="Z497" s="38" t="n">
        <v>0</v>
      </c>
      <c r="AA497" s="36" t="n">
        <v>23</v>
      </c>
      <c r="AB497" s="37" t="n">
        <v>0.6764705882352942</v>
      </c>
      <c r="AC497" s="36" t="n">
        <v>1</v>
      </c>
      <c r="AD497" s="37" t="n">
        <v>0.5</v>
      </c>
      <c r="AE497" s="36" t="n">
        <v>22</v>
      </c>
      <c r="AF497" s="37" t="n">
        <v>0.6875</v>
      </c>
      <c r="AG497" s="36" t="n">
        <v>1</v>
      </c>
      <c r="AH497" s="37" t="n">
        <v>1</v>
      </c>
    </row>
    <row r="498">
      <c r="A498" s="53" t="n">
        <v>45762</v>
      </c>
      <c r="B498" t="inlineStr">
        <is>
          <t>R05_Jawa Tengah DIY</t>
        </is>
      </c>
      <c r="C498" t="inlineStr">
        <is>
          <t>NOP SEMARANG</t>
        </is>
      </c>
      <c r="D498" s="38" t="n">
        <v>3.155</v>
      </c>
      <c r="E498" s="38" t="n">
        <v>0</v>
      </c>
      <c r="F498" s="36" t="n">
        <v>4.050000000000001</v>
      </c>
      <c r="G498" s="36" t="n">
        <v>3.11</v>
      </c>
      <c r="H498" s="36" t="n">
        <v>9</v>
      </c>
      <c r="I498" s="37" t="n">
        <v>0.2727272727272727</v>
      </c>
      <c r="J498" s="36" t="n">
        <v>3</v>
      </c>
      <c r="K498" s="37" t="n">
        <v>0.5</v>
      </c>
      <c r="L498" s="36" t="n">
        <v>6</v>
      </c>
      <c r="M498" s="37" t="n">
        <v>0.2222222222222222</v>
      </c>
      <c r="N498" s="36" t="n">
        <v>3</v>
      </c>
      <c r="O498" s="37" t="n">
        <v>1</v>
      </c>
      <c r="P498" s="36" t="n">
        <v>3</v>
      </c>
      <c r="Q498" s="37" t="n">
        <v>1</v>
      </c>
      <c r="R498" s="36" t="n">
        <v>30</v>
      </c>
      <c r="S498" s="37" t="n">
        <v>0.9090909090909091</v>
      </c>
      <c r="T498" s="36" t="n">
        <v>7</v>
      </c>
      <c r="U498" s="37" t="n">
        <v>0.2121212121212121</v>
      </c>
      <c r="V498" s="38" t="n">
        <v>0</v>
      </c>
      <c r="W498" s="38" t="n">
        <v>3.985</v>
      </c>
      <c r="X498" s="38" t="n">
        <v>5.203000000000001</v>
      </c>
      <c r="Y498" s="38" t="n">
        <v>46.112</v>
      </c>
      <c r="Z498" s="38" t="n">
        <v>0</v>
      </c>
      <c r="AA498" s="36" t="n">
        <v>29</v>
      </c>
      <c r="AB498" s="37" t="n">
        <v>0.7435897435897436</v>
      </c>
      <c r="AC498" s="36" t="n">
        <v>8</v>
      </c>
      <c r="AD498" s="37" t="n">
        <v>0.8</v>
      </c>
      <c r="AE498" s="36" t="n">
        <v>21</v>
      </c>
      <c r="AF498" s="37" t="n">
        <v>0.7241379310344828</v>
      </c>
      <c r="AG498" s="36" t="n">
        <v>7</v>
      </c>
      <c r="AH498" s="37" t="n">
        <v>0.875</v>
      </c>
    </row>
    <row r="499">
      <c r="A499" s="53" t="n">
        <v>45762</v>
      </c>
      <c r="B499" t="inlineStr">
        <is>
          <t>R05_Jawa Tengah DIY</t>
        </is>
      </c>
      <c r="C499" t="inlineStr">
        <is>
          <t>NOP SURAKARTA</t>
        </is>
      </c>
      <c r="D499" s="38" t="n">
        <v>1.903</v>
      </c>
      <c r="E499" s="38" t="n">
        <v>0</v>
      </c>
      <c r="F499" s="36" t="n">
        <v>3.23</v>
      </c>
      <c r="G499" s="36" t="n">
        <v>3.578000000000001</v>
      </c>
      <c r="H499" s="36" t="n">
        <v>21</v>
      </c>
      <c r="I499" s="37" t="n">
        <v>0.875</v>
      </c>
      <c r="J499" s="36" t="n">
        <v>4</v>
      </c>
      <c r="K499" s="37" t="n">
        <v>1</v>
      </c>
      <c r="L499" s="36" t="n">
        <v>17</v>
      </c>
      <c r="M499" s="37" t="n">
        <v>0.85</v>
      </c>
      <c r="N499" s="36" t="n">
        <v>3</v>
      </c>
      <c r="O499" s="37" t="n">
        <v>0.75</v>
      </c>
      <c r="P499" s="36" t="n">
        <v>3</v>
      </c>
      <c r="Q499" s="37" t="n">
        <v>0.75</v>
      </c>
      <c r="R499" s="36" t="n">
        <v>24</v>
      </c>
      <c r="S499" s="37" t="n">
        <v>1</v>
      </c>
      <c r="T499" s="36" t="n">
        <v>14</v>
      </c>
      <c r="U499" s="37" t="n">
        <v>0.5833333333333334</v>
      </c>
      <c r="V499" s="38" t="n">
        <v>0</v>
      </c>
      <c r="W499" s="38" t="n">
        <v>1.515</v>
      </c>
      <c r="X499" s="38" t="n">
        <v>3.932</v>
      </c>
      <c r="Y499" s="38" t="n">
        <v>19.425</v>
      </c>
      <c r="Z499" s="38" t="n">
        <v>0</v>
      </c>
      <c r="AA499" s="36" t="n">
        <v>27</v>
      </c>
      <c r="AB499" s="37" t="n">
        <v>0.9310344827586207</v>
      </c>
      <c r="AC499" s="36" t="n">
        <v>5</v>
      </c>
      <c r="AD499" s="37" t="n">
        <v>0.8333333333333334</v>
      </c>
      <c r="AE499" s="36" t="n">
        <v>22</v>
      </c>
      <c r="AF499" s="37" t="n">
        <v>0.9565217391304348</v>
      </c>
      <c r="AG499" s="36" t="n">
        <v>1</v>
      </c>
      <c r="AH499" s="37" t="n">
        <v>0.2</v>
      </c>
    </row>
    <row r="500">
      <c r="A500" s="53" t="n">
        <v>45762</v>
      </c>
      <c r="B500" t="inlineStr">
        <is>
          <t>R05_Jawa Tengah DIY</t>
        </is>
      </c>
      <c r="C500" t="inlineStr">
        <is>
          <t>NOP YOGYAKARTA</t>
        </is>
      </c>
      <c r="D500" s="38" t="n">
        <v>3.133</v>
      </c>
      <c r="E500" s="38" t="n">
        <v>0</v>
      </c>
      <c r="F500" s="36" t="n">
        <v>12.982</v>
      </c>
      <c r="G500" s="36" t="n">
        <v>3.725999999999998</v>
      </c>
      <c r="H500" s="36" t="n">
        <v>11</v>
      </c>
      <c r="I500" s="37" t="n">
        <v>0.44</v>
      </c>
      <c r="J500" s="36" t="n">
        <v>2</v>
      </c>
      <c r="K500" s="37" t="n">
        <v>1</v>
      </c>
      <c r="L500" s="36" t="n">
        <v>9</v>
      </c>
      <c r="M500" s="37" t="n">
        <v>0.391304347826087</v>
      </c>
      <c r="N500" s="36" t="n">
        <v>2</v>
      </c>
      <c r="O500" s="37" t="n">
        <v>1</v>
      </c>
      <c r="P500" s="36" t="n">
        <v>2</v>
      </c>
      <c r="Q500" s="37" t="n">
        <v>1</v>
      </c>
      <c r="R500" s="36" t="n">
        <v>25</v>
      </c>
      <c r="S500" s="37" t="n">
        <v>1</v>
      </c>
      <c r="T500" s="36" t="n">
        <v>8</v>
      </c>
      <c r="U500" s="37" t="n">
        <v>0.32</v>
      </c>
      <c r="V500" s="38" t="n">
        <v>0</v>
      </c>
      <c r="W500" s="38" t="n">
        <v>1.575</v>
      </c>
      <c r="X500" s="38" t="n">
        <v>12.885</v>
      </c>
      <c r="Y500" s="38" t="n">
        <v>32.66299999999999</v>
      </c>
      <c r="Z500" s="38" t="n">
        <v>0</v>
      </c>
      <c r="AA500" s="36" t="n">
        <v>37</v>
      </c>
      <c r="AB500" s="37" t="n">
        <v>0.925</v>
      </c>
      <c r="AC500" s="36" t="n">
        <v>3</v>
      </c>
      <c r="AD500" s="37" t="n">
        <v>0.5</v>
      </c>
      <c r="AE500" s="36" t="n">
        <v>34</v>
      </c>
      <c r="AF500" s="37" t="n">
        <v>1</v>
      </c>
      <c r="AG500" s="36" t="n">
        <v>3</v>
      </c>
      <c r="AH500" s="37" t="n">
        <v>1</v>
      </c>
    </row>
    <row r="501">
      <c r="A501" s="53" t="n">
        <v>45762</v>
      </c>
      <c r="B501" t="inlineStr">
        <is>
          <t>R06_Jawa Timur</t>
        </is>
      </c>
      <c r="C501" t="inlineStr">
        <is>
          <t>NOP JEMBER</t>
        </is>
      </c>
      <c r="D501" s="38" t="n">
        <v>0.35</v>
      </c>
      <c r="E501" s="38" t="n">
        <v>0</v>
      </c>
      <c r="F501" s="36" t="n">
        <v>2.45</v>
      </c>
      <c r="G501" s="36" t="n">
        <v>1.227</v>
      </c>
      <c r="H501" s="36" t="n">
        <v>6</v>
      </c>
      <c r="I501" s="37" t="n">
        <v>0.75</v>
      </c>
      <c r="J501" s="36" t="n">
        <v>0</v>
      </c>
      <c r="K501" s="37" t="n">
        <v>0</v>
      </c>
      <c r="L501" s="36" t="n">
        <v>6</v>
      </c>
      <c r="M501" s="37" t="n">
        <v>0.8571428571428571</v>
      </c>
      <c r="N501" s="36" t="n">
        <v>0</v>
      </c>
      <c r="O501" s="37" t="n">
        <v>0</v>
      </c>
      <c r="P501" s="36" t="n">
        <v>0</v>
      </c>
      <c r="Q501" s="37" t="n">
        <v>0</v>
      </c>
      <c r="R501" s="36" t="n">
        <v>7</v>
      </c>
      <c r="S501" s="37" t="n">
        <v>0.875</v>
      </c>
      <c r="T501" s="36" t="n">
        <v>3</v>
      </c>
      <c r="U501" s="37" t="n">
        <v>0.375</v>
      </c>
      <c r="V501" s="38" t="n">
        <v>0</v>
      </c>
      <c r="W501" s="38" t="n">
        <v>2.305</v>
      </c>
      <c r="X501" s="38" t="n">
        <v>13.06299999999997</v>
      </c>
      <c r="Y501" s="38" t="n">
        <v>26.92</v>
      </c>
      <c r="Z501" s="38" t="n">
        <v>0</v>
      </c>
      <c r="AA501" s="36" t="n">
        <v>15</v>
      </c>
      <c r="AB501" s="37" t="n">
        <v>0.8823529411764706</v>
      </c>
      <c r="AC501" s="36" t="n">
        <v>6</v>
      </c>
      <c r="AD501" s="37" t="n">
        <v>1</v>
      </c>
      <c r="AE501" s="36" t="n">
        <v>9</v>
      </c>
      <c r="AF501" s="37" t="n">
        <v>0.8181818181818182</v>
      </c>
      <c r="AG501" s="36" t="n">
        <v>5</v>
      </c>
      <c r="AH501" s="37" t="n">
        <v>0.8333333333333334</v>
      </c>
    </row>
    <row r="502">
      <c r="A502" s="53" t="n">
        <v>45762</v>
      </c>
      <c r="B502" t="inlineStr">
        <is>
          <t>R06_Jawa Timur</t>
        </is>
      </c>
      <c r="C502" t="inlineStr">
        <is>
          <t>NOP KEDIRI</t>
        </is>
      </c>
      <c r="D502" s="38" t="n">
        <v>0</v>
      </c>
      <c r="E502" s="38" t="n">
        <v>0</v>
      </c>
      <c r="F502" s="36" t="n">
        <v>3.03</v>
      </c>
      <c r="G502" s="36" t="n">
        <v>1.87</v>
      </c>
      <c r="H502" s="36" t="n">
        <v>9</v>
      </c>
      <c r="I502" s="37" t="n">
        <v>1</v>
      </c>
      <c r="J502" s="36" t="n">
        <v>0</v>
      </c>
      <c r="K502" s="37" t="n">
        <v>0</v>
      </c>
      <c r="L502" s="36" t="n">
        <v>9</v>
      </c>
      <c r="M502" s="37" t="n">
        <v>1</v>
      </c>
      <c r="N502" s="36" t="n">
        <v>0</v>
      </c>
      <c r="O502" s="37" t="n">
        <v>0</v>
      </c>
      <c r="P502" s="36" t="n">
        <v>0</v>
      </c>
      <c r="Q502" s="37" t="n">
        <v>0</v>
      </c>
      <c r="R502" s="36" t="n">
        <v>9</v>
      </c>
      <c r="S502" s="37" t="n">
        <v>1</v>
      </c>
      <c r="T502" s="36" t="n">
        <v>7</v>
      </c>
      <c r="U502" s="37" t="n">
        <v>0.7777777777777778</v>
      </c>
      <c r="V502" s="38" t="n">
        <v>0</v>
      </c>
      <c r="W502" s="38" t="n">
        <v>1.27</v>
      </c>
      <c r="X502" s="38" t="n">
        <v>6.491000000000001</v>
      </c>
      <c r="Y502" s="38" t="n">
        <v>14.243</v>
      </c>
      <c r="Z502" s="38" t="n">
        <v>0</v>
      </c>
      <c r="AA502" s="36" t="n">
        <v>19</v>
      </c>
      <c r="AB502" s="37" t="n">
        <v>0.8636363636363636</v>
      </c>
      <c r="AC502" s="36" t="n">
        <v>4</v>
      </c>
      <c r="AD502" s="37" t="n">
        <v>0.6666666666666666</v>
      </c>
      <c r="AE502" s="36" t="n">
        <v>15</v>
      </c>
      <c r="AF502" s="37" t="n">
        <v>0.9375</v>
      </c>
      <c r="AG502" s="36" t="n">
        <v>4</v>
      </c>
      <c r="AH502" s="37" t="n">
        <v>1</v>
      </c>
    </row>
    <row r="503">
      <c r="A503" s="53" t="n">
        <v>45762</v>
      </c>
      <c r="B503" t="inlineStr">
        <is>
          <t>R06_Jawa Timur</t>
        </is>
      </c>
      <c r="C503" t="inlineStr">
        <is>
          <t>NOP LAMONGAN</t>
        </is>
      </c>
      <c r="D503" s="38" t="n">
        <v>0</v>
      </c>
      <c r="E503" s="38" t="n">
        <v>0</v>
      </c>
      <c r="F503" s="36" t="n">
        <v>1.841</v>
      </c>
      <c r="G503" s="36" t="n">
        <v>1.956</v>
      </c>
      <c r="H503" s="36" t="n">
        <v>7</v>
      </c>
      <c r="I503" s="37" t="n">
        <v>0.875</v>
      </c>
      <c r="J503" s="36" t="n">
        <v>0</v>
      </c>
      <c r="K503" s="37" t="n">
        <v>0</v>
      </c>
      <c r="L503" s="36" t="n">
        <v>7</v>
      </c>
      <c r="M503" s="37" t="n">
        <v>0.875</v>
      </c>
      <c r="N503" s="36" t="n">
        <v>0</v>
      </c>
      <c r="O503" s="37" t="n">
        <v>0</v>
      </c>
      <c r="P503" s="36" t="n">
        <v>0</v>
      </c>
      <c r="Q503" s="37" t="n">
        <v>0</v>
      </c>
      <c r="R503" s="36" t="n">
        <v>8</v>
      </c>
      <c r="S503" s="37" t="n">
        <v>1</v>
      </c>
      <c r="T503" s="36" t="n">
        <v>6</v>
      </c>
      <c r="U503" s="37" t="n">
        <v>0.75</v>
      </c>
      <c r="V503" s="38" t="n">
        <v>0</v>
      </c>
      <c r="W503" s="38" t="n">
        <v>0.6899999999999999</v>
      </c>
      <c r="X503" s="38" t="n">
        <v>11.566</v>
      </c>
      <c r="Y503" s="38" t="n">
        <v>34.33199999999999</v>
      </c>
      <c r="Z503" s="38" t="n">
        <v>0</v>
      </c>
      <c r="AA503" s="36" t="n">
        <v>11</v>
      </c>
      <c r="AB503" s="37" t="n">
        <v>0.8461538461538461</v>
      </c>
      <c r="AC503" s="36" t="n">
        <v>4</v>
      </c>
      <c r="AD503" s="37" t="n">
        <v>0.6666666666666666</v>
      </c>
      <c r="AE503" s="36" t="n">
        <v>7</v>
      </c>
      <c r="AF503" s="37" t="n">
        <v>1</v>
      </c>
      <c r="AG503" s="36" t="n">
        <v>4</v>
      </c>
      <c r="AH503" s="37" t="n">
        <v>1</v>
      </c>
    </row>
    <row r="504">
      <c r="A504" s="53" t="n">
        <v>45762</v>
      </c>
      <c r="B504" t="inlineStr">
        <is>
          <t>R06_Jawa Timur</t>
        </is>
      </c>
      <c r="C504" t="inlineStr">
        <is>
          <t>NOP MADIUN</t>
        </is>
      </c>
      <c r="D504" s="38" t="n">
        <v>0.63</v>
      </c>
      <c r="E504" s="38" t="n">
        <v>0</v>
      </c>
      <c r="F504" s="36" t="n">
        <v>2.607</v>
      </c>
      <c r="G504" s="36" t="n">
        <v>2.84</v>
      </c>
      <c r="H504" s="36" t="n">
        <v>13</v>
      </c>
      <c r="I504" s="37" t="n">
        <v>0.5909090909090909</v>
      </c>
      <c r="J504" s="36" t="n">
        <v>4</v>
      </c>
      <c r="K504" s="37" t="n">
        <v>1</v>
      </c>
      <c r="L504" s="36" t="n">
        <v>9</v>
      </c>
      <c r="M504" s="37" t="n">
        <v>0.5</v>
      </c>
      <c r="N504" s="36" t="n">
        <v>4</v>
      </c>
      <c r="O504" s="37" t="n">
        <v>1</v>
      </c>
      <c r="P504" s="36" t="n">
        <v>4</v>
      </c>
      <c r="Q504" s="37" t="n">
        <v>1</v>
      </c>
      <c r="R504" s="36" t="n">
        <v>21</v>
      </c>
      <c r="S504" s="37" t="n">
        <v>0.9545454545454546</v>
      </c>
      <c r="T504" s="36" t="n">
        <v>11</v>
      </c>
      <c r="U504" s="37" t="n">
        <v>0.5</v>
      </c>
      <c r="V504" s="38" t="n">
        <v>0</v>
      </c>
      <c r="W504" s="38" t="n">
        <v>1.574</v>
      </c>
      <c r="X504" s="38" t="n">
        <v>10.457</v>
      </c>
      <c r="Y504" s="38" t="n">
        <v>58.33</v>
      </c>
      <c r="Z504" s="38" t="n">
        <v>0</v>
      </c>
      <c r="AA504" s="36" t="n">
        <v>15</v>
      </c>
      <c r="AB504" s="37" t="n">
        <v>0.9375</v>
      </c>
      <c r="AC504" s="36" t="n">
        <v>7</v>
      </c>
      <c r="AD504" s="37" t="n">
        <v>1</v>
      </c>
      <c r="AE504" s="36" t="n">
        <v>8</v>
      </c>
      <c r="AF504" s="37" t="n">
        <v>0.8888888888888888</v>
      </c>
      <c r="AG504" s="36" t="n">
        <v>5</v>
      </c>
      <c r="AH504" s="37" t="n">
        <v>0.7142857142857143</v>
      </c>
    </row>
    <row r="505">
      <c r="A505" s="53" t="n">
        <v>45762</v>
      </c>
      <c r="B505" t="inlineStr">
        <is>
          <t>R06_Jawa Timur</t>
        </is>
      </c>
      <c r="C505" t="inlineStr">
        <is>
          <t>NOP MALANG</t>
        </is>
      </c>
      <c r="D505" s="38" t="n">
        <v>0</v>
      </c>
      <c r="E505" s="38" t="n">
        <v>0</v>
      </c>
      <c r="F505" s="36" t="n">
        <v>2.877000000000003</v>
      </c>
      <c r="G505" s="36" t="n">
        <v>3.05</v>
      </c>
      <c r="H505" s="36" t="n">
        <v>28</v>
      </c>
      <c r="I505" s="37" t="n">
        <v>0.8235294117647058</v>
      </c>
      <c r="J505" s="36" t="n">
        <v>0</v>
      </c>
      <c r="K505" s="37" t="n">
        <v>0</v>
      </c>
      <c r="L505" s="36" t="n">
        <v>28</v>
      </c>
      <c r="M505" s="37" t="n">
        <v>0.8235294117647058</v>
      </c>
      <c r="N505" s="36" t="n">
        <v>0</v>
      </c>
      <c r="O505" s="37" t="n">
        <v>0</v>
      </c>
      <c r="P505" s="36" t="n">
        <v>0</v>
      </c>
      <c r="Q505" s="37" t="n">
        <v>0</v>
      </c>
      <c r="R505" s="36" t="n">
        <v>33</v>
      </c>
      <c r="S505" s="37" t="n">
        <v>0.9705882352941176</v>
      </c>
      <c r="T505" s="36" t="n">
        <v>28</v>
      </c>
      <c r="U505" s="37" t="n">
        <v>0.8235294117647058</v>
      </c>
      <c r="V505" s="38" t="n">
        <v>0</v>
      </c>
      <c r="W505" s="38" t="n">
        <v>2.424</v>
      </c>
      <c r="X505" s="38" t="n">
        <v>4.464000000000002</v>
      </c>
      <c r="Y505" s="38" t="n">
        <v>0</v>
      </c>
      <c r="Z505" s="38" t="n">
        <v>0</v>
      </c>
      <c r="AA505" s="36" t="n">
        <v>24</v>
      </c>
      <c r="AB505" s="37" t="n">
        <v>0.8571428571428571</v>
      </c>
      <c r="AC505" s="36" t="n">
        <v>12</v>
      </c>
      <c r="AD505" s="37" t="n">
        <v>0.8</v>
      </c>
      <c r="AE505" s="36" t="n">
        <v>12</v>
      </c>
      <c r="AF505" s="37" t="n">
        <v>0.9230769230769231</v>
      </c>
      <c r="AG505" s="36" t="n">
        <v>8</v>
      </c>
      <c r="AH505" s="37" t="n">
        <v>0.6666666666666666</v>
      </c>
    </row>
    <row r="506">
      <c r="A506" s="53" t="n">
        <v>45762</v>
      </c>
      <c r="B506" t="inlineStr">
        <is>
          <t>R06_Jawa Timur</t>
        </is>
      </c>
      <c r="C506" t="inlineStr">
        <is>
          <t>NOP SIDOARJO</t>
        </is>
      </c>
      <c r="D506" s="38" t="n">
        <v>2.01</v>
      </c>
      <c r="E506" s="38" t="n">
        <v>0</v>
      </c>
      <c r="F506" s="36" t="n">
        <v>2.01</v>
      </c>
      <c r="G506" s="36" t="n">
        <v>5.097999999999999</v>
      </c>
      <c r="H506" s="36" t="n">
        <v>10</v>
      </c>
      <c r="I506" s="37" t="n">
        <v>0.3225806451612903</v>
      </c>
      <c r="J506" s="36" t="n">
        <v>1</v>
      </c>
      <c r="K506" s="37" t="n">
        <v>0.5</v>
      </c>
      <c r="L506" s="36" t="n">
        <v>9</v>
      </c>
      <c r="M506" s="37" t="n">
        <v>0.3103448275862069</v>
      </c>
      <c r="N506" s="36" t="n">
        <v>1</v>
      </c>
      <c r="O506" s="37" t="n">
        <v>1</v>
      </c>
      <c r="P506" s="36" t="n">
        <v>1</v>
      </c>
      <c r="Q506" s="37" t="n">
        <v>1</v>
      </c>
      <c r="R506" s="36" t="n">
        <v>30</v>
      </c>
      <c r="S506" s="37" t="n">
        <v>0.967741935483871</v>
      </c>
      <c r="T506" s="36" t="n">
        <v>9</v>
      </c>
      <c r="U506" s="37" t="n">
        <v>0.2903225806451613</v>
      </c>
      <c r="V506" s="38" t="n">
        <v>0</v>
      </c>
      <c r="W506" s="38" t="n">
        <v>1.09</v>
      </c>
      <c r="X506" s="38" t="n">
        <v>2.640000000000001</v>
      </c>
      <c r="Y506" s="38" t="n">
        <v>26.819</v>
      </c>
      <c r="Z506" s="38" t="n">
        <v>0</v>
      </c>
      <c r="AA506" s="36" t="n">
        <v>17</v>
      </c>
      <c r="AB506" s="37" t="n">
        <v>0.8095238095238095</v>
      </c>
      <c r="AC506" s="36" t="n">
        <v>3</v>
      </c>
      <c r="AD506" s="37" t="n">
        <v>0.5</v>
      </c>
      <c r="AE506" s="36" t="n">
        <v>14</v>
      </c>
      <c r="AF506" s="37" t="n">
        <v>0.9333333333333333</v>
      </c>
      <c r="AG506" s="36" t="n">
        <v>2</v>
      </c>
      <c r="AH506" s="37" t="n">
        <v>0.6666666666666666</v>
      </c>
    </row>
    <row r="507">
      <c r="A507" s="53" t="n">
        <v>45762</v>
      </c>
      <c r="B507" t="inlineStr">
        <is>
          <t>R06_Jawa Timur</t>
        </is>
      </c>
      <c r="C507" t="inlineStr">
        <is>
          <t>NOP SURABAYA</t>
        </is>
      </c>
      <c r="D507" s="38" t="n">
        <v>1.376</v>
      </c>
      <c r="E507" s="38" t="n">
        <v>0</v>
      </c>
      <c r="F507" s="36" t="n">
        <v>7.599000000000013</v>
      </c>
      <c r="G507" s="36" t="n">
        <v>5.93</v>
      </c>
      <c r="H507" s="36" t="n">
        <v>33</v>
      </c>
      <c r="I507" s="37" t="n">
        <v>0.8461538461538461</v>
      </c>
      <c r="J507" s="36" t="n">
        <v>3</v>
      </c>
      <c r="K507" s="37" t="n">
        <v>1</v>
      </c>
      <c r="L507" s="36" t="n">
        <v>30</v>
      </c>
      <c r="M507" s="37" t="n">
        <v>0.8333333333333334</v>
      </c>
      <c r="N507" s="36" t="n">
        <v>2</v>
      </c>
      <c r="O507" s="37" t="n">
        <v>0.6666666666666666</v>
      </c>
      <c r="P507" s="36" t="n">
        <v>2</v>
      </c>
      <c r="Q507" s="37" t="n">
        <v>0.6666666666666666</v>
      </c>
      <c r="R507" s="36" t="n">
        <v>39</v>
      </c>
      <c r="S507" s="37" t="n">
        <v>1</v>
      </c>
      <c r="T507" s="36" t="n">
        <v>20</v>
      </c>
      <c r="U507" s="37" t="n">
        <v>0.5128205128205128</v>
      </c>
      <c r="V507" s="38" t="n">
        <v>0</v>
      </c>
      <c r="W507" s="38" t="n">
        <v>1.546</v>
      </c>
      <c r="X507" s="38" t="n">
        <v>5.569999999999999</v>
      </c>
      <c r="Y507" s="38" t="n">
        <v>29.01</v>
      </c>
      <c r="Z507" s="38" t="n">
        <v>0</v>
      </c>
      <c r="AA507" s="36" t="n">
        <v>41</v>
      </c>
      <c r="AB507" s="37" t="n">
        <v>0.9318181818181818</v>
      </c>
      <c r="AC507" s="36" t="n">
        <v>4</v>
      </c>
      <c r="AD507" s="37" t="n">
        <v>1</v>
      </c>
      <c r="AE507" s="36" t="n">
        <v>37</v>
      </c>
      <c r="AF507" s="37" t="n">
        <v>0.925</v>
      </c>
      <c r="AG507" s="36" t="n">
        <v>4</v>
      </c>
      <c r="AH507" s="37" t="n">
        <v>1</v>
      </c>
    </row>
    <row r="508">
      <c r="A508" s="53" t="n">
        <v>45762</v>
      </c>
      <c r="B508" t="inlineStr">
        <is>
          <t>R07_Bali Nusra</t>
        </is>
      </c>
      <c r="C508" t="inlineStr">
        <is>
          <t>NOP DENPASAR</t>
        </is>
      </c>
      <c r="D508" s="38" t="n">
        <v>0</v>
      </c>
      <c r="E508" s="38" t="n">
        <v>0</v>
      </c>
      <c r="F508" s="36" t="n">
        <v>0</v>
      </c>
      <c r="G508" s="36" t="n">
        <v>1.53</v>
      </c>
      <c r="H508" s="36" t="n">
        <v>4</v>
      </c>
      <c r="I508" s="37" t="n">
        <v>0.5714285714285714</v>
      </c>
      <c r="J508" s="36" t="n">
        <v>0</v>
      </c>
      <c r="K508" s="37" t="n">
        <v>0</v>
      </c>
      <c r="L508" s="36" t="n">
        <v>4</v>
      </c>
      <c r="M508" s="37" t="n">
        <v>0.5714285714285714</v>
      </c>
      <c r="N508" s="36" t="n">
        <v>0</v>
      </c>
      <c r="O508" s="37" t="n">
        <v>0</v>
      </c>
      <c r="P508" s="36" t="n">
        <v>0</v>
      </c>
      <c r="Q508" s="37" t="n">
        <v>0</v>
      </c>
      <c r="R508" s="36" t="n">
        <v>7</v>
      </c>
      <c r="S508" s="37" t="n">
        <v>1</v>
      </c>
      <c r="T508" s="36" t="n">
        <v>4</v>
      </c>
      <c r="U508" s="37" t="n">
        <v>0.5714285714285714</v>
      </c>
      <c r="V508" s="38" t="n">
        <v>0</v>
      </c>
      <c r="W508" s="38" t="n">
        <v>116.37</v>
      </c>
      <c r="X508" s="38" t="n">
        <v>20.606</v>
      </c>
      <c r="Y508" s="38" t="n">
        <v>6.37</v>
      </c>
      <c r="Z508" s="38" t="n">
        <v>0</v>
      </c>
      <c r="AA508" s="36" t="n">
        <v>12</v>
      </c>
      <c r="AB508" s="37" t="n">
        <v>0.8571428571428571</v>
      </c>
      <c r="AC508" s="36" t="n">
        <v>5</v>
      </c>
      <c r="AD508" s="37" t="n">
        <v>0.8333333333333334</v>
      </c>
      <c r="AE508" s="36" t="n">
        <v>7</v>
      </c>
      <c r="AF508" s="37" t="n">
        <v>0.875</v>
      </c>
      <c r="AG508" s="36" t="n">
        <v>4</v>
      </c>
      <c r="AH508" s="37" t="n">
        <v>0.8</v>
      </c>
    </row>
    <row r="509">
      <c r="A509" s="53" t="n">
        <v>45762</v>
      </c>
      <c r="B509" t="inlineStr">
        <is>
          <t>R07_Bali Nusra</t>
        </is>
      </c>
      <c r="C509" t="inlineStr">
        <is>
          <t>NOP FLORES</t>
        </is>
      </c>
      <c r="D509" s="38" t="n">
        <v>3.45</v>
      </c>
      <c r="E509" s="38" t="n">
        <v>3.265000000000001</v>
      </c>
      <c r="F509" s="36" t="n">
        <v>2.552</v>
      </c>
      <c r="G509" s="36" t="n">
        <v>9.539999999999999</v>
      </c>
      <c r="H509" s="36" t="n">
        <v>36</v>
      </c>
      <c r="I509" s="37" t="n">
        <v>0.4337349397590362</v>
      </c>
      <c r="J509" s="36" t="n">
        <v>11</v>
      </c>
      <c r="K509" s="37" t="n">
        <v>0.5238095238095238</v>
      </c>
      <c r="L509" s="36" t="n">
        <v>25</v>
      </c>
      <c r="M509" s="37" t="n">
        <v>0.4032258064516129</v>
      </c>
      <c r="N509" s="36" t="n">
        <v>5</v>
      </c>
      <c r="O509" s="37" t="n">
        <v>0.4545454545454545</v>
      </c>
      <c r="P509" s="36" t="n">
        <v>5</v>
      </c>
      <c r="Q509" s="37" t="n">
        <v>0.4545454545454545</v>
      </c>
      <c r="R509" s="36" t="n">
        <v>83</v>
      </c>
      <c r="S509" s="37" t="n">
        <v>1</v>
      </c>
      <c r="T509" s="36" t="n">
        <v>21</v>
      </c>
      <c r="U509" s="37" t="n">
        <v>0.2530120481927711</v>
      </c>
      <c r="V509" s="38" t="n">
        <v>0.17</v>
      </c>
      <c r="W509" s="38" t="n">
        <v>12.04000000000001</v>
      </c>
      <c r="X509" s="38" t="n">
        <v>9.75</v>
      </c>
      <c r="Y509" s="38" t="n">
        <v>59.735</v>
      </c>
      <c r="Z509" s="38" t="n">
        <v>0</v>
      </c>
      <c r="AA509" s="36" t="n">
        <v>70</v>
      </c>
      <c r="AB509" s="37" t="n">
        <v>0.5072463768115942</v>
      </c>
      <c r="AC509" s="36" t="n">
        <v>51</v>
      </c>
      <c r="AD509" s="37" t="n">
        <v>0.5930232558139535</v>
      </c>
      <c r="AE509" s="36" t="n">
        <v>19</v>
      </c>
      <c r="AF509" s="37" t="n">
        <v>0.3653846153846154</v>
      </c>
      <c r="AG509" s="36" t="n">
        <v>45</v>
      </c>
      <c r="AH509" s="37" t="n">
        <v>0.8823529411764706</v>
      </c>
    </row>
    <row r="510">
      <c r="A510" s="53" t="n">
        <v>45762</v>
      </c>
      <c r="B510" t="inlineStr">
        <is>
          <t>R07_Bali Nusra</t>
        </is>
      </c>
      <c r="C510" t="inlineStr">
        <is>
          <t>NOP KUPANG</t>
        </is>
      </c>
      <c r="D510" s="38" t="n">
        <v>0</v>
      </c>
      <c r="E510" s="38" t="n">
        <v>10.74</v>
      </c>
      <c r="F510" s="36" t="n">
        <v>3.92</v>
      </c>
      <c r="G510" s="36" t="n">
        <v>8.097000000000001</v>
      </c>
      <c r="H510" s="36" t="n">
        <v>20</v>
      </c>
      <c r="I510" s="37" t="n">
        <v>0.2816901408450704</v>
      </c>
      <c r="J510" s="36" t="n">
        <v>3</v>
      </c>
      <c r="K510" s="37" t="n">
        <v>0.75</v>
      </c>
      <c r="L510" s="36" t="n">
        <v>17</v>
      </c>
      <c r="M510" s="37" t="n">
        <v>0.2537313432835821</v>
      </c>
      <c r="N510" s="36" t="n">
        <v>2</v>
      </c>
      <c r="O510" s="37" t="n">
        <v>0.6666666666666666</v>
      </c>
      <c r="P510" s="36" t="n">
        <v>2</v>
      </c>
      <c r="Q510" s="37" t="n">
        <v>0.6666666666666666</v>
      </c>
      <c r="R510" s="36" t="n">
        <v>71</v>
      </c>
      <c r="S510" s="37" t="n">
        <v>1</v>
      </c>
      <c r="T510" s="36" t="n">
        <v>10</v>
      </c>
      <c r="U510" s="37" t="n">
        <v>0.1408450704225352</v>
      </c>
      <c r="V510" s="38" t="n">
        <v>0</v>
      </c>
      <c r="W510" s="38" t="n">
        <v>4.596000000000001</v>
      </c>
      <c r="X510" s="38" t="n">
        <v>86.901</v>
      </c>
      <c r="Y510" s="38" t="n">
        <v>23.04600000000001</v>
      </c>
      <c r="Z510" s="38" t="n">
        <v>0</v>
      </c>
      <c r="AA510" s="36" t="n">
        <v>54</v>
      </c>
      <c r="AB510" s="37" t="n">
        <v>0.3857142857142857</v>
      </c>
      <c r="AC510" s="36" t="n">
        <v>31</v>
      </c>
      <c r="AD510" s="37" t="n">
        <v>0.3483146067415731</v>
      </c>
      <c r="AE510" s="36" t="n">
        <v>23</v>
      </c>
      <c r="AF510" s="37" t="n">
        <v>0.4509803921568628</v>
      </c>
      <c r="AG510" s="36" t="n">
        <v>27</v>
      </c>
      <c r="AH510" s="37" t="n">
        <v>0.8709677419354839</v>
      </c>
    </row>
    <row r="511">
      <c r="A511" s="53" t="n">
        <v>45762</v>
      </c>
      <c r="B511" t="inlineStr">
        <is>
          <t>R07_Bali Nusra</t>
        </is>
      </c>
      <c r="C511" t="inlineStr">
        <is>
          <t>NOP MATARAM</t>
        </is>
      </c>
      <c r="D511" s="38" t="n">
        <v>0</v>
      </c>
      <c r="E511" s="38" t="n">
        <v>7.464000000000001</v>
      </c>
      <c r="F511" s="36" t="n">
        <v>2.609</v>
      </c>
      <c r="G511" s="36" t="n">
        <v>2.26</v>
      </c>
      <c r="H511" s="36" t="n">
        <v>16</v>
      </c>
      <c r="I511" s="37" t="n">
        <v>0.5517241379310345</v>
      </c>
      <c r="J511" s="36" t="n">
        <v>3</v>
      </c>
      <c r="K511" s="37" t="n">
        <v>0.75</v>
      </c>
      <c r="L511" s="36" t="n">
        <v>13</v>
      </c>
      <c r="M511" s="37" t="n">
        <v>0.52</v>
      </c>
      <c r="N511" s="36" t="n">
        <v>2</v>
      </c>
      <c r="O511" s="37" t="n">
        <v>0.6666666666666666</v>
      </c>
      <c r="P511" s="36" t="n">
        <v>2</v>
      </c>
      <c r="Q511" s="37" t="n">
        <v>0.6666666666666666</v>
      </c>
      <c r="R511" s="36" t="n">
        <v>28</v>
      </c>
      <c r="S511" s="37" t="n">
        <v>0.9655172413793104</v>
      </c>
      <c r="T511" s="36" t="n">
        <v>17</v>
      </c>
      <c r="U511" s="37" t="n">
        <v>0.5862068965517241</v>
      </c>
      <c r="V511" s="38" t="n">
        <v>0</v>
      </c>
      <c r="W511" s="38" t="n">
        <v>28.67</v>
      </c>
      <c r="X511" s="38" t="n">
        <v>46.36</v>
      </c>
      <c r="Y511" s="38" t="n">
        <v>0</v>
      </c>
      <c r="Z511" s="38" t="n">
        <v>0</v>
      </c>
      <c r="AA511" s="36" t="n">
        <v>21</v>
      </c>
      <c r="AB511" s="37" t="n">
        <v>0.3888888888888889</v>
      </c>
      <c r="AC511" s="36" t="n">
        <v>15</v>
      </c>
      <c r="AD511" s="37" t="n">
        <v>0.4166666666666667</v>
      </c>
      <c r="AE511" s="36" t="n">
        <v>6</v>
      </c>
      <c r="AF511" s="37" t="n">
        <v>0.3333333333333333</v>
      </c>
      <c r="AG511" s="36" t="n">
        <v>9</v>
      </c>
      <c r="AH511" s="37" t="n">
        <v>0.6</v>
      </c>
    </row>
    <row r="512">
      <c r="A512" s="53" t="n">
        <v>45763</v>
      </c>
      <c r="B512" t="inlineStr">
        <is>
          <t>R01_Sumbagut</t>
        </is>
      </c>
      <c r="C512" t="inlineStr">
        <is>
          <t>NOP ACEH</t>
        </is>
      </c>
      <c r="D512" s="38" t="n">
        <v>2.59</v>
      </c>
      <c r="E512" s="38" t="n">
        <v>2.856000000000003</v>
      </c>
      <c r="F512" s="36" t="n">
        <v>15.84</v>
      </c>
      <c r="G512" s="36" t="n">
        <v>3.94</v>
      </c>
      <c r="H512" s="36" t="n">
        <v>145</v>
      </c>
      <c r="I512" s="37" t="n">
        <v>0.7923497267759563</v>
      </c>
      <c r="J512" s="36" t="n">
        <v>33</v>
      </c>
      <c r="K512" s="37" t="n">
        <v>0.7674418604651163</v>
      </c>
      <c r="L512" s="36" t="n">
        <v>112</v>
      </c>
      <c r="M512" s="37" t="n">
        <v>0.8</v>
      </c>
      <c r="N512" s="36" t="n">
        <v>20</v>
      </c>
      <c r="O512" s="37" t="n">
        <v>0.6060606060606061</v>
      </c>
      <c r="P512" s="36" t="n">
        <v>20</v>
      </c>
      <c r="Q512" s="37" t="n">
        <v>0.6060606060606061</v>
      </c>
      <c r="R512" s="36" t="n">
        <v>183</v>
      </c>
      <c r="S512" s="37" t="n">
        <v>1</v>
      </c>
      <c r="T512" s="36" t="n">
        <v>68</v>
      </c>
      <c r="U512" s="37" t="n">
        <v>0.3715846994535519</v>
      </c>
      <c r="V512" s="38" t="n">
        <v>0</v>
      </c>
      <c r="W512" s="38" t="n">
        <v>3.976</v>
      </c>
      <c r="X512" s="38" t="n">
        <v>46.46000000000002</v>
      </c>
      <c r="Y512" s="38" t="n">
        <v>164.846</v>
      </c>
      <c r="Z512" s="38" t="n">
        <v>0</v>
      </c>
      <c r="AA512" s="36" t="n">
        <v>327</v>
      </c>
      <c r="AB512" s="37" t="n">
        <v>0.8837837837837837</v>
      </c>
      <c r="AC512" s="36" t="n">
        <v>46</v>
      </c>
      <c r="AD512" s="37" t="n">
        <v>0.92</v>
      </c>
      <c r="AE512" s="36" t="n">
        <v>276</v>
      </c>
      <c r="AF512" s="37" t="n">
        <v>0.8789808917197452</v>
      </c>
      <c r="AG512" s="36" t="n">
        <v>15</v>
      </c>
      <c r="AH512" s="37" t="n">
        <v>0.3260869565217391</v>
      </c>
    </row>
    <row r="513">
      <c r="A513" s="53" t="n">
        <v>45763</v>
      </c>
      <c r="B513" t="inlineStr">
        <is>
          <t>R01_Sumbagut</t>
        </is>
      </c>
      <c r="C513" t="inlineStr">
        <is>
          <t>NOP BINJAI</t>
        </is>
      </c>
      <c r="D513" s="38" t="n">
        <v>0.82</v>
      </c>
      <c r="E513" s="38" t="n">
        <v>3.394</v>
      </c>
      <c r="F513" s="36" t="n">
        <v>3.81</v>
      </c>
      <c r="G513" s="36" t="n">
        <v>3.220000000000001</v>
      </c>
      <c r="H513" s="36" t="n">
        <v>46</v>
      </c>
      <c r="I513" s="37" t="n">
        <v>0.7931034482758621</v>
      </c>
      <c r="J513" s="36" t="n">
        <v>19</v>
      </c>
      <c r="K513" s="37" t="n">
        <v>0.95</v>
      </c>
      <c r="L513" s="36" t="n">
        <v>27</v>
      </c>
      <c r="M513" s="37" t="n">
        <v>0.7105263157894737</v>
      </c>
      <c r="N513" s="36" t="n">
        <v>13</v>
      </c>
      <c r="O513" s="37" t="n">
        <v>0.6842105263157895</v>
      </c>
      <c r="P513" s="36" t="n">
        <v>13</v>
      </c>
      <c r="Q513" s="37" t="n">
        <v>0.6842105263157895</v>
      </c>
      <c r="R513" s="36" t="n">
        <v>58</v>
      </c>
      <c r="S513" s="37" t="n">
        <v>1</v>
      </c>
      <c r="T513" s="36" t="n">
        <v>29</v>
      </c>
      <c r="U513" s="37" t="n">
        <v>0.5</v>
      </c>
      <c r="V513" s="38" t="n">
        <v>0</v>
      </c>
      <c r="W513" s="38" t="n">
        <v>2.328</v>
      </c>
      <c r="X513" s="38" t="n">
        <v>41.882</v>
      </c>
      <c r="Y513" s="38" t="n">
        <v>51.78</v>
      </c>
      <c r="Z513" s="38" t="n">
        <v>0</v>
      </c>
      <c r="AA513" s="36" t="n">
        <v>67</v>
      </c>
      <c r="AB513" s="37" t="n">
        <v>0.7701149425287356</v>
      </c>
      <c r="AC513" s="36" t="n">
        <v>18</v>
      </c>
      <c r="AD513" s="37" t="n">
        <v>0.5625</v>
      </c>
      <c r="AE513" s="36" t="n">
        <v>45</v>
      </c>
      <c r="AF513" s="37" t="n">
        <v>0.8823529411764706</v>
      </c>
      <c r="AG513" s="36" t="n">
        <v>14</v>
      </c>
      <c r="AH513" s="37" t="n">
        <v>0.7777777777777778</v>
      </c>
    </row>
    <row r="514">
      <c r="A514" s="53" t="n">
        <v>45763</v>
      </c>
      <c r="B514" t="inlineStr">
        <is>
          <t>R01_Sumbagut</t>
        </is>
      </c>
      <c r="C514" t="inlineStr">
        <is>
          <t>NOP MEDAN</t>
        </is>
      </c>
      <c r="D514" s="38" t="n">
        <v>5.48</v>
      </c>
      <c r="E514" s="38" t="n">
        <v>3.659999999999999</v>
      </c>
      <c r="F514" s="36" t="n">
        <v>4.527</v>
      </c>
      <c r="G514" s="36" t="n">
        <v>3.696</v>
      </c>
      <c r="H514" s="36" t="n">
        <v>47</v>
      </c>
      <c r="I514" s="37" t="n">
        <v>0.4747474747474748</v>
      </c>
      <c r="J514" s="36" t="n">
        <v>21</v>
      </c>
      <c r="K514" s="37" t="n">
        <v>0.5675675675675675</v>
      </c>
      <c r="L514" s="36" t="n">
        <v>26</v>
      </c>
      <c r="M514" s="37" t="n">
        <v>0.4193548387096774</v>
      </c>
      <c r="N514" s="36" t="n">
        <v>15</v>
      </c>
      <c r="O514" s="37" t="n">
        <v>0.7142857142857143</v>
      </c>
      <c r="P514" s="36" t="n">
        <v>14</v>
      </c>
      <c r="Q514" s="37" t="n">
        <v>0.7368421052631579</v>
      </c>
      <c r="R514" s="36" t="n">
        <v>98</v>
      </c>
      <c r="S514" s="37" t="n">
        <v>0.9898989898989899</v>
      </c>
      <c r="T514" s="36" t="n">
        <v>24</v>
      </c>
      <c r="U514" s="37" t="n">
        <v>0.2424242424242424</v>
      </c>
      <c r="V514" s="38" t="n">
        <v>0</v>
      </c>
      <c r="W514" s="38" t="n">
        <v>3.464</v>
      </c>
      <c r="X514" s="38" t="n">
        <v>28.48900000000001</v>
      </c>
      <c r="Y514" s="38" t="n">
        <v>1.773999999999994</v>
      </c>
      <c r="Z514" s="38" t="n">
        <v>0</v>
      </c>
      <c r="AA514" s="36" t="n">
        <v>28</v>
      </c>
      <c r="AB514" s="37" t="n">
        <v>0.4745762711864407</v>
      </c>
      <c r="AC514" s="36" t="n">
        <v>6</v>
      </c>
      <c r="AD514" s="37" t="n">
        <v>0.25</v>
      </c>
      <c r="AE514" s="36" t="n">
        <v>21</v>
      </c>
      <c r="AF514" s="37" t="n">
        <v>0.6774193548387096</v>
      </c>
      <c r="AG514" s="36" t="n">
        <v>6</v>
      </c>
      <c r="AH514" s="37" t="n">
        <v>1</v>
      </c>
    </row>
    <row r="515">
      <c r="A515" s="53" t="n">
        <v>45763</v>
      </c>
      <c r="B515" t="inlineStr">
        <is>
          <t>R01_Sumbagut</t>
        </is>
      </c>
      <c r="C515" t="inlineStr">
        <is>
          <t>NOP PADANG SIDEMPUAN</t>
        </is>
      </c>
      <c r="D515" s="38" t="n">
        <v>0</v>
      </c>
      <c r="E515" s="38" t="n">
        <v>3.112</v>
      </c>
      <c r="F515" s="36" t="n">
        <v>3.246</v>
      </c>
      <c r="G515" s="36" t="n">
        <v>6.571000000000002</v>
      </c>
      <c r="H515" s="36" t="n">
        <v>25</v>
      </c>
      <c r="I515" s="37" t="n">
        <v>0.2475247524752475</v>
      </c>
      <c r="J515" s="36" t="n">
        <v>5</v>
      </c>
      <c r="K515" s="37" t="n">
        <v>0.3333333333333333</v>
      </c>
      <c r="L515" s="36" t="n">
        <v>20</v>
      </c>
      <c r="M515" s="37" t="n">
        <v>0.2325581395348837</v>
      </c>
      <c r="N515" s="36" t="n">
        <v>0</v>
      </c>
      <c r="O515" s="37" t="n">
        <v>0</v>
      </c>
      <c r="P515" s="36" t="n">
        <v>0</v>
      </c>
      <c r="Q515" s="37" t="n">
        <v>0</v>
      </c>
      <c r="R515" s="36" t="n">
        <v>100</v>
      </c>
      <c r="S515" s="37" t="n">
        <v>0.9900990099009901</v>
      </c>
      <c r="T515" s="36" t="n">
        <v>9</v>
      </c>
      <c r="U515" s="37" t="n">
        <v>0.0891089108910891</v>
      </c>
      <c r="V515" s="38" t="n">
        <v>0.01</v>
      </c>
      <c r="W515" s="38" t="n">
        <v>3.21</v>
      </c>
      <c r="X515" s="38" t="n">
        <v>14.684</v>
      </c>
      <c r="Y515" s="38" t="n">
        <v>147.15</v>
      </c>
      <c r="Z515" s="38" t="n">
        <v>0</v>
      </c>
      <c r="AA515" s="36" t="n">
        <v>91</v>
      </c>
      <c r="AB515" s="37" t="n">
        <v>0.3084745762711865</v>
      </c>
      <c r="AC515" s="36" t="n">
        <v>45</v>
      </c>
      <c r="AD515" s="37" t="n">
        <v>0.5487804878048781</v>
      </c>
      <c r="AE515" s="36" t="n">
        <v>46</v>
      </c>
      <c r="AF515" s="37" t="n">
        <v>0.2169811320754717</v>
      </c>
      <c r="AG515" s="36" t="n">
        <v>12</v>
      </c>
      <c r="AH515" s="37" t="n">
        <v>0.2666666666666667</v>
      </c>
    </row>
    <row r="516">
      <c r="A516" s="53" t="n">
        <v>45763</v>
      </c>
      <c r="B516" t="inlineStr">
        <is>
          <t>R01_Sumbagut</t>
        </is>
      </c>
      <c r="C516" t="inlineStr">
        <is>
          <t>NOP PEMATANG SIANTAR</t>
        </is>
      </c>
      <c r="D516" s="38" t="n">
        <v>1.24</v>
      </c>
      <c r="E516" s="38" t="n">
        <v>3.452</v>
      </c>
      <c r="F516" s="36" t="n">
        <v>5.66</v>
      </c>
      <c r="G516" s="36" t="n">
        <v>5.063000000000003</v>
      </c>
      <c r="H516" s="36" t="n">
        <v>44</v>
      </c>
      <c r="I516" s="37" t="n">
        <v>0.34375</v>
      </c>
      <c r="J516" s="36" t="n">
        <v>22</v>
      </c>
      <c r="K516" s="37" t="n">
        <v>0.5945945945945946</v>
      </c>
      <c r="L516" s="36" t="n">
        <v>22</v>
      </c>
      <c r="M516" s="37" t="n">
        <v>0.2417582417582418</v>
      </c>
      <c r="N516" s="36" t="n">
        <v>11</v>
      </c>
      <c r="O516" s="37" t="n">
        <v>0.5</v>
      </c>
      <c r="P516" s="36" t="n">
        <v>11</v>
      </c>
      <c r="Q516" s="37" t="n">
        <v>0.5238095238095238</v>
      </c>
      <c r="R516" s="36" t="n">
        <v>128</v>
      </c>
      <c r="S516" s="37" t="n">
        <v>1</v>
      </c>
      <c r="T516" s="36" t="n">
        <v>23</v>
      </c>
      <c r="U516" s="37" t="n">
        <v>0.1796875</v>
      </c>
      <c r="V516" s="38" t="n">
        <v>0</v>
      </c>
      <c r="W516" s="38" t="n">
        <v>5.656000000000001</v>
      </c>
      <c r="X516" s="38" t="n">
        <v>119.1630000000001</v>
      </c>
      <c r="Y516" s="38" t="n">
        <v>96.27100000000004</v>
      </c>
      <c r="Z516" s="38" t="n">
        <v>0</v>
      </c>
      <c r="AA516" s="36" t="n">
        <v>82</v>
      </c>
      <c r="AB516" s="37" t="n">
        <v>0.1589147286821705</v>
      </c>
      <c r="AC516" s="36" t="n">
        <v>27</v>
      </c>
      <c r="AD516" s="37" t="n">
        <v>0.4655172413793103</v>
      </c>
      <c r="AE516" s="36" t="n">
        <v>54</v>
      </c>
      <c r="AF516" s="37" t="n">
        <v>0.1194690265486726</v>
      </c>
      <c r="AG516" s="36" t="n">
        <v>23</v>
      </c>
      <c r="AH516" s="37" t="n">
        <v>0.8518518518518519</v>
      </c>
    </row>
    <row r="517">
      <c r="A517" s="53" t="n">
        <v>45763</v>
      </c>
      <c r="B517" t="inlineStr">
        <is>
          <t>R01_Sumbagut</t>
        </is>
      </c>
      <c r="C517" t="inlineStr">
        <is>
          <t>NOP RANTAU PRAPAT</t>
        </is>
      </c>
      <c r="D517" s="38" t="n">
        <v>3.570000000000002</v>
      </c>
      <c r="E517" s="38" t="n">
        <v>1.628</v>
      </c>
      <c r="F517" s="36" t="n">
        <v>3.429999999999999</v>
      </c>
      <c r="G517" s="36" t="n">
        <v>4.328000000000002</v>
      </c>
      <c r="H517" s="36" t="n">
        <v>60</v>
      </c>
      <c r="I517" s="37" t="n">
        <v>0.2643171806167401</v>
      </c>
      <c r="J517" s="36" t="n">
        <v>3</v>
      </c>
      <c r="K517" s="37" t="n">
        <v>0.103448275862069</v>
      </c>
      <c r="L517" s="36" t="n">
        <v>57</v>
      </c>
      <c r="M517" s="37" t="n">
        <v>0.2878787878787879</v>
      </c>
      <c r="N517" s="36" t="n">
        <v>3</v>
      </c>
      <c r="O517" s="37" t="n">
        <v>1</v>
      </c>
      <c r="P517" s="36" t="n">
        <v>3</v>
      </c>
      <c r="Q517" s="37" t="n">
        <v>1</v>
      </c>
      <c r="R517" s="36" t="n">
        <v>226</v>
      </c>
      <c r="S517" s="37" t="n">
        <v>0.9955947136563876</v>
      </c>
      <c r="T517" s="36" t="n">
        <v>32</v>
      </c>
      <c r="U517" s="37" t="n">
        <v>0.1409691629955947</v>
      </c>
      <c r="V517" s="38" t="n">
        <v>0</v>
      </c>
      <c r="W517" s="38" t="n">
        <v>2.231000000000001</v>
      </c>
      <c r="X517" s="38" t="n">
        <v>45.70199999999998</v>
      </c>
      <c r="Y517" s="38" t="n">
        <v>121.416</v>
      </c>
      <c r="Z517" s="38" t="n">
        <v>0</v>
      </c>
      <c r="AA517" s="36" t="n">
        <v>20</v>
      </c>
      <c r="AB517" s="37" t="n">
        <v>0.05449591280653951</v>
      </c>
      <c r="AC517" s="36" t="n">
        <v>4</v>
      </c>
      <c r="AD517" s="37" t="n">
        <v>0.05714285714285714</v>
      </c>
      <c r="AE517" s="36" t="n">
        <v>11</v>
      </c>
      <c r="AF517" s="37" t="n">
        <v>0.039568345323741</v>
      </c>
      <c r="AG517" s="36" t="n">
        <v>1</v>
      </c>
      <c r="AH517" s="37" t="n">
        <v>0.25</v>
      </c>
    </row>
    <row r="518">
      <c r="A518" s="53" t="n">
        <v>45763</v>
      </c>
      <c r="B518" t="inlineStr">
        <is>
          <t>R10_Sumbagteng</t>
        </is>
      </c>
      <c r="C518" t="inlineStr">
        <is>
          <t>NOP BATAM</t>
        </is>
      </c>
      <c r="D518" s="38" t="n">
        <v>1.45</v>
      </c>
      <c r="E518" s="38" t="n">
        <v>6.81</v>
      </c>
      <c r="F518" s="36" t="n">
        <v>9.064</v>
      </c>
      <c r="G518" s="36" t="n">
        <v>14.408</v>
      </c>
      <c r="H518" s="36" t="n">
        <v>49</v>
      </c>
      <c r="I518" s="37" t="n">
        <v>0.3712121212121212</v>
      </c>
      <c r="J518" s="36" t="n">
        <v>9</v>
      </c>
      <c r="K518" s="37" t="n">
        <v>0.45</v>
      </c>
      <c r="L518" s="36" t="n">
        <v>40</v>
      </c>
      <c r="M518" s="37" t="n">
        <v>0.3571428571428572</v>
      </c>
      <c r="N518" s="36" t="n">
        <v>8</v>
      </c>
      <c r="O518" s="37" t="n">
        <v>0.8888888888888888</v>
      </c>
      <c r="P518" s="36" t="n">
        <v>8</v>
      </c>
      <c r="Q518" s="37" t="n">
        <v>0.8888888888888888</v>
      </c>
      <c r="R518" s="36" t="n">
        <v>131</v>
      </c>
      <c r="S518" s="37" t="n">
        <v>0.9924242424242424</v>
      </c>
      <c r="T518" s="36" t="n">
        <v>24</v>
      </c>
      <c r="U518" s="37" t="n">
        <v>0.1818181818181818</v>
      </c>
      <c r="V518" s="38" t="n">
        <v>0.8200000000000001</v>
      </c>
      <c r="W518" s="38" t="n">
        <v>3.712000000000001</v>
      </c>
      <c r="X518" s="38" t="n">
        <v>13.64600000000001</v>
      </c>
      <c r="Y518" s="38" t="n">
        <v>20.57000000000004</v>
      </c>
      <c r="Z518" s="38" t="n">
        <v>0</v>
      </c>
      <c r="AA518" s="36" t="n">
        <v>53</v>
      </c>
      <c r="AB518" s="37" t="n">
        <v>0.09742647058823529</v>
      </c>
      <c r="AC518" s="36" t="n">
        <v>20</v>
      </c>
      <c r="AD518" s="37" t="n">
        <v>0.3278688524590164</v>
      </c>
      <c r="AE518" s="36" t="n">
        <v>31</v>
      </c>
      <c r="AF518" s="37" t="n">
        <v>0.06471816283924843</v>
      </c>
      <c r="AG518" s="36" t="n">
        <v>11</v>
      </c>
      <c r="AH518" s="37" t="n">
        <v>0.55</v>
      </c>
    </row>
    <row r="519">
      <c r="A519" s="53" t="n">
        <v>45763</v>
      </c>
      <c r="B519" t="inlineStr">
        <is>
          <t>R10_Sumbagteng</t>
        </is>
      </c>
      <c r="C519" t="inlineStr">
        <is>
          <t>NOP BUKITTINGGI</t>
        </is>
      </c>
      <c r="D519" s="38" t="n">
        <v>2.604</v>
      </c>
      <c r="E519" s="38" t="n">
        <v>4.18</v>
      </c>
      <c r="F519" s="36" t="n">
        <v>8.602</v>
      </c>
      <c r="G519" s="36" t="n">
        <v>3.162</v>
      </c>
      <c r="H519" s="36" t="n">
        <v>66</v>
      </c>
      <c r="I519" s="37" t="n">
        <v>0.8354430379746836</v>
      </c>
      <c r="J519" s="36" t="n">
        <v>19</v>
      </c>
      <c r="K519" s="37" t="n">
        <v>0.8260869565217391</v>
      </c>
      <c r="L519" s="36" t="n">
        <v>47</v>
      </c>
      <c r="M519" s="37" t="n">
        <v>0.8392857142857143</v>
      </c>
      <c r="N519" s="36" t="n">
        <v>15</v>
      </c>
      <c r="O519" s="37" t="n">
        <v>0.7894736842105263</v>
      </c>
      <c r="P519" s="36" t="n">
        <v>15</v>
      </c>
      <c r="Q519" s="37" t="n">
        <v>0.7894736842105263</v>
      </c>
      <c r="R519" s="36" t="n">
        <v>78</v>
      </c>
      <c r="S519" s="37" t="n">
        <v>0.9873417721518988</v>
      </c>
      <c r="T519" s="36" t="n">
        <v>40</v>
      </c>
      <c r="U519" s="37" t="n">
        <v>0.5063291139240507</v>
      </c>
      <c r="V519" s="38" t="n">
        <v>0</v>
      </c>
      <c r="W519" s="38" t="n">
        <v>5.032000000000001</v>
      </c>
      <c r="X519" s="38" t="n">
        <v>8.640000000000001</v>
      </c>
      <c r="Y519" s="38" t="n">
        <v>139.94</v>
      </c>
      <c r="Z519" s="38" t="n">
        <v>0</v>
      </c>
      <c r="AA519" s="36" t="n">
        <v>63</v>
      </c>
      <c r="AB519" s="37" t="n">
        <v>0.4090909090909091</v>
      </c>
      <c r="AC519" s="36" t="n">
        <v>13</v>
      </c>
      <c r="AD519" s="37" t="n">
        <v>0.7222222222222222</v>
      </c>
      <c r="AE519" s="36" t="n">
        <v>49</v>
      </c>
      <c r="AF519" s="37" t="n">
        <v>0.3769230769230769</v>
      </c>
      <c r="AG519" s="36" t="n">
        <v>8</v>
      </c>
      <c r="AH519" s="37" t="n">
        <v>0.6153846153846154</v>
      </c>
    </row>
    <row r="520">
      <c r="A520" s="53" t="n">
        <v>45763</v>
      </c>
      <c r="B520" t="inlineStr">
        <is>
          <t>R10_Sumbagteng</t>
        </is>
      </c>
      <c r="C520" t="inlineStr">
        <is>
          <t>NOP DUMAI</t>
        </is>
      </c>
      <c r="D520" s="38" t="n">
        <v>5.49</v>
      </c>
      <c r="E520" s="38" t="n">
        <v>5.382</v>
      </c>
      <c r="F520" s="36" t="n">
        <v>6.4</v>
      </c>
      <c r="G520" s="36" t="n">
        <v>16.01600000000001</v>
      </c>
      <c r="H520" s="36" t="n">
        <v>151</v>
      </c>
      <c r="I520" s="37" t="n">
        <v>0.5101351351351351</v>
      </c>
      <c r="J520" s="36" t="n">
        <v>53</v>
      </c>
      <c r="K520" s="37" t="n">
        <v>0.6973684210526315</v>
      </c>
      <c r="L520" s="36" t="n">
        <v>98</v>
      </c>
      <c r="M520" s="37" t="n">
        <v>0.4454545454545454</v>
      </c>
      <c r="N520" s="36" t="n">
        <v>32</v>
      </c>
      <c r="O520" s="37" t="n">
        <v>0.6037735849056604</v>
      </c>
      <c r="P520" s="36" t="n">
        <v>32</v>
      </c>
      <c r="Q520" s="37" t="n">
        <v>0.6037735849056604</v>
      </c>
      <c r="R520" s="36" t="n">
        <v>293</v>
      </c>
      <c r="S520" s="37" t="n">
        <v>0.9898648648648649</v>
      </c>
      <c r="T520" s="36" t="n">
        <v>85</v>
      </c>
      <c r="U520" s="37" t="n">
        <v>0.2871621621621622</v>
      </c>
      <c r="V520" s="38" t="n">
        <v>0.01</v>
      </c>
      <c r="W520" s="38" t="n">
        <v>4.32</v>
      </c>
      <c r="X520" s="38" t="n">
        <v>65.30300000000004</v>
      </c>
      <c r="Y520" s="38" t="n">
        <v>154.1620000000001</v>
      </c>
      <c r="Z520" s="38" t="n">
        <v>0</v>
      </c>
      <c r="AA520" s="36" t="n">
        <v>117</v>
      </c>
      <c r="AB520" s="37" t="n">
        <v>0.2635135135135135</v>
      </c>
      <c r="AC520" s="36" t="n">
        <v>35</v>
      </c>
      <c r="AD520" s="37" t="n">
        <v>0.3070175438596491</v>
      </c>
      <c r="AE520" s="36" t="n">
        <v>82</v>
      </c>
      <c r="AF520" s="37" t="n">
        <v>0.2586750788643533</v>
      </c>
      <c r="AG520" s="36" t="n">
        <v>32</v>
      </c>
      <c r="AH520" s="37" t="n">
        <v>0.9142857142857143</v>
      </c>
    </row>
    <row r="521">
      <c r="A521" s="53" t="n">
        <v>45763</v>
      </c>
      <c r="B521" t="inlineStr">
        <is>
          <t>R10_Sumbagteng</t>
        </is>
      </c>
      <c r="C521" t="inlineStr">
        <is>
          <t>NOP PADANG</t>
        </is>
      </c>
      <c r="D521" s="38" t="n">
        <v>0</v>
      </c>
      <c r="E521" s="38" t="n">
        <v>5.212000000000002</v>
      </c>
      <c r="F521" s="36" t="n">
        <v>2.479</v>
      </c>
      <c r="G521" s="36" t="n">
        <v>9.444000000000003</v>
      </c>
      <c r="H521" s="36" t="n">
        <v>71</v>
      </c>
      <c r="I521" s="37" t="n">
        <v>0.8987341772151899</v>
      </c>
      <c r="J521" s="36" t="n">
        <v>11</v>
      </c>
      <c r="K521" s="37" t="n">
        <v>0.9166666666666666</v>
      </c>
      <c r="L521" s="36" t="n">
        <v>60</v>
      </c>
      <c r="M521" s="37" t="n">
        <v>0.8955223880597015</v>
      </c>
      <c r="N521" s="36" t="n">
        <v>3</v>
      </c>
      <c r="O521" s="37" t="n">
        <v>0.2727272727272727</v>
      </c>
      <c r="P521" s="36" t="n">
        <v>3</v>
      </c>
      <c r="Q521" s="37" t="n">
        <v>0.2727272727272727</v>
      </c>
      <c r="R521" s="36" t="n">
        <v>79</v>
      </c>
      <c r="S521" s="37" t="n">
        <v>1</v>
      </c>
      <c r="T521" s="36" t="n">
        <v>31</v>
      </c>
      <c r="U521" s="37" t="n">
        <v>0.3924050632911392</v>
      </c>
      <c r="V521" s="38" t="n">
        <v>0</v>
      </c>
      <c r="W521" s="38" t="n">
        <v>3.451999999999995</v>
      </c>
      <c r="X521" s="38" t="n">
        <v>56.73999999999996</v>
      </c>
      <c r="Y521" s="38" t="n">
        <v>48.679</v>
      </c>
      <c r="Z521" s="38" t="n">
        <v>0</v>
      </c>
      <c r="AA521" s="36" t="n">
        <v>173</v>
      </c>
      <c r="AB521" s="37" t="n">
        <v>0.8871794871794871</v>
      </c>
      <c r="AC521" s="36" t="n">
        <v>22</v>
      </c>
      <c r="AD521" s="37" t="n">
        <v>0.7586206896551724</v>
      </c>
      <c r="AE521" s="36" t="n">
        <v>149</v>
      </c>
      <c r="AF521" s="37" t="n">
        <v>0.9254658385093167</v>
      </c>
      <c r="AG521" s="36" t="n">
        <v>12</v>
      </c>
      <c r="AH521" s="37" t="n">
        <v>0.5454545454545454</v>
      </c>
    </row>
    <row r="522">
      <c r="A522" s="53" t="n">
        <v>45763</v>
      </c>
      <c r="B522" t="inlineStr">
        <is>
          <t>R10_Sumbagteng</t>
        </is>
      </c>
      <c r="C522" t="inlineStr">
        <is>
          <t>NOP PEKANBARU</t>
        </is>
      </c>
      <c r="D522" s="38" t="n">
        <v>0.28</v>
      </c>
      <c r="E522" s="38" t="n">
        <v>12.34200000000001</v>
      </c>
      <c r="F522" s="36" t="n">
        <v>3.58</v>
      </c>
      <c r="G522" s="36" t="n">
        <v>4.555000000000001</v>
      </c>
      <c r="H522" s="36" t="n">
        <v>92</v>
      </c>
      <c r="I522" s="37" t="n">
        <v>0.5168539325842697</v>
      </c>
      <c r="J522" s="36" t="n">
        <v>8</v>
      </c>
      <c r="K522" s="37" t="n">
        <v>0.3333333333333333</v>
      </c>
      <c r="L522" s="36" t="n">
        <v>84</v>
      </c>
      <c r="M522" s="37" t="n">
        <v>0.5454545454545454</v>
      </c>
      <c r="N522" s="36" t="n">
        <v>6</v>
      </c>
      <c r="O522" s="37" t="n">
        <v>0.75</v>
      </c>
      <c r="P522" s="36" t="n">
        <v>6</v>
      </c>
      <c r="Q522" s="37" t="n">
        <v>0.75</v>
      </c>
      <c r="R522" s="36" t="n">
        <v>174</v>
      </c>
      <c r="S522" s="37" t="n">
        <v>0.9775280898876404</v>
      </c>
      <c r="T522" s="36" t="n">
        <v>48</v>
      </c>
      <c r="U522" s="37" t="n">
        <v>0.2696629213483146</v>
      </c>
      <c r="V522" s="38" t="n">
        <v>0.01</v>
      </c>
      <c r="W522" s="38" t="n">
        <v>3.590000000000001</v>
      </c>
      <c r="X522" s="38" t="n">
        <v>45.54000000000001</v>
      </c>
      <c r="Y522" s="38" t="n">
        <v>145.018</v>
      </c>
      <c r="Z522" s="38" t="n">
        <v>0</v>
      </c>
      <c r="AA522" s="36" t="n">
        <v>79</v>
      </c>
      <c r="AB522" s="37" t="n">
        <v>0.2438271604938272</v>
      </c>
      <c r="AC522" s="36" t="n">
        <v>26</v>
      </c>
      <c r="AD522" s="37" t="n">
        <v>0.2826086956521739</v>
      </c>
      <c r="AE522" s="36" t="n">
        <v>48</v>
      </c>
      <c r="AF522" s="37" t="n">
        <v>0.2307692307692308</v>
      </c>
      <c r="AG522" s="36" t="n">
        <v>24</v>
      </c>
      <c r="AH522" s="37" t="n">
        <v>0.9230769230769231</v>
      </c>
    </row>
    <row r="523">
      <c r="A523" s="53" t="n">
        <v>45763</v>
      </c>
      <c r="B523" t="inlineStr">
        <is>
          <t>R02_Sumbagsel</t>
        </is>
      </c>
      <c r="C523" t="inlineStr">
        <is>
          <t>NOP BENGKULU</t>
        </is>
      </c>
      <c r="D523" s="38" t="n">
        <v>2.94</v>
      </c>
      <c r="E523" s="38" t="n">
        <v>4.315</v>
      </c>
      <c r="F523" s="36" t="n">
        <v>5.014</v>
      </c>
      <c r="G523" s="36" t="n">
        <v>5.519000000000002</v>
      </c>
      <c r="H523" s="36" t="n">
        <v>52</v>
      </c>
      <c r="I523" s="37" t="n">
        <v>0.3421052631578947</v>
      </c>
      <c r="J523" s="36" t="n">
        <v>14</v>
      </c>
      <c r="K523" s="37" t="n">
        <v>0.4516129032258064</v>
      </c>
      <c r="L523" s="36" t="n">
        <v>38</v>
      </c>
      <c r="M523" s="37" t="n">
        <v>0.3140495867768595</v>
      </c>
      <c r="N523" s="36" t="n">
        <v>11</v>
      </c>
      <c r="O523" s="37" t="n">
        <v>0.7857142857142857</v>
      </c>
      <c r="P523" s="36" t="n">
        <v>11</v>
      </c>
      <c r="Q523" s="37" t="n">
        <v>0.7857142857142857</v>
      </c>
      <c r="R523" s="36" t="n">
        <v>152</v>
      </c>
      <c r="S523" s="37" t="n">
        <v>1</v>
      </c>
      <c r="T523" s="36" t="n">
        <v>30</v>
      </c>
      <c r="U523" s="37" t="n">
        <v>0.1973684210526316</v>
      </c>
      <c r="V523" s="38" t="n">
        <v>0</v>
      </c>
      <c r="W523" s="38" t="n">
        <v>9.330999999999996</v>
      </c>
      <c r="X523" s="38" t="n">
        <v>5.415</v>
      </c>
      <c r="Y523" s="38" t="n">
        <v>9.300000000000001</v>
      </c>
      <c r="Z523" s="38" t="n">
        <v>0</v>
      </c>
      <c r="AA523" s="36" t="n">
        <v>120</v>
      </c>
      <c r="AB523" s="37" t="n">
        <v>0.6666666666666666</v>
      </c>
      <c r="AC523" s="36" t="n">
        <v>66</v>
      </c>
      <c r="AD523" s="37" t="n">
        <v>0.6111111111111112</v>
      </c>
      <c r="AE523" s="36" t="n">
        <v>33</v>
      </c>
      <c r="AF523" s="37" t="n">
        <v>0.75</v>
      </c>
      <c r="AG523" s="36" t="n">
        <v>62</v>
      </c>
      <c r="AH523" s="37" t="n">
        <v>0.9393939393939394</v>
      </c>
    </row>
    <row r="524">
      <c r="A524" s="53" t="n">
        <v>45763</v>
      </c>
      <c r="B524" t="inlineStr">
        <is>
          <t>R02_Sumbagsel</t>
        </is>
      </c>
      <c r="C524" t="inlineStr">
        <is>
          <t>NOP JAMBI</t>
        </is>
      </c>
      <c r="D524" s="38" t="n">
        <v>6.838999999999997</v>
      </c>
      <c r="E524" s="38" t="n">
        <v>10.68799999999999</v>
      </c>
      <c r="F524" s="36" t="n">
        <v>14.82400000000002</v>
      </c>
      <c r="G524" s="36" t="n">
        <v>12.58</v>
      </c>
      <c r="H524" s="36" t="n">
        <v>97</v>
      </c>
      <c r="I524" s="37" t="n">
        <v>0.5878787878787879</v>
      </c>
      <c r="J524" s="36" t="n">
        <v>34</v>
      </c>
      <c r="K524" s="37" t="n">
        <v>0.6181818181818182</v>
      </c>
      <c r="L524" s="36" t="n">
        <v>63</v>
      </c>
      <c r="M524" s="37" t="n">
        <v>0.5727272727272728</v>
      </c>
      <c r="N524" s="36" t="n">
        <v>25</v>
      </c>
      <c r="O524" s="37" t="n">
        <v>0.7352941176470589</v>
      </c>
      <c r="P524" s="36" t="n">
        <v>25</v>
      </c>
      <c r="Q524" s="37" t="n">
        <v>0.7352941176470589</v>
      </c>
      <c r="R524" s="36" t="n">
        <v>165</v>
      </c>
      <c r="S524" s="37" t="n">
        <v>1</v>
      </c>
      <c r="T524" s="36" t="n">
        <v>52</v>
      </c>
      <c r="U524" s="37" t="n">
        <v>0.3151515151515151</v>
      </c>
      <c r="V524" s="38" t="n">
        <v>0</v>
      </c>
      <c r="W524" s="38" t="n">
        <v>18.32400000000003</v>
      </c>
      <c r="X524" s="38" t="n">
        <v>63.59</v>
      </c>
      <c r="Y524" s="38" t="n">
        <v>7.05900000000001</v>
      </c>
      <c r="Z524" s="38" t="n">
        <v>0</v>
      </c>
      <c r="AA524" s="36" t="n">
        <v>187</v>
      </c>
      <c r="AB524" s="37" t="n">
        <v>0.7276264591439688</v>
      </c>
      <c r="AC524" s="36" t="n">
        <v>96</v>
      </c>
      <c r="AD524" s="37" t="n">
        <v>0.7384615384615385</v>
      </c>
      <c r="AE524" s="36" t="n">
        <v>77</v>
      </c>
      <c r="AF524" s="37" t="n">
        <v>0.7064220183486238</v>
      </c>
      <c r="AG524" s="36" t="n">
        <v>65</v>
      </c>
      <c r="AH524" s="37" t="n">
        <v>0.6770833333333334</v>
      </c>
    </row>
    <row r="525">
      <c r="A525" s="53" t="n">
        <v>45763</v>
      </c>
      <c r="B525" t="inlineStr">
        <is>
          <t>R02_Sumbagsel</t>
        </is>
      </c>
      <c r="C525" t="inlineStr">
        <is>
          <t>NOP LAMPUNG</t>
        </is>
      </c>
      <c r="D525" s="38" t="n">
        <v>0</v>
      </c>
      <c r="E525" s="38" t="n">
        <v>2.558</v>
      </c>
      <c r="F525" s="36" t="n">
        <v>3.69</v>
      </c>
      <c r="G525" s="36" t="n">
        <v>4.449000000000002</v>
      </c>
      <c r="H525" s="36" t="n">
        <v>36</v>
      </c>
      <c r="I525" s="37" t="n">
        <v>0.72</v>
      </c>
      <c r="J525" s="36" t="n">
        <v>15</v>
      </c>
      <c r="K525" s="37" t="n">
        <v>0.8823529411764706</v>
      </c>
      <c r="L525" s="36" t="n">
        <v>21</v>
      </c>
      <c r="M525" s="37" t="n">
        <v>0.6363636363636364</v>
      </c>
      <c r="N525" s="36" t="n">
        <v>11</v>
      </c>
      <c r="O525" s="37" t="n">
        <v>0.7333333333333333</v>
      </c>
      <c r="P525" s="36" t="n">
        <v>11</v>
      </c>
      <c r="Q525" s="37" t="n">
        <v>0.7333333333333333</v>
      </c>
      <c r="R525" s="36" t="n">
        <v>50</v>
      </c>
      <c r="S525" s="37" t="n">
        <v>1</v>
      </c>
      <c r="T525" s="36" t="n">
        <v>26</v>
      </c>
      <c r="U525" s="37" t="n">
        <v>0.52</v>
      </c>
      <c r="V525" s="38" t="n">
        <v>0</v>
      </c>
      <c r="W525" s="38" t="n">
        <v>3.6</v>
      </c>
      <c r="X525" s="38" t="n">
        <v>4.072</v>
      </c>
      <c r="Y525" s="38" t="n">
        <v>49.158</v>
      </c>
      <c r="Z525" s="38" t="n">
        <v>0</v>
      </c>
      <c r="AA525" s="36" t="n">
        <v>187</v>
      </c>
      <c r="AB525" s="37" t="n">
        <v>0.9033816425120773</v>
      </c>
      <c r="AC525" s="36" t="n">
        <v>45</v>
      </c>
      <c r="AD525" s="37" t="n">
        <v>0.7377049180327869</v>
      </c>
      <c r="AE525" s="36" t="n">
        <v>135</v>
      </c>
      <c r="AF525" s="37" t="n">
        <v>0.9712230215827338</v>
      </c>
      <c r="AG525" s="36" t="n">
        <v>38</v>
      </c>
      <c r="AH525" s="37" t="n">
        <v>0.8444444444444444</v>
      </c>
    </row>
    <row r="526">
      <c r="A526" s="53" t="n">
        <v>45763</v>
      </c>
      <c r="B526" t="inlineStr">
        <is>
          <t>R02_Sumbagsel</t>
        </is>
      </c>
      <c r="C526" t="inlineStr">
        <is>
          <t>NOP MUARA ENIM</t>
        </is>
      </c>
      <c r="D526" s="38" t="n">
        <v>0.44</v>
      </c>
      <c r="E526" s="38" t="n">
        <v>3.655</v>
      </c>
      <c r="F526" s="36" t="n">
        <v>4.685</v>
      </c>
      <c r="G526" s="36" t="n">
        <v>13.45500000000002</v>
      </c>
      <c r="H526" s="36" t="n">
        <v>62</v>
      </c>
      <c r="I526" s="37" t="n">
        <v>0.4492753623188406</v>
      </c>
      <c r="J526" s="36" t="n">
        <v>3</v>
      </c>
      <c r="K526" s="37" t="n">
        <v>0.15</v>
      </c>
      <c r="L526" s="36" t="n">
        <v>59</v>
      </c>
      <c r="M526" s="37" t="n">
        <v>0.5</v>
      </c>
      <c r="N526" s="36" t="n">
        <v>3</v>
      </c>
      <c r="O526" s="37" t="n">
        <v>1</v>
      </c>
      <c r="P526" s="36" t="n">
        <v>3</v>
      </c>
      <c r="Q526" s="37" t="n">
        <v>1</v>
      </c>
      <c r="R526" s="36" t="n">
        <v>134</v>
      </c>
      <c r="S526" s="37" t="n">
        <v>0.9710144927536232</v>
      </c>
      <c r="T526" s="36" t="n">
        <v>25</v>
      </c>
      <c r="U526" s="37" t="n">
        <v>0.1811594202898551</v>
      </c>
      <c r="V526" s="38" t="n">
        <v>0</v>
      </c>
      <c r="W526" s="38" t="n">
        <v>4.338</v>
      </c>
      <c r="X526" s="38" t="n">
        <v>9.641999999999996</v>
      </c>
      <c r="Y526" s="38" t="n">
        <v>6.642000000000003</v>
      </c>
      <c r="Z526" s="38" t="n">
        <v>0</v>
      </c>
      <c r="AA526" s="36" t="n">
        <v>76</v>
      </c>
      <c r="AB526" s="37" t="n">
        <v>0.4967320261437909</v>
      </c>
      <c r="AC526" s="36" t="n">
        <v>30</v>
      </c>
      <c r="AD526" s="37" t="n">
        <v>0.5769230769230769</v>
      </c>
      <c r="AE526" s="36" t="n">
        <v>42</v>
      </c>
      <c r="AF526" s="37" t="n">
        <v>0.5185185185185185</v>
      </c>
      <c r="AG526" s="36" t="n">
        <v>26</v>
      </c>
      <c r="AH526" s="37" t="n">
        <v>0.8666666666666667</v>
      </c>
    </row>
    <row r="527">
      <c r="A527" s="53" t="n">
        <v>45763</v>
      </c>
      <c r="B527" t="inlineStr">
        <is>
          <t>R02_Sumbagsel</t>
        </is>
      </c>
      <c r="C527" t="inlineStr">
        <is>
          <t>NOP PALEMBANG</t>
        </is>
      </c>
      <c r="D527" s="38" t="n">
        <v>2.213000000000001</v>
      </c>
      <c r="E527" s="38" t="n">
        <v>4.5</v>
      </c>
      <c r="F527" s="36" t="n">
        <v>17.898</v>
      </c>
      <c r="G527" s="36" t="n">
        <v>7.89</v>
      </c>
      <c r="H527" s="36" t="n">
        <v>69</v>
      </c>
      <c r="I527" s="37" t="n">
        <v>0.26953125</v>
      </c>
      <c r="J527" s="36" t="n">
        <v>20</v>
      </c>
      <c r="K527" s="37" t="n">
        <v>0.4166666666666667</v>
      </c>
      <c r="L527" s="36" t="n">
        <v>49</v>
      </c>
      <c r="M527" s="37" t="n">
        <v>0.2355769230769231</v>
      </c>
      <c r="N527" s="36" t="n">
        <v>8</v>
      </c>
      <c r="O527" s="37" t="n">
        <v>0.4</v>
      </c>
      <c r="P527" s="36" t="n">
        <v>8</v>
      </c>
      <c r="Q527" s="37" t="n">
        <v>0.4</v>
      </c>
      <c r="R527" s="36" t="n">
        <v>256</v>
      </c>
      <c r="S527" s="37" t="n">
        <v>1</v>
      </c>
      <c r="T527" s="36" t="n">
        <v>37</v>
      </c>
      <c r="U527" s="37" t="n">
        <v>0.14453125</v>
      </c>
      <c r="V527" s="38" t="n">
        <v>0</v>
      </c>
      <c r="W527" s="38" t="n">
        <v>4.326000000000004</v>
      </c>
      <c r="X527" s="38" t="n">
        <v>19.96100000000003</v>
      </c>
      <c r="Y527" s="38" t="n">
        <v>0</v>
      </c>
      <c r="Z527" s="38" t="n">
        <v>0</v>
      </c>
      <c r="AA527" s="36" t="n">
        <v>123</v>
      </c>
      <c r="AB527" s="37" t="n">
        <v>0.412751677852349</v>
      </c>
      <c r="AC527" s="36" t="n">
        <v>56</v>
      </c>
      <c r="AD527" s="37" t="n">
        <v>0.4148148148148148</v>
      </c>
      <c r="AE527" s="36" t="n">
        <v>65</v>
      </c>
      <c r="AF527" s="37" t="n">
        <v>0.4609929078014184</v>
      </c>
      <c r="AG527" s="36" t="n">
        <v>14</v>
      </c>
      <c r="AH527" s="37" t="n">
        <v>0.25</v>
      </c>
    </row>
    <row r="528">
      <c r="A528" s="53" t="n">
        <v>45763</v>
      </c>
      <c r="B528" t="inlineStr">
        <is>
          <t>R02_Sumbagsel</t>
        </is>
      </c>
      <c r="C528" t="inlineStr">
        <is>
          <t>NOP PANGKAL PINANG</t>
        </is>
      </c>
      <c r="D528" s="38" t="n">
        <v>0</v>
      </c>
      <c r="E528" s="38" t="n">
        <v>0.34</v>
      </c>
      <c r="F528" s="36" t="n">
        <v>5.26</v>
      </c>
      <c r="G528" s="36" t="n">
        <v>2.18</v>
      </c>
      <c r="H528" s="36" t="n">
        <v>8</v>
      </c>
      <c r="I528" s="37" t="n">
        <v>0.5</v>
      </c>
      <c r="J528" s="36" t="n">
        <v>0</v>
      </c>
      <c r="K528" s="37" t="n">
        <v>0</v>
      </c>
      <c r="L528" s="36" t="n">
        <v>8</v>
      </c>
      <c r="M528" s="37" t="n">
        <v>0.5333333333333333</v>
      </c>
      <c r="N528" s="36" t="n">
        <v>0</v>
      </c>
      <c r="O528" s="37" t="n">
        <v>0</v>
      </c>
      <c r="P528" s="36" t="n">
        <v>0</v>
      </c>
      <c r="Q528" s="37" t="n">
        <v>0</v>
      </c>
      <c r="R528" s="36" t="n">
        <v>16</v>
      </c>
      <c r="S528" s="37" t="n">
        <v>1</v>
      </c>
      <c r="T528" s="36" t="n">
        <v>5</v>
      </c>
      <c r="U528" s="37" t="n">
        <v>0.3125</v>
      </c>
      <c r="V528" s="38" t="n">
        <v>0</v>
      </c>
      <c r="W528" s="38" t="n">
        <v>7.427999999999997</v>
      </c>
      <c r="X528" s="38" t="n">
        <v>9.182000000000004</v>
      </c>
      <c r="Y528" s="38" t="n">
        <v>4.54</v>
      </c>
      <c r="Z528" s="38" t="n">
        <v>0</v>
      </c>
      <c r="AA528" s="36" t="n">
        <v>30</v>
      </c>
      <c r="AB528" s="37" t="n">
        <v>0.8108108108108109</v>
      </c>
      <c r="AC528" s="36" t="n">
        <v>7</v>
      </c>
      <c r="AD528" s="37" t="n">
        <v>0.875</v>
      </c>
      <c r="AE528" s="36" t="n">
        <v>23</v>
      </c>
      <c r="AF528" s="37" t="n">
        <v>0.7931034482758621</v>
      </c>
      <c r="AG528" s="36" t="n">
        <v>4</v>
      </c>
      <c r="AH528" s="37" t="n">
        <v>0.5714285714285714</v>
      </c>
    </row>
    <row r="529">
      <c r="A529" s="53" t="n">
        <v>45763</v>
      </c>
      <c r="B529" t="inlineStr">
        <is>
          <t>R05_Jawa Tengah DIY</t>
        </is>
      </c>
      <c r="C529" t="inlineStr">
        <is>
          <t>NOP MAGELANG</t>
        </is>
      </c>
      <c r="D529" s="38" t="n">
        <v>0</v>
      </c>
      <c r="E529" s="38" t="n">
        <v>0</v>
      </c>
      <c r="F529" s="36" t="n">
        <v>1.772</v>
      </c>
      <c r="G529" s="36" t="n">
        <v>1.113</v>
      </c>
      <c r="H529" s="36" t="n">
        <v>4</v>
      </c>
      <c r="I529" s="37" t="n">
        <v>0.8</v>
      </c>
      <c r="J529" s="36" t="n">
        <v>0</v>
      </c>
      <c r="K529" s="37" t="n">
        <v>0</v>
      </c>
      <c r="L529" s="36" t="n">
        <v>4</v>
      </c>
      <c r="M529" s="37" t="n">
        <v>0.8</v>
      </c>
      <c r="N529" s="36" t="n">
        <v>0</v>
      </c>
      <c r="O529" s="37" t="n">
        <v>0</v>
      </c>
      <c r="P529" s="36" t="n">
        <v>0</v>
      </c>
      <c r="Q529" s="37" t="n">
        <v>0</v>
      </c>
      <c r="R529" s="36" t="n">
        <v>5</v>
      </c>
      <c r="S529" s="37" t="n">
        <v>1</v>
      </c>
      <c r="T529" s="36" t="n">
        <v>4</v>
      </c>
      <c r="U529" s="37" t="n">
        <v>0.8</v>
      </c>
      <c r="V529" s="38" t="n">
        <v>0</v>
      </c>
      <c r="W529" s="38" t="n">
        <v>0.05</v>
      </c>
      <c r="X529" s="38" t="n">
        <v>4.052</v>
      </c>
      <c r="Y529" s="38" t="n">
        <v>18.26600000000001</v>
      </c>
      <c r="Z529" s="38" t="n">
        <v>0</v>
      </c>
      <c r="AA529" s="36" t="n">
        <v>28</v>
      </c>
      <c r="AB529" s="37" t="n">
        <v>0.9032258064516129</v>
      </c>
      <c r="AC529" s="36" t="n">
        <v>0</v>
      </c>
      <c r="AD529" s="37" t="n">
        <v>0</v>
      </c>
      <c r="AE529" s="36" t="n">
        <v>28</v>
      </c>
      <c r="AF529" s="37" t="n">
        <v>0.9333333333333333</v>
      </c>
      <c r="AG529" s="36" t="n">
        <v>0</v>
      </c>
      <c r="AH529" s="37" t="n">
        <v>0</v>
      </c>
    </row>
    <row r="530">
      <c r="A530" s="53" t="n">
        <v>45763</v>
      </c>
      <c r="B530" t="inlineStr">
        <is>
          <t>R05_Jawa Tengah DIY</t>
        </is>
      </c>
      <c r="C530" t="inlineStr">
        <is>
          <t>NOP PEKALONGAN</t>
        </is>
      </c>
      <c r="D530" s="38" t="n">
        <v>0.863</v>
      </c>
      <c r="E530" s="38" t="n">
        <v>0</v>
      </c>
      <c r="F530" s="36" t="n">
        <v>2.05</v>
      </c>
      <c r="G530" s="36" t="n">
        <v>1</v>
      </c>
      <c r="H530" s="36" t="n">
        <v>8</v>
      </c>
      <c r="I530" s="37" t="n">
        <v>0.5333333333333333</v>
      </c>
      <c r="J530" s="36" t="n">
        <v>0</v>
      </c>
      <c r="K530" s="37" t="n">
        <v>0</v>
      </c>
      <c r="L530" s="36" t="n">
        <v>8</v>
      </c>
      <c r="M530" s="37" t="n">
        <v>0.6153846153846154</v>
      </c>
      <c r="N530" s="36" t="n">
        <v>0</v>
      </c>
      <c r="O530" s="37" t="n">
        <v>0</v>
      </c>
      <c r="P530" s="36" t="n">
        <v>0</v>
      </c>
      <c r="Q530" s="37" t="n">
        <v>0</v>
      </c>
      <c r="R530" s="36" t="n">
        <v>13</v>
      </c>
      <c r="S530" s="37" t="n">
        <v>0.8666666666666667</v>
      </c>
      <c r="T530" s="36" t="n">
        <v>10</v>
      </c>
      <c r="U530" s="37" t="n">
        <v>0.6666666666666666</v>
      </c>
      <c r="V530" s="38" t="n">
        <v>0.01</v>
      </c>
      <c r="W530" s="38" t="n">
        <v>0.029</v>
      </c>
      <c r="X530" s="38" t="n">
        <v>4.964</v>
      </c>
      <c r="Y530" s="38" t="n">
        <v>12.79</v>
      </c>
      <c r="Z530" s="38" t="n">
        <v>0</v>
      </c>
      <c r="AA530" s="36" t="n">
        <v>19</v>
      </c>
      <c r="AB530" s="37" t="n">
        <v>0.7916666666666666</v>
      </c>
      <c r="AC530" s="36" t="n">
        <v>1</v>
      </c>
      <c r="AD530" s="37" t="n">
        <v>0.3333333333333333</v>
      </c>
      <c r="AE530" s="36" t="n">
        <v>18</v>
      </c>
      <c r="AF530" s="37" t="n">
        <v>0.8571428571428571</v>
      </c>
      <c r="AG530" s="36" t="n">
        <v>1</v>
      </c>
      <c r="AH530" s="37" t="n">
        <v>1</v>
      </c>
    </row>
    <row r="531">
      <c r="A531" s="53" t="n">
        <v>45763</v>
      </c>
      <c r="B531" t="inlineStr">
        <is>
          <t>R05_Jawa Tengah DIY</t>
        </is>
      </c>
      <c r="C531" t="inlineStr">
        <is>
          <t>NOP PURWOKERTO</t>
        </is>
      </c>
      <c r="D531" s="38" t="n">
        <v>2.984</v>
      </c>
      <c r="E531" s="38" t="n">
        <v>0</v>
      </c>
      <c r="F531" s="36" t="n">
        <v>3.887</v>
      </c>
      <c r="G531" s="36" t="n">
        <v>2.49</v>
      </c>
      <c r="H531" s="36" t="n">
        <v>14</v>
      </c>
      <c r="I531" s="37" t="n">
        <v>0.8235294117647058</v>
      </c>
      <c r="J531" s="36" t="n">
        <v>2</v>
      </c>
      <c r="K531" s="37" t="n">
        <v>1</v>
      </c>
      <c r="L531" s="36" t="n">
        <v>12</v>
      </c>
      <c r="M531" s="37" t="n">
        <v>0.8</v>
      </c>
      <c r="N531" s="36" t="n">
        <v>2</v>
      </c>
      <c r="O531" s="37" t="n">
        <v>1</v>
      </c>
      <c r="P531" s="36" t="n">
        <v>2</v>
      </c>
      <c r="Q531" s="37" t="n">
        <v>1</v>
      </c>
      <c r="R531" s="36" t="n">
        <v>16</v>
      </c>
      <c r="S531" s="37" t="n">
        <v>0.9411764705882353</v>
      </c>
      <c r="T531" s="36" t="n">
        <v>12</v>
      </c>
      <c r="U531" s="37" t="n">
        <v>0.7058823529411765</v>
      </c>
      <c r="V531" s="38" t="n">
        <v>0</v>
      </c>
      <c r="W531" s="38" t="n">
        <v>3.2</v>
      </c>
      <c r="X531" s="38" t="n">
        <v>6.804999999999997</v>
      </c>
      <c r="Y531" s="38" t="n">
        <v>6.932000000000001</v>
      </c>
      <c r="Z531" s="38" t="n">
        <v>0</v>
      </c>
      <c r="AA531" s="36" t="n">
        <v>21</v>
      </c>
      <c r="AB531" s="37" t="n">
        <v>0.8076923076923077</v>
      </c>
      <c r="AC531" s="36" t="n">
        <v>3</v>
      </c>
      <c r="AD531" s="37" t="n">
        <v>0.75</v>
      </c>
      <c r="AE531" s="36" t="n">
        <v>18</v>
      </c>
      <c r="AF531" s="37" t="n">
        <v>0.8181818181818182</v>
      </c>
      <c r="AG531" s="36" t="n">
        <v>3</v>
      </c>
      <c r="AH531" s="37" t="n">
        <v>1</v>
      </c>
    </row>
    <row r="532">
      <c r="A532" s="53" t="n">
        <v>45763</v>
      </c>
      <c r="B532" t="inlineStr">
        <is>
          <t>R05_Jawa Tengah DIY</t>
        </is>
      </c>
      <c r="C532" t="inlineStr">
        <is>
          <t>NOP SEMARANG</t>
        </is>
      </c>
      <c r="D532" s="38" t="n">
        <v>1.01</v>
      </c>
      <c r="E532" s="38" t="n">
        <v>0</v>
      </c>
      <c r="F532" s="36" t="n">
        <v>2.935</v>
      </c>
      <c r="G532" s="36" t="n">
        <v>1.984</v>
      </c>
      <c r="H532" s="36" t="n">
        <v>18</v>
      </c>
      <c r="I532" s="37" t="n">
        <v>0.375</v>
      </c>
      <c r="J532" s="36" t="n">
        <v>1</v>
      </c>
      <c r="K532" s="37" t="n">
        <v>0.2</v>
      </c>
      <c r="L532" s="36" t="n">
        <v>17</v>
      </c>
      <c r="M532" s="37" t="n">
        <v>0.3953488372093023</v>
      </c>
      <c r="N532" s="36" t="n">
        <v>1</v>
      </c>
      <c r="O532" s="37" t="n">
        <v>1</v>
      </c>
      <c r="P532" s="36" t="n">
        <v>1</v>
      </c>
      <c r="Q532" s="37" t="n">
        <v>1</v>
      </c>
      <c r="R532" s="36" t="n">
        <v>44</v>
      </c>
      <c r="S532" s="37" t="n">
        <v>0.9166666666666666</v>
      </c>
      <c r="T532" s="36" t="n">
        <v>7</v>
      </c>
      <c r="U532" s="37" t="n">
        <v>0.1458333333333333</v>
      </c>
      <c r="V532" s="38" t="n">
        <v>0</v>
      </c>
      <c r="W532" s="38" t="n">
        <v>3.135999999999998</v>
      </c>
      <c r="X532" s="38" t="n">
        <v>6.719000000000005</v>
      </c>
      <c r="Y532" s="38" t="n">
        <v>37.44</v>
      </c>
      <c r="Z532" s="38" t="n">
        <v>0</v>
      </c>
      <c r="AA532" s="36" t="n">
        <v>32</v>
      </c>
      <c r="AB532" s="37" t="n">
        <v>0.7804878048780488</v>
      </c>
      <c r="AC532" s="36" t="n">
        <v>5</v>
      </c>
      <c r="AD532" s="37" t="n">
        <v>0.5</v>
      </c>
      <c r="AE532" s="36" t="n">
        <v>27</v>
      </c>
      <c r="AF532" s="37" t="n">
        <v>0.8709677419354839</v>
      </c>
      <c r="AG532" s="36" t="n">
        <v>5</v>
      </c>
      <c r="AH532" s="37" t="n">
        <v>1</v>
      </c>
    </row>
    <row r="533">
      <c r="A533" s="53" t="n">
        <v>45763</v>
      </c>
      <c r="B533" t="inlineStr">
        <is>
          <t>R05_Jawa Tengah DIY</t>
        </is>
      </c>
      <c r="C533" t="inlineStr">
        <is>
          <t>NOP SURAKARTA</t>
        </is>
      </c>
      <c r="D533" s="38" t="n">
        <v>2.551999999999999</v>
      </c>
      <c r="E533" s="38" t="n">
        <v>0</v>
      </c>
      <c r="F533" s="36" t="n">
        <v>2.717000000000001</v>
      </c>
      <c r="G533" s="36" t="n">
        <v>3.372</v>
      </c>
      <c r="H533" s="36" t="n">
        <v>47</v>
      </c>
      <c r="I533" s="37" t="n">
        <v>0.8245614035087719</v>
      </c>
      <c r="J533" s="36" t="n">
        <v>10</v>
      </c>
      <c r="K533" s="37" t="n">
        <v>1</v>
      </c>
      <c r="L533" s="36" t="n">
        <v>37</v>
      </c>
      <c r="M533" s="37" t="n">
        <v>0.7872340425531915</v>
      </c>
      <c r="N533" s="36" t="n">
        <v>10</v>
      </c>
      <c r="O533" s="37" t="n">
        <v>1</v>
      </c>
      <c r="P533" s="36" t="n">
        <v>10</v>
      </c>
      <c r="Q533" s="37" t="n">
        <v>1</v>
      </c>
      <c r="R533" s="36" t="n">
        <v>57</v>
      </c>
      <c r="S533" s="37" t="n">
        <v>1</v>
      </c>
      <c r="T533" s="36" t="n">
        <v>24</v>
      </c>
      <c r="U533" s="37" t="n">
        <v>0.4210526315789473</v>
      </c>
      <c r="V533" s="38" t="n">
        <v>0</v>
      </c>
      <c r="W533" s="38" t="n">
        <v>2.188</v>
      </c>
      <c r="X533" s="38" t="n">
        <v>5.026000000000001</v>
      </c>
      <c r="Y533" s="38" t="n">
        <v>6.143000000000001</v>
      </c>
      <c r="Z533" s="38" t="n">
        <v>0</v>
      </c>
      <c r="AA533" s="36" t="n">
        <v>43</v>
      </c>
      <c r="AB533" s="37" t="n">
        <v>0.8269230769230769</v>
      </c>
      <c r="AC533" s="36" t="n">
        <v>11</v>
      </c>
      <c r="AD533" s="37" t="n">
        <v>0.8461538461538461</v>
      </c>
      <c r="AE533" s="36" t="n">
        <v>32</v>
      </c>
      <c r="AF533" s="37" t="n">
        <v>0.8205128205128205</v>
      </c>
      <c r="AG533" s="36" t="n">
        <v>11</v>
      </c>
      <c r="AH533" s="37" t="n">
        <v>1</v>
      </c>
    </row>
    <row r="534">
      <c r="A534" s="53" t="n">
        <v>45763</v>
      </c>
      <c r="B534" t="inlineStr">
        <is>
          <t>R05_Jawa Tengah DIY</t>
        </is>
      </c>
      <c r="C534" t="inlineStr">
        <is>
          <t>NOP YOGYAKARTA</t>
        </is>
      </c>
      <c r="D534" s="38" t="n">
        <v>0</v>
      </c>
      <c r="E534" s="38" t="n">
        <v>0</v>
      </c>
      <c r="F534" s="36" t="n">
        <v>1.55</v>
      </c>
      <c r="G534" s="36" t="n">
        <v>4.325</v>
      </c>
      <c r="H534" s="36" t="n">
        <v>8</v>
      </c>
      <c r="I534" s="37" t="n">
        <v>0.3809523809523809</v>
      </c>
      <c r="J534" s="36" t="n">
        <v>0</v>
      </c>
      <c r="K534" s="37" t="n">
        <v>0</v>
      </c>
      <c r="L534" s="36" t="n">
        <v>8</v>
      </c>
      <c r="M534" s="37" t="n">
        <v>0.3809523809523809</v>
      </c>
      <c r="N534" s="36" t="n">
        <v>0</v>
      </c>
      <c r="O534" s="37" t="n">
        <v>0</v>
      </c>
      <c r="P534" s="36" t="n">
        <v>0</v>
      </c>
      <c r="Q534" s="37" t="n">
        <v>0</v>
      </c>
      <c r="R534" s="36" t="n">
        <v>21</v>
      </c>
      <c r="S534" s="37" t="n">
        <v>1</v>
      </c>
      <c r="T534" s="36" t="n">
        <v>7</v>
      </c>
      <c r="U534" s="37" t="n">
        <v>0.3333333333333333</v>
      </c>
      <c r="V534" s="38" t="n">
        <v>0</v>
      </c>
      <c r="W534" s="38" t="n">
        <v>2.816000000000001</v>
      </c>
      <c r="X534" s="38" t="n">
        <v>7.494</v>
      </c>
      <c r="Y534" s="38" t="n">
        <v>33.14400000000001</v>
      </c>
      <c r="Z534" s="38" t="n">
        <v>0</v>
      </c>
      <c r="AA534" s="36" t="n">
        <v>38</v>
      </c>
      <c r="AB534" s="37" t="n">
        <v>0.9743589743589743</v>
      </c>
      <c r="AC534" s="36" t="n">
        <v>4</v>
      </c>
      <c r="AD534" s="37" t="n">
        <v>1</v>
      </c>
      <c r="AE534" s="36" t="n">
        <v>34</v>
      </c>
      <c r="AF534" s="37" t="n">
        <v>0.9714285714285714</v>
      </c>
      <c r="AG534" s="36" t="n">
        <v>4</v>
      </c>
      <c r="AH534" s="37" t="n">
        <v>1</v>
      </c>
    </row>
    <row r="535">
      <c r="A535" s="53" t="n">
        <v>45763</v>
      </c>
      <c r="B535" t="inlineStr">
        <is>
          <t>R06_Jawa Timur</t>
        </is>
      </c>
      <c r="C535" t="inlineStr">
        <is>
          <t>NOP JEMBER</t>
        </is>
      </c>
      <c r="D535" s="38" t="n">
        <v>1.64</v>
      </c>
      <c r="E535" s="38" t="n">
        <v>0</v>
      </c>
      <c r="F535" s="36" t="n">
        <v>1.954</v>
      </c>
      <c r="G535" s="36" t="n">
        <v>2.281</v>
      </c>
      <c r="H535" s="36" t="n">
        <v>13</v>
      </c>
      <c r="I535" s="37" t="n">
        <v>0.6842105263157895</v>
      </c>
      <c r="J535" s="36" t="n">
        <v>1</v>
      </c>
      <c r="K535" s="37" t="n">
        <v>1</v>
      </c>
      <c r="L535" s="36" t="n">
        <v>12</v>
      </c>
      <c r="M535" s="37" t="n">
        <v>0.6666666666666666</v>
      </c>
      <c r="N535" s="36" t="n">
        <v>1</v>
      </c>
      <c r="O535" s="37" t="n">
        <v>1</v>
      </c>
      <c r="P535" s="36" t="n">
        <v>1</v>
      </c>
      <c r="Q535" s="37" t="n">
        <v>1</v>
      </c>
      <c r="R535" s="36" t="n">
        <v>19</v>
      </c>
      <c r="S535" s="37" t="n">
        <v>1</v>
      </c>
      <c r="T535" s="36" t="n">
        <v>9</v>
      </c>
      <c r="U535" s="37" t="n">
        <v>0.4736842105263158</v>
      </c>
      <c r="V535" s="38" t="n">
        <v>0</v>
      </c>
      <c r="W535" s="38" t="n">
        <v>3.875</v>
      </c>
      <c r="X535" s="38" t="n">
        <v>2.753000000000002</v>
      </c>
      <c r="Y535" s="38" t="n">
        <v>29.032</v>
      </c>
      <c r="Z535" s="38" t="n">
        <v>0</v>
      </c>
      <c r="AA535" s="36" t="n">
        <v>23</v>
      </c>
      <c r="AB535" s="37" t="n">
        <v>0.7931034482758621</v>
      </c>
      <c r="AC535" s="36" t="n">
        <v>5</v>
      </c>
      <c r="AD535" s="37" t="n">
        <v>0.8333333333333334</v>
      </c>
      <c r="AE535" s="36" t="n">
        <v>18</v>
      </c>
      <c r="AF535" s="37" t="n">
        <v>0.7826086956521739</v>
      </c>
      <c r="AG535" s="36" t="n">
        <v>5</v>
      </c>
      <c r="AH535" s="37" t="n">
        <v>1</v>
      </c>
    </row>
    <row r="536">
      <c r="A536" s="53" t="n">
        <v>45763</v>
      </c>
      <c r="B536" t="inlineStr">
        <is>
          <t>R06_Jawa Timur</t>
        </is>
      </c>
      <c r="C536" t="inlineStr">
        <is>
          <t>NOP KEDIRI</t>
        </is>
      </c>
      <c r="D536" s="38" t="n">
        <v>0</v>
      </c>
      <c r="E536" s="38" t="n">
        <v>0</v>
      </c>
      <c r="F536" s="36" t="n">
        <v>0</v>
      </c>
      <c r="G536" s="36" t="n">
        <v>0.71</v>
      </c>
      <c r="H536" s="36" t="n">
        <v>1</v>
      </c>
      <c r="I536" s="37" t="n">
        <v>1</v>
      </c>
      <c r="J536" s="36" t="n">
        <v>0</v>
      </c>
      <c r="K536" s="37" t="n">
        <v>0</v>
      </c>
      <c r="L536" s="36" t="n">
        <v>1</v>
      </c>
      <c r="M536" s="37" t="n">
        <v>1</v>
      </c>
      <c r="N536" s="36" t="n">
        <v>0</v>
      </c>
      <c r="O536" s="37" t="n">
        <v>0</v>
      </c>
      <c r="P536" s="36" t="n">
        <v>0</v>
      </c>
      <c r="Q536" s="37" t="n">
        <v>0</v>
      </c>
      <c r="R536" s="36" t="n">
        <v>1</v>
      </c>
      <c r="S536" s="37" t="n">
        <v>1</v>
      </c>
      <c r="T536" s="36" t="n">
        <v>1</v>
      </c>
      <c r="U536" s="37" t="n">
        <v>1</v>
      </c>
      <c r="V536" s="38" t="n">
        <v>0</v>
      </c>
      <c r="W536" s="38" t="n">
        <v>0.8500000000000001</v>
      </c>
      <c r="X536" s="38" t="n">
        <v>1.867</v>
      </c>
      <c r="Y536" s="38" t="n">
        <v>0</v>
      </c>
      <c r="Z536" s="38" t="n">
        <v>0</v>
      </c>
      <c r="AA536" s="36" t="n">
        <v>15</v>
      </c>
      <c r="AB536" s="37" t="n">
        <v>1</v>
      </c>
      <c r="AC536" s="36" t="n">
        <v>3</v>
      </c>
      <c r="AD536" s="37" t="n">
        <v>1</v>
      </c>
      <c r="AE536" s="36" t="n">
        <v>12</v>
      </c>
      <c r="AF536" s="37" t="n">
        <v>1</v>
      </c>
      <c r="AG536" s="36" t="n">
        <v>3</v>
      </c>
      <c r="AH536" s="37" t="n">
        <v>1</v>
      </c>
    </row>
    <row r="537">
      <c r="A537" s="53" t="n">
        <v>45763</v>
      </c>
      <c r="B537" t="inlineStr">
        <is>
          <t>R06_Jawa Timur</t>
        </is>
      </c>
      <c r="C537" t="inlineStr">
        <is>
          <t>NOP LAMONGAN</t>
        </is>
      </c>
      <c r="D537" s="38" t="n">
        <v>0.37</v>
      </c>
      <c r="E537" s="38" t="n">
        <v>0</v>
      </c>
      <c r="F537" s="36" t="n">
        <v>2.488</v>
      </c>
      <c r="G537" s="36" t="n">
        <v>3.382</v>
      </c>
      <c r="H537" s="36" t="n">
        <v>11</v>
      </c>
      <c r="I537" s="37" t="n">
        <v>0.8461538461538461</v>
      </c>
      <c r="J537" s="36" t="n">
        <v>0</v>
      </c>
      <c r="K537" s="37" t="n">
        <v>0</v>
      </c>
      <c r="L537" s="36" t="n">
        <v>11</v>
      </c>
      <c r="M537" s="37" t="n">
        <v>0.9166666666666666</v>
      </c>
      <c r="N537" s="36" t="n">
        <v>0</v>
      </c>
      <c r="O537" s="37" t="n">
        <v>0</v>
      </c>
      <c r="P537" s="36" t="n">
        <v>0</v>
      </c>
      <c r="Q537" s="37" t="n">
        <v>0</v>
      </c>
      <c r="R537" s="36" t="n">
        <v>13</v>
      </c>
      <c r="S537" s="37" t="n">
        <v>1</v>
      </c>
      <c r="T537" s="36" t="n">
        <v>11</v>
      </c>
      <c r="U537" s="37" t="n">
        <v>0.8461538461538461</v>
      </c>
      <c r="V537" s="38" t="n">
        <v>0</v>
      </c>
      <c r="W537" s="38" t="n">
        <v>3.182</v>
      </c>
      <c r="X537" s="38" t="n">
        <v>8.873999999999999</v>
      </c>
      <c r="Y537" s="38" t="n">
        <v>40.287</v>
      </c>
      <c r="Z537" s="38" t="n">
        <v>0</v>
      </c>
      <c r="AA537" s="36" t="n">
        <v>13</v>
      </c>
      <c r="AB537" s="37" t="n">
        <v>0.8125</v>
      </c>
      <c r="AC537" s="36" t="n">
        <v>2</v>
      </c>
      <c r="AD537" s="37" t="n">
        <v>0.5</v>
      </c>
      <c r="AE537" s="36" t="n">
        <v>11</v>
      </c>
      <c r="AF537" s="37" t="n">
        <v>0.9166666666666666</v>
      </c>
      <c r="AG537" s="36" t="n">
        <v>2</v>
      </c>
      <c r="AH537" s="37" t="n">
        <v>1</v>
      </c>
    </row>
    <row r="538">
      <c r="A538" s="53" t="n">
        <v>45763</v>
      </c>
      <c r="B538" t="inlineStr">
        <is>
          <t>R06_Jawa Timur</t>
        </is>
      </c>
      <c r="C538" t="inlineStr">
        <is>
          <t>NOP MADIUN</t>
        </is>
      </c>
      <c r="D538" s="38" t="n">
        <v>0</v>
      </c>
      <c r="E538" s="38" t="n">
        <v>0</v>
      </c>
      <c r="F538" s="36" t="n">
        <v>1.41</v>
      </c>
      <c r="G538" s="36" t="n">
        <v>3.538000000000001</v>
      </c>
      <c r="H538" s="36" t="n">
        <v>13</v>
      </c>
      <c r="I538" s="37" t="n">
        <v>0.6842105263157895</v>
      </c>
      <c r="J538" s="36" t="n">
        <v>0</v>
      </c>
      <c r="K538" s="37" t="n">
        <v>0</v>
      </c>
      <c r="L538" s="36" t="n">
        <v>13</v>
      </c>
      <c r="M538" s="37" t="n">
        <v>0.6842105263157895</v>
      </c>
      <c r="N538" s="36" t="n">
        <v>0</v>
      </c>
      <c r="O538" s="37" t="n">
        <v>0</v>
      </c>
      <c r="P538" s="36" t="n">
        <v>0</v>
      </c>
      <c r="Q538" s="37" t="n">
        <v>0</v>
      </c>
      <c r="R538" s="36" t="n">
        <v>19</v>
      </c>
      <c r="S538" s="37" t="n">
        <v>1</v>
      </c>
      <c r="T538" s="36" t="n">
        <v>6</v>
      </c>
      <c r="U538" s="37" t="n">
        <v>0.3157894736842105</v>
      </c>
      <c r="V538" s="38" t="n">
        <v>0</v>
      </c>
      <c r="W538" s="38" t="n">
        <v>1.16</v>
      </c>
      <c r="X538" s="38" t="n">
        <v>3.670000000000002</v>
      </c>
      <c r="Y538" s="38" t="n">
        <v>0</v>
      </c>
      <c r="Z538" s="38" t="n">
        <v>0</v>
      </c>
      <c r="AA538" s="36" t="n">
        <v>20</v>
      </c>
      <c r="AB538" s="37" t="n">
        <v>0.7142857142857143</v>
      </c>
      <c r="AC538" s="36" t="n">
        <v>8</v>
      </c>
      <c r="AD538" s="37" t="n">
        <v>0.5714285714285714</v>
      </c>
      <c r="AE538" s="36" t="n">
        <v>12</v>
      </c>
      <c r="AF538" s="37" t="n">
        <v>0.8571428571428571</v>
      </c>
      <c r="AG538" s="36" t="n">
        <v>6</v>
      </c>
      <c r="AH538" s="37" t="n">
        <v>0.75</v>
      </c>
    </row>
    <row r="539">
      <c r="A539" s="53" t="n">
        <v>45763</v>
      </c>
      <c r="B539" t="inlineStr">
        <is>
          <t>R06_Jawa Timur</t>
        </is>
      </c>
      <c r="C539" t="inlineStr">
        <is>
          <t>NOP MALANG</t>
        </is>
      </c>
      <c r="D539" s="38" t="n">
        <v>0</v>
      </c>
      <c r="E539" s="38" t="n">
        <v>0</v>
      </c>
      <c r="F539" s="36" t="n">
        <v>3.54</v>
      </c>
      <c r="G539" s="36" t="n">
        <v>2.842</v>
      </c>
      <c r="H539" s="36" t="n">
        <v>14</v>
      </c>
      <c r="I539" s="37" t="n">
        <v>0.7777777777777778</v>
      </c>
      <c r="J539" s="36" t="n">
        <v>0</v>
      </c>
      <c r="K539" s="37" t="n">
        <v>0</v>
      </c>
      <c r="L539" s="36" t="n">
        <v>14</v>
      </c>
      <c r="M539" s="37" t="n">
        <v>0.7777777777777778</v>
      </c>
      <c r="N539" s="36" t="n">
        <v>0</v>
      </c>
      <c r="O539" s="37" t="n">
        <v>0</v>
      </c>
      <c r="P539" s="36" t="n">
        <v>0</v>
      </c>
      <c r="Q539" s="37" t="n">
        <v>0</v>
      </c>
      <c r="R539" s="36" t="n">
        <v>18</v>
      </c>
      <c r="S539" s="37" t="n">
        <v>1</v>
      </c>
      <c r="T539" s="36" t="n">
        <v>15</v>
      </c>
      <c r="U539" s="37" t="n">
        <v>0.8333333333333334</v>
      </c>
      <c r="V539" s="38" t="n">
        <v>0</v>
      </c>
      <c r="W539" s="38" t="n">
        <v>3.217</v>
      </c>
      <c r="X539" s="38" t="n">
        <v>4.382999999999999</v>
      </c>
      <c r="Y539" s="38" t="n">
        <v>34.756</v>
      </c>
      <c r="Z539" s="38" t="n">
        <v>0</v>
      </c>
      <c r="AA539" s="36" t="n">
        <v>14</v>
      </c>
      <c r="AB539" s="37" t="n">
        <v>0.7368421052631579</v>
      </c>
      <c r="AC539" s="36" t="n">
        <v>4</v>
      </c>
      <c r="AD539" s="37" t="n">
        <v>0.5</v>
      </c>
      <c r="AE539" s="36" t="n">
        <v>10</v>
      </c>
      <c r="AF539" s="37" t="n">
        <v>0.9090909090909091</v>
      </c>
      <c r="AG539" s="36" t="n">
        <v>3</v>
      </c>
      <c r="AH539" s="37" t="n">
        <v>0.75</v>
      </c>
    </row>
    <row r="540">
      <c r="A540" s="53" t="n">
        <v>45763</v>
      </c>
      <c r="B540" t="inlineStr">
        <is>
          <t>R06_Jawa Timur</t>
        </is>
      </c>
      <c r="C540" t="inlineStr">
        <is>
          <t>NOP SIDOARJO</t>
        </is>
      </c>
      <c r="D540" s="38" t="n">
        <v>2.309</v>
      </c>
      <c r="E540" s="38" t="n">
        <v>0</v>
      </c>
      <c r="F540" s="36" t="n">
        <v>2.54</v>
      </c>
      <c r="G540" s="36" t="n">
        <v>1.068</v>
      </c>
      <c r="H540" s="36" t="n">
        <v>7</v>
      </c>
      <c r="I540" s="37" t="n">
        <v>0.6363636363636364</v>
      </c>
      <c r="J540" s="36" t="n">
        <v>1</v>
      </c>
      <c r="K540" s="37" t="n">
        <v>0.5</v>
      </c>
      <c r="L540" s="36" t="n">
        <v>6</v>
      </c>
      <c r="M540" s="37" t="n">
        <v>0.6666666666666666</v>
      </c>
      <c r="N540" s="36" t="n">
        <v>0</v>
      </c>
      <c r="O540" s="37" t="n">
        <v>0</v>
      </c>
      <c r="P540" s="36" t="n">
        <v>0</v>
      </c>
      <c r="Q540" s="37" t="n">
        <v>0</v>
      </c>
      <c r="R540" s="36" t="n">
        <v>11</v>
      </c>
      <c r="S540" s="37" t="n">
        <v>1</v>
      </c>
      <c r="T540" s="36" t="n">
        <v>4</v>
      </c>
      <c r="U540" s="37" t="n">
        <v>0.3636363636363636</v>
      </c>
      <c r="V540" s="38" t="n">
        <v>0</v>
      </c>
      <c r="W540" s="38" t="n">
        <v>0</v>
      </c>
      <c r="X540" s="38" t="n">
        <v>5.826000000000004</v>
      </c>
      <c r="Y540" s="38" t="n">
        <v>7.27</v>
      </c>
      <c r="Z540" s="38" t="n">
        <v>0</v>
      </c>
      <c r="AA540" s="36" t="n">
        <v>12</v>
      </c>
      <c r="AB540" s="37" t="n">
        <v>0.8</v>
      </c>
      <c r="AC540" s="36" t="n">
        <v>0</v>
      </c>
      <c r="AD540" s="37" t="n">
        <v>0</v>
      </c>
      <c r="AE540" s="36" t="n">
        <v>12</v>
      </c>
      <c r="AF540" s="37" t="n">
        <v>0.8</v>
      </c>
      <c r="AG540" s="36" t="n">
        <v>0</v>
      </c>
      <c r="AH540" s="37" t="n">
        <v>0</v>
      </c>
    </row>
    <row r="541">
      <c r="A541" s="53" t="n">
        <v>45763</v>
      </c>
      <c r="B541" t="inlineStr">
        <is>
          <t>R06_Jawa Timur</t>
        </is>
      </c>
      <c r="C541" t="inlineStr">
        <is>
          <t>NOP SURABAYA</t>
        </is>
      </c>
      <c r="D541" s="38" t="n">
        <v>0.74</v>
      </c>
      <c r="E541" s="38" t="n">
        <v>0</v>
      </c>
      <c r="F541" s="36" t="n">
        <v>2.527</v>
      </c>
      <c r="G541" s="36" t="n">
        <v>2.874</v>
      </c>
      <c r="H541" s="36" t="n">
        <v>26</v>
      </c>
      <c r="I541" s="37" t="n">
        <v>0.7428571428571429</v>
      </c>
      <c r="J541" s="36" t="n">
        <v>2</v>
      </c>
      <c r="K541" s="37" t="n">
        <v>0.6666666666666666</v>
      </c>
      <c r="L541" s="36" t="n">
        <v>24</v>
      </c>
      <c r="M541" s="37" t="n">
        <v>0.75</v>
      </c>
      <c r="N541" s="36" t="n">
        <v>2</v>
      </c>
      <c r="O541" s="37" t="n">
        <v>1</v>
      </c>
      <c r="P541" s="36" t="n">
        <v>2</v>
      </c>
      <c r="Q541" s="37" t="n">
        <v>1</v>
      </c>
      <c r="R541" s="36" t="n">
        <v>34</v>
      </c>
      <c r="S541" s="37" t="n">
        <v>0.9714285714285714</v>
      </c>
      <c r="T541" s="36" t="n">
        <v>17</v>
      </c>
      <c r="U541" s="37" t="n">
        <v>0.4857142857142857</v>
      </c>
      <c r="V541" s="38" t="n">
        <v>0</v>
      </c>
      <c r="W541" s="38" t="n">
        <v>2.25</v>
      </c>
      <c r="X541" s="38" t="n">
        <v>6.974999999999999</v>
      </c>
      <c r="Y541" s="38" t="n">
        <v>223.122</v>
      </c>
      <c r="Z541" s="38" t="n">
        <v>0</v>
      </c>
      <c r="AA541" s="36" t="n">
        <v>37</v>
      </c>
      <c r="AB541" s="37" t="n">
        <v>0.7115384615384616</v>
      </c>
      <c r="AC541" s="36" t="n">
        <v>3</v>
      </c>
      <c r="AD541" s="37" t="n">
        <v>0.5</v>
      </c>
      <c r="AE541" s="36" t="n">
        <v>34</v>
      </c>
      <c r="AF541" s="37" t="n">
        <v>0.7391304347826086</v>
      </c>
      <c r="AG541" s="36" t="n">
        <v>2</v>
      </c>
      <c r="AH541" s="37" t="n">
        <v>0.6666666666666666</v>
      </c>
    </row>
    <row r="542">
      <c r="A542" s="53" t="n">
        <v>45763</v>
      </c>
      <c r="B542" t="inlineStr">
        <is>
          <t>R07_Bali Nusra</t>
        </is>
      </c>
      <c r="C542" t="inlineStr">
        <is>
          <t>NOP DENPASAR</t>
        </is>
      </c>
      <c r="D542" s="38" t="n">
        <v>1.15</v>
      </c>
      <c r="E542" s="38" t="n">
        <v>0</v>
      </c>
      <c r="F542" s="36" t="n">
        <v>0.84</v>
      </c>
      <c r="G542" s="36" t="n">
        <v>3.25</v>
      </c>
      <c r="H542" s="36" t="n">
        <v>7</v>
      </c>
      <c r="I542" s="37" t="n">
        <v>0.875</v>
      </c>
      <c r="J542" s="36" t="n">
        <v>1</v>
      </c>
      <c r="K542" s="37" t="n">
        <v>1</v>
      </c>
      <c r="L542" s="36" t="n">
        <v>6</v>
      </c>
      <c r="M542" s="37" t="n">
        <v>0.8571428571428571</v>
      </c>
      <c r="N542" s="36" t="n">
        <v>1</v>
      </c>
      <c r="O542" s="37" t="n">
        <v>1</v>
      </c>
      <c r="P542" s="36" t="n">
        <v>1</v>
      </c>
      <c r="Q542" s="37" t="n">
        <v>1</v>
      </c>
      <c r="R542" s="36" t="n">
        <v>8</v>
      </c>
      <c r="S542" s="37" t="n">
        <v>1</v>
      </c>
      <c r="T542" s="36" t="n">
        <v>8</v>
      </c>
      <c r="U542" s="37" t="n">
        <v>1</v>
      </c>
      <c r="V542" s="38" t="n">
        <v>0</v>
      </c>
      <c r="W542" s="38" t="n">
        <v>0.52</v>
      </c>
      <c r="X542" s="38" t="n">
        <v>14.608</v>
      </c>
      <c r="Y542" s="38" t="n">
        <v>51.10000000000001</v>
      </c>
      <c r="Z542" s="38" t="n">
        <v>0</v>
      </c>
      <c r="AA542" s="36" t="n">
        <v>12</v>
      </c>
      <c r="AB542" s="37" t="n">
        <v>0.8571428571428571</v>
      </c>
      <c r="AC542" s="36" t="n">
        <v>1</v>
      </c>
      <c r="AD542" s="37" t="n">
        <v>1</v>
      </c>
      <c r="AE542" s="36" t="n">
        <v>11</v>
      </c>
      <c r="AF542" s="37" t="n">
        <v>0.8461538461538461</v>
      </c>
      <c r="AG542" s="36" t="n">
        <v>0</v>
      </c>
      <c r="AH542" s="37" t="n">
        <v>0</v>
      </c>
    </row>
    <row r="543">
      <c r="A543" s="53" t="n">
        <v>45763</v>
      </c>
      <c r="B543" t="inlineStr">
        <is>
          <t>R07_Bali Nusra</t>
        </is>
      </c>
      <c r="C543" t="inlineStr">
        <is>
          <t>NOP FLORES</t>
        </is>
      </c>
      <c r="D543" s="38" t="n">
        <v>2.428</v>
      </c>
      <c r="E543" s="38" t="n">
        <v>2.868</v>
      </c>
      <c r="F543" s="36" t="n">
        <v>2.929000000000001</v>
      </c>
      <c r="G543" s="36" t="n">
        <v>11.956</v>
      </c>
      <c r="H543" s="36" t="n">
        <v>28</v>
      </c>
      <c r="I543" s="37" t="n">
        <v>0.4307692307692308</v>
      </c>
      <c r="J543" s="36" t="n">
        <v>10</v>
      </c>
      <c r="K543" s="37" t="n">
        <v>0.5</v>
      </c>
      <c r="L543" s="36" t="n">
        <v>18</v>
      </c>
      <c r="M543" s="37" t="n">
        <v>0.4</v>
      </c>
      <c r="N543" s="36" t="n">
        <v>7</v>
      </c>
      <c r="O543" s="37" t="n">
        <v>0.7</v>
      </c>
      <c r="P543" s="36" t="n">
        <v>7</v>
      </c>
      <c r="Q543" s="37" t="n">
        <v>0.7</v>
      </c>
      <c r="R543" s="36" t="n">
        <v>65</v>
      </c>
      <c r="S543" s="37" t="n">
        <v>1</v>
      </c>
      <c r="T543" s="36" t="n">
        <v>17</v>
      </c>
      <c r="U543" s="37" t="n">
        <v>0.2615384615384616</v>
      </c>
      <c r="V543" s="38" t="n">
        <v>0</v>
      </c>
      <c r="W543" s="38" t="n">
        <v>14.87</v>
      </c>
      <c r="X543" s="38" t="n">
        <v>8.702000000000005</v>
      </c>
      <c r="Y543" s="38" t="n">
        <v>36.17000000000002</v>
      </c>
      <c r="Z543" s="38" t="n">
        <v>0</v>
      </c>
      <c r="AA543" s="36" t="n">
        <v>89</v>
      </c>
      <c r="AB543" s="37" t="n">
        <v>0.5632911392405063</v>
      </c>
      <c r="AC543" s="36" t="n">
        <v>60</v>
      </c>
      <c r="AD543" s="37" t="n">
        <v>0.625</v>
      </c>
      <c r="AE543" s="36" t="n">
        <v>29</v>
      </c>
      <c r="AF543" s="37" t="n">
        <v>0.4677419354838709</v>
      </c>
      <c r="AG543" s="36" t="n">
        <v>49</v>
      </c>
      <c r="AH543" s="37" t="n">
        <v>0.8166666666666667</v>
      </c>
    </row>
    <row r="544">
      <c r="A544" s="53" t="n">
        <v>45763</v>
      </c>
      <c r="B544" t="inlineStr">
        <is>
          <t>R07_Bali Nusra</t>
        </is>
      </c>
      <c r="C544" t="inlineStr">
        <is>
          <t>NOP KUPANG</t>
        </is>
      </c>
      <c r="D544" s="38" t="n">
        <v>0.897</v>
      </c>
      <c r="E544" s="38" t="n">
        <v>6.86</v>
      </c>
      <c r="F544" s="36" t="n">
        <v>3.494</v>
      </c>
      <c r="G544" s="36" t="n">
        <v>3.722</v>
      </c>
      <c r="H544" s="36" t="n">
        <v>19</v>
      </c>
      <c r="I544" s="37" t="n">
        <v>0.2602739726027397</v>
      </c>
      <c r="J544" s="36" t="n">
        <v>14</v>
      </c>
      <c r="K544" s="37" t="n">
        <v>0.7777777777777778</v>
      </c>
      <c r="L544" s="36" t="n">
        <v>5</v>
      </c>
      <c r="M544" s="37" t="n">
        <v>0.09090909090909091</v>
      </c>
      <c r="N544" s="36" t="n">
        <v>11</v>
      </c>
      <c r="O544" s="37" t="n">
        <v>0.7857142857142857</v>
      </c>
      <c r="P544" s="36" t="n">
        <v>11</v>
      </c>
      <c r="Q544" s="37" t="n">
        <v>0.7857142857142857</v>
      </c>
      <c r="R544" s="36" t="n">
        <v>73</v>
      </c>
      <c r="S544" s="37" t="n">
        <v>1</v>
      </c>
      <c r="T544" s="36" t="n">
        <v>13</v>
      </c>
      <c r="U544" s="37" t="n">
        <v>0.1780821917808219</v>
      </c>
      <c r="V544" s="38" t="n">
        <v>0</v>
      </c>
      <c r="W544" s="38" t="n">
        <v>12.23</v>
      </c>
      <c r="X544" s="38" t="n">
        <v>33.58700000000003</v>
      </c>
      <c r="Y544" s="38" t="n">
        <v>88.705</v>
      </c>
      <c r="Z544" s="38" t="n">
        <v>0</v>
      </c>
      <c r="AA544" s="36" t="n">
        <v>46</v>
      </c>
      <c r="AB544" s="37" t="n">
        <v>0.5287356321839081</v>
      </c>
      <c r="AC544" s="36" t="n">
        <v>27</v>
      </c>
      <c r="AD544" s="37" t="n">
        <v>0.5294117647058824</v>
      </c>
      <c r="AE544" s="36" t="n">
        <v>19</v>
      </c>
      <c r="AF544" s="37" t="n">
        <v>0.5277777777777778</v>
      </c>
      <c r="AG544" s="36" t="n">
        <v>15</v>
      </c>
      <c r="AH544" s="37" t="n">
        <v>0.5555555555555556</v>
      </c>
    </row>
    <row r="545">
      <c r="A545" s="53" t="n">
        <v>45763</v>
      </c>
      <c r="B545" t="inlineStr">
        <is>
          <t>R07_Bali Nusra</t>
        </is>
      </c>
      <c r="C545" t="inlineStr">
        <is>
          <t>NOP MATARAM</t>
        </is>
      </c>
      <c r="D545" s="38" t="n">
        <v>1.19</v>
      </c>
      <c r="E545" s="38" t="n">
        <v>2.74</v>
      </c>
      <c r="F545" s="36" t="n">
        <v>3.84</v>
      </c>
      <c r="G545" s="36" t="n">
        <v>7.554000000000002</v>
      </c>
      <c r="H545" s="36" t="n">
        <v>43</v>
      </c>
      <c r="I545" s="37" t="n">
        <v>0.6417910447761194</v>
      </c>
      <c r="J545" s="36" t="n">
        <v>6</v>
      </c>
      <c r="K545" s="37" t="n">
        <v>0.75</v>
      </c>
      <c r="L545" s="36" t="n">
        <v>37</v>
      </c>
      <c r="M545" s="37" t="n">
        <v>0.6271186440677966</v>
      </c>
      <c r="N545" s="36" t="n">
        <v>4</v>
      </c>
      <c r="O545" s="37" t="n">
        <v>0.6666666666666666</v>
      </c>
      <c r="P545" s="36" t="n">
        <v>4</v>
      </c>
      <c r="Q545" s="37" t="n">
        <v>0.6666666666666666</v>
      </c>
      <c r="R545" s="36" t="n">
        <v>66</v>
      </c>
      <c r="S545" s="37" t="n">
        <v>0.9850746268656716</v>
      </c>
      <c r="T545" s="36" t="n">
        <v>35</v>
      </c>
      <c r="U545" s="37" t="n">
        <v>0.5223880597014925</v>
      </c>
      <c r="V545" s="38" t="n">
        <v>1.154</v>
      </c>
      <c r="W545" s="38" t="n">
        <v>12.015</v>
      </c>
      <c r="X545" s="38" t="n">
        <v>13.55800000000001</v>
      </c>
      <c r="Y545" s="38" t="n">
        <v>6.495</v>
      </c>
      <c r="Z545" s="38" t="n">
        <v>0</v>
      </c>
      <c r="AA545" s="36" t="n">
        <v>42</v>
      </c>
      <c r="AB545" s="37" t="n">
        <v>0.4772727272727273</v>
      </c>
      <c r="AC545" s="36" t="n">
        <v>26</v>
      </c>
      <c r="AD545" s="37" t="n">
        <v>0.4262295081967213</v>
      </c>
      <c r="AE545" s="36" t="n">
        <v>16</v>
      </c>
      <c r="AF545" s="37" t="n">
        <v>0.5925925925925926</v>
      </c>
      <c r="AG545" s="36" t="n">
        <v>20</v>
      </c>
      <c r="AH545" s="37" t="n">
        <v>0.7692307692307693</v>
      </c>
    </row>
    <row r="546">
      <c r="A546" s="53" t="n">
        <v>45764</v>
      </c>
      <c r="B546" t="inlineStr">
        <is>
          <t>R01_Sumbagut</t>
        </is>
      </c>
      <c r="C546" t="inlineStr">
        <is>
          <t>NOP ACEH</t>
        </is>
      </c>
      <c r="D546" s="38" t="n">
        <v>1.669</v>
      </c>
      <c r="E546" s="38" t="n">
        <v>2.58</v>
      </c>
      <c r="F546" s="36" t="n">
        <v>2.030999999999999</v>
      </c>
      <c r="G546" s="36" t="n">
        <v>4.87</v>
      </c>
      <c r="H546" s="36" t="n">
        <v>73</v>
      </c>
      <c r="I546" s="37" t="n">
        <v>0.8295454545454546</v>
      </c>
      <c r="J546" s="36" t="n">
        <v>15</v>
      </c>
      <c r="K546" s="37" t="n">
        <v>0.8333333333333334</v>
      </c>
      <c r="L546" s="36" t="n">
        <v>58</v>
      </c>
      <c r="M546" s="37" t="n">
        <v>0.8285714285714286</v>
      </c>
      <c r="N546" s="36" t="n">
        <v>7</v>
      </c>
      <c r="O546" s="37" t="n">
        <v>0.4666666666666667</v>
      </c>
      <c r="P546" s="36" t="n">
        <v>7</v>
      </c>
      <c r="Q546" s="37" t="n">
        <v>0.4666666666666667</v>
      </c>
      <c r="R546" s="36" t="n">
        <v>88</v>
      </c>
      <c r="S546" s="37" t="n">
        <v>1</v>
      </c>
      <c r="T546" s="36" t="n">
        <v>36</v>
      </c>
      <c r="U546" s="37" t="n">
        <v>0.4090909090909091</v>
      </c>
      <c r="V546" s="38" t="n">
        <v>0</v>
      </c>
      <c r="W546" s="38" t="n">
        <v>2.335999999999999</v>
      </c>
      <c r="X546" s="38" t="n">
        <v>96.29200000000007</v>
      </c>
      <c r="Y546" s="38" t="n">
        <v>95.40600000000001</v>
      </c>
      <c r="Z546" s="38" t="n">
        <v>0</v>
      </c>
      <c r="AA546" s="36" t="n">
        <v>317</v>
      </c>
      <c r="AB546" s="37" t="n">
        <v>0.8521505376344086</v>
      </c>
      <c r="AC546" s="36" t="n">
        <v>33</v>
      </c>
      <c r="AD546" s="37" t="n">
        <v>0.7857142857142857</v>
      </c>
      <c r="AE546" s="36" t="n">
        <v>279</v>
      </c>
      <c r="AF546" s="37" t="n">
        <v>0.8664596273291926</v>
      </c>
      <c r="AG546" s="36" t="n">
        <v>13</v>
      </c>
      <c r="AH546" s="37" t="n">
        <v>0.3939393939393939</v>
      </c>
    </row>
    <row r="547">
      <c r="A547" s="53" t="n">
        <v>45764</v>
      </c>
      <c r="B547" t="inlineStr">
        <is>
          <t>R01_Sumbagut</t>
        </is>
      </c>
      <c r="C547" t="inlineStr">
        <is>
          <t>NOP BINJAI</t>
        </is>
      </c>
      <c r="D547" s="38" t="n">
        <v>0</v>
      </c>
      <c r="E547" s="38" t="n">
        <v>5.77</v>
      </c>
      <c r="F547" s="36" t="n">
        <v>8.465999999999996</v>
      </c>
      <c r="G547" s="36" t="n">
        <v>3.472</v>
      </c>
      <c r="H547" s="36" t="n">
        <v>76</v>
      </c>
      <c r="I547" s="37" t="n">
        <v>0.8172043010752689</v>
      </c>
      <c r="J547" s="36" t="n">
        <v>10</v>
      </c>
      <c r="K547" s="37" t="n">
        <v>0.9090909090909091</v>
      </c>
      <c r="L547" s="36" t="n">
        <v>66</v>
      </c>
      <c r="M547" s="37" t="n">
        <v>0.8048780487804879</v>
      </c>
      <c r="N547" s="36" t="n">
        <v>7</v>
      </c>
      <c r="O547" s="37" t="n">
        <v>0.7</v>
      </c>
      <c r="P547" s="36" t="n">
        <v>7</v>
      </c>
      <c r="Q547" s="37" t="n">
        <v>0.7</v>
      </c>
      <c r="R547" s="36" t="n">
        <v>93</v>
      </c>
      <c r="S547" s="37" t="n">
        <v>1</v>
      </c>
      <c r="T547" s="36" t="n">
        <v>60</v>
      </c>
      <c r="U547" s="37" t="n">
        <v>0.6451612903225806</v>
      </c>
      <c r="V547" s="38" t="n">
        <v>0.02</v>
      </c>
      <c r="W547" s="38" t="n">
        <v>4.215</v>
      </c>
      <c r="X547" s="38" t="n">
        <v>40.27600000000001</v>
      </c>
      <c r="Y547" s="38" t="n">
        <v>74.58500000000001</v>
      </c>
      <c r="Z547" s="38" t="n">
        <v>0</v>
      </c>
      <c r="AA547" s="36" t="n">
        <v>89</v>
      </c>
      <c r="AB547" s="37" t="n">
        <v>0.8725490196078431</v>
      </c>
      <c r="AC547" s="36" t="n">
        <v>33</v>
      </c>
      <c r="AD547" s="37" t="n">
        <v>0.8918918918918919</v>
      </c>
      <c r="AE547" s="36" t="n">
        <v>53</v>
      </c>
      <c r="AF547" s="37" t="n">
        <v>0.8833333333333333</v>
      </c>
      <c r="AG547" s="36" t="n">
        <v>18</v>
      </c>
      <c r="AH547" s="37" t="n">
        <v>0.5454545454545454</v>
      </c>
    </row>
    <row r="548">
      <c r="A548" s="53" t="n">
        <v>45764</v>
      </c>
      <c r="B548" t="inlineStr">
        <is>
          <t>R01_Sumbagut</t>
        </is>
      </c>
      <c r="C548" t="inlineStr">
        <is>
          <t>NOP MEDAN</t>
        </is>
      </c>
      <c r="D548" s="38" t="n">
        <v>0</v>
      </c>
      <c r="E548" s="38" t="n">
        <v>8.424999999999997</v>
      </c>
      <c r="F548" s="36" t="n">
        <v>3.31</v>
      </c>
      <c r="G548" s="36" t="n">
        <v>4.87</v>
      </c>
      <c r="H548" s="36" t="n">
        <v>18</v>
      </c>
      <c r="I548" s="37" t="n">
        <v>0.4390243902439024</v>
      </c>
      <c r="J548" s="36" t="n">
        <v>3</v>
      </c>
      <c r="K548" s="37" t="n">
        <v>0.375</v>
      </c>
      <c r="L548" s="36" t="n">
        <v>15</v>
      </c>
      <c r="M548" s="37" t="n">
        <v>0.4545454545454545</v>
      </c>
      <c r="N548" s="36" t="n">
        <v>3</v>
      </c>
      <c r="O548" s="37" t="n">
        <v>1</v>
      </c>
      <c r="P548" s="36" t="n">
        <v>3</v>
      </c>
      <c r="Q548" s="37" t="n">
        <v>1</v>
      </c>
      <c r="R548" s="36" t="n">
        <v>41</v>
      </c>
      <c r="S548" s="37" t="n">
        <v>1</v>
      </c>
      <c r="T548" s="36" t="n">
        <v>8</v>
      </c>
      <c r="U548" s="37" t="n">
        <v>0.1951219512195122</v>
      </c>
      <c r="V548" s="38" t="n">
        <v>0</v>
      </c>
      <c r="W548" s="38" t="n">
        <v>5.076000000000001</v>
      </c>
      <c r="X548" s="38" t="n">
        <v>9.075000000000003</v>
      </c>
      <c r="Y548" s="38" t="n">
        <v>100.2</v>
      </c>
      <c r="Z548" s="38" t="n">
        <v>0</v>
      </c>
      <c r="AA548" s="36" t="n">
        <v>28</v>
      </c>
      <c r="AB548" s="37" t="n">
        <v>0.509090909090909</v>
      </c>
      <c r="AC548" s="36" t="n">
        <v>8</v>
      </c>
      <c r="AD548" s="37" t="n">
        <v>0.6153846153846154</v>
      </c>
      <c r="AE548" s="36" t="n">
        <v>19</v>
      </c>
      <c r="AF548" s="37" t="n">
        <v>0.4871794871794872</v>
      </c>
      <c r="AG548" s="36" t="n">
        <v>7</v>
      </c>
      <c r="AH548" s="37" t="n">
        <v>0.875</v>
      </c>
    </row>
    <row r="549">
      <c r="A549" s="53" t="n">
        <v>45764</v>
      </c>
      <c r="B549" t="inlineStr">
        <is>
          <t>R01_Sumbagut</t>
        </is>
      </c>
      <c r="C549" t="inlineStr">
        <is>
          <t>NOP PADANG SIDEMPUAN</t>
        </is>
      </c>
      <c r="D549" s="38" t="n">
        <v>0.61</v>
      </c>
      <c r="E549" s="38" t="n">
        <v>1.666</v>
      </c>
      <c r="F549" s="36" t="n">
        <v>6.361000000000019</v>
      </c>
      <c r="G549" s="36" t="n">
        <v>3.892000000000002</v>
      </c>
      <c r="H549" s="36" t="n">
        <v>11</v>
      </c>
      <c r="I549" s="37" t="n">
        <v>0.1833333333333333</v>
      </c>
      <c r="J549" s="36" t="n">
        <v>1</v>
      </c>
      <c r="K549" s="37" t="n">
        <v>0.125</v>
      </c>
      <c r="L549" s="36" t="n">
        <v>10</v>
      </c>
      <c r="M549" s="37" t="n">
        <v>0.1923076923076923</v>
      </c>
      <c r="N549" s="36" t="n">
        <v>1</v>
      </c>
      <c r="O549" s="37" t="n">
        <v>1</v>
      </c>
      <c r="P549" s="36" t="n">
        <v>1</v>
      </c>
      <c r="Q549" s="37" t="n">
        <v>1</v>
      </c>
      <c r="R549" s="36" t="n">
        <v>60</v>
      </c>
      <c r="S549" s="37" t="n">
        <v>1</v>
      </c>
      <c r="T549" s="36" t="n">
        <v>7</v>
      </c>
      <c r="U549" s="37" t="n">
        <v>0.1166666666666667</v>
      </c>
      <c r="V549" s="38" t="n">
        <v>0</v>
      </c>
      <c r="W549" s="38" t="n">
        <v>1.58</v>
      </c>
      <c r="X549" s="38" t="n">
        <v>12.006</v>
      </c>
      <c r="Y549" s="38" t="n">
        <v>58.06</v>
      </c>
      <c r="Z549" s="38" t="n">
        <v>0</v>
      </c>
      <c r="AA549" s="36" t="n">
        <v>60</v>
      </c>
      <c r="AB549" s="37" t="n">
        <v>0.2281368821292776</v>
      </c>
      <c r="AC549" s="36" t="n">
        <v>19</v>
      </c>
      <c r="AD549" s="37" t="n">
        <v>0.38</v>
      </c>
      <c r="AE549" s="36" t="n">
        <v>41</v>
      </c>
      <c r="AF549" s="37" t="n">
        <v>0.1952380952380952</v>
      </c>
      <c r="AG549" s="36" t="n">
        <v>6</v>
      </c>
      <c r="AH549" s="37" t="n">
        <v>0.3157894736842105</v>
      </c>
    </row>
    <row r="550">
      <c r="A550" s="53" t="n">
        <v>45764</v>
      </c>
      <c r="B550" t="inlineStr">
        <is>
          <t>R01_Sumbagut</t>
        </is>
      </c>
      <c r="C550" t="inlineStr">
        <is>
          <t>NOP PEMATANG SIANTAR</t>
        </is>
      </c>
      <c r="D550" s="38" t="n">
        <v>3.39</v>
      </c>
      <c r="E550" s="38" t="n">
        <v>6.664</v>
      </c>
      <c r="F550" s="36" t="n">
        <v>6.92</v>
      </c>
      <c r="G550" s="36" t="n">
        <v>7.859</v>
      </c>
      <c r="H550" s="36" t="n">
        <v>45</v>
      </c>
      <c r="I550" s="37" t="n">
        <v>0.4891304347826087</v>
      </c>
      <c r="J550" s="36" t="n">
        <v>15</v>
      </c>
      <c r="K550" s="37" t="n">
        <v>0.7142857142857143</v>
      </c>
      <c r="L550" s="36" t="n">
        <v>30</v>
      </c>
      <c r="M550" s="37" t="n">
        <v>0.4225352112676056</v>
      </c>
      <c r="N550" s="36" t="n">
        <v>14</v>
      </c>
      <c r="O550" s="37" t="n">
        <v>0.9333333333333333</v>
      </c>
      <c r="P550" s="36" t="n">
        <v>14</v>
      </c>
      <c r="Q550" s="37" t="n">
        <v>0.9333333333333333</v>
      </c>
      <c r="R550" s="36" t="n">
        <v>92</v>
      </c>
      <c r="S550" s="37" t="n">
        <v>1</v>
      </c>
      <c r="T550" s="36" t="n">
        <v>34</v>
      </c>
      <c r="U550" s="37" t="n">
        <v>0.3695652173913043</v>
      </c>
      <c r="V550" s="38" t="n">
        <v>0</v>
      </c>
      <c r="W550" s="38" t="n">
        <v>4.62</v>
      </c>
      <c r="X550" s="38" t="n">
        <v>99.09400000000004</v>
      </c>
      <c r="Y550" s="38" t="n">
        <v>25.666</v>
      </c>
      <c r="Z550" s="38" t="n">
        <v>0</v>
      </c>
      <c r="AA550" s="36" t="n">
        <v>63</v>
      </c>
      <c r="AB550" s="37" t="n">
        <v>0.1363636363636364</v>
      </c>
      <c r="AC550" s="36" t="n">
        <v>10</v>
      </c>
      <c r="AD550" s="37" t="n">
        <v>0.2777777777777778</v>
      </c>
      <c r="AE550" s="36" t="n">
        <v>50</v>
      </c>
      <c r="AF550" s="37" t="n">
        <v>0.1199040767386091</v>
      </c>
      <c r="AG550" s="36" t="n">
        <v>10</v>
      </c>
      <c r="AH550" s="37" t="n">
        <v>1</v>
      </c>
    </row>
    <row r="551">
      <c r="A551" s="53" t="n">
        <v>45764</v>
      </c>
      <c r="B551" t="inlineStr">
        <is>
          <t>R01_Sumbagut</t>
        </is>
      </c>
      <c r="C551" t="inlineStr">
        <is>
          <t>NOP RANTAU PRAPAT</t>
        </is>
      </c>
      <c r="D551" s="38" t="n">
        <v>0.39</v>
      </c>
      <c r="E551" s="38" t="n">
        <v>2.95</v>
      </c>
      <c r="F551" s="36" t="n">
        <v>3.004</v>
      </c>
      <c r="G551" s="36" t="n">
        <v>3.68</v>
      </c>
      <c r="H551" s="36" t="n">
        <v>52</v>
      </c>
      <c r="I551" s="37" t="n">
        <v>0.3312101910828025</v>
      </c>
      <c r="J551" s="36" t="n">
        <v>8</v>
      </c>
      <c r="K551" s="37" t="n">
        <v>0.3333333333333333</v>
      </c>
      <c r="L551" s="36" t="n">
        <v>44</v>
      </c>
      <c r="M551" s="37" t="n">
        <v>0.3308270676691729</v>
      </c>
      <c r="N551" s="36" t="n">
        <v>7</v>
      </c>
      <c r="O551" s="37" t="n">
        <v>0.875</v>
      </c>
      <c r="P551" s="36" t="n">
        <v>7</v>
      </c>
      <c r="Q551" s="37" t="n">
        <v>0.875</v>
      </c>
      <c r="R551" s="36" t="n">
        <v>156</v>
      </c>
      <c r="S551" s="37" t="n">
        <v>0.9936305732484076</v>
      </c>
      <c r="T551" s="36" t="n">
        <v>33</v>
      </c>
      <c r="U551" s="37" t="n">
        <v>0.2101910828025478</v>
      </c>
      <c r="V551" s="38" t="n">
        <v>0</v>
      </c>
      <c r="W551" s="38" t="n">
        <v>19.00800000000002</v>
      </c>
      <c r="X551" s="38" t="n">
        <v>51.31400000000008</v>
      </c>
      <c r="Y551" s="38" t="n">
        <v>29.33100000000001</v>
      </c>
      <c r="Z551" s="38" t="n">
        <v>0</v>
      </c>
      <c r="AA551" s="36" t="n">
        <v>16</v>
      </c>
      <c r="AB551" s="37" t="n">
        <v>0.0425531914893617</v>
      </c>
      <c r="AC551" s="36" t="n">
        <v>2</v>
      </c>
      <c r="AD551" s="37" t="n">
        <v>0.08</v>
      </c>
      <c r="AE551" s="36" t="n">
        <v>11</v>
      </c>
      <c r="AF551" s="37" t="n">
        <v>0.03264094955489615</v>
      </c>
      <c r="AG551" s="36" t="n">
        <v>1</v>
      </c>
      <c r="AH551" s="37" t="n">
        <v>0.5</v>
      </c>
    </row>
    <row r="552">
      <c r="A552" s="53" t="n">
        <v>45764</v>
      </c>
      <c r="B552" t="inlineStr">
        <is>
          <t>R10_Sumbagteng</t>
        </is>
      </c>
      <c r="C552" t="inlineStr">
        <is>
          <t>NOP BATAM</t>
        </is>
      </c>
      <c r="D552" s="38" t="n">
        <v>0</v>
      </c>
      <c r="E552" s="38" t="n">
        <v>6.66</v>
      </c>
      <c r="F552" s="36" t="n">
        <v>8.59</v>
      </c>
      <c r="G552" s="36" t="n">
        <v>12.97999999999999</v>
      </c>
      <c r="H552" s="36" t="n">
        <v>32</v>
      </c>
      <c r="I552" s="37" t="n">
        <v>0.2857142857142857</v>
      </c>
      <c r="J552" s="36" t="n">
        <v>3</v>
      </c>
      <c r="K552" s="37" t="n">
        <v>0.1875</v>
      </c>
      <c r="L552" s="36" t="n">
        <v>29</v>
      </c>
      <c r="M552" s="37" t="n">
        <v>0.3020833333333333</v>
      </c>
      <c r="N552" s="36" t="n">
        <v>2</v>
      </c>
      <c r="O552" s="37" t="n">
        <v>0.6666666666666666</v>
      </c>
      <c r="P552" s="36" t="n">
        <v>2</v>
      </c>
      <c r="Q552" s="37" t="n">
        <v>0.6666666666666666</v>
      </c>
      <c r="R552" s="36" t="n">
        <v>112</v>
      </c>
      <c r="S552" s="37" t="n">
        <v>1</v>
      </c>
      <c r="T552" s="36" t="n">
        <v>27</v>
      </c>
      <c r="U552" s="37" t="n">
        <v>0.2410714285714286</v>
      </c>
      <c r="V552" s="38" t="n">
        <v>0</v>
      </c>
      <c r="W552" s="38" t="n">
        <v>3.365</v>
      </c>
      <c r="X552" s="38" t="n">
        <v>10.246</v>
      </c>
      <c r="Y552" s="38" t="n">
        <v>66.57800000000009</v>
      </c>
      <c r="Z552" s="38" t="n">
        <v>0</v>
      </c>
      <c r="AA552" s="36" t="n">
        <v>23</v>
      </c>
      <c r="AB552" s="37" t="n">
        <v>0.08333333333333333</v>
      </c>
      <c r="AC552" s="36" t="n">
        <v>14</v>
      </c>
      <c r="AD552" s="37" t="n">
        <v>0.2692307692307692</v>
      </c>
      <c r="AE552" s="36" t="n">
        <v>9</v>
      </c>
      <c r="AF552" s="37" t="n">
        <v>0.04054054054054054</v>
      </c>
      <c r="AG552" s="36" t="n">
        <v>13</v>
      </c>
      <c r="AH552" s="37" t="n">
        <v>0.9285714285714286</v>
      </c>
    </row>
    <row r="553">
      <c r="A553" s="53" t="n">
        <v>45764</v>
      </c>
      <c r="B553" t="inlineStr">
        <is>
          <t>R10_Sumbagteng</t>
        </is>
      </c>
      <c r="C553" t="inlineStr">
        <is>
          <t>NOP BUKITTINGGI</t>
        </is>
      </c>
      <c r="D553" s="38" t="n">
        <v>0</v>
      </c>
      <c r="E553" s="38" t="n">
        <v>2.524999999999999</v>
      </c>
      <c r="F553" s="36" t="n">
        <v>4.04</v>
      </c>
      <c r="G553" s="36" t="n">
        <v>7.473000000000003</v>
      </c>
      <c r="H553" s="36" t="n">
        <v>30</v>
      </c>
      <c r="I553" s="37" t="n">
        <v>0.7692307692307693</v>
      </c>
      <c r="J553" s="36" t="n">
        <v>8</v>
      </c>
      <c r="K553" s="37" t="n">
        <v>1</v>
      </c>
      <c r="L553" s="36" t="n">
        <v>22</v>
      </c>
      <c r="M553" s="37" t="n">
        <v>0.7096774193548387</v>
      </c>
      <c r="N553" s="36" t="n">
        <v>4</v>
      </c>
      <c r="O553" s="37" t="n">
        <v>0.5</v>
      </c>
      <c r="P553" s="36" t="n">
        <v>4</v>
      </c>
      <c r="Q553" s="37" t="n">
        <v>0.5</v>
      </c>
      <c r="R553" s="36" t="n">
        <v>39</v>
      </c>
      <c r="S553" s="37" t="n">
        <v>1</v>
      </c>
      <c r="T553" s="36" t="n">
        <v>20</v>
      </c>
      <c r="U553" s="37" t="n">
        <v>0.5128205128205128</v>
      </c>
      <c r="V553" s="38" t="n">
        <v>0</v>
      </c>
      <c r="W553" s="38" t="n">
        <v>1.820000000000001</v>
      </c>
      <c r="X553" s="38" t="n">
        <v>8</v>
      </c>
      <c r="Y553" s="38" t="n">
        <v>95.98999999999999</v>
      </c>
      <c r="Z553" s="38" t="n">
        <v>0</v>
      </c>
      <c r="AA553" s="36" t="n">
        <v>74</v>
      </c>
      <c r="AB553" s="37" t="n">
        <v>0.5103448275862069</v>
      </c>
      <c r="AC553" s="36" t="n">
        <v>14</v>
      </c>
      <c r="AD553" s="37" t="n">
        <v>1</v>
      </c>
      <c r="AE553" s="36" t="n">
        <v>60</v>
      </c>
      <c r="AF553" s="37" t="n">
        <v>0.4615384615384616</v>
      </c>
      <c r="AG553" s="36" t="n">
        <v>11</v>
      </c>
      <c r="AH553" s="37" t="n">
        <v>0.7857142857142857</v>
      </c>
    </row>
    <row r="554">
      <c r="A554" s="53" t="n">
        <v>45764</v>
      </c>
      <c r="B554" t="inlineStr">
        <is>
          <t>R10_Sumbagteng</t>
        </is>
      </c>
      <c r="C554" t="inlineStr">
        <is>
          <t>NOP DUMAI</t>
        </is>
      </c>
      <c r="D554" s="38" t="n">
        <v>1.22</v>
      </c>
      <c r="E554" s="38" t="n">
        <v>4.938000000000009</v>
      </c>
      <c r="F554" s="36" t="n">
        <v>12.30800000000001</v>
      </c>
      <c r="G554" s="36" t="n">
        <v>6.5</v>
      </c>
      <c r="H554" s="36" t="n">
        <v>111</v>
      </c>
      <c r="I554" s="37" t="n">
        <v>0.5235849056603774</v>
      </c>
      <c r="J554" s="36" t="n">
        <v>45</v>
      </c>
      <c r="K554" s="37" t="n">
        <v>0.5844155844155844</v>
      </c>
      <c r="L554" s="36" t="n">
        <v>66</v>
      </c>
      <c r="M554" s="37" t="n">
        <v>0.4888888888888889</v>
      </c>
      <c r="N554" s="36" t="n">
        <v>34</v>
      </c>
      <c r="O554" s="37" t="n">
        <v>0.7555555555555555</v>
      </c>
      <c r="P554" s="36" t="n">
        <v>33</v>
      </c>
      <c r="Q554" s="37" t="n">
        <v>0.75</v>
      </c>
      <c r="R554" s="36" t="n">
        <v>197</v>
      </c>
      <c r="S554" s="37" t="n">
        <v>0.9292452830188679</v>
      </c>
      <c r="T554" s="36" t="n">
        <v>69</v>
      </c>
      <c r="U554" s="37" t="n">
        <v>0.3254716981132075</v>
      </c>
      <c r="V554" s="38" t="n">
        <v>0</v>
      </c>
      <c r="W554" s="38" t="n">
        <v>5.73</v>
      </c>
      <c r="X554" s="38" t="n">
        <v>63.99800000000005</v>
      </c>
      <c r="Y554" s="38" t="n">
        <v>123.5400000000003</v>
      </c>
      <c r="Z554" s="38" t="n">
        <v>0</v>
      </c>
      <c r="AA554" s="36" t="n">
        <v>99</v>
      </c>
      <c r="AB554" s="37" t="n">
        <v>0.2757660167130919</v>
      </c>
      <c r="AC554" s="36" t="n">
        <v>17</v>
      </c>
      <c r="AD554" s="37" t="n">
        <v>0.3333333333333333</v>
      </c>
      <c r="AE554" s="36" t="n">
        <v>82</v>
      </c>
      <c r="AF554" s="37" t="n">
        <v>0.2897526501766785</v>
      </c>
      <c r="AG554" s="36" t="n">
        <v>17</v>
      </c>
      <c r="AH554" s="37" t="n">
        <v>1</v>
      </c>
    </row>
    <row r="555">
      <c r="A555" s="53" t="n">
        <v>45764</v>
      </c>
      <c r="B555" t="inlineStr">
        <is>
          <t>R10_Sumbagteng</t>
        </is>
      </c>
      <c r="C555" t="inlineStr">
        <is>
          <t>NOP PADANG</t>
        </is>
      </c>
      <c r="D555" s="38" t="n">
        <v>0</v>
      </c>
      <c r="E555" s="38" t="n">
        <v>2.47</v>
      </c>
      <c r="F555" s="36" t="n">
        <v>7.95</v>
      </c>
      <c r="G555" s="36" t="n">
        <v>3.387</v>
      </c>
      <c r="H555" s="36" t="n">
        <v>54</v>
      </c>
      <c r="I555" s="37" t="n">
        <v>0.8571428571428571</v>
      </c>
      <c r="J555" s="36" t="n">
        <v>6</v>
      </c>
      <c r="K555" s="37" t="n">
        <v>1</v>
      </c>
      <c r="L555" s="36" t="n">
        <v>48</v>
      </c>
      <c r="M555" s="37" t="n">
        <v>0.8421052631578947</v>
      </c>
      <c r="N555" s="36" t="n">
        <v>2</v>
      </c>
      <c r="O555" s="37" t="n">
        <v>0.3333333333333333</v>
      </c>
      <c r="P555" s="36" t="n">
        <v>2</v>
      </c>
      <c r="Q555" s="37" t="n">
        <v>0.3333333333333333</v>
      </c>
      <c r="R555" s="36" t="n">
        <v>63</v>
      </c>
      <c r="S555" s="37" t="n">
        <v>1</v>
      </c>
      <c r="T555" s="36" t="n">
        <v>18</v>
      </c>
      <c r="U555" s="37" t="n">
        <v>0.2857142857142857</v>
      </c>
      <c r="V555" s="38" t="n">
        <v>0</v>
      </c>
      <c r="W555" s="38" t="n">
        <v>6.994999999999999</v>
      </c>
      <c r="X555" s="38" t="n">
        <v>49.072</v>
      </c>
      <c r="Y555" s="38" t="n">
        <v>60.41599999999998</v>
      </c>
      <c r="Z555" s="38" t="n">
        <v>0</v>
      </c>
      <c r="AA555" s="36" t="n">
        <v>238</v>
      </c>
      <c r="AB555" s="37" t="n">
        <v>0.8263888888888888</v>
      </c>
      <c r="AC555" s="36" t="n">
        <v>21</v>
      </c>
      <c r="AD555" s="37" t="n">
        <v>0.8076923076923077</v>
      </c>
      <c r="AE555" s="36" t="n">
        <v>216</v>
      </c>
      <c r="AF555" s="37" t="n">
        <v>0.8307692307692308</v>
      </c>
      <c r="AG555" s="36" t="n">
        <v>7</v>
      </c>
      <c r="AH555" s="37" t="n">
        <v>0.3333333333333333</v>
      </c>
    </row>
    <row r="556">
      <c r="A556" s="53" t="n">
        <v>45764</v>
      </c>
      <c r="B556" t="inlineStr">
        <is>
          <t>R10_Sumbagteng</t>
        </is>
      </c>
      <c r="C556" t="inlineStr">
        <is>
          <t>NOP PEKANBARU</t>
        </is>
      </c>
      <c r="D556" s="38" t="n">
        <v>9.449999999999999</v>
      </c>
      <c r="E556" s="38" t="n">
        <v>10.36</v>
      </c>
      <c r="F556" s="36" t="n">
        <v>4.02</v>
      </c>
      <c r="G556" s="36" t="n">
        <v>24.72</v>
      </c>
      <c r="H556" s="36" t="n">
        <v>126</v>
      </c>
      <c r="I556" s="37" t="n">
        <v>0.5753424657534246</v>
      </c>
      <c r="J556" s="36" t="n">
        <v>21</v>
      </c>
      <c r="K556" s="37" t="n">
        <v>0.5121951219512195</v>
      </c>
      <c r="L556" s="36" t="n">
        <v>105</v>
      </c>
      <c r="M556" s="37" t="n">
        <v>0.5898876404494382</v>
      </c>
      <c r="N556" s="36" t="n">
        <v>17</v>
      </c>
      <c r="O556" s="37" t="n">
        <v>0.8095238095238095</v>
      </c>
      <c r="P556" s="36" t="n">
        <v>17</v>
      </c>
      <c r="Q556" s="37" t="n">
        <v>0.8095238095238095</v>
      </c>
      <c r="R556" s="36" t="n">
        <v>216</v>
      </c>
      <c r="S556" s="37" t="n">
        <v>0.9863013698630136</v>
      </c>
      <c r="T556" s="36" t="n">
        <v>70</v>
      </c>
      <c r="U556" s="37" t="n">
        <v>0.319634703196347</v>
      </c>
      <c r="V556" s="38" t="n">
        <v>0.01</v>
      </c>
      <c r="W556" s="38" t="n">
        <v>3.819</v>
      </c>
      <c r="X556" s="38" t="n">
        <v>38.36000000000001</v>
      </c>
      <c r="Y556" s="38" t="n">
        <v>216.378</v>
      </c>
      <c r="Z556" s="38" t="n">
        <v>0</v>
      </c>
      <c r="AA556" s="36" t="n">
        <v>92</v>
      </c>
      <c r="AB556" s="37" t="n">
        <v>0.2929936305732484</v>
      </c>
      <c r="AC556" s="36" t="n">
        <v>32</v>
      </c>
      <c r="AD556" s="37" t="n">
        <v>0.4383561643835616</v>
      </c>
      <c r="AE556" s="36" t="n">
        <v>56</v>
      </c>
      <c r="AF556" s="37" t="n">
        <v>0.2616822429906542</v>
      </c>
      <c r="AG556" s="36" t="n">
        <v>27</v>
      </c>
      <c r="AH556" s="37" t="n">
        <v>0.84375</v>
      </c>
    </row>
    <row r="557">
      <c r="A557" s="53" t="n">
        <v>45764</v>
      </c>
      <c r="B557" t="inlineStr">
        <is>
          <t>R02_Sumbagsel</t>
        </is>
      </c>
      <c r="C557" t="inlineStr">
        <is>
          <t>NOP BENGKULU</t>
        </is>
      </c>
      <c r="D557" s="38" t="n">
        <v>0.98</v>
      </c>
      <c r="E557" s="38" t="n">
        <v>1.655</v>
      </c>
      <c r="F557" s="36" t="n">
        <v>2.38</v>
      </c>
      <c r="G557" s="36" t="n">
        <v>4.694000000000004</v>
      </c>
      <c r="H557" s="36" t="n">
        <v>28</v>
      </c>
      <c r="I557" s="37" t="n">
        <v>0.2947368421052631</v>
      </c>
      <c r="J557" s="36" t="n">
        <v>7</v>
      </c>
      <c r="K557" s="37" t="n">
        <v>0.3181818181818182</v>
      </c>
      <c r="L557" s="36" t="n">
        <v>21</v>
      </c>
      <c r="M557" s="37" t="n">
        <v>0.2876712328767123</v>
      </c>
      <c r="N557" s="36" t="n">
        <v>4</v>
      </c>
      <c r="O557" s="37" t="n">
        <v>0.5714285714285714</v>
      </c>
      <c r="P557" s="36" t="n">
        <v>4</v>
      </c>
      <c r="Q557" s="37" t="n">
        <v>0.5714285714285714</v>
      </c>
      <c r="R557" s="36" t="n">
        <v>95</v>
      </c>
      <c r="S557" s="37" t="n">
        <v>1</v>
      </c>
      <c r="T557" s="36" t="n">
        <v>16</v>
      </c>
      <c r="U557" s="37" t="n">
        <v>0.1684210526315789</v>
      </c>
      <c r="V557" s="38" t="n">
        <v>0</v>
      </c>
      <c r="W557" s="38" t="n">
        <v>5.253000000000002</v>
      </c>
      <c r="X557" s="38" t="n">
        <v>3.636000000000001</v>
      </c>
      <c r="Y557" s="38" t="n">
        <v>4.99</v>
      </c>
      <c r="Z557" s="38" t="n">
        <v>0</v>
      </c>
      <c r="AA557" s="36" t="n">
        <v>116</v>
      </c>
      <c r="AB557" s="37" t="n">
        <v>0.4793388429752066</v>
      </c>
      <c r="AC557" s="36" t="n">
        <v>57</v>
      </c>
      <c r="AD557" s="37" t="n">
        <v>0.3518518518518519</v>
      </c>
      <c r="AE557" s="36" t="n">
        <v>35</v>
      </c>
      <c r="AF557" s="37" t="n">
        <v>0.7</v>
      </c>
      <c r="AG557" s="36" t="n">
        <v>51</v>
      </c>
      <c r="AH557" s="37" t="n">
        <v>0.8947368421052632</v>
      </c>
    </row>
    <row r="558">
      <c r="A558" s="53" t="n">
        <v>45764</v>
      </c>
      <c r="B558" t="inlineStr">
        <is>
          <t>R02_Sumbagsel</t>
        </is>
      </c>
      <c r="C558" t="inlineStr">
        <is>
          <t>NOP JAMBI</t>
        </is>
      </c>
      <c r="D558" s="38" t="n">
        <v>5.64</v>
      </c>
      <c r="E558" s="38" t="n">
        <v>4.003</v>
      </c>
      <c r="F558" s="36" t="n">
        <v>8.220000000000001</v>
      </c>
      <c r="G558" s="36" t="n">
        <v>5.221000000000005</v>
      </c>
      <c r="H558" s="36" t="n">
        <v>58</v>
      </c>
      <c r="I558" s="37" t="n">
        <v>0.4603174603174603</v>
      </c>
      <c r="J558" s="36" t="n">
        <v>24</v>
      </c>
      <c r="K558" s="37" t="n">
        <v>0.5581395348837209</v>
      </c>
      <c r="L558" s="36" t="n">
        <v>34</v>
      </c>
      <c r="M558" s="37" t="n">
        <v>0.4096385542168675</v>
      </c>
      <c r="N558" s="36" t="n">
        <v>13</v>
      </c>
      <c r="O558" s="37" t="n">
        <v>0.5416666666666666</v>
      </c>
      <c r="P558" s="36" t="n">
        <v>13</v>
      </c>
      <c r="Q558" s="37" t="n">
        <v>0.5416666666666666</v>
      </c>
      <c r="R558" s="36" t="n">
        <v>126</v>
      </c>
      <c r="S558" s="37" t="n">
        <v>1</v>
      </c>
      <c r="T558" s="36" t="n">
        <v>36</v>
      </c>
      <c r="U558" s="37" t="n">
        <v>0.2857142857142857</v>
      </c>
      <c r="V558" s="38" t="n">
        <v>0</v>
      </c>
      <c r="W558" s="38" t="n">
        <v>12.18</v>
      </c>
      <c r="X558" s="38" t="n">
        <v>5.798</v>
      </c>
      <c r="Y558" s="38" t="n">
        <v>13</v>
      </c>
      <c r="Z558" s="38" t="n">
        <v>0</v>
      </c>
      <c r="AA558" s="36" t="n">
        <v>127</v>
      </c>
      <c r="AB558" s="37" t="n">
        <v>0.5746606334841629</v>
      </c>
      <c r="AC558" s="36" t="n">
        <v>56</v>
      </c>
      <c r="AD558" s="37" t="n">
        <v>0.6436781609195402</v>
      </c>
      <c r="AE558" s="36" t="n">
        <v>60</v>
      </c>
      <c r="AF558" s="37" t="n">
        <v>0.5405405405405406</v>
      </c>
      <c r="AG558" s="36" t="n">
        <v>46</v>
      </c>
      <c r="AH558" s="37" t="n">
        <v>0.8214285714285714</v>
      </c>
    </row>
    <row r="559">
      <c r="A559" s="53" t="n">
        <v>45764</v>
      </c>
      <c r="B559" t="inlineStr">
        <is>
          <t>R02_Sumbagsel</t>
        </is>
      </c>
      <c r="C559" t="inlineStr">
        <is>
          <t>NOP LAMPUNG</t>
        </is>
      </c>
      <c r="D559" s="38" t="n">
        <v>0</v>
      </c>
      <c r="E559" s="38" t="n">
        <v>2.758</v>
      </c>
      <c r="F559" s="36" t="n">
        <v>2.83</v>
      </c>
      <c r="G559" s="36" t="n">
        <v>4.882</v>
      </c>
      <c r="H559" s="36" t="n">
        <v>23</v>
      </c>
      <c r="I559" s="37" t="n">
        <v>0.4259259259259259</v>
      </c>
      <c r="J559" s="36" t="n">
        <v>1</v>
      </c>
      <c r="K559" s="37" t="n">
        <v>0.1111111111111111</v>
      </c>
      <c r="L559" s="36" t="n">
        <v>22</v>
      </c>
      <c r="M559" s="37" t="n">
        <v>0.4888888888888889</v>
      </c>
      <c r="N559" s="36" t="n">
        <v>1</v>
      </c>
      <c r="O559" s="37" t="n">
        <v>1</v>
      </c>
      <c r="P559" s="36" t="n">
        <v>1</v>
      </c>
      <c r="Q559" s="37" t="n">
        <v>1</v>
      </c>
      <c r="R559" s="36" t="n">
        <v>54</v>
      </c>
      <c r="S559" s="37" t="n">
        <v>1</v>
      </c>
      <c r="T559" s="36" t="n">
        <v>12</v>
      </c>
      <c r="U559" s="37" t="n">
        <v>0.2222222222222222</v>
      </c>
      <c r="V559" s="38" t="n">
        <v>0</v>
      </c>
      <c r="W559" s="38" t="n">
        <v>3.651</v>
      </c>
      <c r="X559" s="38" t="n">
        <v>4.57</v>
      </c>
      <c r="Y559" s="38" t="n">
        <v>26.302</v>
      </c>
      <c r="Z559" s="38" t="n">
        <v>0</v>
      </c>
      <c r="AA559" s="36" t="n">
        <v>170</v>
      </c>
      <c r="AB559" s="37" t="n">
        <v>0.9392265193370166</v>
      </c>
      <c r="AC559" s="36" t="n">
        <v>51</v>
      </c>
      <c r="AD559" s="37" t="n">
        <v>0.8793103448275862</v>
      </c>
      <c r="AE559" s="36" t="n">
        <v>117</v>
      </c>
      <c r="AF559" s="37" t="n">
        <v>0.975</v>
      </c>
      <c r="AG559" s="36" t="n">
        <v>38</v>
      </c>
      <c r="AH559" s="37" t="n">
        <v>0.7450980392156863</v>
      </c>
    </row>
    <row r="560">
      <c r="A560" s="53" t="n">
        <v>45764</v>
      </c>
      <c r="B560" t="inlineStr">
        <is>
          <t>R02_Sumbagsel</t>
        </is>
      </c>
      <c r="C560" t="inlineStr">
        <is>
          <t>NOP MUARA ENIM</t>
        </is>
      </c>
      <c r="D560" s="38" t="n">
        <v>2.22</v>
      </c>
      <c r="E560" s="38" t="n">
        <v>1.19</v>
      </c>
      <c r="F560" s="36" t="n">
        <v>5.27</v>
      </c>
      <c r="G560" s="36" t="n">
        <v>5.41</v>
      </c>
      <c r="H560" s="36" t="n">
        <v>44</v>
      </c>
      <c r="I560" s="37" t="n">
        <v>0.3893805309734513</v>
      </c>
      <c r="J560" s="36" t="n">
        <v>13</v>
      </c>
      <c r="K560" s="37" t="n">
        <v>0.4482758620689655</v>
      </c>
      <c r="L560" s="36" t="n">
        <v>31</v>
      </c>
      <c r="M560" s="37" t="n">
        <v>0.3690476190476191</v>
      </c>
      <c r="N560" s="36" t="n">
        <v>8</v>
      </c>
      <c r="O560" s="37" t="n">
        <v>0.6153846153846154</v>
      </c>
      <c r="P560" s="36" t="n">
        <v>7</v>
      </c>
      <c r="Q560" s="37" t="n">
        <v>0.7</v>
      </c>
      <c r="R560" s="36" t="n">
        <v>108</v>
      </c>
      <c r="S560" s="37" t="n">
        <v>0.9557522123893806</v>
      </c>
      <c r="T560" s="36" t="n">
        <v>25</v>
      </c>
      <c r="U560" s="37" t="n">
        <v>0.2212389380530974</v>
      </c>
      <c r="V560" s="38" t="n">
        <v>0</v>
      </c>
      <c r="W560" s="38" t="n">
        <v>4.56</v>
      </c>
      <c r="X560" s="38" t="n">
        <v>4.624000000000001</v>
      </c>
      <c r="Y560" s="38" t="n">
        <v>2.84</v>
      </c>
      <c r="Z560" s="38" t="n">
        <v>0</v>
      </c>
      <c r="AA560" s="36" t="n">
        <v>63</v>
      </c>
      <c r="AB560" s="37" t="n">
        <v>0.3519553072625698</v>
      </c>
      <c r="AC560" s="36" t="n">
        <v>23</v>
      </c>
      <c r="AD560" s="37" t="n">
        <v>0.4509803921568628</v>
      </c>
      <c r="AE560" s="36" t="n">
        <v>35</v>
      </c>
      <c r="AF560" s="37" t="n">
        <v>0.3535353535353535</v>
      </c>
      <c r="AG560" s="36" t="n">
        <v>18</v>
      </c>
      <c r="AH560" s="37" t="n">
        <v>0.7826086956521739</v>
      </c>
    </row>
    <row r="561">
      <c r="A561" s="53" t="n">
        <v>45764</v>
      </c>
      <c r="B561" t="inlineStr">
        <is>
          <t>R02_Sumbagsel</t>
        </is>
      </c>
      <c r="C561" t="inlineStr">
        <is>
          <t>NOP PALEMBANG</t>
        </is>
      </c>
      <c r="D561" s="38" t="n">
        <v>2.032</v>
      </c>
      <c r="E561" s="38" t="n">
        <v>6.927000000000001</v>
      </c>
      <c r="F561" s="36" t="n">
        <v>7.535000000000006</v>
      </c>
      <c r="G561" s="36" t="n">
        <v>10</v>
      </c>
      <c r="H561" s="36" t="n">
        <v>68</v>
      </c>
      <c r="I561" s="37" t="n">
        <v>0.3008849557522124</v>
      </c>
      <c r="J561" s="36" t="n">
        <v>5</v>
      </c>
      <c r="K561" s="37" t="n">
        <v>0.1851851851851852</v>
      </c>
      <c r="L561" s="36" t="n">
        <v>63</v>
      </c>
      <c r="M561" s="37" t="n">
        <v>0.3165829145728643</v>
      </c>
      <c r="N561" s="36" t="n">
        <v>2</v>
      </c>
      <c r="O561" s="37" t="n">
        <v>0.4</v>
      </c>
      <c r="P561" s="36" t="n">
        <v>2</v>
      </c>
      <c r="Q561" s="37" t="n">
        <v>0.4</v>
      </c>
      <c r="R561" s="36" t="n">
        <v>226</v>
      </c>
      <c r="S561" s="37" t="n">
        <v>1</v>
      </c>
      <c r="T561" s="36" t="n">
        <v>23</v>
      </c>
      <c r="U561" s="37" t="n">
        <v>0.1017699115044248</v>
      </c>
      <c r="V561" s="38" t="n">
        <v>0</v>
      </c>
      <c r="W561" s="38" t="n">
        <v>8.624000000000006</v>
      </c>
      <c r="X561" s="38" t="n">
        <v>11.35</v>
      </c>
      <c r="Y561" s="38" t="n">
        <v>0.5360000000000003</v>
      </c>
      <c r="Z561" s="38" t="n">
        <v>0</v>
      </c>
      <c r="AA561" s="36" t="n">
        <v>80</v>
      </c>
      <c r="AB561" s="37" t="n">
        <v>0.303030303030303</v>
      </c>
      <c r="AC561" s="36" t="n">
        <v>25</v>
      </c>
      <c r="AD561" s="37" t="n">
        <v>0.2380952380952381</v>
      </c>
      <c r="AE561" s="36" t="n">
        <v>55</v>
      </c>
      <c r="AF561" s="37" t="n">
        <v>0.4166666666666667</v>
      </c>
      <c r="AG561" s="36" t="n">
        <v>13</v>
      </c>
      <c r="AH561" s="37" t="n">
        <v>0.52</v>
      </c>
    </row>
    <row r="562">
      <c r="A562" s="53" t="n">
        <v>45764</v>
      </c>
      <c r="B562" t="inlineStr">
        <is>
          <t>R02_Sumbagsel</t>
        </is>
      </c>
      <c r="C562" t="inlineStr">
        <is>
          <t>NOP PANGKAL PINANG</t>
        </is>
      </c>
      <c r="D562" s="38" t="n">
        <v>0</v>
      </c>
      <c r="E562" s="38" t="n">
        <v>1.258</v>
      </c>
      <c r="F562" s="36" t="n">
        <v>3.73</v>
      </c>
      <c r="G562" s="36" t="n">
        <v>11.784</v>
      </c>
      <c r="H562" s="36" t="n">
        <v>23</v>
      </c>
      <c r="I562" s="37" t="n">
        <v>0.6216216216216216</v>
      </c>
      <c r="J562" s="36" t="n">
        <v>0</v>
      </c>
      <c r="K562" s="37" t="n">
        <v>0</v>
      </c>
      <c r="L562" s="36" t="n">
        <v>23</v>
      </c>
      <c r="M562" s="37" t="n">
        <v>0.696969696969697</v>
      </c>
      <c r="N562" s="36" t="n">
        <v>0</v>
      </c>
      <c r="O562" s="37" t="n">
        <v>0</v>
      </c>
      <c r="P562" s="36" t="n">
        <v>0</v>
      </c>
      <c r="Q562" s="37" t="n">
        <v>0</v>
      </c>
      <c r="R562" s="36" t="n">
        <v>37</v>
      </c>
      <c r="S562" s="37" t="n">
        <v>1</v>
      </c>
      <c r="T562" s="36" t="n">
        <v>15</v>
      </c>
      <c r="U562" s="37" t="n">
        <v>0.4054054054054054</v>
      </c>
      <c r="V562" s="38" t="n">
        <v>0</v>
      </c>
      <c r="W562" s="38" t="n">
        <v>4.125</v>
      </c>
      <c r="X562" s="38" t="n">
        <v>8.34</v>
      </c>
      <c r="Y562" s="38" t="n">
        <v>6.94</v>
      </c>
      <c r="Z562" s="38" t="n">
        <v>0</v>
      </c>
      <c r="AA562" s="36" t="n">
        <v>54</v>
      </c>
      <c r="AB562" s="37" t="n">
        <v>0.9</v>
      </c>
      <c r="AC562" s="36" t="n">
        <v>20</v>
      </c>
      <c r="AD562" s="37" t="n">
        <v>0.9090909090909091</v>
      </c>
      <c r="AE562" s="36" t="n">
        <v>34</v>
      </c>
      <c r="AF562" s="37" t="n">
        <v>0.8947368421052632</v>
      </c>
      <c r="AG562" s="36" t="n">
        <v>16</v>
      </c>
      <c r="AH562" s="37" t="n">
        <v>0.8</v>
      </c>
    </row>
    <row r="563">
      <c r="A563" s="53" t="n">
        <v>45764</v>
      </c>
      <c r="B563" t="inlineStr">
        <is>
          <t>R05_Jawa Tengah DIY</t>
        </is>
      </c>
      <c r="C563" t="inlineStr">
        <is>
          <t>NOP MAGELANG</t>
        </is>
      </c>
      <c r="D563" s="38" t="n">
        <v>2.749</v>
      </c>
      <c r="E563" s="38" t="n">
        <v>0</v>
      </c>
      <c r="F563" s="36" t="n">
        <v>7.72</v>
      </c>
      <c r="G563" s="36" t="n">
        <v>3.399</v>
      </c>
      <c r="H563" s="36" t="n">
        <v>16</v>
      </c>
      <c r="I563" s="37" t="n">
        <v>0.9411764705882353</v>
      </c>
      <c r="J563" s="36" t="n">
        <v>4</v>
      </c>
      <c r="K563" s="37" t="n">
        <v>1</v>
      </c>
      <c r="L563" s="36" t="n">
        <v>12</v>
      </c>
      <c r="M563" s="37" t="n">
        <v>0.9230769230769231</v>
      </c>
      <c r="N563" s="36" t="n">
        <v>3</v>
      </c>
      <c r="O563" s="37" t="n">
        <v>0.75</v>
      </c>
      <c r="P563" s="36" t="n">
        <v>3</v>
      </c>
      <c r="Q563" s="37" t="n">
        <v>0.75</v>
      </c>
      <c r="R563" s="36" t="n">
        <v>17</v>
      </c>
      <c r="S563" s="37" t="n">
        <v>1</v>
      </c>
      <c r="T563" s="36" t="n">
        <v>13</v>
      </c>
      <c r="U563" s="37" t="n">
        <v>0.7647058823529411</v>
      </c>
      <c r="V563" s="38" t="n">
        <v>0</v>
      </c>
      <c r="W563" s="38" t="n">
        <v>2.408</v>
      </c>
      <c r="X563" s="38" t="n">
        <v>5.795999999999999</v>
      </c>
      <c r="Y563" s="38" t="n">
        <v>13.577</v>
      </c>
      <c r="Z563" s="38" t="n">
        <v>0</v>
      </c>
      <c r="AA563" s="36" t="n">
        <v>48</v>
      </c>
      <c r="AB563" s="37" t="n">
        <v>1</v>
      </c>
      <c r="AC563" s="36" t="n">
        <v>9</v>
      </c>
      <c r="AD563" s="37" t="n">
        <v>1</v>
      </c>
      <c r="AE563" s="36" t="n">
        <v>39</v>
      </c>
      <c r="AF563" s="37" t="n">
        <v>1</v>
      </c>
      <c r="AG563" s="36" t="n">
        <v>9</v>
      </c>
      <c r="AH563" s="37" t="n">
        <v>1</v>
      </c>
    </row>
    <row r="564">
      <c r="A564" s="53" t="n">
        <v>45764</v>
      </c>
      <c r="B564" t="inlineStr">
        <is>
          <t>R05_Jawa Tengah DIY</t>
        </is>
      </c>
      <c r="C564" t="inlineStr">
        <is>
          <t>NOP PEKALONGAN</t>
        </is>
      </c>
      <c r="D564" s="38" t="n">
        <v>0</v>
      </c>
      <c r="E564" s="38" t="n">
        <v>0</v>
      </c>
      <c r="F564" s="36" t="n">
        <v>5.557999999999998</v>
      </c>
      <c r="G564" s="36" t="n">
        <v>4.337</v>
      </c>
      <c r="H564" s="36" t="n">
        <v>15</v>
      </c>
      <c r="I564" s="37" t="n">
        <v>0.6</v>
      </c>
      <c r="J564" s="36" t="n">
        <v>0</v>
      </c>
      <c r="K564" s="37" t="n">
        <v>0</v>
      </c>
      <c r="L564" s="36" t="n">
        <v>15</v>
      </c>
      <c r="M564" s="37" t="n">
        <v>0.6</v>
      </c>
      <c r="N564" s="36" t="n">
        <v>0</v>
      </c>
      <c r="O564" s="37" t="n">
        <v>0</v>
      </c>
      <c r="P564" s="36" t="n">
        <v>0</v>
      </c>
      <c r="Q564" s="37" t="n">
        <v>0</v>
      </c>
      <c r="R564" s="36" t="n">
        <v>25</v>
      </c>
      <c r="S564" s="37" t="n">
        <v>1</v>
      </c>
      <c r="T564" s="36" t="n">
        <v>8</v>
      </c>
      <c r="U564" s="37" t="n">
        <v>0.32</v>
      </c>
      <c r="V564" s="38" t="n">
        <v>0</v>
      </c>
      <c r="W564" s="38" t="n">
        <v>2.878</v>
      </c>
      <c r="X564" s="38" t="n">
        <v>2.755</v>
      </c>
      <c r="Y564" s="38" t="n">
        <v>42.746</v>
      </c>
      <c r="Z564" s="38" t="n">
        <v>0</v>
      </c>
      <c r="AA564" s="36" t="n">
        <v>23</v>
      </c>
      <c r="AB564" s="37" t="n">
        <v>0.7666666666666667</v>
      </c>
      <c r="AC564" s="36" t="n">
        <v>6</v>
      </c>
      <c r="AD564" s="37" t="n">
        <v>0.6</v>
      </c>
      <c r="AE564" s="36" t="n">
        <v>17</v>
      </c>
      <c r="AF564" s="37" t="n">
        <v>0.85</v>
      </c>
      <c r="AG564" s="36" t="n">
        <v>3</v>
      </c>
      <c r="AH564" s="37" t="n">
        <v>0.5</v>
      </c>
    </row>
    <row r="565">
      <c r="A565" s="53" t="n">
        <v>45764</v>
      </c>
      <c r="B565" t="inlineStr">
        <is>
          <t>R05_Jawa Tengah DIY</t>
        </is>
      </c>
      <c r="C565" t="inlineStr">
        <is>
          <t>NOP PURWOKERTO</t>
        </is>
      </c>
      <c r="D565" s="38" t="n">
        <v>0.72</v>
      </c>
      <c r="E565" s="38" t="n">
        <v>0</v>
      </c>
      <c r="F565" s="36" t="n">
        <v>1.507</v>
      </c>
      <c r="G565" s="36" t="n">
        <v>6.008</v>
      </c>
      <c r="H565" s="36" t="n">
        <v>5</v>
      </c>
      <c r="I565" s="37" t="n">
        <v>1</v>
      </c>
      <c r="J565" s="36" t="n">
        <v>1</v>
      </c>
      <c r="K565" s="37" t="n">
        <v>1</v>
      </c>
      <c r="L565" s="36" t="n">
        <v>4</v>
      </c>
      <c r="M565" s="37" t="n">
        <v>1</v>
      </c>
      <c r="N565" s="36" t="n">
        <v>1</v>
      </c>
      <c r="O565" s="37" t="n">
        <v>1</v>
      </c>
      <c r="P565" s="36" t="n">
        <v>1</v>
      </c>
      <c r="Q565" s="37" t="n">
        <v>1</v>
      </c>
      <c r="R565" s="36" t="n">
        <v>5</v>
      </c>
      <c r="S565" s="37" t="n">
        <v>1</v>
      </c>
      <c r="T565" s="36" t="n">
        <v>2</v>
      </c>
      <c r="U565" s="37" t="n">
        <v>0.4</v>
      </c>
      <c r="V565" s="38" t="n">
        <v>0</v>
      </c>
      <c r="W565" s="38" t="n">
        <v>2.36</v>
      </c>
      <c r="X565" s="38" t="n">
        <v>57.23899999999998</v>
      </c>
      <c r="Y565" s="38" t="n">
        <v>26.355</v>
      </c>
      <c r="Z565" s="38" t="n">
        <v>0</v>
      </c>
      <c r="AA565" s="36" t="n">
        <v>18</v>
      </c>
      <c r="AB565" s="37" t="n">
        <v>0.9</v>
      </c>
      <c r="AC565" s="36" t="n">
        <v>5</v>
      </c>
      <c r="AD565" s="37" t="n">
        <v>0.8333333333333334</v>
      </c>
      <c r="AE565" s="36" t="n">
        <v>13</v>
      </c>
      <c r="AF565" s="37" t="n">
        <v>0.9285714285714286</v>
      </c>
      <c r="AG565" s="36" t="n">
        <v>5</v>
      </c>
      <c r="AH565" s="37" t="n">
        <v>1</v>
      </c>
    </row>
    <row r="566">
      <c r="A566" s="53" t="n">
        <v>45764</v>
      </c>
      <c r="B566" t="inlineStr">
        <is>
          <t>R05_Jawa Tengah DIY</t>
        </is>
      </c>
      <c r="C566" t="inlineStr">
        <is>
          <t>NOP SEMARANG</t>
        </is>
      </c>
      <c r="D566" s="38" t="n">
        <v>1.264</v>
      </c>
      <c r="E566" s="38" t="n">
        <v>0</v>
      </c>
      <c r="F566" s="36" t="n">
        <v>4.2</v>
      </c>
      <c r="G566" s="36" t="n">
        <v>3.488</v>
      </c>
      <c r="H566" s="36" t="n">
        <v>26</v>
      </c>
      <c r="I566" s="37" t="n">
        <v>0.4482758620689655</v>
      </c>
      <c r="J566" s="36" t="n">
        <v>2</v>
      </c>
      <c r="K566" s="37" t="n">
        <v>0.6666666666666666</v>
      </c>
      <c r="L566" s="36" t="n">
        <v>24</v>
      </c>
      <c r="M566" s="37" t="n">
        <v>0.4363636363636363</v>
      </c>
      <c r="N566" s="36" t="n">
        <v>2</v>
      </c>
      <c r="O566" s="37" t="n">
        <v>1</v>
      </c>
      <c r="P566" s="36" t="n">
        <v>2</v>
      </c>
      <c r="Q566" s="37" t="n">
        <v>1</v>
      </c>
      <c r="R566" s="36" t="n">
        <v>57</v>
      </c>
      <c r="S566" s="37" t="n">
        <v>0.9827586206896551</v>
      </c>
      <c r="T566" s="36" t="n">
        <v>11</v>
      </c>
      <c r="U566" s="37" t="n">
        <v>0.1896551724137931</v>
      </c>
      <c r="V566" s="38" t="n">
        <v>0.01</v>
      </c>
      <c r="W566" s="38" t="n">
        <v>87.24200000000008</v>
      </c>
      <c r="X566" s="38" t="n">
        <v>5.334000000000006</v>
      </c>
      <c r="Y566" s="38" t="n">
        <v>165.125</v>
      </c>
      <c r="Z566" s="38" t="n">
        <v>0</v>
      </c>
      <c r="AA566" s="36" t="n">
        <v>32</v>
      </c>
      <c r="AB566" s="37" t="n">
        <v>0.6956521739130435</v>
      </c>
      <c r="AC566" s="36" t="n">
        <v>4</v>
      </c>
      <c r="AD566" s="37" t="n">
        <v>0.4</v>
      </c>
      <c r="AE566" s="36" t="n">
        <v>28</v>
      </c>
      <c r="AF566" s="37" t="n">
        <v>0.7777777777777778</v>
      </c>
      <c r="AG566" s="36" t="n">
        <v>2</v>
      </c>
      <c r="AH566" s="37" t="n">
        <v>0.5</v>
      </c>
    </row>
    <row r="567">
      <c r="A567" s="53" t="n">
        <v>45764</v>
      </c>
      <c r="B567" t="inlineStr">
        <is>
          <t>R05_Jawa Tengah DIY</t>
        </is>
      </c>
      <c r="C567" t="inlineStr">
        <is>
          <t>NOP SURAKARTA</t>
        </is>
      </c>
      <c r="D567" s="38" t="n">
        <v>2.81</v>
      </c>
      <c r="E567" s="38" t="n">
        <v>0</v>
      </c>
      <c r="F567" s="36" t="n">
        <v>6.65</v>
      </c>
      <c r="G567" s="36" t="n">
        <v>6.5</v>
      </c>
      <c r="H567" s="36" t="n">
        <v>47</v>
      </c>
      <c r="I567" s="37" t="n">
        <v>0.9591836734693877</v>
      </c>
      <c r="J567" s="36" t="n">
        <v>3</v>
      </c>
      <c r="K567" s="37" t="n">
        <v>1</v>
      </c>
      <c r="L567" s="36" t="n">
        <v>44</v>
      </c>
      <c r="M567" s="37" t="n">
        <v>0.9565217391304348</v>
      </c>
      <c r="N567" s="36" t="n">
        <v>3</v>
      </c>
      <c r="O567" s="37" t="n">
        <v>1</v>
      </c>
      <c r="P567" s="36" t="n">
        <v>3</v>
      </c>
      <c r="Q567" s="37" t="n">
        <v>1</v>
      </c>
      <c r="R567" s="36" t="n">
        <v>47</v>
      </c>
      <c r="S567" s="37" t="n">
        <v>0.9591836734693877</v>
      </c>
      <c r="T567" s="36" t="n">
        <v>35</v>
      </c>
      <c r="U567" s="37" t="n">
        <v>0.7142857142857143</v>
      </c>
      <c r="V567" s="38" t="n">
        <v>0</v>
      </c>
      <c r="W567" s="38" t="n">
        <v>7.138000000000003</v>
      </c>
      <c r="X567" s="38" t="n">
        <v>6.64</v>
      </c>
      <c r="Y567" s="38" t="n">
        <v>18.62</v>
      </c>
      <c r="Z567" s="38" t="n">
        <v>0</v>
      </c>
      <c r="AA567" s="36" t="n">
        <v>38</v>
      </c>
      <c r="AB567" s="37" t="n">
        <v>0.9743589743589743</v>
      </c>
      <c r="AC567" s="36" t="n">
        <v>8</v>
      </c>
      <c r="AD567" s="37" t="n">
        <v>0.8888888888888888</v>
      </c>
      <c r="AE567" s="36" t="n">
        <v>30</v>
      </c>
      <c r="AF567" s="37" t="n">
        <v>1</v>
      </c>
      <c r="AG567" s="36" t="n">
        <v>6</v>
      </c>
      <c r="AH567" s="37" t="n">
        <v>0.75</v>
      </c>
    </row>
    <row r="568">
      <c r="A568" s="53" t="n">
        <v>45764</v>
      </c>
      <c r="B568" t="inlineStr">
        <is>
          <t>R05_Jawa Tengah DIY</t>
        </is>
      </c>
      <c r="C568" t="inlineStr">
        <is>
          <t>NOP YOGYAKARTA</t>
        </is>
      </c>
      <c r="D568" s="38" t="n">
        <v>2.622</v>
      </c>
      <c r="E568" s="38" t="n">
        <v>0</v>
      </c>
      <c r="F568" s="36" t="n">
        <v>5.735</v>
      </c>
      <c r="G568" s="36" t="n">
        <v>2.676</v>
      </c>
      <c r="H568" s="36" t="n">
        <v>16</v>
      </c>
      <c r="I568" s="37" t="n">
        <v>0.6666666666666666</v>
      </c>
      <c r="J568" s="36" t="n">
        <v>3</v>
      </c>
      <c r="K568" s="37" t="n">
        <v>1</v>
      </c>
      <c r="L568" s="36" t="n">
        <v>13</v>
      </c>
      <c r="M568" s="37" t="n">
        <v>0.6190476190476191</v>
      </c>
      <c r="N568" s="36" t="n">
        <v>3</v>
      </c>
      <c r="O568" s="37" t="n">
        <v>1</v>
      </c>
      <c r="P568" s="36" t="n">
        <v>3</v>
      </c>
      <c r="Q568" s="37" t="n">
        <v>1</v>
      </c>
      <c r="R568" s="36" t="n">
        <v>24</v>
      </c>
      <c r="S568" s="37" t="n">
        <v>1</v>
      </c>
      <c r="T568" s="36" t="n">
        <v>14</v>
      </c>
      <c r="U568" s="37" t="n">
        <v>0.5833333333333334</v>
      </c>
      <c r="V568" s="38" t="n">
        <v>0</v>
      </c>
      <c r="W568" s="38" t="n">
        <v>9.571000000000002</v>
      </c>
      <c r="X568" s="38" t="n">
        <v>3.677999999999999</v>
      </c>
      <c r="Y568" s="38" t="n">
        <v>44.35800000000002</v>
      </c>
      <c r="Z568" s="38" t="n">
        <v>0</v>
      </c>
      <c r="AA568" s="36" t="n">
        <v>27</v>
      </c>
      <c r="AB568" s="37" t="n">
        <v>1</v>
      </c>
      <c r="AC568" s="36" t="n">
        <v>4</v>
      </c>
      <c r="AD568" s="37" t="n">
        <v>1</v>
      </c>
      <c r="AE568" s="36" t="n">
        <v>23</v>
      </c>
      <c r="AF568" s="37" t="n">
        <v>1</v>
      </c>
      <c r="AG568" s="36" t="n">
        <v>4</v>
      </c>
      <c r="AH568" s="37" t="n">
        <v>1</v>
      </c>
    </row>
    <row r="569">
      <c r="A569" s="53" t="n">
        <v>45764</v>
      </c>
      <c r="B569" t="inlineStr">
        <is>
          <t>R06_Jawa Timur</t>
        </is>
      </c>
      <c r="C569" t="inlineStr">
        <is>
          <t>NOP JEMBER</t>
        </is>
      </c>
      <c r="D569" s="38" t="n">
        <v>0.796</v>
      </c>
      <c r="E569" s="38" t="n">
        <v>0</v>
      </c>
      <c r="F569" s="36" t="n">
        <v>2.76</v>
      </c>
      <c r="G569" s="36" t="n">
        <v>2.272</v>
      </c>
      <c r="H569" s="36" t="n">
        <v>18</v>
      </c>
      <c r="I569" s="37" t="n">
        <v>0.5806451612903226</v>
      </c>
      <c r="J569" s="36" t="n">
        <v>1</v>
      </c>
      <c r="K569" s="37" t="n">
        <v>0.5</v>
      </c>
      <c r="L569" s="36" t="n">
        <v>17</v>
      </c>
      <c r="M569" s="37" t="n">
        <v>0.5862068965517241</v>
      </c>
      <c r="N569" s="36" t="n">
        <v>1</v>
      </c>
      <c r="O569" s="37" t="n">
        <v>1</v>
      </c>
      <c r="P569" s="36" t="n">
        <v>1</v>
      </c>
      <c r="Q569" s="37" t="n">
        <v>1</v>
      </c>
      <c r="R569" s="36" t="n">
        <v>30</v>
      </c>
      <c r="S569" s="37" t="n">
        <v>0.967741935483871</v>
      </c>
      <c r="T569" s="36" t="n">
        <v>11</v>
      </c>
      <c r="U569" s="37" t="n">
        <v>0.3548387096774194</v>
      </c>
      <c r="V569" s="38" t="n">
        <v>0</v>
      </c>
      <c r="W569" s="38" t="n">
        <v>18.335</v>
      </c>
      <c r="X569" s="38" t="n">
        <v>11.96599999999999</v>
      </c>
      <c r="Y569" s="38" t="n">
        <v>119.184</v>
      </c>
      <c r="Z569" s="38" t="n">
        <v>0</v>
      </c>
      <c r="AA569" s="36" t="n">
        <v>28</v>
      </c>
      <c r="AB569" s="37" t="n">
        <v>0.8</v>
      </c>
      <c r="AC569" s="36" t="n">
        <v>4</v>
      </c>
      <c r="AD569" s="37" t="n">
        <v>0.6666666666666666</v>
      </c>
      <c r="AE569" s="36" t="n">
        <v>24</v>
      </c>
      <c r="AF569" s="37" t="n">
        <v>0.8275862068965517</v>
      </c>
      <c r="AG569" s="36" t="n">
        <v>4</v>
      </c>
      <c r="AH569" s="37" t="n">
        <v>1</v>
      </c>
    </row>
    <row r="570">
      <c r="A570" s="53" t="n">
        <v>45764</v>
      </c>
      <c r="B570" t="inlineStr">
        <is>
          <t>R06_Jawa Timur</t>
        </is>
      </c>
      <c r="C570" t="inlineStr">
        <is>
          <t>NOP KEDIRI</t>
        </is>
      </c>
      <c r="D570" s="38" t="n">
        <v>0</v>
      </c>
      <c r="E570" s="38" t="n">
        <v>0</v>
      </c>
      <c r="F570" s="36" t="n">
        <v>1.29</v>
      </c>
      <c r="G570" s="36" t="n">
        <v>1.256</v>
      </c>
      <c r="H570" s="36" t="n">
        <v>8</v>
      </c>
      <c r="I570" s="37" t="n">
        <v>1</v>
      </c>
      <c r="J570" s="36" t="n">
        <v>0</v>
      </c>
      <c r="K570" s="37" t="n">
        <v>0</v>
      </c>
      <c r="L570" s="36" t="n">
        <v>8</v>
      </c>
      <c r="M570" s="37" t="n">
        <v>1</v>
      </c>
      <c r="N570" s="36" t="n">
        <v>0</v>
      </c>
      <c r="O570" s="37" t="n">
        <v>0</v>
      </c>
      <c r="P570" s="36" t="n">
        <v>0</v>
      </c>
      <c r="Q570" s="37" t="n">
        <v>0</v>
      </c>
      <c r="R570" s="36" t="n">
        <v>8</v>
      </c>
      <c r="S570" s="37" t="n">
        <v>1</v>
      </c>
      <c r="T570" s="36" t="n">
        <v>5</v>
      </c>
      <c r="U570" s="37" t="n">
        <v>0.625</v>
      </c>
      <c r="V570" s="38" t="n">
        <v>0</v>
      </c>
      <c r="W570" s="38" t="n">
        <v>1.024</v>
      </c>
      <c r="X570" s="38" t="n">
        <v>1.961</v>
      </c>
      <c r="Y570" s="38" t="n">
        <v>13.86</v>
      </c>
      <c r="Z570" s="38" t="n">
        <v>0</v>
      </c>
      <c r="AA570" s="36" t="n">
        <v>17</v>
      </c>
      <c r="AB570" s="37" t="n">
        <v>1</v>
      </c>
      <c r="AC570" s="36" t="n">
        <v>4</v>
      </c>
      <c r="AD570" s="37" t="n">
        <v>1</v>
      </c>
      <c r="AE570" s="36" t="n">
        <v>13</v>
      </c>
      <c r="AF570" s="37" t="n">
        <v>1</v>
      </c>
      <c r="AG570" s="36" t="n">
        <v>4</v>
      </c>
      <c r="AH570" s="37" t="n">
        <v>1</v>
      </c>
    </row>
    <row r="571">
      <c r="A571" s="53" t="n">
        <v>45764</v>
      </c>
      <c r="B571" t="inlineStr">
        <is>
          <t>R06_Jawa Timur</t>
        </is>
      </c>
      <c r="C571" t="inlineStr">
        <is>
          <t>NOP LAMONGAN</t>
        </is>
      </c>
      <c r="D571" s="38" t="n">
        <v>1.36</v>
      </c>
      <c r="E571" s="38" t="n">
        <v>0</v>
      </c>
      <c r="F571" s="36" t="n">
        <v>3.48</v>
      </c>
      <c r="G571" s="36" t="n">
        <v>4.683999999999999</v>
      </c>
      <c r="H571" s="36" t="n">
        <v>22</v>
      </c>
      <c r="I571" s="37" t="n">
        <v>0.88</v>
      </c>
      <c r="J571" s="36" t="n">
        <v>1</v>
      </c>
      <c r="K571" s="37" t="n">
        <v>1</v>
      </c>
      <c r="L571" s="36" t="n">
        <v>21</v>
      </c>
      <c r="M571" s="37" t="n">
        <v>0.875</v>
      </c>
      <c r="N571" s="36" t="n">
        <v>1</v>
      </c>
      <c r="O571" s="37" t="n">
        <v>1</v>
      </c>
      <c r="P571" s="36" t="n">
        <v>1</v>
      </c>
      <c r="Q571" s="37" t="n">
        <v>1</v>
      </c>
      <c r="R571" s="36" t="n">
        <v>25</v>
      </c>
      <c r="S571" s="37" t="n">
        <v>1</v>
      </c>
      <c r="T571" s="36" t="n">
        <v>18</v>
      </c>
      <c r="U571" s="37" t="n">
        <v>0.72</v>
      </c>
      <c r="V571" s="38" t="n">
        <v>0</v>
      </c>
      <c r="W571" s="38" t="n">
        <v>2.734</v>
      </c>
      <c r="X571" s="38" t="n">
        <v>10.722</v>
      </c>
      <c r="Y571" s="38" t="n">
        <v>20.92</v>
      </c>
      <c r="Z571" s="38" t="n">
        <v>0</v>
      </c>
      <c r="AA571" s="36" t="n">
        <v>8</v>
      </c>
      <c r="AB571" s="37" t="n">
        <v>1</v>
      </c>
      <c r="AC571" s="36" t="n">
        <v>2</v>
      </c>
      <c r="AD571" s="37" t="n">
        <v>1</v>
      </c>
      <c r="AE571" s="36" t="n">
        <v>6</v>
      </c>
      <c r="AF571" s="37" t="n">
        <v>1</v>
      </c>
      <c r="AG571" s="36" t="n">
        <v>2</v>
      </c>
      <c r="AH571" s="37" t="n">
        <v>1</v>
      </c>
    </row>
    <row r="572">
      <c r="A572" s="53" t="n">
        <v>45764</v>
      </c>
      <c r="B572" t="inlineStr">
        <is>
          <t>R06_Jawa Timur</t>
        </is>
      </c>
      <c r="C572" t="inlineStr">
        <is>
          <t>NOP MADIUN</t>
        </is>
      </c>
      <c r="D572" s="38" t="n">
        <v>0</v>
      </c>
      <c r="E572" s="38" t="n">
        <v>0</v>
      </c>
      <c r="F572" s="36" t="n">
        <v>5.133000000000001</v>
      </c>
      <c r="G572" s="36" t="n">
        <v>2.46</v>
      </c>
      <c r="H572" s="36" t="n">
        <v>23</v>
      </c>
      <c r="I572" s="37" t="n">
        <v>0.5609756097560976</v>
      </c>
      <c r="J572" s="36" t="n">
        <v>0</v>
      </c>
      <c r="K572" s="37" t="n">
        <v>0</v>
      </c>
      <c r="L572" s="36" t="n">
        <v>23</v>
      </c>
      <c r="M572" s="37" t="n">
        <v>0.5609756097560976</v>
      </c>
      <c r="N572" s="36" t="n">
        <v>0</v>
      </c>
      <c r="O572" s="37" t="n">
        <v>0</v>
      </c>
      <c r="P572" s="36" t="n">
        <v>0</v>
      </c>
      <c r="Q572" s="37" t="n">
        <v>0</v>
      </c>
      <c r="R572" s="36" t="n">
        <v>41</v>
      </c>
      <c r="S572" s="37" t="n">
        <v>1</v>
      </c>
      <c r="T572" s="36" t="n">
        <v>11</v>
      </c>
      <c r="U572" s="37" t="n">
        <v>0.2682926829268293</v>
      </c>
      <c r="V572" s="38" t="n">
        <v>0</v>
      </c>
      <c r="W572" s="38" t="n">
        <v>3.51</v>
      </c>
      <c r="X572" s="38" t="n">
        <v>8.902000000000001</v>
      </c>
      <c r="Y572" s="38" t="n">
        <v>2.94</v>
      </c>
      <c r="Z572" s="38" t="n">
        <v>0</v>
      </c>
      <c r="AA572" s="36" t="n">
        <v>20</v>
      </c>
      <c r="AB572" s="37" t="n">
        <v>0.7142857142857143</v>
      </c>
      <c r="AC572" s="36" t="n">
        <v>6</v>
      </c>
      <c r="AD572" s="37" t="n">
        <v>0.6</v>
      </c>
      <c r="AE572" s="36" t="n">
        <v>14</v>
      </c>
      <c r="AF572" s="37" t="n">
        <v>0.7777777777777778</v>
      </c>
      <c r="AG572" s="36" t="n">
        <v>5</v>
      </c>
      <c r="AH572" s="37" t="n">
        <v>0.8333333333333334</v>
      </c>
    </row>
    <row r="573">
      <c r="A573" s="53" t="n">
        <v>45764</v>
      </c>
      <c r="B573" t="inlineStr">
        <is>
          <t>R06_Jawa Timur</t>
        </is>
      </c>
      <c r="C573" t="inlineStr">
        <is>
          <t>NOP MALANG</t>
        </is>
      </c>
      <c r="D573" s="38" t="n">
        <v>0.77</v>
      </c>
      <c r="E573" s="38" t="n">
        <v>0</v>
      </c>
      <c r="F573" s="36" t="n">
        <v>1.64</v>
      </c>
      <c r="G573" s="36" t="n">
        <v>2.86</v>
      </c>
      <c r="H573" s="36" t="n">
        <v>22</v>
      </c>
      <c r="I573" s="37" t="n">
        <v>0.8148148148148148</v>
      </c>
      <c r="J573" s="36" t="n">
        <v>1</v>
      </c>
      <c r="K573" s="37" t="n">
        <v>1</v>
      </c>
      <c r="L573" s="36" t="n">
        <v>21</v>
      </c>
      <c r="M573" s="37" t="n">
        <v>0.8076923076923077</v>
      </c>
      <c r="N573" s="36" t="n">
        <v>1</v>
      </c>
      <c r="O573" s="37" t="n">
        <v>1</v>
      </c>
      <c r="P573" s="36" t="n">
        <v>1</v>
      </c>
      <c r="Q573" s="37" t="n">
        <v>1</v>
      </c>
      <c r="R573" s="36" t="n">
        <v>27</v>
      </c>
      <c r="S573" s="37" t="n">
        <v>1</v>
      </c>
      <c r="T573" s="36" t="n">
        <v>16</v>
      </c>
      <c r="U573" s="37" t="n">
        <v>0.5925925925925926</v>
      </c>
      <c r="V573" s="38" t="n">
        <v>0</v>
      </c>
      <c r="W573" s="38" t="n">
        <v>2.608000000000001</v>
      </c>
      <c r="X573" s="38" t="n">
        <v>2.79</v>
      </c>
      <c r="Y573" s="38" t="n">
        <v>0</v>
      </c>
      <c r="Z573" s="38" t="n">
        <v>0</v>
      </c>
      <c r="AA573" s="36" t="n">
        <v>8</v>
      </c>
      <c r="AB573" s="37" t="n">
        <v>1</v>
      </c>
      <c r="AC573" s="36" t="n">
        <v>7</v>
      </c>
      <c r="AD573" s="37" t="n">
        <v>1</v>
      </c>
      <c r="AE573" s="36" t="n">
        <v>1</v>
      </c>
      <c r="AF573" s="37" t="n">
        <v>1</v>
      </c>
      <c r="AG573" s="36" t="n">
        <v>4</v>
      </c>
      <c r="AH573" s="37" t="n">
        <v>0.5714285714285714</v>
      </c>
    </row>
    <row r="574">
      <c r="A574" s="53" t="n">
        <v>45764</v>
      </c>
      <c r="B574" t="inlineStr">
        <is>
          <t>R06_Jawa Timur</t>
        </is>
      </c>
      <c r="C574" t="inlineStr">
        <is>
          <t>NOP SIDOARJO</t>
        </is>
      </c>
      <c r="D574" s="38" t="n">
        <v>2.552</v>
      </c>
      <c r="E574" s="38" t="n">
        <v>0</v>
      </c>
      <c r="F574" s="36" t="n">
        <v>7.345000000000003</v>
      </c>
      <c r="G574" s="36" t="n">
        <v>7.37</v>
      </c>
      <c r="H574" s="36" t="n">
        <v>17</v>
      </c>
      <c r="I574" s="37" t="n">
        <v>0.5483870967741935</v>
      </c>
      <c r="J574" s="36" t="n">
        <v>2</v>
      </c>
      <c r="K574" s="37" t="n">
        <v>1</v>
      </c>
      <c r="L574" s="36" t="n">
        <v>15</v>
      </c>
      <c r="M574" s="37" t="n">
        <v>0.5172413793103449</v>
      </c>
      <c r="N574" s="36" t="n">
        <v>2</v>
      </c>
      <c r="O574" s="37" t="n">
        <v>1</v>
      </c>
      <c r="P574" s="36" t="n">
        <v>2</v>
      </c>
      <c r="Q574" s="37" t="n">
        <v>1</v>
      </c>
      <c r="R574" s="36" t="n">
        <v>30</v>
      </c>
      <c r="S574" s="37" t="n">
        <v>0.967741935483871</v>
      </c>
      <c r="T574" s="36" t="n">
        <v>11</v>
      </c>
      <c r="U574" s="37" t="n">
        <v>0.3548387096774194</v>
      </c>
      <c r="V574" s="38" t="n">
        <v>0</v>
      </c>
      <c r="W574" s="38" t="n">
        <v>13.705</v>
      </c>
      <c r="X574" s="38" t="n">
        <v>10.994</v>
      </c>
      <c r="Y574" s="38" t="n">
        <v>14.84</v>
      </c>
      <c r="Z574" s="38" t="n">
        <v>0</v>
      </c>
      <c r="AA574" s="36" t="n">
        <v>26</v>
      </c>
      <c r="AB574" s="37" t="n">
        <v>0.8387096774193549</v>
      </c>
      <c r="AC574" s="36" t="n">
        <v>5</v>
      </c>
      <c r="AD574" s="37" t="n">
        <v>0.8333333333333334</v>
      </c>
      <c r="AE574" s="36" t="n">
        <v>21</v>
      </c>
      <c r="AF574" s="37" t="n">
        <v>0.84</v>
      </c>
      <c r="AG574" s="36" t="n">
        <v>4</v>
      </c>
      <c r="AH574" s="37" t="n">
        <v>0.8</v>
      </c>
    </row>
    <row r="575">
      <c r="A575" s="53" t="n">
        <v>45764</v>
      </c>
      <c r="B575" t="inlineStr">
        <is>
          <t>R06_Jawa Timur</t>
        </is>
      </c>
      <c r="C575" t="inlineStr">
        <is>
          <t>NOP SURABAYA</t>
        </is>
      </c>
      <c r="D575" s="38" t="n">
        <v>1.84</v>
      </c>
      <c r="E575" s="38" t="n">
        <v>0</v>
      </c>
      <c r="F575" s="36" t="n">
        <v>2.12</v>
      </c>
      <c r="G575" s="36" t="n">
        <v>3.556</v>
      </c>
      <c r="H575" s="36" t="n">
        <v>18</v>
      </c>
      <c r="I575" s="37" t="n">
        <v>0.5625</v>
      </c>
      <c r="J575" s="36" t="n">
        <v>6</v>
      </c>
      <c r="K575" s="37" t="n">
        <v>0.8571428571428571</v>
      </c>
      <c r="L575" s="36" t="n">
        <v>12</v>
      </c>
      <c r="M575" s="37" t="n">
        <v>0.48</v>
      </c>
      <c r="N575" s="36" t="n">
        <v>5</v>
      </c>
      <c r="O575" s="37" t="n">
        <v>0.8333333333333334</v>
      </c>
      <c r="P575" s="36" t="n">
        <v>5</v>
      </c>
      <c r="Q575" s="37" t="n">
        <v>0.8333333333333334</v>
      </c>
      <c r="R575" s="36" t="n">
        <v>30</v>
      </c>
      <c r="S575" s="37" t="n">
        <v>0.9375</v>
      </c>
      <c r="T575" s="36" t="n">
        <v>15</v>
      </c>
      <c r="U575" s="37" t="n">
        <v>0.46875</v>
      </c>
      <c r="V575" s="38" t="n">
        <v>0</v>
      </c>
      <c r="W575" s="38" t="n">
        <v>3.511</v>
      </c>
      <c r="X575" s="38" t="n">
        <v>6.84</v>
      </c>
      <c r="Y575" s="38" t="n">
        <v>13.49</v>
      </c>
      <c r="Z575" s="38" t="n">
        <v>0</v>
      </c>
      <c r="AA575" s="36" t="n">
        <v>52</v>
      </c>
      <c r="AB575" s="37" t="n">
        <v>0.8387096774193549</v>
      </c>
      <c r="AC575" s="36" t="n">
        <v>27</v>
      </c>
      <c r="AD575" s="37" t="n">
        <v>0.9</v>
      </c>
      <c r="AE575" s="36" t="n">
        <v>25</v>
      </c>
      <c r="AF575" s="37" t="n">
        <v>0.78125</v>
      </c>
      <c r="AG575" s="36" t="n">
        <v>25</v>
      </c>
      <c r="AH575" s="37" t="n">
        <v>0.9259259259259259</v>
      </c>
    </row>
    <row r="576">
      <c r="A576" s="53" t="n">
        <v>45764</v>
      </c>
      <c r="B576" t="inlineStr">
        <is>
          <t>R07_Bali Nusra</t>
        </is>
      </c>
      <c r="C576" t="inlineStr">
        <is>
          <t>NOP DENPASAR</t>
        </is>
      </c>
      <c r="D576" s="38" t="n">
        <v>1.94</v>
      </c>
      <c r="E576" s="38" t="n">
        <v>0</v>
      </c>
      <c r="F576" s="36" t="n">
        <v>1.1</v>
      </c>
      <c r="G576" s="36" t="n">
        <v>2.596</v>
      </c>
      <c r="H576" s="36" t="n">
        <v>10</v>
      </c>
      <c r="I576" s="37" t="n">
        <v>0.8333333333333334</v>
      </c>
      <c r="J576" s="36" t="n">
        <v>1</v>
      </c>
      <c r="K576" s="37" t="n">
        <v>1</v>
      </c>
      <c r="L576" s="36" t="n">
        <v>9</v>
      </c>
      <c r="M576" s="37" t="n">
        <v>0.8181818181818182</v>
      </c>
      <c r="N576" s="36" t="n">
        <v>1</v>
      </c>
      <c r="O576" s="37" t="n">
        <v>1</v>
      </c>
      <c r="P576" s="36" t="n">
        <v>1</v>
      </c>
      <c r="Q576" s="37" t="n">
        <v>1</v>
      </c>
      <c r="R576" s="36" t="n">
        <v>10</v>
      </c>
      <c r="S576" s="37" t="n">
        <v>0.8333333333333334</v>
      </c>
      <c r="T576" s="36" t="n">
        <v>8</v>
      </c>
      <c r="U576" s="37" t="n">
        <v>0.6666666666666666</v>
      </c>
      <c r="V576" s="38" t="n">
        <v>0</v>
      </c>
      <c r="W576" s="38" t="n">
        <v>1.432</v>
      </c>
      <c r="X576" s="38" t="n">
        <v>26.49</v>
      </c>
      <c r="Y576" s="38" t="n">
        <v>22.49</v>
      </c>
      <c r="Z576" s="38" t="n">
        <v>0</v>
      </c>
      <c r="AA576" s="36" t="n">
        <v>23</v>
      </c>
      <c r="AB576" s="37" t="n">
        <v>0.9583333333333334</v>
      </c>
      <c r="AC576" s="36" t="n">
        <v>7</v>
      </c>
      <c r="AD576" s="37" t="n">
        <v>1</v>
      </c>
      <c r="AE576" s="36" t="n">
        <v>16</v>
      </c>
      <c r="AF576" s="37" t="n">
        <v>0.9411764705882353</v>
      </c>
      <c r="AG576" s="36" t="n">
        <v>3</v>
      </c>
      <c r="AH576" s="37" t="n">
        <v>0.4285714285714285</v>
      </c>
    </row>
    <row r="577">
      <c r="A577" s="53" t="n">
        <v>45764</v>
      </c>
      <c r="B577" t="inlineStr">
        <is>
          <t>R07_Bali Nusra</t>
        </is>
      </c>
      <c r="C577" t="inlineStr">
        <is>
          <t>NOP FLORES</t>
        </is>
      </c>
      <c r="D577" s="38" t="n">
        <v>0</v>
      </c>
      <c r="E577" s="38" t="n">
        <v>5.415000000000001</v>
      </c>
      <c r="F577" s="36" t="n">
        <v>8.960000000000001</v>
      </c>
      <c r="G577" s="36" t="n">
        <v>12.677</v>
      </c>
      <c r="H577" s="36" t="n">
        <v>30</v>
      </c>
      <c r="I577" s="37" t="n">
        <v>0.4615384615384616</v>
      </c>
      <c r="J577" s="36" t="n">
        <v>8</v>
      </c>
      <c r="K577" s="37" t="n">
        <v>0.6666666666666666</v>
      </c>
      <c r="L577" s="36" t="n">
        <v>22</v>
      </c>
      <c r="M577" s="37" t="n">
        <v>0.4150943396226415</v>
      </c>
      <c r="N577" s="36" t="n">
        <v>4</v>
      </c>
      <c r="O577" s="37" t="n">
        <v>0.5</v>
      </c>
      <c r="P577" s="36" t="n">
        <v>4</v>
      </c>
      <c r="Q577" s="37" t="n">
        <v>0.5</v>
      </c>
      <c r="R577" s="36" t="n">
        <v>65</v>
      </c>
      <c r="S577" s="37" t="n">
        <v>1</v>
      </c>
      <c r="T577" s="36" t="n">
        <v>19</v>
      </c>
      <c r="U577" s="37" t="n">
        <v>0.2923076923076923</v>
      </c>
      <c r="V577" s="38" t="n">
        <v>0</v>
      </c>
      <c r="W577" s="38" t="n">
        <v>10.445</v>
      </c>
      <c r="X577" s="38" t="n">
        <v>5.899999999999999</v>
      </c>
      <c r="Y577" s="38" t="n">
        <v>15.85</v>
      </c>
      <c r="Z577" s="38" t="n">
        <v>0</v>
      </c>
      <c r="AA577" s="36" t="n">
        <v>55</v>
      </c>
      <c r="AB577" s="37" t="n">
        <v>0.3928571428571428</v>
      </c>
      <c r="AC577" s="36" t="n">
        <v>40</v>
      </c>
      <c r="AD577" s="37" t="n">
        <v>0.5</v>
      </c>
      <c r="AE577" s="36" t="n">
        <v>15</v>
      </c>
      <c r="AF577" s="37" t="n">
        <v>0.25</v>
      </c>
      <c r="AG577" s="36" t="n">
        <v>29</v>
      </c>
      <c r="AH577" s="37" t="n">
        <v>0.725</v>
      </c>
    </row>
    <row r="578">
      <c r="A578" s="53" t="n">
        <v>45764</v>
      </c>
      <c r="B578" t="inlineStr">
        <is>
          <t>R07_Bali Nusra</t>
        </is>
      </c>
      <c r="C578" t="inlineStr">
        <is>
          <t>NOP KUPANG</t>
        </is>
      </c>
      <c r="D578" s="38" t="n">
        <v>0</v>
      </c>
      <c r="E578" s="38" t="n">
        <v>1.103</v>
      </c>
      <c r="F578" s="36" t="n">
        <v>8.408000000000005</v>
      </c>
      <c r="G578" s="36" t="n">
        <v>69.14800000000007</v>
      </c>
      <c r="H578" s="36" t="n">
        <v>14</v>
      </c>
      <c r="I578" s="37" t="n">
        <v>0.6086956521739131</v>
      </c>
      <c r="J578" s="36" t="n">
        <v>1</v>
      </c>
      <c r="K578" s="37" t="n">
        <v>0.5</v>
      </c>
      <c r="L578" s="36" t="n">
        <v>13</v>
      </c>
      <c r="M578" s="37" t="n">
        <v>0.6190476190476191</v>
      </c>
      <c r="N578" s="36" t="n">
        <v>1</v>
      </c>
      <c r="O578" s="37" t="n">
        <v>1</v>
      </c>
      <c r="P578" s="36" t="n">
        <v>1</v>
      </c>
      <c r="Q578" s="37" t="n">
        <v>1</v>
      </c>
      <c r="R578" s="36" t="n">
        <v>23</v>
      </c>
      <c r="S578" s="37" t="n">
        <v>1</v>
      </c>
      <c r="T578" s="36" t="n">
        <v>6</v>
      </c>
      <c r="U578" s="37" t="n">
        <v>0.2608695652173913</v>
      </c>
      <c r="V578" s="38" t="n">
        <v>0</v>
      </c>
      <c r="W578" s="38" t="n">
        <v>8.176</v>
      </c>
      <c r="X578" s="38" t="n">
        <v>31.88500000000012</v>
      </c>
      <c r="Y578" s="38" t="n">
        <v>106.314</v>
      </c>
      <c r="Z578" s="38" t="n">
        <v>0</v>
      </c>
      <c r="AA578" s="36" t="n">
        <v>31</v>
      </c>
      <c r="AB578" s="37" t="n">
        <v>0.6326530612244898</v>
      </c>
      <c r="AC578" s="36" t="n">
        <v>15</v>
      </c>
      <c r="AD578" s="37" t="n">
        <v>0.6</v>
      </c>
      <c r="AE578" s="36" t="n">
        <v>16</v>
      </c>
      <c r="AF578" s="37" t="n">
        <v>0.6666666666666666</v>
      </c>
      <c r="AG578" s="36" t="n">
        <v>7</v>
      </c>
      <c r="AH578" s="37" t="n">
        <v>0.4666666666666667</v>
      </c>
    </row>
    <row r="579">
      <c r="A579" s="53" t="n">
        <v>45764</v>
      </c>
      <c r="B579" t="inlineStr">
        <is>
          <t>R07_Bali Nusra</t>
        </is>
      </c>
      <c r="C579" t="inlineStr">
        <is>
          <t>NOP MATARAM</t>
        </is>
      </c>
      <c r="D579" s="38" t="n">
        <v>0</v>
      </c>
      <c r="E579" s="38" t="n">
        <v>2.67</v>
      </c>
      <c r="F579" s="36" t="n">
        <v>2.617000000000001</v>
      </c>
      <c r="G579" s="36" t="n">
        <v>5.958</v>
      </c>
      <c r="H579" s="36" t="n">
        <v>29</v>
      </c>
      <c r="I579" s="37" t="n">
        <v>0.7631578947368421</v>
      </c>
      <c r="J579" s="36" t="n">
        <v>1</v>
      </c>
      <c r="K579" s="37" t="n">
        <v>1</v>
      </c>
      <c r="L579" s="36" t="n">
        <v>28</v>
      </c>
      <c r="M579" s="37" t="n">
        <v>0.7567567567567568</v>
      </c>
      <c r="N579" s="36" t="n">
        <v>1</v>
      </c>
      <c r="O579" s="37" t="n">
        <v>1</v>
      </c>
      <c r="P579" s="36" t="n">
        <v>1</v>
      </c>
      <c r="Q579" s="37" t="n">
        <v>1</v>
      </c>
      <c r="R579" s="36" t="n">
        <v>38</v>
      </c>
      <c r="S579" s="37" t="n">
        <v>1</v>
      </c>
      <c r="T579" s="36" t="n">
        <v>8</v>
      </c>
      <c r="U579" s="37" t="n">
        <v>0.2105263157894737</v>
      </c>
      <c r="V579" s="38" t="n">
        <v>0</v>
      </c>
      <c r="W579" s="38" t="n">
        <v>15.2</v>
      </c>
      <c r="X579" s="38" t="n">
        <v>10.842</v>
      </c>
      <c r="Y579" s="38" t="n">
        <v>24.67</v>
      </c>
      <c r="Z579" s="38" t="n">
        <v>0</v>
      </c>
      <c r="AA579" s="36" t="n">
        <v>37</v>
      </c>
      <c r="AB579" s="37" t="n">
        <v>0.4868421052631579</v>
      </c>
      <c r="AC579" s="36" t="n">
        <v>27</v>
      </c>
      <c r="AD579" s="37" t="n">
        <v>0.4821428571428572</v>
      </c>
      <c r="AE579" s="36" t="n">
        <v>10</v>
      </c>
      <c r="AF579" s="37" t="n">
        <v>0.5</v>
      </c>
      <c r="AG579" s="36" t="n">
        <v>18</v>
      </c>
      <c r="AH579" s="37" t="n">
        <v>0.6666666666666666</v>
      </c>
    </row>
    <row r="580">
      <c r="A580" s="53" t="n">
        <v>45765</v>
      </c>
      <c r="B580" t="inlineStr">
        <is>
          <t>R01_Sumbagut</t>
        </is>
      </c>
      <c r="C580" t="inlineStr">
        <is>
          <t>NOP ACEH</t>
        </is>
      </c>
      <c r="D580" s="38" t="n">
        <v>11.596</v>
      </c>
      <c r="E580" s="38" t="n">
        <v>4.873000000000001</v>
      </c>
      <c r="F580" s="36" t="n">
        <v>2.172000000000001</v>
      </c>
      <c r="G580" s="36" t="n">
        <v>8.061000000000014</v>
      </c>
      <c r="H580" s="36" t="n">
        <v>61</v>
      </c>
      <c r="I580" s="37" t="n">
        <v>0.8472222222222222</v>
      </c>
      <c r="J580" s="36" t="n">
        <v>14</v>
      </c>
      <c r="K580" s="37" t="n">
        <v>0.8235294117647058</v>
      </c>
      <c r="L580" s="36" t="n">
        <v>47</v>
      </c>
      <c r="M580" s="37" t="n">
        <v>0.8545454545454545</v>
      </c>
      <c r="N580" s="36" t="n">
        <v>8</v>
      </c>
      <c r="O580" s="37" t="n">
        <v>0.5714285714285714</v>
      </c>
      <c r="P580" s="36" t="n">
        <v>8</v>
      </c>
      <c r="Q580" s="37" t="n">
        <v>0.5714285714285714</v>
      </c>
      <c r="R580" s="36" t="n">
        <v>72</v>
      </c>
      <c r="S580" s="37" t="n">
        <v>1</v>
      </c>
      <c r="T580" s="36" t="n">
        <v>20</v>
      </c>
      <c r="U580" s="37" t="n">
        <v>0.2777777777777778</v>
      </c>
      <c r="V580" s="38" t="n">
        <v>0.02</v>
      </c>
      <c r="W580" s="38" t="n">
        <v>3.455000000000001</v>
      </c>
      <c r="X580" s="38" t="n">
        <v>54.81200000000008</v>
      </c>
      <c r="Y580" s="38" t="n">
        <v>72.89400000000012</v>
      </c>
      <c r="Z580" s="38" t="n">
        <v>0</v>
      </c>
      <c r="AA580" s="36" t="n">
        <v>237</v>
      </c>
      <c r="AB580" s="37" t="n">
        <v>0.864963503649635</v>
      </c>
      <c r="AC580" s="36" t="n">
        <v>24</v>
      </c>
      <c r="AD580" s="37" t="n">
        <v>0.7741935483870968</v>
      </c>
      <c r="AE580" s="36" t="n">
        <v>211</v>
      </c>
      <c r="AF580" s="37" t="n">
        <v>0.8791666666666667</v>
      </c>
      <c r="AG580" s="36" t="n">
        <v>5</v>
      </c>
      <c r="AH580" s="37" t="n">
        <v>0.2083333333333333</v>
      </c>
    </row>
    <row r="581">
      <c r="A581" s="53" t="n">
        <v>45765</v>
      </c>
      <c r="B581" t="inlineStr">
        <is>
          <t>R01_Sumbagut</t>
        </is>
      </c>
      <c r="C581" t="inlineStr">
        <is>
          <t>NOP BINJAI</t>
        </is>
      </c>
      <c r="D581" s="38" t="n">
        <v>0</v>
      </c>
      <c r="E581" s="38" t="n">
        <v>2.29</v>
      </c>
      <c r="F581" s="36" t="n">
        <v>1.964</v>
      </c>
      <c r="G581" s="36" t="n">
        <v>3.795999999999999</v>
      </c>
      <c r="H581" s="36" t="n">
        <v>30</v>
      </c>
      <c r="I581" s="37" t="n">
        <v>0.6976744186046512</v>
      </c>
      <c r="J581" s="36" t="n">
        <v>6</v>
      </c>
      <c r="K581" s="37" t="n">
        <v>1</v>
      </c>
      <c r="L581" s="36" t="n">
        <v>24</v>
      </c>
      <c r="M581" s="37" t="n">
        <v>0.6486486486486487</v>
      </c>
      <c r="N581" s="36" t="n">
        <v>4</v>
      </c>
      <c r="O581" s="37" t="n">
        <v>0.6666666666666666</v>
      </c>
      <c r="P581" s="36" t="n">
        <v>4</v>
      </c>
      <c r="Q581" s="37" t="n">
        <v>0.6666666666666666</v>
      </c>
      <c r="R581" s="36" t="n">
        <v>43</v>
      </c>
      <c r="S581" s="37" t="n">
        <v>1</v>
      </c>
      <c r="T581" s="36" t="n">
        <v>21</v>
      </c>
      <c r="U581" s="37" t="n">
        <v>0.4883720930232558</v>
      </c>
      <c r="V581" s="38" t="n">
        <v>0.02</v>
      </c>
      <c r="W581" s="38" t="n">
        <v>1.935999999999999</v>
      </c>
      <c r="X581" s="38" t="n">
        <v>25.36200000000002</v>
      </c>
      <c r="Y581" s="38" t="n">
        <v>117.924</v>
      </c>
      <c r="Z581" s="38" t="n">
        <v>0</v>
      </c>
      <c r="AA581" s="36" t="n">
        <v>68</v>
      </c>
      <c r="AB581" s="37" t="n">
        <v>0.7391304347826086</v>
      </c>
      <c r="AC581" s="36" t="n">
        <v>12</v>
      </c>
      <c r="AD581" s="37" t="n">
        <v>0.4615384615384616</v>
      </c>
      <c r="AE581" s="36" t="n">
        <v>54</v>
      </c>
      <c r="AF581" s="37" t="n">
        <v>0.8709677419354839</v>
      </c>
      <c r="AG581" s="36" t="n">
        <v>8</v>
      </c>
      <c r="AH581" s="37" t="n">
        <v>0.6666666666666666</v>
      </c>
    </row>
    <row r="582">
      <c r="A582" s="53" t="n">
        <v>45765</v>
      </c>
      <c r="B582" t="inlineStr">
        <is>
          <t>R01_Sumbagut</t>
        </is>
      </c>
      <c r="C582" t="inlineStr">
        <is>
          <t>NOP MEDAN</t>
        </is>
      </c>
      <c r="D582" s="38" t="n">
        <v>0</v>
      </c>
      <c r="E582" s="38" t="n">
        <v>4.994999999999999</v>
      </c>
      <c r="F582" s="36" t="n">
        <v>1.199</v>
      </c>
      <c r="G582" s="36" t="n">
        <v>1.75</v>
      </c>
      <c r="H582" s="36" t="n">
        <v>7</v>
      </c>
      <c r="I582" s="37" t="n">
        <v>0.35</v>
      </c>
      <c r="J582" s="36" t="n">
        <v>2</v>
      </c>
      <c r="K582" s="37" t="n">
        <v>0.3333333333333333</v>
      </c>
      <c r="L582" s="36" t="n">
        <v>5</v>
      </c>
      <c r="M582" s="37" t="n">
        <v>0.3571428571428572</v>
      </c>
      <c r="N582" s="36" t="n">
        <v>2</v>
      </c>
      <c r="O582" s="37" t="n">
        <v>1</v>
      </c>
      <c r="P582" s="36" t="n">
        <v>2</v>
      </c>
      <c r="Q582" s="37" t="n">
        <v>1</v>
      </c>
      <c r="R582" s="36" t="n">
        <v>20</v>
      </c>
      <c r="S582" s="37" t="n">
        <v>1</v>
      </c>
      <c r="T582" s="36" t="n">
        <v>3</v>
      </c>
      <c r="U582" s="37" t="n">
        <v>0.15</v>
      </c>
      <c r="V582" s="38" t="n">
        <v>0</v>
      </c>
      <c r="W582" s="38" t="n">
        <v>1.856</v>
      </c>
      <c r="X582" s="38" t="n">
        <v>22.77699999999999</v>
      </c>
      <c r="Y582" s="38" t="n">
        <v>0</v>
      </c>
      <c r="Z582" s="38" t="n">
        <v>0</v>
      </c>
      <c r="AA582" s="36" t="n">
        <v>11</v>
      </c>
      <c r="AB582" s="37" t="n">
        <v>0.2244897959183673</v>
      </c>
      <c r="AC582" s="36" t="n">
        <v>0</v>
      </c>
      <c r="AD582" s="37" t="n">
        <v>0</v>
      </c>
      <c r="AE582" s="36" t="n">
        <v>11</v>
      </c>
      <c r="AF582" s="37" t="n">
        <v>0.3142857142857143</v>
      </c>
      <c r="AG582" s="36" t="n">
        <v>0</v>
      </c>
      <c r="AH582" s="37" t="n">
        <v>0</v>
      </c>
    </row>
    <row r="583">
      <c r="A583" s="53" t="n">
        <v>45765</v>
      </c>
      <c r="B583" t="inlineStr">
        <is>
          <t>R01_Sumbagut</t>
        </is>
      </c>
      <c r="C583" t="inlineStr">
        <is>
          <t>NOP PADANG SIDEMPUAN</t>
        </is>
      </c>
      <c r="D583" s="38" t="n">
        <v>1.02</v>
      </c>
      <c r="E583" s="38" t="n">
        <v>3.025</v>
      </c>
      <c r="F583" s="36" t="n">
        <v>2.672000000000001</v>
      </c>
      <c r="G583" s="36" t="n">
        <v>10.38</v>
      </c>
      <c r="H583" s="36" t="n">
        <v>16</v>
      </c>
      <c r="I583" s="37" t="n">
        <v>0.3555555555555556</v>
      </c>
      <c r="J583" s="36" t="n">
        <v>4</v>
      </c>
      <c r="K583" s="37" t="n">
        <v>0.5714285714285714</v>
      </c>
      <c r="L583" s="36" t="n">
        <v>12</v>
      </c>
      <c r="M583" s="37" t="n">
        <v>0.3157894736842105</v>
      </c>
      <c r="N583" s="36" t="n">
        <v>4</v>
      </c>
      <c r="O583" s="37" t="n">
        <v>1</v>
      </c>
      <c r="P583" s="36" t="n">
        <v>4</v>
      </c>
      <c r="Q583" s="37" t="n">
        <v>1</v>
      </c>
      <c r="R583" s="36" t="n">
        <v>45</v>
      </c>
      <c r="S583" s="37" t="n">
        <v>1</v>
      </c>
      <c r="T583" s="36" t="n">
        <v>8</v>
      </c>
      <c r="U583" s="37" t="n">
        <v>0.1777777777777778</v>
      </c>
      <c r="V583" s="38" t="n">
        <v>0</v>
      </c>
      <c r="W583" s="38" t="n">
        <v>2.468</v>
      </c>
      <c r="X583" s="38" t="n">
        <v>14.377</v>
      </c>
      <c r="Y583" s="38" t="n">
        <v>74.675</v>
      </c>
      <c r="Z583" s="38" t="n">
        <v>0</v>
      </c>
      <c r="AA583" s="36" t="n">
        <v>45</v>
      </c>
      <c r="AB583" s="37" t="n">
        <v>0.1814516129032258</v>
      </c>
      <c r="AC583" s="36" t="n">
        <v>18</v>
      </c>
      <c r="AD583" s="37" t="n">
        <v>0.3461538461538461</v>
      </c>
      <c r="AE583" s="36" t="n">
        <v>27</v>
      </c>
      <c r="AF583" s="37" t="n">
        <v>0.1391752577319588</v>
      </c>
      <c r="AG583" s="36" t="n">
        <v>8</v>
      </c>
      <c r="AH583" s="37" t="n">
        <v>0.4444444444444444</v>
      </c>
    </row>
    <row r="584">
      <c r="A584" s="53" t="n">
        <v>45765</v>
      </c>
      <c r="B584" t="inlineStr">
        <is>
          <t>R01_Sumbagut</t>
        </is>
      </c>
      <c r="C584" t="inlineStr">
        <is>
          <t>NOP PEMATANG SIANTAR</t>
        </is>
      </c>
      <c r="D584" s="38" t="n">
        <v>2.68</v>
      </c>
      <c r="E584" s="38" t="n">
        <v>1.324</v>
      </c>
      <c r="F584" s="36" t="n">
        <v>2.537</v>
      </c>
      <c r="G584" s="36" t="n">
        <v>4.216000000000001</v>
      </c>
      <c r="H584" s="36" t="n">
        <v>16</v>
      </c>
      <c r="I584" s="37" t="n">
        <v>0.3555555555555556</v>
      </c>
      <c r="J584" s="36" t="n">
        <v>3</v>
      </c>
      <c r="K584" s="37" t="n">
        <v>0.6</v>
      </c>
      <c r="L584" s="36" t="n">
        <v>13</v>
      </c>
      <c r="M584" s="37" t="n">
        <v>0.325</v>
      </c>
      <c r="N584" s="36" t="n">
        <v>2</v>
      </c>
      <c r="O584" s="37" t="n">
        <v>0.6666666666666666</v>
      </c>
      <c r="P584" s="36" t="n">
        <v>2</v>
      </c>
      <c r="Q584" s="37" t="n">
        <v>0.6666666666666666</v>
      </c>
      <c r="R584" s="36" t="n">
        <v>45</v>
      </c>
      <c r="S584" s="37" t="n">
        <v>1</v>
      </c>
      <c r="T584" s="36" t="n">
        <v>10</v>
      </c>
      <c r="U584" s="37" t="n">
        <v>0.2222222222222222</v>
      </c>
      <c r="V584" s="38" t="n">
        <v>0.01</v>
      </c>
      <c r="W584" s="38" t="n">
        <v>4.994999999999999</v>
      </c>
      <c r="X584" s="38" t="n">
        <v>40.97200000000003</v>
      </c>
      <c r="Y584" s="38" t="n">
        <v>27.81300000000005</v>
      </c>
      <c r="Z584" s="38" t="n">
        <v>0</v>
      </c>
      <c r="AA584" s="36" t="n">
        <v>42</v>
      </c>
      <c r="AB584" s="37" t="n">
        <v>0.08553971486761711</v>
      </c>
      <c r="AC584" s="36" t="n">
        <v>11</v>
      </c>
      <c r="AD584" s="37" t="n">
        <v>0.4074074074074074</v>
      </c>
      <c r="AE584" s="36" t="n">
        <v>31</v>
      </c>
      <c r="AF584" s="37" t="n">
        <v>0.06904231625835189</v>
      </c>
      <c r="AG584" s="36" t="n">
        <v>7</v>
      </c>
      <c r="AH584" s="37" t="n">
        <v>0.6363636363636364</v>
      </c>
    </row>
    <row r="585">
      <c r="A585" s="53" t="n">
        <v>45765</v>
      </c>
      <c r="B585" t="inlineStr">
        <is>
          <t>R01_Sumbagut</t>
        </is>
      </c>
      <c r="C585" t="inlineStr">
        <is>
          <t>NOP RANTAU PRAPAT</t>
        </is>
      </c>
      <c r="D585" s="38" t="n">
        <v>0</v>
      </c>
      <c r="E585" s="38" t="n">
        <v>2.158</v>
      </c>
      <c r="F585" s="36" t="n">
        <v>2.91</v>
      </c>
      <c r="G585" s="36" t="n">
        <v>4.263999999999999</v>
      </c>
      <c r="H585" s="36" t="n">
        <v>45</v>
      </c>
      <c r="I585" s="37" t="n">
        <v>0.3237410071942446</v>
      </c>
      <c r="J585" s="36" t="n">
        <v>13</v>
      </c>
      <c r="K585" s="37" t="n">
        <v>0.5909090909090909</v>
      </c>
      <c r="L585" s="36" t="n">
        <v>32</v>
      </c>
      <c r="M585" s="37" t="n">
        <v>0.2735042735042735</v>
      </c>
      <c r="N585" s="36" t="n">
        <v>6</v>
      </c>
      <c r="O585" s="37" t="n">
        <v>0.4615384615384616</v>
      </c>
      <c r="P585" s="36" t="n">
        <v>6</v>
      </c>
      <c r="Q585" s="37" t="n">
        <v>0.4615384615384616</v>
      </c>
      <c r="R585" s="36" t="n">
        <v>139</v>
      </c>
      <c r="S585" s="37" t="n">
        <v>1</v>
      </c>
      <c r="T585" s="36" t="n">
        <v>31</v>
      </c>
      <c r="U585" s="37" t="n">
        <v>0.223021582733813</v>
      </c>
      <c r="V585" s="38" t="n">
        <v>0.02</v>
      </c>
      <c r="W585" s="38" t="n">
        <v>7.581000000000002</v>
      </c>
      <c r="X585" s="38" t="n">
        <v>53.95</v>
      </c>
      <c r="Y585" s="38" t="n">
        <v>48.426</v>
      </c>
      <c r="Z585" s="38" t="n">
        <v>0</v>
      </c>
      <c r="AA585" s="36" t="n">
        <v>22</v>
      </c>
      <c r="AB585" s="37" t="n">
        <v>0.0625</v>
      </c>
      <c r="AC585" s="36" t="n">
        <v>5</v>
      </c>
      <c r="AD585" s="37" t="n">
        <v>0.1724137931034483</v>
      </c>
      <c r="AE585" s="36" t="n">
        <v>13</v>
      </c>
      <c r="AF585" s="37" t="n">
        <v>0.04180064308681672</v>
      </c>
      <c r="AG585" s="36" t="n">
        <v>3</v>
      </c>
      <c r="AH585" s="37" t="n">
        <v>0.6</v>
      </c>
    </row>
    <row r="586">
      <c r="A586" s="53" t="n">
        <v>45765</v>
      </c>
      <c r="B586" t="inlineStr">
        <is>
          <t>R10_Sumbagteng</t>
        </is>
      </c>
      <c r="C586" t="inlineStr">
        <is>
          <t>NOP BATAM</t>
        </is>
      </c>
      <c r="D586" s="38" t="n">
        <v>0</v>
      </c>
      <c r="E586" s="38" t="n">
        <v>4.127</v>
      </c>
      <c r="F586" s="36" t="n">
        <v>173.309</v>
      </c>
      <c r="G586" s="36" t="n">
        <v>11.514</v>
      </c>
      <c r="H586" s="36" t="n">
        <v>22</v>
      </c>
      <c r="I586" s="37" t="n">
        <v>0.3333333333333333</v>
      </c>
      <c r="J586" s="36" t="n">
        <v>1</v>
      </c>
      <c r="K586" s="37" t="n">
        <v>0.125</v>
      </c>
      <c r="L586" s="36" t="n">
        <v>21</v>
      </c>
      <c r="M586" s="37" t="n">
        <v>0.3620689655172414</v>
      </c>
      <c r="N586" s="36" t="n">
        <v>1</v>
      </c>
      <c r="O586" s="37" t="n">
        <v>1</v>
      </c>
      <c r="P586" s="36" t="n">
        <v>1</v>
      </c>
      <c r="Q586" s="37" t="n">
        <v>1</v>
      </c>
      <c r="R586" s="36" t="n">
        <v>66</v>
      </c>
      <c r="S586" s="37" t="n">
        <v>1</v>
      </c>
      <c r="T586" s="36" t="n">
        <v>16</v>
      </c>
      <c r="U586" s="37" t="n">
        <v>0.2424242424242424</v>
      </c>
      <c r="V586" s="38" t="n">
        <v>0</v>
      </c>
      <c r="W586" s="38" t="n">
        <v>6.895999999999997</v>
      </c>
      <c r="X586" s="38" t="n">
        <v>11.155</v>
      </c>
      <c r="Y586" s="38" t="n">
        <v>153.3639999999999</v>
      </c>
      <c r="Z586" s="38" t="n">
        <v>0</v>
      </c>
      <c r="AA586" s="36" t="n">
        <v>11</v>
      </c>
      <c r="AB586" s="37" t="n">
        <v>0.0402930402930403</v>
      </c>
      <c r="AC586" s="36" t="n">
        <v>7</v>
      </c>
      <c r="AD586" s="37" t="n">
        <v>0.1666666666666667</v>
      </c>
      <c r="AE586" s="36" t="n">
        <v>4</v>
      </c>
      <c r="AF586" s="37" t="n">
        <v>0.01762114537444934</v>
      </c>
      <c r="AG586" s="36" t="n">
        <v>4</v>
      </c>
      <c r="AH586" s="37" t="n">
        <v>0.5714285714285714</v>
      </c>
    </row>
    <row r="587">
      <c r="A587" s="53" t="n">
        <v>45765</v>
      </c>
      <c r="B587" t="inlineStr">
        <is>
          <t>R10_Sumbagteng</t>
        </is>
      </c>
      <c r="C587" t="inlineStr">
        <is>
          <t>NOP BUKITTINGGI</t>
        </is>
      </c>
      <c r="D587" s="38" t="n">
        <v>0</v>
      </c>
      <c r="E587" s="38" t="n">
        <v>1.297</v>
      </c>
      <c r="F587" s="36" t="n">
        <v>1.484</v>
      </c>
      <c r="G587" s="36" t="n">
        <v>2.775</v>
      </c>
      <c r="H587" s="36" t="n">
        <v>37</v>
      </c>
      <c r="I587" s="37" t="n">
        <v>0.7551020408163265</v>
      </c>
      <c r="J587" s="36" t="n">
        <v>9</v>
      </c>
      <c r="K587" s="37" t="n">
        <v>0.9</v>
      </c>
      <c r="L587" s="36" t="n">
        <v>28</v>
      </c>
      <c r="M587" s="37" t="n">
        <v>0.717948717948718</v>
      </c>
      <c r="N587" s="36" t="n">
        <v>5</v>
      </c>
      <c r="O587" s="37" t="n">
        <v>0.5555555555555556</v>
      </c>
      <c r="P587" s="36" t="n">
        <v>5</v>
      </c>
      <c r="Q587" s="37" t="n">
        <v>0.5555555555555556</v>
      </c>
      <c r="R587" s="36" t="n">
        <v>49</v>
      </c>
      <c r="S587" s="37" t="n">
        <v>1</v>
      </c>
      <c r="T587" s="36" t="n">
        <v>19</v>
      </c>
      <c r="U587" s="37" t="n">
        <v>0.3877551020408163</v>
      </c>
      <c r="V587" s="38" t="n">
        <v>0</v>
      </c>
      <c r="W587" s="38" t="n">
        <v>2.969</v>
      </c>
      <c r="X587" s="38" t="n">
        <v>12.592</v>
      </c>
      <c r="Y587" s="38" t="n">
        <v>86.15000000000001</v>
      </c>
      <c r="Z587" s="38" t="n">
        <v>0</v>
      </c>
      <c r="AA587" s="36" t="n">
        <v>53</v>
      </c>
      <c r="AB587" s="37" t="n">
        <v>0.2731958762886598</v>
      </c>
      <c r="AC587" s="36" t="n">
        <v>8</v>
      </c>
      <c r="AD587" s="37" t="n">
        <v>0.5714285714285714</v>
      </c>
      <c r="AE587" s="36" t="n">
        <v>45</v>
      </c>
      <c r="AF587" s="37" t="n">
        <v>0.2513966480446927</v>
      </c>
      <c r="AG587" s="36" t="n">
        <v>6</v>
      </c>
      <c r="AH587" s="37" t="n">
        <v>0.75</v>
      </c>
    </row>
    <row r="588">
      <c r="A588" s="53" t="n">
        <v>45765</v>
      </c>
      <c r="B588" t="inlineStr">
        <is>
          <t>R10_Sumbagteng</t>
        </is>
      </c>
      <c r="C588" t="inlineStr">
        <is>
          <t>NOP DUMAI</t>
        </is>
      </c>
      <c r="D588" s="38" t="n">
        <v>2.16</v>
      </c>
      <c r="E588" s="38" t="n">
        <v>2.198</v>
      </c>
      <c r="F588" s="36" t="n">
        <v>7.082000000000001</v>
      </c>
      <c r="G588" s="36" t="n">
        <v>4.684000000000001</v>
      </c>
      <c r="H588" s="36" t="n">
        <v>31</v>
      </c>
      <c r="I588" s="37" t="n">
        <v>0.3263157894736842</v>
      </c>
      <c r="J588" s="36" t="n">
        <v>8</v>
      </c>
      <c r="K588" s="37" t="n">
        <v>0.3076923076923077</v>
      </c>
      <c r="L588" s="36" t="n">
        <v>23</v>
      </c>
      <c r="M588" s="37" t="n">
        <v>0.3333333333333333</v>
      </c>
      <c r="N588" s="36" t="n">
        <v>8</v>
      </c>
      <c r="O588" s="37" t="n">
        <v>1</v>
      </c>
      <c r="P588" s="36" t="n">
        <v>8</v>
      </c>
      <c r="Q588" s="37" t="n">
        <v>1</v>
      </c>
      <c r="R588" s="36" t="n">
        <v>94</v>
      </c>
      <c r="S588" s="37" t="n">
        <v>0.9894736842105263</v>
      </c>
      <c r="T588" s="36" t="n">
        <v>23</v>
      </c>
      <c r="U588" s="37" t="n">
        <v>0.2421052631578947</v>
      </c>
      <c r="V588" s="38" t="n">
        <v>0.01</v>
      </c>
      <c r="W588" s="38" t="n">
        <v>5.429000000000002</v>
      </c>
      <c r="X588" s="38" t="n">
        <v>49.825</v>
      </c>
      <c r="Y588" s="38" t="n">
        <v>107.358</v>
      </c>
      <c r="Z588" s="38" t="n">
        <v>0</v>
      </c>
      <c r="AA588" s="36" t="n">
        <v>87</v>
      </c>
      <c r="AB588" s="37" t="n">
        <v>0.2929292929292929</v>
      </c>
      <c r="AC588" s="36" t="n">
        <v>20</v>
      </c>
      <c r="AD588" s="37" t="n">
        <v>0.3076923076923077</v>
      </c>
      <c r="AE588" s="36" t="n">
        <v>66</v>
      </c>
      <c r="AF588" s="37" t="n">
        <v>0.2986425339366516</v>
      </c>
      <c r="AG588" s="36" t="n">
        <v>19</v>
      </c>
      <c r="AH588" s="37" t="n">
        <v>0.95</v>
      </c>
    </row>
    <row r="589">
      <c r="A589" s="53" t="n">
        <v>45765</v>
      </c>
      <c r="B589" t="inlineStr">
        <is>
          <t>R10_Sumbagteng</t>
        </is>
      </c>
      <c r="C589" t="inlineStr">
        <is>
          <t>NOP PADANG</t>
        </is>
      </c>
      <c r="D589" s="38" t="n">
        <v>1.69</v>
      </c>
      <c r="E589" s="38" t="n">
        <v>1.418</v>
      </c>
      <c r="F589" s="36" t="n">
        <v>2.52</v>
      </c>
      <c r="G589" s="36" t="n">
        <v>2.704000000000001</v>
      </c>
      <c r="H589" s="36" t="n">
        <v>55</v>
      </c>
      <c r="I589" s="37" t="n">
        <v>0.7333333333333333</v>
      </c>
      <c r="J589" s="36" t="n">
        <v>4</v>
      </c>
      <c r="K589" s="37" t="n">
        <v>0.5</v>
      </c>
      <c r="L589" s="36" t="n">
        <v>51</v>
      </c>
      <c r="M589" s="37" t="n">
        <v>0.7611940298507462</v>
      </c>
      <c r="N589" s="36" t="n">
        <v>2</v>
      </c>
      <c r="O589" s="37" t="n">
        <v>0.5</v>
      </c>
      <c r="P589" s="36" t="n">
        <v>2</v>
      </c>
      <c r="Q589" s="37" t="n">
        <v>0.5</v>
      </c>
      <c r="R589" s="36" t="n">
        <v>75</v>
      </c>
      <c r="S589" s="37" t="n">
        <v>1</v>
      </c>
      <c r="T589" s="36" t="n">
        <v>19</v>
      </c>
      <c r="U589" s="37" t="n">
        <v>0.2533333333333334</v>
      </c>
      <c r="V589" s="38" t="n">
        <v>0</v>
      </c>
      <c r="W589" s="38" t="n">
        <v>5.615000000000003</v>
      </c>
      <c r="X589" s="38" t="n">
        <v>97.06100000000023</v>
      </c>
      <c r="Y589" s="38" t="n">
        <v>86.92</v>
      </c>
      <c r="Z589" s="38" t="n">
        <v>0</v>
      </c>
      <c r="AA589" s="36" t="n">
        <v>154</v>
      </c>
      <c r="AB589" s="37" t="n">
        <v>0.77</v>
      </c>
      <c r="AC589" s="36" t="n">
        <v>17</v>
      </c>
      <c r="AD589" s="37" t="n">
        <v>0.85</v>
      </c>
      <c r="AE589" s="36" t="n">
        <v>136</v>
      </c>
      <c r="AF589" s="37" t="n">
        <v>0.7597765363128491</v>
      </c>
      <c r="AG589" s="36" t="n">
        <v>9</v>
      </c>
      <c r="AH589" s="37" t="n">
        <v>0.5294117647058824</v>
      </c>
    </row>
    <row r="590">
      <c r="A590" s="53" t="n">
        <v>45765</v>
      </c>
      <c r="B590" t="inlineStr">
        <is>
          <t>R10_Sumbagteng</t>
        </is>
      </c>
      <c r="C590" t="inlineStr">
        <is>
          <t>NOP PEKANBARU</t>
        </is>
      </c>
      <c r="D590" s="38" t="n">
        <v>3.84</v>
      </c>
      <c r="E590" s="38" t="n">
        <v>2.27</v>
      </c>
      <c r="F590" s="36" t="n">
        <v>5.24</v>
      </c>
      <c r="G590" s="36" t="n">
        <v>5.154999999999999</v>
      </c>
      <c r="H590" s="36" t="n">
        <v>47</v>
      </c>
      <c r="I590" s="37" t="n">
        <v>0.4476190476190476</v>
      </c>
      <c r="J590" s="36" t="n">
        <v>7</v>
      </c>
      <c r="K590" s="37" t="n">
        <v>0.3043478260869565</v>
      </c>
      <c r="L590" s="36" t="n">
        <v>40</v>
      </c>
      <c r="M590" s="37" t="n">
        <v>0.4878048780487805</v>
      </c>
      <c r="N590" s="36" t="n">
        <v>5</v>
      </c>
      <c r="O590" s="37" t="n">
        <v>0.7142857142857143</v>
      </c>
      <c r="P590" s="36" t="n">
        <v>5</v>
      </c>
      <c r="Q590" s="37" t="n">
        <v>0.7142857142857143</v>
      </c>
      <c r="R590" s="36" t="n">
        <v>105</v>
      </c>
      <c r="S590" s="37" t="n">
        <v>1</v>
      </c>
      <c r="T590" s="36" t="n">
        <v>24</v>
      </c>
      <c r="U590" s="37" t="n">
        <v>0.2285714285714286</v>
      </c>
      <c r="V590" s="38" t="n">
        <v>0</v>
      </c>
      <c r="W590" s="38" t="n">
        <v>3.442000000000001</v>
      </c>
      <c r="X590" s="38" t="n">
        <v>36.76500000000001</v>
      </c>
      <c r="Y590" s="38" t="n">
        <v>27.06600000000002</v>
      </c>
      <c r="Z590" s="38" t="n">
        <v>0</v>
      </c>
      <c r="AA590" s="36" t="n">
        <v>66</v>
      </c>
      <c r="AB590" s="37" t="n">
        <v>0.2538461538461538</v>
      </c>
      <c r="AC590" s="36" t="n">
        <v>28</v>
      </c>
      <c r="AD590" s="37" t="n">
        <v>0.3255813953488372</v>
      </c>
      <c r="AE590" s="36" t="n">
        <v>38</v>
      </c>
      <c r="AF590" s="37" t="n">
        <v>0.2331288343558282</v>
      </c>
      <c r="AG590" s="36" t="n">
        <v>20</v>
      </c>
      <c r="AH590" s="37" t="n">
        <v>0.7142857142857143</v>
      </c>
    </row>
    <row r="591">
      <c r="A591" s="53" t="n">
        <v>45765</v>
      </c>
      <c r="B591" t="inlineStr">
        <is>
          <t>R02_Sumbagsel</t>
        </is>
      </c>
      <c r="C591" t="inlineStr">
        <is>
          <t>NOP BENGKULU</t>
        </is>
      </c>
      <c r="D591" s="38" t="n">
        <v>1.007</v>
      </c>
      <c r="E591" s="38" t="n">
        <v>11.576</v>
      </c>
      <c r="F591" s="36" t="n">
        <v>4.1</v>
      </c>
      <c r="G591" s="36" t="n">
        <v>15.43600000000001</v>
      </c>
      <c r="H591" s="36" t="n">
        <v>38</v>
      </c>
      <c r="I591" s="37" t="n">
        <v>0.3220338983050847</v>
      </c>
      <c r="J591" s="36" t="n">
        <v>10</v>
      </c>
      <c r="K591" s="37" t="n">
        <v>0.4545454545454545</v>
      </c>
      <c r="L591" s="36" t="n">
        <v>28</v>
      </c>
      <c r="M591" s="37" t="n">
        <v>0.2916666666666667</v>
      </c>
      <c r="N591" s="36" t="n">
        <v>6</v>
      </c>
      <c r="O591" s="37" t="n">
        <v>0.6</v>
      </c>
      <c r="P591" s="36" t="n">
        <v>6</v>
      </c>
      <c r="Q591" s="37" t="n">
        <v>0.6</v>
      </c>
      <c r="R591" s="36" t="n">
        <v>116</v>
      </c>
      <c r="S591" s="37" t="n">
        <v>0.9830508474576272</v>
      </c>
      <c r="T591" s="36" t="n">
        <v>20</v>
      </c>
      <c r="U591" s="37" t="n">
        <v>0.1694915254237288</v>
      </c>
      <c r="V591" s="38" t="n">
        <v>0</v>
      </c>
      <c r="W591" s="38" t="n">
        <v>7.307999999999996</v>
      </c>
      <c r="X591" s="38" t="n">
        <v>14.46</v>
      </c>
      <c r="Y591" s="38" t="n">
        <v>61.44000000000004</v>
      </c>
      <c r="Z591" s="38" t="n">
        <v>0</v>
      </c>
      <c r="AA591" s="36" t="n">
        <v>94</v>
      </c>
      <c r="AB591" s="37" t="n">
        <v>0.4630541871921182</v>
      </c>
      <c r="AC591" s="36" t="n">
        <v>58</v>
      </c>
      <c r="AD591" s="37" t="n">
        <v>0.4360902255639098</v>
      </c>
      <c r="AE591" s="36" t="n">
        <v>28</v>
      </c>
      <c r="AF591" s="37" t="n">
        <v>0.5600000000000001</v>
      </c>
      <c r="AG591" s="36" t="n">
        <v>49</v>
      </c>
      <c r="AH591" s="37" t="n">
        <v>0.8448275862068966</v>
      </c>
    </row>
    <row r="592">
      <c r="A592" s="53" t="n">
        <v>45765</v>
      </c>
      <c r="B592" t="inlineStr">
        <is>
          <t>R02_Sumbagsel</t>
        </is>
      </c>
      <c r="C592" t="inlineStr">
        <is>
          <t>NOP JAMBI</t>
        </is>
      </c>
      <c r="D592" s="38" t="n">
        <v>1.635</v>
      </c>
      <c r="E592" s="38" t="n">
        <v>4.475</v>
      </c>
      <c r="F592" s="36" t="n">
        <v>2.115</v>
      </c>
      <c r="G592" s="36" t="n">
        <v>6.816999999999998</v>
      </c>
      <c r="H592" s="36" t="n">
        <v>43</v>
      </c>
      <c r="I592" s="37" t="n">
        <v>0.4673913043478261</v>
      </c>
      <c r="J592" s="36" t="n">
        <v>14</v>
      </c>
      <c r="K592" s="37" t="n">
        <v>0.6363636363636364</v>
      </c>
      <c r="L592" s="36" t="n">
        <v>29</v>
      </c>
      <c r="M592" s="37" t="n">
        <v>0.4142857142857143</v>
      </c>
      <c r="N592" s="36" t="n">
        <v>10</v>
      </c>
      <c r="O592" s="37" t="n">
        <v>0.7142857142857143</v>
      </c>
      <c r="P592" s="36" t="n">
        <v>10</v>
      </c>
      <c r="Q592" s="37" t="n">
        <v>0.7142857142857143</v>
      </c>
      <c r="R592" s="36" t="n">
        <v>92</v>
      </c>
      <c r="S592" s="37" t="n">
        <v>1</v>
      </c>
      <c r="T592" s="36" t="n">
        <v>24</v>
      </c>
      <c r="U592" s="37" t="n">
        <v>0.2608695652173913</v>
      </c>
      <c r="V592" s="38" t="n">
        <v>0</v>
      </c>
      <c r="W592" s="38" t="n">
        <v>24.66899999999999</v>
      </c>
      <c r="X592" s="38" t="n">
        <v>92.64</v>
      </c>
      <c r="Y592" s="38" t="n">
        <v>16.594</v>
      </c>
      <c r="Z592" s="38" t="n">
        <v>0</v>
      </c>
      <c r="AA592" s="36" t="n">
        <v>107</v>
      </c>
      <c r="AB592" s="37" t="n">
        <v>0.6645962732919255</v>
      </c>
      <c r="AC592" s="36" t="n">
        <v>33</v>
      </c>
      <c r="AD592" s="37" t="n">
        <v>0.6346153846153846</v>
      </c>
      <c r="AE592" s="36" t="n">
        <v>63</v>
      </c>
      <c r="AF592" s="37" t="n">
        <v>0.7078651685393258</v>
      </c>
      <c r="AG592" s="36" t="n">
        <v>25</v>
      </c>
      <c r="AH592" s="37" t="n">
        <v>0.7575757575757576</v>
      </c>
    </row>
    <row r="593">
      <c r="A593" s="53" t="n">
        <v>45765</v>
      </c>
      <c r="B593" t="inlineStr">
        <is>
          <t>R02_Sumbagsel</t>
        </is>
      </c>
      <c r="C593" t="inlineStr">
        <is>
          <t>NOP LAMPUNG</t>
        </is>
      </c>
      <c r="D593" s="38" t="n">
        <v>1.38</v>
      </c>
      <c r="E593" s="38" t="n">
        <v>3.122</v>
      </c>
      <c r="F593" s="36" t="n">
        <v>5.57</v>
      </c>
      <c r="G593" s="36" t="n">
        <v>2.56</v>
      </c>
      <c r="H593" s="36" t="n">
        <v>43</v>
      </c>
      <c r="I593" s="37" t="n">
        <v>0.4387755102040816</v>
      </c>
      <c r="J593" s="36" t="n">
        <v>18</v>
      </c>
      <c r="K593" s="37" t="n">
        <v>0.4864864864864865</v>
      </c>
      <c r="L593" s="36" t="n">
        <v>25</v>
      </c>
      <c r="M593" s="37" t="n">
        <v>0.4098360655737705</v>
      </c>
      <c r="N593" s="36" t="n">
        <v>14</v>
      </c>
      <c r="O593" s="37" t="n">
        <v>0.7777777777777778</v>
      </c>
      <c r="P593" s="36" t="n">
        <v>14</v>
      </c>
      <c r="Q593" s="37" t="n">
        <v>0.7777777777777778</v>
      </c>
      <c r="R593" s="36" t="n">
        <v>98</v>
      </c>
      <c r="S593" s="37" t="n">
        <v>1</v>
      </c>
      <c r="T593" s="36" t="n">
        <v>28</v>
      </c>
      <c r="U593" s="37" t="n">
        <v>0.2857142857142857</v>
      </c>
      <c r="V593" s="38" t="n">
        <v>0</v>
      </c>
      <c r="W593" s="38" t="n">
        <v>3.995000000000001</v>
      </c>
      <c r="X593" s="38" t="n">
        <v>4.772000000000002</v>
      </c>
      <c r="Y593" s="38" t="n">
        <v>7.73</v>
      </c>
      <c r="Z593" s="38" t="n">
        <v>0</v>
      </c>
      <c r="AA593" s="36" t="n">
        <v>151</v>
      </c>
      <c r="AB593" s="37" t="n">
        <v>0.9041916167664671</v>
      </c>
      <c r="AC593" s="36" t="n">
        <v>32</v>
      </c>
      <c r="AD593" s="37" t="n">
        <v>0.7272727272727273</v>
      </c>
      <c r="AE593" s="36" t="n">
        <v>112</v>
      </c>
      <c r="AF593" s="37" t="n">
        <v>0.9739130434782609</v>
      </c>
      <c r="AG593" s="36" t="n">
        <v>29</v>
      </c>
      <c r="AH593" s="37" t="n">
        <v>0.90625</v>
      </c>
    </row>
    <row r="594">
      <c r="A594" s="53" t="n">
        <v>45765</v>
      </c>
      <c r="B594" t="inlineStr">
        <is>
          <t>R02_Sumbagsel</t>
        </is>
      </c>
      <c r="C594" t="inlineStr">
        <is>
          <t>NOP MUARA ENIM</t>
        </is>
      </c>
      <c r="D594" s="38" t="n">
        <v>3.7</v>
      </c>
      <c r="E594" s="38" t="n">
        <v>4.37</v>
      </c>
      <c r="F594" s="36" t="n">
        <v>4.828</v>
      </c>
      <c r="G594" s="36" t="n">
        <v>10.522</v>
      </c>
      <c r="H594" s="36" t="n">
        <v>41</v>
      </c>
      <c r="I594" s="37" t="n">
        <v>0.5394736842105263</v>
      </c>
      <c r="J594" s="36" t="n">
        <v>6</v>
      </c>
      <c r="K594" s="37" t="n">
        <v>0.5</v>
      </c>
      <c r="L594" s="36" t="n">
        <v>35</v>
      </c>
      <c r="M594" s="37" t="n">
        <v>0.546875</v>
      </c>
      <c r="N594" s="36" t="n">
        <v>6</v>
      </c>
      <c r="O594" s="37" t="n">
        <v>1</v>
      </c>
      <c r="P594" s="36" t="n">
        <v>6</v>
      </c>
      <c r="Q594" s="37" t="n">
        <v>1</v>
      </c>
      <c r="R594" s="36" t="n">
        <v>75</v>
      </c>
      <c r="S594" s="37" t="n">
        <v>0.9868421052631579</v>
      </c>
      <c r="T594" s="36" t="n">
        <v>31</v>
      </c>
      <c r="U594" s="37" t="n">
        <v>0.4078947368421053</v>
      </c>
      <c r="V594" s="38" t="n">
        <v>0</v>
      </c>
      <c r="W594" s="38" t="n">
        <v>4.600000000000001</v>
      </c>
      <c r="X594" s="38" t="n">
        <v>7.997000000000008</v>
      </c>
      <c r="Y594" s="38" t="n">
        <v>2.43</v>
      </c>
      <c r="Z594" s="38" t="n">
        <v>0</v>
      </c>
      <c r="AA594" s="36" t="n">
        <v>84</v>
      </c>
      <c r="AB594" s="37" t="n">
        <v>0.4516129032258064</v>
      </c>
      <c r="AC594" s="36" t="n">
        <v>33</v>
      </c>
      <c r="AD594" s="37" t="n">
        <v>0.5076923076923077</v>
      </c>
      <c r="AE594" s="36" t="n">
        <v>48</v>
      </c>
      <c r="AF594" s="37" t="n">
        <v>0.5393258426966292</v>
      </c>
      <c r="AG594" s="36" t="n">
        <v>22</v>
      </c>
      <c r="AH594" s="37" t="n">
        <v>0.6666666666666666</v>
      </c>
    </row>
    <row r="595">
      <c r="A595" s="53" t="n">
        <v>45765</v>
      </c>
      <c r="B595" t="inlineStr">
        <is>
          <t>R02_Sumbagsel</t>
        </is>
      </c>
      <c r="C595" t="inlineStr">
        <is>
          <t>NOP PALEMBANG</t>
        </is>
      </c>
      <c r="D595" s="38" t="n">
        <v>1.13</v>
      </c>
      <c r="E595" s="38" t="n">
        <v>5.550000000000002</v>
      </c>
      <c r="F595" s="36" t="n">
        <v>4.114</v>
      </c>
      <c r="G595" s="36" t="n">
        <v>6.559000000000002</v>
      </c>
      <c r="H595" s="36" t="n">
        <v>33</v>
      </c>
      <c r="I595" s="37" t="n">
        <v>0.33</v>
      </c>
      <c r="J595" s="36" t="n">
        <v>4</v>
      </c>
      <c r="K595" s="37" t="n">
        <v>0.5</v>
      </c>
      <c r="L595" s="36" t="n">
        <v>29</v>
      </c>
      <c r="M595" s="37" t="n">
        <v>0.3152173913043478</v>
      </c>
      <c r="N595" s="36" t="n">
        <v>2</v>
      </c>
      <c r="O595" s="37" t="n">
        <v>0.5</v>
      </c>
      <c r="P595" s="36" t="n">
        <v>2</v>
      </c>
      <c r="Q595" s="37" t="n">
        <v>0.5</v>
      </c>
      <c r="R595" s="36" t="n">
        <v>100</v>
      </c>
      <c r="S595" s="37" t="n">
        <v>1</v>
      </c>
      <c r="T595" s="36" t="n">
        <v>18</v>
      </c>
      <c r="U595" s="37" t="n">
        <v>0.18</v>
      </c>
      <c r="V595" s="38" t="n">
        <v>0</v>
      </c>
      <c r="W595" s="38" t="n">
        <v>6.012</v>
      </c>
      <c r="X595" s="38" t="n">
        <v>13.992</v>
      </c>
      <c r="Y595" s="38" t="n">
        <v>19.33</v>
      </c>
      <c r="Z595" s="38" t="n">
        <v>0</v>
      </c>
      <c r="AA595" s="36" t="n">
        <v>34</v>
      </c>
      <c r="AB595" s="37" t="n">
        <v>0.2</v>
      </c>
      <c r="AC595" s="36" t="n">
        <v>10</v>
      </c>
      <c r="AD595" s="37" t="n">
        <v>0.1449275362318841</v>
      </c>
      <c r="AE595" s="36" t="n">
        <v>24</v>
      </c>
      <c r="AF595" s="37" t="n">
        <v>0.3157894736842105</v>
      </c>
      <c r="AG595" s="36" t="n">
        <v>3</v>
      </c>
      <c r="AH595" s="37" t="n">
        <v>0.3</v>
      </c>
    </row>
    <row r="596">
      <c r="A596" s="53" t="n">
        <v>45765</v>
      </c>
      <c r="B596" t="inlineStr">
        <is>
          <t>R02_Sumbagsel</t>
        </is>
      </c>
      <c r="C596" t="inlineStr">
        <is>
          <t>NOP PANGKAL PINANG</t>
        </is>
      </c>
      <c r="D596" s="38" t="n">
        <v>1.34</v>
      </c>
      <c r="E596" s="38" t="n">
        <v>0</v>
      </c>
      <c r="F596" s="36" t="n">
        <v>2.34</v>
      </c>
      <c r="G596" s="36" t="n">
        <v>6.05</v>
      </c>
      <c r="H596" s="36" t="n">
        <v>9</v>
      </c>
      <c r="I596" s="37" t="n">
        <v>0.4736842105263158</v>
      </c>
      <c r="J596" s="36" t="n">
        <v>1</v>
      </c>
      <c r="K596" s="37" t="n">
        <v>1</v>
      </c>
      <c r="L596" s="36" t="n">
        <v>8</v>
      </c>
      <c r="M596" s="37" t="n">
        <v>0.4444444444444444</v>
      </c>
      <c r="N596" s="36" t="n">
        <v>1</v>
      </c>
      <c r="O596" s="37" t="n">
        <v>1</v>
      </c>
      <c r="P596" s="36" t="n">
        <v>1</v>
      </c>
      <c r="Q596" s="37" t="n">
        <v>1</v>
      </c>
      <c r="R596" s="36" t="n">
        <v>19</v>
      </c>
      <c r="S596" s="37" t="n">
        <v>1</v>
      </c>
      <c r="T596" s="36" t="n">
        <v>6</v>
      </c>
      <c r="U596" s="37" t="n">
        <v>0.3157894736842105</v>
      </c>
      <c r="V596" s="38" t="n">
        <v>0</v>
      </c>
      <c r="W596" s="38" t="n">
        <v>28.88200000000001</v>
      </c>
      <c r="X596" s="38" t="n">
        <v>10.605</v>
      </c>
      <c r="Y596" s="38" t="n">
        <v>38.66</v>
      </c>
      <c r="Z596" s="38" t="n">
        <v>0</v>
      </c>
      <c r="AA596" s="36" t="n">
        <v>51</v>
      </c>
      <c r="AB596" s="37" t="n">
        <v>0.7391304347826086</v>
      </c>
      <c r="AC596" s="36" t="n">
        <v>11</v>
      </c>
      <c r="AD596" s="37" t="n">
        <v>0.6470588235294118</v>
      </c>
      <c r="AE596" s="36" t="n">
        <v>40</v>
      </c>
      <c r="AF596" s="37" t="n">
        <v>0.8163265306122449</v>
      </c>
      <c r="AG596" s="36" t="n">
        <v>8</v>
      </c>
      <c r="AH596" s="37" t="n">
        <v>0.7272727272727273</v>
      </c>
    </row>
    <row r="597">
      <c r="A597" s="53" t="n">
        <v>45765</v>
      </c>
      <c r="B597" t="inlineStr">
        <is>
          <t>R05_Jawa Tengah DIY</t>
        </is>
      </c>
      <c r="C597" t="inlineStr">
        <is>
          <t>NOP MAGELANG</t>
        </is>
      </c>
      <c r="D597" s="38" t="n">
        <v>1.26</v>
      </c>
      <c r="E597" s="38" t="n">
        <v>0</v>
      </c>
      <c r="F597" s="36" t="n">
        <v>2.551</v>
      </c>
      <c r="G597" s="36" t="n">
        <v>1.786</v>
      </c>
      <c r="H597" s="36" t="n">
        <v>13</v>
      </c>
      <c r="I597" s="37" t="n">
        <v>0.9285714285714286</v>
      </c>
      <c r="J597" s="36" t="n">
        <v>1</v>
      </c>
      <c r="K597" s="37" t="n">
        <v>1</v>
      </c>
      <c r="L597" s="36" t="n">
        <v>12</v>
      </c>
      <c r="M597" s="37" t="n">
        <v>0.9230769230769231</v>
      </c>
      <c r="N597" s="36" t="n">
        <v>1</v>
      </c>
      <c r="O597" s="37" t="n">
        <v>1</v>
      </c>
      <c r="P597" s="36" t="n">
        <v>1</v>
      </c>
      <c r="Q597" s="37" t="n">
        <v>1</v>
      </c>
      <c r="R597" s="36" t="n">
        <v>14</v>
      </c>
      <c r="S597" s="37" t="n">
        <v>1</v>
      </c>
      <c r="T597" s="36" t="n">
        <v>11</v>
      </c>
      <c r="U597" s="37" t="n">
        <v>0.7857142857142857</v>
      </c>
      <c r="V597" s="38" t="n">
        <v>0</v>
      </c>
      <c r="W597" s="38" t="n">
        <v>1.207</v>
      </c>
      <c r="X597" s="38" t="n">
        <v>5.914000000000001</v>
      </c>
      <c r="Y597" s="38" t="n">
        <v>17.172</v>
      </c>
      <c r="Z597" s="38" t="n">
        <v>0</v>
      </c>
      <c r="AA597" s="36" t="n">
        <v>81</v>
      </c>
      <c r="AB597" s="37" t="n">
        <v>1</v>
      </c>
      <c r="AC597" s="36" t="n">
        <v>50</v>
      </c>
      <c r="AD597" s="37" t="n">
        <v>1</v>
      </c>
      <c r="AE597" s="36" t="n">
        <v>31</v>
      </c>
      <c r="AF597" s="37" t="n">
        <v>1</v>
      </c>
      <c r="AG597" s="36" t="n">
        <v>46</v>
      </c>
      <c r="AH597" s="37" t="n">
        <v>0.92</v>
      </c>
    </row>
    <row r="598">
      <c r="A598" s="53" t="n">
        <v>45765</v>
      </c>
      <c r="B598" t="inlineStr">
        <is>
          <t>R05_Jawa Tengah DIY</t>
        </is>
      </c>
      <c r="C598" t="inlineStr">
        <is>
          <t>NOP PEKALONGAN</t>
        </is>
      </c>
      <c r="D598" s="38" t="n">
        <v>1.642</v>
      </c>
      <c r="E598" s="38" t="n">
        <v>0</v>
      </c>
      <c r="F598" s="36" t="n">
        <v>1.71</v>
      </c>
      <c r="G598" s="36" t="n">
        <v>2.255</v>
      </c>
      <c r="H598" s="36" t="n">
        <v>14</v>
      </c>
      <c r="I598" s="37" t="n">
        <v>0.8235294117647058</v>
      </c>
      <c r="J598" s="36" t="n">
        <v>3</v>
      </c>
      <c r="K598" s="37" t="n">
        <v>1</v>
      </c>
      <c r="L598" s="36" t="n">
        <v>11</v>
      </c>
      <c r="M598" s="37" t="n">
        <v>0.7857142857142857</v>
      </c>
      <c r="N598" s="36" t="n">
        <v>3</v>
      </c>
      <c r="O598" s="37" t="n">
        <v>1</v>
      </c>
      <c r="P598" s="36" t="n">
        <v>3</v>
      </c>
      <c r="Q598" s="37" t="n">
        <v>1</v>
      </c>
      <c r="R598" s="36" t="n">
        <v>17</v>
      </c>
      <c r="S598" s="37" t="n">
        <v>1</v>
      </c>
      <c r="T598" s="36" t="n">
        <v>10</v>
      </c>
      <c r="U598" s="37" t="n">
        <v>0.5882352941176471</v>
      </c>
      <c r="V598" s="38" t="n">
        <v>0</v>
      </c>
      <c r="W598" s="38" t="n">
        <v>4.426000000000002</v>
      </c>
      <c r="X598" s="38" t="n">
        <v>6.35</v>
      </c>
      <c r="Y598" s="38" t="n">
        <v>34.33400000000001</v>
      </c>
      <c r="Z598" s="38" t="n">
        <v>0</v>
      </c>
      <c r="AA598" s="36" t="n">
        <v>37</v>
      </c>
      <c r="AB598" s="37" t="n">
        <v>0.8809523809523809</v>
      </c>
      <c r="AC598" s="36" t="n">
        <v>7</v>
      </c>
      <c r="AD598" s="37" t="n">
        <v>1</v>
      </c>
      <c r="AE598" s="36" t="n">
        <v>30</v>
      </c>
      <c r="AF598" s="37" t="n">
        <v>0.8571428571428571</v>
      </c>
      <c r="AG598" s="36" t="n">
        <v>3</v>
      </c>
      <c r="AH598" s="37" t="n">
        <v>0.4285714285714285</v>
      </c>
    </row>
    <row r="599">
      <c r="A599" s="53" t="n">
        <v>45765</v>
      </c>
      <c r="B599" t="inlineStr">
        <is>
          <t>R05_Jawa Tengah DIY</t>
        </is>
      </c>
      <c r="C599" t="inlineStr">
        <is>
          <t>NOP PURWOKERTO</t>
        </is>
      </c>
      <c r="D599" s="38" t="n">
        <v>2.31</v>
      </c>
      <c r="E599" s="38" t="n">
        <v>0</v>
      </c>
      <c r="F599" s="36" t="n">
        <v>4.49</v>
      </c>
      <c r="G599" s="36" t="n">
        <v>2.481000000000001</v>
      </c>
      <c r="H599" s="36" t="n">
        <v>52</v>
      </c>
      <c r="I599" s="37" t="n">
        <v>0.8813559322033898</v>
      </c>
      <c r="J599" s="36" t="n">
        <v>1</v>
      </c>
      <c r="K599" s="37" t="n">
        <v>1</v>
      </c>
      <c r="L599" s="36" t="n">
        <v>51</v>
      </c>
      <c r="M599" s="37" t="n">
        <v>0.8793103448275862</v>
      </c>
      <c r="N599" s="36" t="n">
        <v>1</v>
      </c>
      <c r="O599" s="37" t="n">
        <v>1</v>
      </c>
      <c r="P599" s="36" t="n">
        <v>1</v>
      </c>
      <c r="Q599" s="37" t="n">
        <v>1</v>
      </c>
      <c r="R599" s="36" t="n">
        <v>59</v>
      </c>
      <c r="S599" s="37" t="n">
        <v>1</v>
      </c>
      <c r="T599" s="36" t="n">
        <v>33</v>
      </c>
      <c r="U599" s="37" t="n">
        <v>0.559322033898305</v>
      </c>
      <c r="V599" s="38" t="n">
        <v>0</v>
      </c>
      <c r="W599" s="38" t="n">
        <v>2.1</v>
      </c>
      <c r="X599" s="38" t="n">
        <v>6.02</v>
      </c>
      <c r="Y599" s="38" t="n">
        <v>35.7</v>
      </c>
      <c r="Z599" s="38" t="n">
        <v>0</v>
      </c>
      <c r="AA599" s="36" t="n">
        <v>44</v>
      </c>
      <c r="AB599" s="37" t="n">
        <v>0.9565217391304348</v>
      </c>
      <c r="AC599" s="36" t="n">
        <v>9</v>
      </c>
      <c r="AD599" s="37" t="n">
        <v>1</v>
      </c>
      <c r="AE599" s="36" t="n">
        <v>35</v>
      </c>
      <c r="AF599" s="37" t="n">
        <v>0.9459459459459459</v>
      </c>
      <c r="AG599" s="36" t="n">
        <v>5</v>
      </c>
      <c r="AH599" s="37" t="n">
        <v>0.5555555555555556</v>
      </c>
    </row>
    <row r="600">
      <c r="A600" s="53" t="n">
        <v>45765</v>
      </c>
      <c r="B600" t="inlineStr">
        <is>
          <t>R05_Jawa Tengah DIY</t>
        </is>
      </c>
      <c r="C600" t="inlineStr">
        <is>
          <t>NOP SEMARANG</t>
        </is>
      </c>
      <c r="D600" s="38" t="n">
        <v>0</v>
      </c>
      <c r="E600" s="38" t="n">
        <v>0</v>
      </c>
      <c r="F600" s="36" t="n">
        <v>3.6</v>
      </c>
      <c r="G600" s="36" t="n">
        <v>5.04</v>
      </c>
      <c r="H600" s="36" t="n">
        <v>9</v>
      </c>
      <c r="I600" s="37" t="n">
        <v>0.4090909090909091</v>
      </c>
      <c r="J600" s="36" t="n">
        <v>0</v>
      </c>
      <c r="K600" s="37" t="n">
        <v>0</v>
      </c>
      <c r="L600" s="36" t="n">
        <v>9</v>
      </c>
      <c r="M600" s="37" t="n">
        <v>0.4090909090909091</v>
      </c>
      <c r="N600" s="36" t="n">
        <v>0</v>
      </c>
      <c r="O600" s="37" t="n">
        <v>0</v>
      </c>
      <c r="P600" s="36" t="n">
        <v>0</v>
      </c>
      <c r="Q600" s="37" t="n">
        <v>0</v>
      </c>
      <c r="R600" s="36" t="n">
        <v>22</v>
      </c>
      <c r="S600" s="37" t="n">
        <v>1</v>
      </c>
      <c r="T600" s="36" t="n">
        <v>5</v>
      </c>
      <c r="U600" s="37" t="n">
        <v>0.2272727272727273</v>
      </c>
      <c r="V600" s="38" t="n">
        <v>0</v>
      </c>
      <c r="W600" s="38" t="n">
        <v>5.640000000000001</v>
      </c>
      <c r="X600" s="38" t="n">
        <v>6.26</v>
      </c>
      <c r="Y600" s="38" t="n">
        <v>61.59000000000005</v>
      </c>
      <c r="Z600" s="38" t="n">
        <v>0</v>
      </c>
      <c r="AA600" s="36" t="n">
        <v>21</v>
      </c>
      <c r="AB600" s="37" t="n">
        <v>0.7</v>
      </c>
      <c r="AC600" s="36" t="n">
        <v>4</v>
      </c>
      <c r="AD600" s="37" t="n">
        <v>1</v>
      </c>
      <c r="AE600" s="36" t="n">
        <v>17</v>
      </c>
      <c r="AF600" s="37" t="n">
        <v>0.6538461538461539</v>
      </c>
      <c r="AG600" s="36" t="n">
        <v>0</v>
      </c>
      <c r="AH600" s="37" t="n">
        <v>0</v>
      </c>
    </row>
    <row r="601">
      <c r="A601" s="53" t="n">
        <v>45765</v>
      </c>
      <c r="B601" t="inlineStr">
        <is>
          <t>R05_Jawa Tengah DIY</t>
        </is>
      </c>
      <c r="C601" t="inlineStr">
        <is>
          <t>NOP SURAKARTA</t>
        </is>
      </c>
      <c r="D601" s="38" t="n">
        <v>1.71</v>
      </c>
      <c r="E601" s="38" t="n">
        <v>0</v>
      </c>
      <c r="F601" s="36" t="n">
        <v>2.85</v>
      </c>
      <c r="G601" s="36" t="n">
        <v>4.589</v>
      </c>
      <c r="H601" s="36" t="n">
        <v>24</v>
      </c>
      <c r="I601" s="37" t="n">
        <v>0.5581395348837209</v>
      </c>
      <c r="J601" s="36" t="n">
        <v>1</v>
      </c>
      <c r="K601" s="37" t="n">
        <v>1</v>
      </c>
      <c r="L601" s="36" t="n">
        <v>23</v>
      </c>
      <c r="M601" s="37" t="n">
        <v>0.5476190476190477</v>
      </c>
      <c r="N601" s="36" t="n">
        <v>1</v>
      </c>
      <c r="O601" s="37" t="n">
        <v>1</v>
      </c>
      <c r="P601" s="36" t="n">
        <v>1</v>
      </c>
      <c r="Q601" s="37" t="n">
        <v>1</v>
      </c>
      <c r="R601" s="36" t="n">
        <v>43</v>
      </c>
      <c r="S601" s="37" t="n">
        <v>1</v>
      </c>
      <c r="T601" s="36" t="n">
        <v>16</v>
      </c>
      <c r="U601" s="37" t="n">
        <v>0.3720930232558139</v>
      </c>
      <c r="V601" s="38" t="n">
        <v>0.09</v>
      </c>
      <c r="W601" s="38" t="n">
        <v>3.744000000000001</v>
      </c>
      <c r="X601" s="38" t="n">
        <v>8.866000000000001</v>
      </c>
      <c r="Y601" s="38" t="n">
        <v>338.96</v>
      </c>
      <c r="Z601" s="38" t="n">
        <v>0</v>
      </c>
      <c r="AA601" s="36" t="n">
        <v>39</v>
      </c>
      <c r="AB601" s="37" t="n">
        <v>0.8125</v>
      </c>
      <c r="AC601" s="36" t="n">
        <v>14</v>
      </c>
      <c r="AD601" s="37" t="n">
        <v>0.7368421052631579</v>
      </c>
      <c r="AE601" s="36" t="n">
        <v>25</v>
      </c>
      <c r="AF601" s="37" t="n">
        <v>0.8620689655172413</v>
      </c>
      <c r="AG601" s="36" t="n">
        <v>11</v>
      </c>
      <c r="AH601" s="37" t="n">
        <v>0.7857142857142857</v>
      </c>
    </row>
    <row r="602">
      <c r="A602" s="53" t="n">
        <v>45765</v>
      </c>
      <c r="B602" t="inlineStr">
        <is>
          <t>R05_Jawa Tengah DIY</t>
        </is>
      </c>
      <c r="C602" t="inlineStr">
        <is>
          <t>NOP YOGYAKARTA</t>
        </is>
      </c>
      <c r="D602" s="38" t="n">
        <v>3.46</v>
      </c>
      <c r="E602" s="38" t="n">
        <v>0</v>
      </c>
      <c r="F602" s="36" t="n">
        <v>2.21</v>
      </c>
      <c r="G602" s="36" t="n">
        <v>3.292999999999999</v>
      </c>
      <c r="H602" s="36" t="n">
        <v>15</v>
      </c>
      <c r="I602" s="37" t="n">
        <v>0.625</v>
      </c>
      <c r="J602" s="36" t="n">
        <v>3</v>
      </c>
      <c r="K602" s="37" t="n">
        <v>1</v>
      </c>
      <c r="L602" s="36" t="n">
        <v>12</v>
      </c>
      <c r="M602" s="37" t="n">
        <v>0.5714285714285714</v>
      </c>
      <c r="N602" s="36" t="n">
        <v>3</v>
      </c>
      <c r="O602" s="37" t="n">
        <v>1</v>
      </c>
      <c r="P602" s="36" t="n">
        <v>3</v>
      </c>
      <c r="Q602" s="37" t="n">
        <v>1</v>
      </c>
      <c r="R602" s="36" t="n">
        <v>24</v>
      </c>
      <c r="S602" s="37" t="n">
        <v>1</v>
      </c>
      <c r="T602" s="36" t="n">
        <v>12</v>
      </c>
      <c r="U602" s="37" t="n">
        <v>0.5</v>
      </c>
      <c r="V602" s="38" t="n">
        <v>0</v>
      </c>
      <c r="W602" s="38" t="n">
        <v>2.138</v>
      </c>
      <c r="X602" s="38" t="n">
        <v>8.789999999999997</v>
      </c>
      <c r="Y602" s="38" t="n">
        <v>30.39</v>
      </c>
      <c r="Z602" s="38" t="n">
        <v>0</v>
      </c>
      <c r="AA602" s="36" t="n">
        <v>32</v>
      </c>
      <c r="AB602" s="37" t="n">
        <v>0.8648648648648649</v>
      </c>
      <c r="AC602" s="36" t="n">
        <v>2</v>
      </c>
      <c r="AD602" s="37" t="n">
        <v>0.5</v>
      </c>
      <c r="AE602" s="36" t="n">
        <v>30</v>
      </c>
      <c r="AF602" s="37" t="n">
        <v>0.9090909090909091</v>
      </c>
      <c r="AG602" s="36" t="n">
        <v>2</v>
      </c>
      <c r="AH602" s="37" t="n">
        <v>1</v>
      </c>
    </row>
    <row r="603">
      <c r="A603" s="53" t="n">
        <v>45765</v>
      </c>
      <c r="B603" t="inlineStr">
        <is>
          <t>R06_Jawa Timur</t>
        </is>
      </c>
      <c r="C603" t="inlineStr">
        <is>
          <t>NOP JEMBER</t>
        </is>
      </c>
      <c r="D603" s="38" t="n">
        <v>3.076000000000001</v>
      </c>
      <c r="E603" s="38" t="n">
        <v>0</v>
      </c>
      <c r="F603" s="36" t="n">
        <v>5.98</v>
      </c>
      <c r="G603" s="36" t="n">
        <v>4.243</v>
      </c>
      <c r="H603" s="36" t="n">
        <v>25</v>
      </c>
      <c r="I603" s="37" t="n">
        <v>0.6944444444444444</v>
      </c>
      <c r="J603" s="36" t="n">
        <v>3</v>
      </c>
      <c r="K603" s="37" t="n">
        <v>1</v>
      </c>
      <c r="L603" s="36" t="n">
        <v>22</v>
      </c>
      <c r="M603" s="37" t="n">
        <v>0.6666666666666666</v>
      </c>
      <c r="N603" s="36" t="n">
        <v>3</v>
      </c>
      <c r="O603" s="37" t="n">
        <v>1</v>
      </c>
      <c r="P603" s="36" t="n">
        <v>3</v>
      </c>
      <c r="Q603" s="37" t="n">
        <v>1</v>
      </c>
      <c r="R603" s="36" t="n">
        <v>36</v>
      </c>
      <c r="S603" s="37" t="n">
        <v>1</v>
      </c>
      <c r="T603" s="36" t="n">
        <v>13</v>
      </c>
      <c r="U603" s="37" t="n">
        <v>0.3611111111111111</v>
      </c>
      <c r="V603" s="38" t="n">
        <v>0</v>
      </c>
      <c r="W603" s="38" t="n">
        <v>47.82000000000004</v>
      </c>
      <c r="X603" s="38" t="n">
        <v>8.548000000000002</v>
      </c>
      <c r="Y603" s="38" t="n">
        <v>262.456</v>
      </c>
      <c r="Z603" s="38" t="n">
        <v>0</v>
      </c>
      <c r="AA603" s="36" t="n">
        <v>24</v>
      </c>
      <c r="AB603" s="37" t="n">
        <v>0.8571428571428571</v>
      </c>
      <c r="AC603" s="36" t="n">
        <v>5</v>
      </c>
      <c r="AD603" s="37" t="n">
        <v>0.7142857142857143</v>
      </c>
      <c r="AE603" s="36" t="n">
        <v>19</v>
      </c>
      <c r="AF603" s="37" t="n">
        <v>0.9047619047619048</v>
      </c>
      <c r="AG603" s="36" t="n">
        <v>3</v>
      </c>
      <c r="AH603" s="37" t="n">
        <v>0.6</v>
      </c>
    </row>
    <row r="604">
      <c r="A604" s="53" t="n">
        <v>45765</v>
      </c>
      <c r="B604" t="inlineStr">
        <is>
          <t>R06_Jawa Timur</t>
        </is>
      </c>
      <c r="C604" t="inlineStr">
        <is>
          <t>NOP KEDIRI</t>
        </is>
      </c>
      <c r="D604" s="38" t="n">
        <v>0</v>
      </c>
      <c r="E604" s="38" t="n">
        <v>0</v>
      </c>
      <c r="F604" s="36" t="n">
        <v>0.45</v>
      </c>
      <c r="G604" s="36" t="n">
        <v>2.788</v>
      </c>
      <c r="H604" s="36" t="n">
        <v>4</v>
      </c>
      <c r="I604" s="37" t="n">
        <v>0.6666666666666666</v>
      </c>
      <c r="J604" s="36" t="n">
        <v>0</v>
      </c>
      <c r="K604" s="37" t="n">
        <v>0</v>
      </c>
      <c r="L604" s="36" t="n">
        <v>4</v>
      </c>
      <c r="M604" s="37" t="n">
        <v>0.6666666666666666</v>
      </c>
      <c r="N604" s="36" t="n">
        <v>0</v>
      </c>
      <c r="O604" s="37" t="n">
        <v>0</v>
      </c>
      <c r="P604" s="36" t="n">
        <v>0</v>
      </c>
      <c r="Q604" s="37" t="n">
        <v>0</v>
      </c>
      <c r="R604" s="36" t="n">
        <v>6</v>
      </c>
      <c r="S604" s="37" t="n">
        <v>1</v>
      </c>
      <c r="T604" s="36" t="n">
        <v>4</v>
      </c>
      <c r="U604" s="37" t="n">
        <v>0.6666666666666666</v>
      </c>
      <c r="V604" s="38" t="n">
        <v>0</v>
      </c>
      <c r="W604" s="38" t="n">
        <v>0.59</v>
      </c>
      <c r="X604" s="38" t="n">
        <v>7.465</v>
      </c>
      <c r="Y604" s="38" t="n">
        <v>0</v>
      </c>
      <c r="Z604" s="38" t="n">
        <v>0</v>
      </c>
      <c r="AA604" s="36" t="n">
        <v>5</v>
      </c>
      <c r="AB604" s="37" t="n">
        <v>0.7142857142857143</v>
      </c>
      <c r="AC604" s="36" t="n">
        <v>1</v>
      </c>
      <c r="AD604" s="37" t="n">
        <v>1</v>
      </c>
      <c r="AE604" s="36" t="n">
        <v>4</v>
      </c>
      <c r="AF604" s="37" t="n">
        <v>0.6666666666666666</v>
      </c>
      <c r="AG604" s="36" t="n">
        <v>1</v>
      </c>
      <c r="AH604" s="37" t="n">
        <v>1</v>
      </c>
    </row>
    <row r="605">
      <c r="A605" s="53" t="n">
        <v>45765</v>
      </c>
      <c r="B605" t="inlineStr">
        <is>
          <t>R06_Jawa Timur</t>
        </is>
      </c>
      <c r="C605" t="inlineStr">
        <is>
          <t>NOP LAMONGAN</t>
        </is>
      </c>
      <c r="D605" s="38" t="n">
        <v>0</v>
      </c>
      <c r="E605" s="38" t="n">
        <v>0</v>
      </c>
      <c r="F605" s="36" t="n">
        <v>0.7000000000000001</v>
      </c>
      <c r="G605" s="36" t="n">
        <v>3.444</v>
      </c>
      <c r="H605" s="36" t="n">
        <v>8</v>
      </c>
      <c r="I605" s="37" t="n">
        <v>0.8888888888888888</v>
      </c>
      <c r="J605" s="36" t="n">
        <v>0</v>
      </c>
      <c r="K605" s="37" t="n">
        <v>0</v>
      </c>
      <c r="L605" s="36" t="n">
        <v>8</v>
      </c>
      <c r="M605" s="37" t="n">
        <v>0.8888888888888888</v>
      </c>
      <c r="N605" s="36" t="n">
        <v>0</v>
      </c>
      <c r="O605" s="37" t="n">
        <v>0</v>
      </c>
      <c r="P605" s="36" t="n">
        <v>0</v>
      </c>
      <c r="Q605" s="37" t="n">
        <v>0</v>
      </c>
      <c r="R605" s="36" t="n">
        <v>9</v>
      </c>
      <c r="S605" s="37" t="n">
        <v>1</v>
      </c>
      <c r="T605" s="36" t="n">
        <v>6</v>
      </c>
      <c r="U605" s="37" t="n">
        <v>0.6666666666666666</v>
      </c>
      <c r="V605" s="38" t="n">
        <v>0</v>
      </c>
      <c r="W605" s="38" t="n">
        <v>1.056</v>
      </c>
      <c r="X605" s="38" t="n">
        <v>6.108000000000001</v>
      </c>
      <c r="Y605" s="38" t="n">
        <v>9.33</v>
      </c>
      <c r="Z605" s="38" t="n">
        <v>0</v>
      </c>
      <c r="AA605" s="36" t="n">
        <v>10</v>
      </c>
      <c r="AB605" s="37" t="n">
        <v>0.7142857142857143</v>
      </c>
      <c r="AC605" s="36" t="n">
        <v>2</v>
      </c>
      <c r="AD605" s="37" t="n">
        <v>0.5</v>
      </c>
      <c r="AE605" s="36" t="n">
        <v>8</v>
      </c>
      <c r="AF605" s="37" t="n">
        <v>0.8</v>
      </c>
      <c r="AG605" s="36" t="n">
        <v>1</v>
      </c>
      <c r="AH605" s="37" t="n">
        <v>0.5</v>
      </c>
    </row>
    <row r="606">
      <c r="A606" s="53" t="n">
        <v>45765</v>
      </c>
      <c r="B606" t="inlineStr">
        <is>
          <t>R06_Jawa Timur</t>
        </is>
      </c>
      <c r="C606" t="inlineStr">
        <is>
          <t>NOP MADIUN</t>
        </is>
      </c>
      <c r="D606" s="38" t="n">
        <v>0</v>
      </c>
      <c r="E606" s="38" t="n">
        <v>0</v>
      </c>
      <c r="F606" s="36" t="n">
        <v>0.9530000000000001</v>
      </c>
      <c r="G606" s="36" t="n">
        <v>2.77</v>
      </c>
      <c r="H606" s="36" t="n">
        <v>5</v>
      </c>
      <c r="I606" s="37" t="n">
        <v>0.3846153846153846</v>
      </c>
      <c r="J606" s="36" t="n">
        <v>0</v>
      </c>
      <c r="K606" s="37" t="n">
        <v>0</v>
      </c>
      <c r="L606" s="36" t="n">
        <v>5</v>
      </c>
      <c r="M606" s="37" t="n">
        <v>0.3846153846153846</v>
      </c>
      <c r="N606" s="36" t="n">
        <v>0</v>
      </c>
      <c r="O606" s="37" t="n">
        <v>0</v>
      </c>
      <c r="P606" s="36" t="n">
        <v>0</v>
      </c>
      <c r="Q606" s="37" t="n">
        <v>0</v>
      </c>
      <c r="R606" s="36" t="n">
        <v>13</v>
      </c>
      <c r="S606" s="37" t="n">
        <v>1</v>
      </c>
      <c r="T606" s="36" t="n">
        <v>3</v>
      </c>
      <c r="U606" s="37" t="n">
        <v>0.2307692307692308</v>
      </c>
      <c r="V606" s="38" t="n">
        <v>0</v>
      </c>
      <c r="W606" s="38" t="n">
        <v>2.004</v>
      </c>
      <c r="X606" s="38" t="n">
        <v>5.205</v>
      </c>
      <c r="Y606" s="38" t="n">
        <v>77.16800000000001</v>
      </c>
      <c r="Z606" s="38" t="n">
        <v>0</v>
      </c>
      <c r="AA606" s="36" t="n">
        <v>14</v>
      </c>
      <c r="AB606" s="37" t="n">
        <v>0.6363636363636364</v>
      </c>
      <c r="AC606" s="36" t="n">
        <v>2</v>
      </c>
      <c r="AD606" s="37" t="n">
        <v>0.6666666666666666</v>
      </c>
      <c r="AE606" s="36" t="n">
        <v>12</v>
      </c>
      <c r="AF606" s="37" t="n">
        <v>0.631578947368421</v>
      </c>
      <c r="AG606" s="36" t="n">
        <v>2</v>
      </c>
      <c r="AH606" s="37" t="n">
        <v>1</v>
      </c>
    </row>
    <row r="607">
      <c r="A607" s="53" t="n">
        <v>45765</v>
      </c>
      <c r="B607" t="inlineStr">
        <is>
          <t>R06_Jawa Timur</t>
        </is>
      </c>
      <c r="C607" t="inlineStr">
        <is>
          <t>NOP MALANG</t>
        </is>
      </c>
      <c r="D607" s="38" t="n">
        <v>1.34</v>
      </c>
      <c r="E607" s="38" t="n">
        <v>0</v>
      </c>
      <c r="F607" s="36" t="n">
        <v>1.86</v>
      </c>
      <c r="G607" s="36" t="n">
        <v>2.232</v>
      </c>
      <c r="H607" s="36" t="n">
        <v>10</v>
      </c>
      <c r="I607" s="37" t="n">
        <v>0.7692307692307693</v>
      </c>
      <c r="J607" s="36" t="n">
        <v>1</v>
      </c>
      <c r="K607" s="37" t="n">
        <v>1</v>
      </c>
      <c r="L607" s="36" t="n">
        <v>9</v>
      </c>
      <c r="M607" s="37" t="n">
        <v>0.75</v>
      </c>
      <c r="N607" s="36" t="n">
        <v>1</v>
      </c>
      <c r="O607" s="37" t="n">
        <v>1</v>
      </c>
      <c r="P607" s="36" t="n">
        <v>1</v>
      </c>
      <c r="Q607" s="37" t="n">
        <v>1</v>
      </c>
      <c r="R607" s="36" t="n">
        <v>13</v>
      </c>
      <c r="S607" s="37" t="n">
        <v>1</v>
      </c>
      <c r="T607" s="36" t="n">
        <v>11</v>
      </c>
      <c r="U607" s="37" t="n">
        <v>0.8461538461538461</v>
      </c>
      <c r="V607" s="38" t="n">
        <v>0</v>
      </c>
      <c r="W607" s="38" t="n">
        <v>2.23</v>
      </c>
      <c r="X607" s="38" t="n">
        <v>3</v>
      </c>
      <c r="Y607" s="38" t="n">
        <v>8.968</v>
      </c>
      <c r="Z607" s="38" t="n">
        <v>0</v>
      </c>
      <c r="AA607" s="36" t="n">
        <v>18</v>
      </c>
      <c r="AB607" s="37" t="n">
        <v>0.9</v>
      </c>
      <c r="AC607" s="36" t="n">
        <v>6</v>
      </c>
      <c r="AD607" s="37" t="n">
        <v>1</v>
      </c>
      <c r="AE607" s="36" t="n">
        <v>12</v>
      </c>
      <c r="AF607" s="37" t="n">
        <v>0.8571428571428571</v>
      </c>
      <c r="AG607" s="36" t="n">
        <v>5</v>
      </c>
      <c r="AH607" s="37" t="n">
        <v>0.8333333333333334</v>
      </c>
    </row>
    <row r="608">
      <c r="A608" s="53" t="n">
        <v>45765</v>
      </c>
      <c r="B608" t="inlineStr">
        <is>
          <t>R06_Jawa Timur</t>
        </is>
      </c>
      <c r="C608" t="inlineStr">
        <is>
          <t>NOP SIDOARJO</t>
        </is>
      </c>
      <c r="D608" s="38" t="n">
        <v>0</v>
      </c>
      <c r="E608" s="38" t="n">
        <v>0</v>
      </c>
      <c r="F608" s="36" t="n">
        <v>1.94</v>
      </c>
      <c r="G608" s="36" t="n">
        <v>1.16</v>
      </c>
      <c r="H608" s="36" t="n">
        <v>3</v>
      </c>
      <c r="I608" s="37" t="n">
        <v>0.4285714285714285</v>
      </c>
      <c r="J608" s="36" t="n">
        <v>0</v>
      </c>
      <c r="K608" s="37" t="n">
        <v>0</v>
      </c>
      <c r="L608" s="36" t="n">
        <v>3</v>
      </c>
      <c r="M608" s="37" t="n">
        <v>0.4285714285714285</v>
      </c>
      <c r="N608" s="36" t="n">
        <v>0</v>
      </c>
      <c r="O608" s="37" t="n">
        <v>0</v>
      </c>
      <c r="P608" s="36" t="n">
        <v>0</v>
      </c>
      <c r="Q608" s="37" t="n">
        <v>0</v>
      </c>
      <c r="R608" s="36" t="n">
        <v>7</v>
      </c>
      <c r="S608" s="37" t="n">
        <v>1</v>
      </c>
      <c r="T608" s="36" t="n">
        <v>1</v>
      </c>
      <c r="U608" s="37" t="n">
        <v>0.1428571428571428</v>
      </c>
      <c r="V608" s="38" t="n">
        <v>0</v>
      </c>
      <c r="W608" s="38" t="n">
        <v>1.444</v>
      </c>
      <c r="X608" s="38" t="n">
        <v>5.18</v>
      </c>
      <c r="Y608" s="38" t="n">
        <v>12.91</v>
      </c>
      <c r="Z608" s="38" t="n">
        <v>0</v>
      </c>
      <c r="AA608" s="36" t="n">
        <v>18</v>
      </c>
      <c r="AB608" s="37" t="n">
        <v>0.9</v>
      </c>
      <c r="AC608" s="36" t="n">
        <v>8</v>
      </c>
      <c r="AD608" s="37" t="n">
        <v>1</v>
      </c>
      <c r="AE608" s="36" t="n">
        <v>10</v>
      </c>
      <c r="AF608" s="37" t="n">
        <v>0.8333333333333334</v>
      </c>
      <c r="AG608" s="36" t="n">
        <v>8</v>
      </c>
      <c r="AH608" s="37" t="n">
        <v>1</v>
      </c>
    </row>
    <row r="609">
      <c r="A609" s="53" t="n">
        <v>45765</v>
      </c>
      <c r="B609" t="inlineStr">
        <is>
          <t>R06_Jawa Timur</t>
        </is>
      </c>
      <c r="C609" t="inlineStr">
        <is>
          <t>NOP SURABAYA</t>
        </is>
      </c>
      <c r="D609" s="38" t="n">
        <v>1.513</v>
      </c>
      <c r="E609" s="38" t="n">
        <v>0</v>
      </c>
      <c r="F609" s="36" t="n">
        <v>0.598</v>
      </c>
      <c r="G609" s="36" t="n">
        <v>1.348</v>
      </c>
      <c r="H609" s="36" t="n">
        <v>5</v>
      </c>
      <c r="I609" s="37" t="n">
        <v>0.4166666666666667</v>
      </c>
      <c r="J609" s="36" t="n">
        <v>2</v>
      </c>
      <c r="K609" s="37" t="n">
        <v>0.5</v>
      </c>
      <c r="L609" s="36" t="n">
        <v>3</v>
      </c>
      <c r="M609" s="37" t="n">
        <v>0.375</v>
      </c>
      <c r="N609" s="36" t="n">
        <v>2</v>
      </c>
      <c r="O609" s="37" t="n">
        <v>1</v>
      </c>
      <c r="P609" s="36" t="n">
        <v>2</v>
      </c>
      <c r="Q609" s="37" t="n">
        <v>1</v>
      </c>
      <c r="R609" s="36" t="n">
        <v>10</v>
      </c>
      <c r="S609" s="37" t="n">
        <v>0.8333333333333334</v>
      </c>
      <c r="T609" s="36" t="n">
        <v>3</v>
      </c>
      <c r="U609" s="37" t="n">
        <v>0.25</v>
      </c>
      <c r="V609" s="38" t="n">
        <v>0</v>
      </c>
      <c r="W609" s="38" t="n">
        <v>2.224</v>
      </c>
      <c r="X609" s="38" t="n">
        <v>4.796</v>
      </c>
      <c r="Y609" s="38" t="n">
        <v>48.078</v>
      </c>
      <c r="Z609" s="38" t="n">
        <v>0</v>
      </c>
      <c r="AA609" s="36" t="n">
        <v>60</v>
      </c>
      <c r="AB609" s="37" t="n">
        <v>0.7142857142857143</v>
      </c>
      <c r="AC609" s="36" t="n">
        <v>19</v>
      </c>
      <c r="AD609" s="37" t="n">
        <v>1</v>
      </c>
      <c r="AE609" s="36" t="n">
        <v>41</v>
      </c>
      <c r="AF609" s="37" t="n">
        <v>0.6307692307692307</v>
      </c>
      <c r="AG609" s="36" t="n">
        <v>18</v>
      </c>
      <c r="AH609" s="37" t="n">
        <v>0.9473684210526315</v>
      </c>
    </row>
    <row r="610">
      <c r="A610" s="53" t="n">
        <v>45765</v>
      </c>
      <c r="B610" t="inlineStr">
        <is>
          <t>R07_Bali Nusra</t>
        </is>
      </c>
      <c r="C610" t="inlineStr">
        <is>
          <t>NOP DENPASAR</t>
        </is>
      </c>
      <c r="D610" s="38" t="n">
        <v>0.65</v>
      </c>
      <c r="E610" s="38" t="n">
        <v>0</v>
      </c>
      <c r="F610" s="36" t="n">
        <v>3.79</v>
      </c>
      <c r="G610" s="36" t="n">
        <v>4.181999999999999</v>
      </c>
      <c r="H610" s="36" t="n">
        <v>14</v>
      </c>
      <c r="I610" s="37" t="n">
        <v>1</v>
      </c>
      <c r="J610" s="36" t="n">
        <v>1</v>
      </c>
      <c r="K610" s="37" t="n">
        <v>1</v>
      </c>
      <c r="L610" s="36" t="n">
        <v>13</v>
      </c>
      <c r="M610" s="37" t="n">
        <v>1</v>
      </c>
      <c r="N610" s="36" t="n">
        <v>1</v>
      </c>
      <c r="O610" s="37" t="n">
        <v>1</v>
      </c>
      <c r="P610" s="36" t="n">
        <v>1</v>
      </c>
      <c r="Q610" s="37" t="n">
        <v>1</v>
      </c>
      <c r="R610" s="36" t="n">
        <v>14</v>
      </c>
      <c r="S610" s="37" t="n">
        <v>1</v>
      </c>
      <c r="T610" s="36" t="n">
        <v>11</v>
      </c>
      <c r="U610" s="37" t="n">
        <v>0.7857142857142857</v>
      </c>
      <c r="V610" s="38" t="n">
        <v>0</v>
      </c>
      <c r="W610" s="38" t="n">
        <v>71.27199999999976</v>
      </c>
      <c r="X610" s="38" t="n">
        <v>11.368</v>
      </c>
      <c r="Y610" s="38" t="n">
        <v>73.00400000000002</v>
      </c>
      <c r="Z610" s="38" t="n">
        <v>0</v>
      </c>
      <c r="AA610" s="36" t="n">
        <v>25</v>
      </c>
      <c r="AB610" s="37" t="n">
        <v>0.8928571428571429</v>
      </c>
      <c r="AC610" s="36" t="n">
        <v>9</v>
      </c>
      <c r="AD610" s="37" t="n">
        <v>0.9</v>
      </c>
      <c r="AE610" s="36" t="n">
        <v>16</v>
      </c>
      <c r="AF610" s="37" t="n">
        <v>0.8888888888888888</v>
      </c>
      <c r="AG610" s="36" t="n">
        <v>6</v>
      </c>
      <c r="AH610" s="37" t="n">
        <v>0.6666666666666666</v>
      </c>
    </row>
    <row r="611">
      <c r="A611" s="53" t="n">
        <v>45765</v>
      </c>
      <c r="B611" t="inlineStr">
        <is>
          <t>R07_Bali Nusra</t>
        </is>
      </c>
      <c r="C611" t="inlineStr">
        <is>
          <t>NOP FLORES</t>
        </is>
      </c>
      <c r="D611" s="38" t="n">
        <v>2.44</v>
      </c>
      <c r="E611" s="38" t="n">
        <v>5.725999999999999</v>
      </c>
      <c r="F611" s="36" t="n">
        <v>5.252000000000005</v>
      </c>
      <c r="G611" s="36" t="n">
        <v>6.46</v>
      </c>
      <c r="H611" s="36" t="n">
        <v>75</v>
      </c>
      <c r="I611" s="37" t="n">
        <v>0.6944444444444444</v>
      </c>
      <c r="J611" s="36" t="n">
        <v>16</v>
      </c>
      <c r="K611" s="37" t="n">
        <v>0.7272727272727273</v>
      </c>
      <c r="L611" s="36" t="n">
        <v>59</v>
      </c>
      <c r="M611" s="37" t="n">
        <v>0.686046511627907</v>
      </c>
      <c r="N611" s="36" t="n">
        <v>12</v>
      </c>
      <c r="O611" s="37" t="n">
        <v>0.75</v>
      </c>
      <c r="P611" s="36" t="n">
        <v>12</v>
      </c>
      <c r="Q611" s="37" t="n">
        <v>0.75</v>
      </c>
      <c r="R611" s="36" t="n">
        <v>108</v>
      </c>
      <c r="S611" s="37" t="n">
        <v>1</v>
      </c>
      <c r="T611" s="36" t="n">
        <v>46</v>
      </c>
      <c r="U611" s="37" t="n">
        <v>0.4259259259259259</v>
      </c>
      <c r="V611" s="38" t="n">
        <v>0</v>
      </c>
      <c r="W611" s="38" t="n">
        <v>5.922000000000001</v>
      </c>
      <c r="X611" s="38" t="n">
        <v>5.112</v>
      </c>
      <c r="Y611" s="38" t="n">
        <v>72.55200000000001</v>
      </c>
      <c r="Z611" s="38" t="n">
        <v>0</v>
      </c>
      <c r="AA611" s="36" t="n">
        <v>61</v>
      </c>
      <c r="AB611" s="37" t="n">
        <v>0.5169491525423728</v>
      </c>
      <c r="AC611" s="36" t="n">
        <v>43</v>
      </c>
      <c r="AD611" s="37" t="n">
        <v>0.5443037974683544</v>
      </c>
      <c r="AE611" s="36" t="n">
        <v>18</v>
      </c>
      <c r="AF611" s="37" t="n">
        <v>0.4615384615384616</v>
      </c>
      <c r="AG611" s="36" t="n">
        <v>32</v>
      </c>
      <c r="AH611" s="37" t="n">
        <v>0.7441860465116279</v>
      </c>
    </row>
    <row r="612">
      <c r="A612" s="53" t="n">
        <v>45765</v>
      </c>
      <c r="B612" t="inlineStr">
        <is>
          <t>R07_Bali Nusra</t>
        </is>
      </c>
      <c r="C612" t="inlineStr">
        <is>
          <t>NOP KUPANG</t>
        </is>
      </c>
      <c r="D612" s="38" t="n">
        <v>0</v>
      </c>
      <c r="E612" s="38" t="n">
        <v>3.176</v>
      </c>
      <c r="F612" s="36" t="n">
        <v>45.81200000000002</v>
      </c>
      <c r="G612" s="36" t="n">
        <v>6.23</v>
      </c>
      <c r="H612" s="36" t="n">
        <v>32</v>
      </c>
      <c r="I612" s="37" t="n">
        <v>0.5079365079365079</v>
      </c>
      <c r="J612" s="36" t="n">
        <v>3</v>
      </c>
      <c r="K612" s="37" t="n">
        <v>0.75</v>
      </c>
      <c r="L612" s="36" t="n">
        <v>29</v>
      </c>
      <c r="M612" s="37" t="n">
        <v>0.4915254237288136</v>
      </c>
      <c r="N612" s="36" t="n">
        <v>2</v>
      </c>
      <c r="O612" s="37" t="n">
        <v>0.6666666666666666</v>
      </c>
      <c r="P612" s="36" t="n">
        <v>2</v>
      </c>
      <c r="Q612" s="37" t="n">
        <v>0.6666666666666666</v>
      </c>
      <c r="R612" s="36" t="n">
        <v>58</v>
      </c>
      <c r="S612" s="37" t="n">
        <v>0.9206349206349206</v>
      </c>
      <c r="T612" s="36" t="n">
        <v>19</v>
      </c>
      <c r="U612" s="37" t="n">
        <v>0.3015873015873016</v>
      </c>
      <c r="V612" s="38" t="n">
        <v>0</v>
      </c>
      <c r="W612" s="38" t="n">
        <v>5.886</v>
      </c>
      <c r="X612" s="38" t="n">
        <v>6.31</v>
      </c>
      <c r="Y612" s="38" t="n">
        <v>201.571</v>
      </c>
      <c r="Z612" s="38" t="n">
        <v>0</v>
      </c>
      <c r="AA612" s="36" t="n">
        <v>33</v>
      </c>
      <c r="AB612" s="37" t="n">
        <v>0.5689655172413793</v>
      </c>
      <c r="AC612" s="36" t="n">
        <v>19</v>
      </c>
      <c r="AD612" s="37" t="n">
        <v>0.5757575757575758</v>
      </c>
      <c r="AE612" s="36" t="n">
        <v>14</v>
      </c>
      <c r="AF612" s="37" t="n">
        <v>0.5600000000000001</v>
      </c>
      <c r="AG612" s="36" t="n">
        <v>12</v>
      </c>
      <c r="AH612" s="37" t="n">
        <v>0.631578947368421</v>
      </c>
    </row>
    <row r="613">
      <c r="A613" s="53" t="n">
        <v>45765</v>
      </c>
      <c r="B613" t="inlineStr">
        <is>
          <t>R07_Bali Nusra</t>
        </is>
      </c>
      <c r="C613" t="inlineStr">
        <is>
          <t>NOP MATARAM</t>
        </is>
      </c>
      <c r="D613" s="38" t="n">
        <v>0</v>
      </c>
      <c r="E613" s="38" t="n">
        <v>0.36</v>
      </c>
      <c r="F613" s="36" t="n">
        <v>2.416</v>
      </c>
      <c r="G613" s="36" t="n">
        <v>10.71</v>
      </c>
      <c r="H613" s="36" t="n">
        <v>18</v>
      </c>
      <c r="I613" s="37" t="n">
        <v>0.4864864864864865</v>
      </c>
      <c r="J613" s="36" t="n">
        <v>0</v>
      </c>
      <c r="K613" s="37" t="n">
        <v>0</v>
      </c>
      <c r="L613" s="36" t="n">
        <v>18</v>
      </c>
      <c r="M613" s="37" t="n">
        <v>0.5</v>
      </c>
      <c r="N613" s="36" t="n">
        <v>0</v>
      </c>
      <c r="O613" s="37" t="n">
        <v>0</v>
      </c>
      <c r="P613" s="36" t="n">
        <v>0</v>
      </c>
      <c r="Q613" s="37" t="n">
        <v>0</v>
      </c>
      <c r="R613" s="36" t="n">
        <v>37</v>
      </c>
      <c r="S613" s="37" t="n">
        <v>1</v>
      </c>
      <c r="T613" s="36" t="n">
        <v>15</v>
      </c>
      <c r="U613" s="37" t="n">
        <v>0.4054054054054054</v>
      </c>
      <c r="V613" s="38" t="n">
        <v>0</v>
      </c>
      <c r="W613" s="38" t="n">
        <v>21.02199999999998</v>
      </c>
      <c r="X613" s="38" t="n">
        <v>63.3</v>
      </c>
      <c r="Y613" s="38" t="n">
        <v>27.104</v>
      </c>
      <c r="Z613" s="38" t="n">
        <v>0</v>
      </c>
      <c r="AA613" s="36" t="n">
        <v>22</v>
      </c>
      <c r="AB613" s="37" t="n">
        <v>0.4680851063829787</v>
      </c>
      <c r="AC613" s="36" t="n">
        <v>15</v>
      </c>
      <c r="AD613" s="37" t="n">
        <v>0.4411764705882353</v>
      </c>
      <c r="AE613" s="36" t="n">
        <v>7</v>
      </c>
      <c r="AF613" s="37" t="n">
        <v>0.5384615384615384</v>
      </c>
      <c r="AG613" s="36" t="n">
        <v>9</v>
      </c>
      <c r="AH613" s="37" t="n">
        <v>0.6</v>
      </c>
    </row>
    <row r="614">
      <c r="A614" s="53" t="n">
        <v>45766</v>
      </c>
      <c r="B614" t="inlineStr">
        <is>
          <t>R01_Sumbagut</t>
        </is>
      </c>
      <c r="C614" t="inlineStr">
        <is>
          <t>NOP ACEH</t>
        </is>
      </c>
      <c r="D614" s="38" t="n">
        <v>1.79</v>
      </c>
      <c r="E614" s="38" t="n">
        <v>2.89</v>
      </c>
      <c r="F614" s="36" t="n">
        <v>8.67</v>
      </c>
      <c r="G614" s="36" t="n">
        <v>10.34</v>
      </c>
      <c r="H614" s="36" t="n">
        <v>137</v>
      </c>
      <c r="I614" s="37" t="n">
        <v>0.9448275862068966</v>
      </c>
      <c r="J614" s="36" t="n">
        <v>29</v>
      </c>
      <c r="K614" s="37" t="n">
        <v>0.90625</v>
      </c>
      <c r="L614" s="36" t="n">
        <v>108</v>
      </c>
      <c r="M614" s="37" t="n">
        <v>0.9557522123893806</v>
      </c>
      <c r="N614" s="36" t="n">
        <v>11</v>
      </c>
      <c r="O614" s="37" t="n">
        <v>0.3793103448275862</v>
      </c>
      <c r="P614" s="36" t="n">
        <v>11</v>
      </c>
      <c r="Q614" s="37" t="n">
        <v>0.3793103448275862</v>
      </c>
      <c r="R614" s="36" t="n">
        <v>145</v>
      </c>
      <c r="S614" s="37" t="n">
        <v>1</v>
      </c>
      <c r="T614" s="36" t="n">
        <v>58</v>
      </c>
      <c r="U614" s="37" t="n">
        <v>0.4</v>
      </c>
      <c r="V614" s="38" t="n">
        <v>0.047</v>
      </c>
      <c r="W614" s="38" t="n">
        <v>3.314</v>
      </c>
      <c r="X614" s="38" t="n">
        <v>105.885</v>
      </c>
      <c r="Y614" s="38" t="n">
        <v>202.9960000000005</v>
      </c>
      <c r="Z614" s="38" t="n">
        <v>0</v>
      </c>
      <c r="AA614" s="36" t="n">
        <v>366</v>
      </c>
      <c r="AB614" s="37" t="n">
        <v>0.8672985781990521</v>
      </c>
      <c r="AC614" s="36" t="n">
        <v>48</v>
      </c>
      <c r="AD614" s="37" t="n">
        <v>0.8135593220338984</v>
      </c>
      <c r="AE614" s="36" t="n">
        <v>314</v>
      </c>
      <c r="AF614" s="37" t="n">
        <v>0.8746518105849582</v>
      </c>
      <c r="AG614" s="36" t="n">
        <v>4</v>
      </c>
      <c r="AH614" s="37" t="n">
        <v>0.08333333333333333</v>
      </c>
    </row>
    <row r="615">
      <c r="A615" s="53" t="n">
        <v>45766</v>
      </c>
      <c r="B615" t="inlineStr">
        <is>
          <t>R01_Sumbagut</t>
        </is>
      </c>
      <c r="C615" t="inlineStr">
        <is>
          <t>NOP BINJAI</t>
        </is>
      </c>
      <c r="D615" s="38" t="n">
        <v>0</v>
      </c>
      <c r="E615" s="38" t="n">
        <v>2.18</v>
      </c>
      <c r="F615" s="36" t="n">
        <v>2.37</v>
      </c>
      <c r="G615" s="36" t="n">
        <v>3.18</v>
      </c>
      <c r="H615" s="36" t="n">
        <v>46</v>
      </c>
      <c r="I615" s="37" t="n">
        <v>0.6571428571428571</v>
      </c>
      <c r="J615" s="36" t="n">
        <v>8</v>
      </c>
      <c r="K615" s="37" t="n">
        <v>0.7272727272727273</v>
      </c>
      <c r="L615" s="36" t="n">
        <v>38</v>
      </c>
      <c r="M615" s="37" t="n">
        <v>0.6440677966101694</v>
      </c>
      <c r="N615" s="36" t="n">
        <v>6</v>
      </c>
      <c r="O615" s="37" t="n">
        <v>0.75</v>
      </c>
      <c r="P615" s="36" t="n">
        <v>6</v>
      </c>
      <c r="Q615" s="37" t="n">
        <v>0.75</v>
      </c>
      <c r="R615" s="36" t="n">
        <v>70</v>
      </c>
      <c r="S615" s="37" t="n">
        <v>1</v>
      </c>
      <c r="T615" s="36" t="n">
        <v>16</v>
      </c>
      <c r="U615" s="37" t="n">
        <v>0.2285714285714286</v>
      </c>
      <c r="V615" s="38" t="n">
        <v>0</v>
      </c>
      <c r="W615" s="38" t="n">
        <v>2.167</v>
      </c>
      <c r="X615" s="38" t="n">
        <v>28.544</v>
      </c>
      <c r="Y615" s="38" t="n">
        <v>112.41</v>
      </c>
      <c r="Z615" s="38" t="n">
        <v>0</v>
      </c>
      <c r="AA615" s="36" t="n">
        <v>68</v>
      </c>
      <c r="AB615" s="37" t="n">
        <v>0.7727272727272727</v>
      </c>
      <c r="AC615" s="36" t="n">
        <v>25</v>
      </c>
      <c r="AD615" s="37" t="n">
        <v>0.625</v>
      </c>
      <c r="AE615" s="36" t="n">
        <v>39</v>
      </c>
      <c r="AF615" s="37" t="n">
        <v>0.8863636363636364</v>
      </c>
      <c r="AG615" s="36" t="n">
        <v>12</v>
      </c>
      <c r="AH615" s="37" t="n">
        <v>0.48</v>
      </c>
    </row>
    <row r="616">
      <c r="A616" s="53" t="n">
        <v>45766</v>
      </c>
      <c r="B616" t="inlineStr">
        <is>
          <t>R01_Sumbagut</t>
        </is>
      </c>
      <c r="C616" t="inlineStr">
        <is>
          <t>NOP MEDAN</t>
        </is>
      </c>
      <c r="D616" s="38" t="n">
        <v>1.75</v>
      </c>
      <c r="E616" s="38" t="n">
        <v>2.736</v>
      </c>
      <c r="F616" s="36" t="n">
        <v>2.76</v>
      </c>
      <c r="G616" s="36" t="n">
        <v>1.488</v>
      </c>
      <c r="H616" s="36" t="n">
        <v>15</v>
      </c>
      <c r="I616" s="37" t="n">
        <v>0.375</v>
      </c>
      <c r="J616" s="36" t="n">
        <v>5</v>
      </c>
      <c r="K616" s="37" t="n">
        <v>0.2777777777777778</v>
      </c>
      <c r="L616" s="36" t="n">
        <v>10</v>
      </c>
      <c r="M616" s="37" t="n">
        <v>0.4545454545454545</v>
      </c>
      <c r="N616" s="36" t="n">
        <v>5</v>
      </c>
      <c r="O616" s="37" t="n">
        <v>1</v>
      </c>
      <c r="P616" s="36" t="n">
        <v>5</v>
      </c>
      <c r="Q616" s="37" t="n">
        <v>1</v>
      </c>
      <c r="R616" s="36" t="n">
        <v>40</v>
      </c>
      <c r="S616" s="37" t="n">
        <v>1</v>
      </c>
      <c r="T616" s="36" t="n">
        <v>12</v>
      </c>
      <c r="U616" s="37" t="n">
        <v>0.3</v>
      </c>
      <c r="V616" s="38" t="n">
        <v>0</v>
      </c>
      <c r="W616" s="38" t="n">
        <v>5.847999999999999</v>
      </c>
      <c r="X616" s="38" t="n">
        <v>15.682</v>
      </c>
      <c r="Y616" s="38" t="n">
        <v>0.12</v>
      </c>
      <c r="Z616" s="38" t="n">
        <v>0</v>
      </c>
      <c r="AA616" s="36" t="n">
        <v>7</v>
      </c>
      <c r="AB616" s="37" t="n">
        <v>0.2058823529411765</v>
      </c>
      <c r="AC616" s="36" t="n">
        <v>0</v>
      </c>
      <c r="AD616" s="37" t="n">
        <v>0</v>
      </c>
      <c r="AE616" s="36" t="n">
        <v>7</v>
      </c>
      <c r="AF616" s="37" t="n">
        <v>0.3684210526315789</v>
      </c>
      <c r="AG616" s="36" t="n">
        <v>0</v>
      </c>
      <c r="AH616" s="37" t="n">
        <v>0</v>
      </c>
    </row>
    <row r="617">
      <c r="A617" s="53" t="n">
        <v>45766</v>
      </c>
      <c r="B617" t="inlineStr">
        <is>
          <t>R01_Sumbagut</t>
        </is>
      </c>
      <c r="C617" t="inlineStr">
        <is>
          <t>NOP PADANG SIDEMPUAN</t>
        </is>
      </c>
      <c r="D617" s="38" t="n">
        <v>0</v>
      </c>
      <c r="E617" s="38" t="n">
        <v>6.02</v>
      </c>
      <c r="F617" s="36" t="n">
        <v>6.67</v>
      </c>
      <c r="G617" s="36" t="n">
        <v>5.896000000000001</v>
      </c>
      <c r="H617" s="36" t="n">
        <v>41</v>
      </c>
      <c r="I617" s="37" t="n">
        <v>0.4141414141414141</v>
      </c>
      <c r="J617" s="36" t="n">
        <v>9</v>
      </c>
      <c r="K617" s="37" t="n">
        <v>0.6</v>
      </c>
      <c r="L617" s="36" t="n">
        <v>32</v>
      </c>
      <c r="M617" s="37" t="n">
        <v>0.3809523809523809</v>
      </c>
      <c r="N617" s="36" t="n">
        <v>4</v>
      </c>
      <c r="O617" s="37" t="n">
        <v>0.4444444444444444</v>
      </c>
      <c r="P617" s="36" t="n">
        <v>4</v>
      </c>
      <c r="Q617" s="37" t="n">
        <v>0.4444444444444444</v>
      </c>
      <c r="R617" s="36" t="n">
        <v>99</v>
      </c>
      <c r="S617" s="37" t="n">
        <v>1</v>
      </c>
      <c r="T617" s="36" t="n">
        <v>17</v>
      </c>
      <c r="U617" s="37" t="n">
        <v>0.1717171717171717</v>
      </c>
      <c r="V617" s="38" t="n">
        <v>0.01</v>
      </c>
      <c r="W617" s="38" t="n">
        <v>5.797</v>
      </c>
      <c r="X617" s="38" t="n">
        <v>7.21</v>
      </c>
      <c r="Y617" s="38" t="n">
        <v>182.79</v>
      </c>
      <c r="Z617" s="38" t="n">
        <v>0</v>
      </c>
      <c r="AA617" s="36" t="n">
        <v>105</v>
      </c>
      <c r="AB617" s="37" t="n">
        <v>0.3201219512195122</v>
      </c>
      <c r="AC617" s="36" t="n">
        <v>38</v>
      </c>
      <c r="AD617" s="37" t="n">
        <v>0.5066666666666667</v>
      </c>
      <c r="AE617" s="36" t="n">
        <v>67</v>
      </c>
      <c r="AF617" s="37" t="n">
        <v>0.2669322709163346</v>
      </c>
      <c r="AG617" s="36" t="n">
        <v>21</v>
      </c>
      <c r="AH617" s="37" t="n">
        <v>0.5526315789473685</v>
      </c>
    </row>
    <row r="618">
      <c r="A618" s="53" t="n">
        <v>45766</v>
      </c>
      <c r="B618" t="inlineStr">
        <is>
          <t>R01_Sumbagut</t>
        </is>
      </c>
      <c r="C618" t="inlineStr">
        <is>
          <t>NOP PEMATANG SIANTAR</t>
        </is>
      </c>
      <c r="D618" s="38" t="n">
        <v>3.66</v>
      </c>
      <c r="E618" s="38" t="n">
        <v>4.304</v>
      </c>
      <c r="F618" s="36" t="n">
        <v>5.122000000000001</v>
      </c>
      <c r="G618" s="36" t="n">
        <v>4.569999999999999</v>
      </c>
      <c r="H618" s="36" t="n">
        <v>45</v>
      </c>
      <c r="I618" s="37" t="n">
        <v>0.3543307086614173</v>
      </c>
      <c r="J618" s="36" t="n">
        <v>27</v>
      </c>
      <c r="K618" s="37" t="n">
        <v>0.5094339622641509</v>
      </c>
      <c r="L618" s="36" t="n">
        <v>18</v>
      </c>
      <c r="M618" s="37" t="n">
        <v>0.2432432432432433</v>
      </c>
      <c r="N618" s="36" t="n">
        <v>20</v>
      </c>
      <c r="O618" s="37" t="n">
        <v>0.7407407407407407</v>
      </c>
      <c r="P618" s="36" t="n">
        <v>15</v>
      </c>
      <c r="Q618" s="37" t="n">
        <v>0.7142857142857143</v>
      </c>
      <c r="R618" s="36" t="n">
        <v>127</v>
      </c>
      <c r="S618" s="37" t="n">
        <v>1</v>
      </c>
      <c r="T618" s="36" t="n">
        <v>26</v>
      </c>
      <c r="U618" s="37" t="n">
        <v>0.2047244094488189</v>
      </c>
      <c r="V618" s="38" t="n">
        <v>0.03</v>
      </c>
      <c r="W618" s="38" t="n">
        <v>6.654000000000002</v>
      </c>
      <c r="X618" s="38" t="n">
        <v>62.38700000000014</v>
      </c>
      <c r="Y618" s="38" t="n">
        <v>57.413</v>
      </c>
      <c r="Z618" s="38" t="n">
        <v>0</v>
      </c>
      <c r="AA618" s="36" t="n">
        <v>52</v>
      </c>
      <c r="AB618" s="37" t="n">
        <v>0.08441558441558442</v>
      </c>
      <c r="AC618" s="36" t="n">
        <v>9</v>
      </c>
      <c r="AD618" s="37" t="n">
        <v>0.1956521739130435</v>
      </c>
      <c r="AE618" s="36" t="n">
        <v>41</v>
      </c>
      <c r="AF618" s="37" t="n">
        <v>0.0737410071942446</v>
      </c>
      <c r="AG618" s="36" t="n">
        <v>8</v>
      </c>
      <c r="AH618" s="37" t="n">
        <v>0.8888888888888888</v>
      </c>
    </row>
    <row r="619">
      <c r="A619" s="53" t="n">
        <v>45766</v>
      </c>
      <c r="B619" t="inlineStr">
        <is>
          <t>R01_Sumbagut</t>
        </is>
      </c>
      <c r="C619" t="inlineStr">
        <is>
          <t>NOP RANTAU PRAPAT</t>
        </is>
      </c>
      <c r="D619" s="38" t="n">
        <v>1.6</v>
      </c>
      <c r="E619" s="38" t="n">
        <v>11.38800000000001</v>
      </c>
      <c r="F619" s="36" t="n">
        <v>3.984</v>
      </c>
      <c r="G619" s="36" t="n">
        <v>3.759</v>
      </c>
      <c r="H619" s="36" t="n">
        <v>59</v>
      </c>
      <c r="I619" s="37" t="n">
        <v>0.3450292397660819</v>
      </c>
      <c r="J619" s="36" t="n">
        <v>6</v>
      </c>
      <c r="K619" s="37" t="n">
        <v>0.375</v>
      </c>
      <c r="L619" s="36" t="n">
        <v>53</v>
      </c>
      <c r="M619" s="37" t="n">
        <v>0.3419354838709677</v>
      </c>
      <c r="N619" s="36" t="n">
        <v>6</v>
      </c>
      <c r="O619" s="37" t="n">
        <v>1</v>
      </c>
      <c r="P619" s="36" t="n">
        <v>6</v>
      </c>
      <c r="Q619" s="37" t="n">
        <v>1</v>
      </c>
      <c r="R619" s="36" t="n">
        <v>171</v>
      </c>
      <c r="S619" s="37" t="n">
        <v>1</v>
      </c>
      <c r="T619" s="36" t="n">
        <v>31</v>
      </c>
      <c r="U619" s="37" t="n">
        <v>0.1812865497076023</v>
      </c>
      <c r="V619" s="38" t="n">
        <v>0</v>
      </c>
      <c r="W619" s="38" t="n">
        <v>4.81</v>
      </c>
      <c r="X619" s="38" t="n">
        <v>27.147</v>
      </c>
      <c r="Y619" s="38" t="n">
        <v>32.62</v>
      </c>
      <c r="Z619" s="38" t="n">
        <v>0</v>
      </c>
      <c r="AA619" s="36" t="n">
        <v>21</v>
      </c>
      <c r="AB619" s="37" t="n">
        <v>0.07317073170731707</v>
      </c>
      <c r="AC619" s="36" t="n">
        <v>9</v>
      </c>
      <c r="AD619" s="37" t="n">
        <v>0.2093023255813954</v>
      </c>
      <c r="AE619" s="36" t="n">
        <v>11</v>
      </c>
      <c r="AF619" s="37" t="n">
        <v>0.04621848739495799</v>
      </c>
      <c r="AG619" s="36" t="n">
        <v>5</v>
      </c>
      <c r="AH619" s="37" t="n">
        <v>0.5555555555555556</v>
      </c>
    </row>
    <row r="620">
      <c r="A620" s="53" t="n">
        <v>45766</v>
      </c>
      <c r="B620" t="inlineStr">
        <is>
          <t>R10_Sumbagteng</t>
        </is>
      </c>
      <c r="C620" t="inlineStr">
        <is>
          <t>NOP BATAM</t>
        </is>
      </c>
      <c r="D620" s="38" t="n">
        <v>0</v>
      </c>
      <c r="E620" s="38" t="n">
        <v>14.487</v>
      </c>
      <c r="F620" s="36" t="n">
        <v>6.07</v>
      </c>
      <c r="G620" s="36" t="n">
        <v>11.944</v>
      </c>
      <c r="H620" s="36" t="n">
        <v>58</v>
      </c>
      <c r="I620" s="37" t="n">
        <v>0.3536585365853658</v>
      </c>
      <c r="J620" s="36" t="n">
        <v>7</v>
      </c>
      <c r="K620" s="37" t="n">
        <v>0.2916666666666667</v>
      </c>
      <c r="L620" s="36" t="n">
        <v>51</v>
      </c>
      <c r="M620" s="37" t="n">
        <v>0.3642857142857143</v>
      </c>
      <c r="N620" s="36" t="n">
        <v>4</v>
      </c>
      <c r="O620" s="37" t="n">
        <v>0.5714285714285714</v>
      </c>
      <c r="P620" s="36" t="n">
        <v>4</v>
      </c>
      <c r="Q620" s="37" t="n">
        <v>0.5714285714285714</v>
      </c>
      <c r="R620" s="36" t="n">
        <v>164</v>
      </c>
      <c r="S620" s="37" t="n">
        <v>1</v>
      </c>
      <c r="T620" s="36" t="n">
        <v>22</v>
      </c>
      <c r="U620" s="37" t="n">
        <v>0.1341463414634146</v>
      </c>
      <c r="V620" s="38" t="n">
        <v>0</v>
      </c>
      <c r="W620" s="38" t="n">
        <v>9.102</v>
      </c>
      <c r="X620" s="38" t="n">
        <v>23.25399999999999</v>
      </c>
      <c r="Y620" s="38" t="n">
        <v>69.5</v>
      </c>
      <c r="Z620" s="38" t="n">
        <v>0</v>
      </c>
      <c r="AA620" s="36" t="n">
        <v>23</v>
      </c>
      <c r="AB620" s="37" t="n">
        <v>0.06534090909090909</v>
      </c>
      <c r="AC620" s="36" t="n">
        <v>14</v>
      </c>
      <c r="AD620" s="37" t="n">
        <v>0.2333333333333333</v>
      </c>
      <c r="AE620" s="36" t="n">
        <v>8</v>
      </c>
      <c r="AF620" s="37" t="n">
        <v>0.02816901408450704</v>
      </c>
      <c r="AG620" s="36" t="n">
        <v>11</v>
      </c>
      <c r="AH620" s="37" t="n">
        <v>0.7857142857142857</v>
      </c>
    </row>
    <row r="621">
      <c r="A621" s="53" t="n">
        <v>45766</v>
      </c>
      <c r="B621" t="inlineStr">
        <is>
          <t>R10_Sumbagteng</t>
        </is>
      </c>
      <c r="C621" t="inlineStr">
        <is>
          <t>NOP BUKITTINGGI</t>
        </is>
      </c>
      <c r="D621" s="38" t="n">
        <v>2.84</v>
      </c>
      <c r="E621" s="38" t="n">
        <v>0.912</v>
      </c>
      <c r="F621" s="36" t="n">
        <v>3.16</v>
      </c>
      <c r="G621" s="36" t="n">
        <v>4.702</v>
      </c>
      <c r="H621" s="36" t="n">
        <v>44</v>
      </c>
      <c r="I621" s="37" t="n">
        <v>0.88</v>
      </c>
      <c r="J621" s="36" t="n">
        <v>11</v>
      </c>
      <c r="K621" s="37" t="n">
        <v>0.8461538461538461</v>
      </c>
      <c r="L621" s="36" t="n">
        <v>33</v>
      </c>
      <c r="M621" s="37" t="n">
        <v>0.8918918918918919</v>
      </c>
      <c r="N621" s="36" t="n">
        <v>6</v>
      </c>
      <c r="O621" s="37" t="n">
        <v>0.5454545454545454</v>
      </c>
      <c r="P621" s="36" t="n">
        <v>6</v>
      </c>
      <c r="Q621" s="37" t="n">
        <v>0.5454545454545454</v>
      </c>
      <c r="R621" s="36" t="n">
        <v>50</v>
      </c>
      <c r="S621" s="37" t="n">
        <v>1</v>
      </c>
      <c r="T621" s="36" t="n">
        <v>26</v>
      </c>
      <c r="U621" s="37" t="n">
        <v>0.52</v>
      </c>
      <c r="V621" s="38" t="n">
        <v>0</v>
      </c>
      <c r="W621" s="38" t="n">
        <v>6.320000000000004</v>
      </c>
      <c r="X621" s="38" t="n">
        <v>9</v>
      </c>
      <c r="Y621" s="38" t="n">
        <v>64.05</v>
      </c>
      <c r="Z621" s="38" t="n">
        <v>0</v>
      </c>
      <c r="AA621" s="36" t="n">
        <v>64</v>
      </c>
      <c r="AB621" s="37" t="n">
        <v>0.4076433121019108</v>
      </c>
      <c r="AC621" s="36" t="n">
        <v>19</v>
      </c>
      <c r="AD621" s="37" t="n">
        <v>0.8636363636363636</v>
      </c>
      <c r="AE621" s="36" t="n">
        <v>43</v>
      </c>
      <c r="AF621" s="37" t="n">
        <v>0.3307692307692308</v>
      </c>
      <c r="AG621" s="36" t="n">
        <v>11</v>
      </c>
      <c r="AH621" s="37" t="n">
        <v>0.5789473684210527</v>
      </c>
    </row>
    <row r="622">
      <c r="A622" s="53" t="n">
        <v>45766</v>
      </c>
      <c r="B622" t="inlineStr">
        <is>
          <t>R10_Sumbagteng</t>
        </is>
      </c>
      <c r="C622" t="inlineStr">
        <is>
          <t>NOP DUMAI</t>
        </is>
      </c>
      <c r="D622" s="38" t="n">
        <v>4.310000000000003</v>
      </c>
      <c r="E622" s="38" t="n">
        <v>10.18500000000001</v>
      </c>
      <c r="F622" s="36" t="n">
        <v>4.220000000000002</v>
      </c>
      <c r="G622" s="36" t="n">
        <v>4.51</v>
      </c>
      <c r="H622" s="36" t="n">
        <v>33</v>
      </c>
      <c r="I622" s="37" t="n">
        <v>0.3027522935779817</v>
      </c>
      <c r="J622" s="36" t="n">
        <v>17</v>
      </c>
      <c r="K622" s="37" t="n">
        <v>0.5483870967741935</v>
      </c>
      <c r="L622" s="36" t="n">
        <v>16</v>
      </c>
      <c r="M622" s="37" t="n">
        <v>0.2051282051282051</v>
      </c>
      <c r="N622" s="36" t="n">
        <v>12</v>
      </c>
      <c r="O622" s="37" t="n">
        <v>0.7058823529411765</v>
      </c>
      <c r="P622" s="36" t="n">
        <v>11</v>
      </c>
      <c r="Q622" s="37" t="n">
        <v>0.6875</v>
      </c>
      <c r="R622" s="36" t="n">
        <v>106</v>
      </c>
      <c r="S622" s="37" t="n">
        <v>0.9724770642201835</v>
      </c>
      <c r="T622" s="36" t="n">
        <v>22</v>
      </c>
      <c r="U622" s="37" t="n">
        <v>0.2018348623853211</v>
      </c>
      <c r="V622" s="38" t="n">
        <v>0.6820000000000001</v>
      </c>
      <c r="W622" s="38" t="n">
        <v>3.865</v>
      </c>
      <c r="X622" s="38" t="n">
        <v>73.34999999999999</v>
      </c>
      <c r="Y622" s="38" t="n">
        <v>115.3040000000002</v>
      </c>
      <c r="Z622" s="38" t="n">
        <v>0</v>
      </c>
      <c r="AA622" s="36" t="n">
        <v>111</v>
      </c>
      <c r="AB622" s="37" t="n">
        <v>0.3978494623655914</v>
      </c>
      <c r="AC622" s="36" t="n">
        <v>18</v>
      </c>
      <c r="AD622" s="37" t="n">
        <v>0.4615384615384616</v>
      </c>
      <c r="AE622" s="36" t="n">
        <v>92</v>
      </c>
      <c r="AF622" s="37" t="n">
        <v>0.4035087719298245</v>
      </c>
      <c r="AG622" s="36" t="n">
        <v>17</v>
      </c>
      <c r="AH622" s="37" t="n">
        <v>0.9444444444444444</v>
      </c>
    </row>
    <row r="623">
      <c r="A623" s="53" t="n">
        <v>45766</v>
      </c>
      <c r="B623" t="inlineStr">
        <is>
          <t>R10_Sumbagteng</t>
        </is>
      </c>
      <c r="C623" t="inlineStr">
        <is>
          <t>NOP PADANG</t>
        </is>
      </c>
      <c r="D623" s="38" t="n">
        <v>1.29</v>
      </c>
      <c r="E623" s="38" t="n">
        <v>1.595</v>
      </c>
      <c r="F623" s="36" t="n">
        <v>3.816000000000001</v>
      </c>
      <c r="G623" s="36" t="n">
        <v>6.408000000000002</v>
      </c>
      <c r="H623" s="36" t="n">
        <v>24</v>
      </c>
      <c r="I623" s="37" t="n">
        <v>0.4528301886792453</v>
      </c>
      <c r="J623" s="36" t="n">
        <v>6</v>
      </c>
      <c r="K623" s="37" t="n">
        <v>0.75</v>
      </c>
      <c r="L623" s="36" t="n">
        <v>18</v>
      </c>
      <c r="M623" s="37" t="n">
        <v>0.4</v>
      </c>
      <c r="N623" s="36" t="n">
        <v>5</v>
      </c>
      <c r="O623" s="37" t="n">
        <v>0.8333333333333334</v>
      </c>
      <c r="P623" s="36" t="n">
        <v>5</v>
      </c>
      <c r="Q623" s="37" t="n">
        <v>0.8333333333333334</v>
      </c>
      <c r="R623" s="36" t="n">
        <v>52</v>
      </c>
      <c r="S623" s="37" t="n">
        <v>0.9811320754716981</v>
      </c>
      <c r="T623" s="36" t="n">
        <v>10</v>
      </c>
      <c r="U623" s="37" t="n">
        <v>0.1886792452830189</v>
      </c>
      <c r="V623" s="38" t="n">
        <v>0</v>
      </c>
      <c r="W623" s="38" t="n">
        <v>3.793999999999998</v>
      </c>
      <c r="X623" s="38" t="n">
        <v>118.092</v>
      </c>
      <c r="Y623" s="38" t="n">
        <v>87.42400000000013</v>
      </c>
      <c r="Z623" s="38" t="n">
        <v>0</v>
      </c>
      <c r="AA623" s="36" t="n">
        <v>127</v>
      </c>
      <c r="AB623" s="37" t="n">
        <v>0.79375</v>
      </c>
      <c r="AC623" s="36" t="n">
        <v>18</v>
      </c>
      <c r="AD623" s="37" t="n">
        <v>0.6206896551724138</v>
      </c>
      <c r="AE623" s="36" t="n">
        <v>107</v>
      </c>
      <c r="AF623" s="37" t="n">
        <v>0.8359375</v>
      </c>
      <c r="AG623" s="36" t="n">
        <v>13</v>
      </c>
      <c r="AH623" s="37" t="n">
        <v>0.7222222222222222</v>
      </c>
    </row>
    <row r="624">
      <c r="A624" s="53" t="n">
        <v>45766</v>
      </c>
      <c r="B624" t="inlineStr">
        <is>
          <t>R10_Sumbagteng</t>
        </is>
      </c>
      <c r="C624" t="inlineStr">
        <is>
          <t>NOP PEKANBARU</t>
        </is>
      </c>
      <c r="D624" s="38" t="n">
        <v>6.44</v>
      </c>
      <c r="E624" s="38" t="n">
        <v>4.994000000000002</v>
      </c>
      <c r="F624" s="36" t="n">
        <v>5.013000000000008</v>
      </c>
      <c r="G624" s="36" t="n">
        <v>7.827999999999999</v>
      </c>
      <c r="H624" s="36" t="n">
        <v>54</v>
      </c>
      <c r="I624" s="37" t="n">
        <v>0.2755102040816326</v>
      </c>
      <c r="J624" s="36" t="n">
        <v>26</v>
      </c>
      <c r="K624" s="37" t="n">
        <v>0.4406779661016949</v>
      </c>
      <c r="L624" s="36" t="n">
        <v>28</v>
      </c>
      <c r="M624" s="37" t="n">
        <v>0.2043795620437956</v>
      </c>
      <c r="N624" s="36" t="n">
        <v>18</v>
      </c>
      <c r="O624" s="37" t="n">
        <v>0.6923076923076923</v>
      </c>
      <c r="P624" s="36" t="n">
        <v>18</v>
      </c>
      <c r="Q624" s="37" t="n">
        <v>0.6923076923076923</v>
      </c>
      <c r="R624" s="36" t="n">
        <v>190</v>
      </c>
      <c r="S624" s="37" t="n">
        <v>0.9693877551020408</v>
      </c>
      <c r="T624" s="36" t="n">
        <v>37</v>
      </c>
      <c r="U624" s="37" t="n">
        <v>0.1887755102040816</v>
      </c>
      <c r="V624" s="38" t="n">
        <v>0.01</v>
      </c>
      <c r="W624" s="38" t="n">
        <v>4.071000000000002</v>
      </c>
      <c r="X624" s="38" t="n">
        <v>51.863</v>
      </c>
      <c r="Y624" s="38" t="n">
        <v>116.887</v>
      </c>
      <c r="Z624" s="38" t="n">
        <v>0</v>
      </c>
      <c r="AA624" s="36" t="n">
        <v>80</v>
      </c>
      <c r="AB624" s="37" t="n">
        <v>0.2749140893470791</v>
      </c>
      <c r="AC624" s="36" t="n">
        <v>21</v>
      </c>
      <c r="AD624" s="37" t="n">
        <v>0.2470588235294118</v>
      </c>
      <c r="AE624" s="36" t="n">
        <v>56</v>
      </c>
      <c r="AF624" s="37" t="n">
        <v>0.2916666666666667</v>
      </c>
      <c r="AG624" s="36" t="n">
        <v>18</v>
      </c>
      <c r="AH624" s="37" t="n">
        <v>0.8571428571428571</v>
      </c>
    </row>
    <row r="625">
      <c r="A625" s="53" t="n">
        <v>45766</v>
      </c>
      <c r="B625" t="inlineStr">
        <is>
          <t>R02_Sumbagsel</t>
        </is>
      </c>
      <c r="C625" t="inlineStr">
        <is>
          <t>NOP BENGKULU</t>
        </is>
      </c>
      <c r="D625" s="38" t="n">
        <v>3.22</v>
      </c>
      <c r="E625" s="38" t="n">
        <v>3.72</v>
      </c>
      <c r="F625" s="36" t="n">
        <v>3.196</v>
      </c>
      <c r="G625" s="36" t="n">
        <v>4.32</v>
      </c>
      <c r="H625" s="36" t="n">
        <v>25</v>
      </c>
      <c r="I625" s="37" t="n">
        <v>0.2941176470588235</v>
      </c>
      <c r="J625" s="36" t="n">
        <v>8</v>
      </c>
      <c r="K625" s="37" t="n">
        <v>0.4</v>
      </c>
      <c r="L625" s="36" t="n">
        <v>17</v>
      </c>
      <c r="M625" s="37" t="n">
        <v>0.2615384615384616</v>
      </c>
      <c r="N625" s="36" t="n">
        <v>6</v>
      </c>
      <c r="O625" s="37" t="n">
        <v>0.75</v>
      </c>
      <c r="P625" s="36" t="n">
        <v>6</v>
      </c>
      <c r="Q625" s="37" t="n">
        <v>0.75</v>
      </c>
      <c r="R625" s="36" t="n">
        <v>85</v>
      </c>
      <c r="S625" s="37" t="n">
        <v>1</v>
      </c>
      <c r="T625" s="36" t="n">
        <v>16</v>
      </c>
      <c r="U625" s="37" t="n">
        <v>0.1882352941176471</v>
      </c>
      <c r="V625" s="38" t="n">
        <v>0</v>
      </c>
      <c r="W625" s="38" t="n">
        <v>5.156000000000001</v>
      </c>
      <c r="X625" s="38" t="n">
        <v>4.48</v>
      </c>
      <c r="Y625" s="38" t="n">
        <v>10.49</v>
      </c>
      <c r="Z625" s="38" t="n">
        <v>0</v>
      </c>
      <c r="AA625" s="36" t="n">
        <v>72</v>
      </c>
      <c r="AB625" s="37" t="n">
        <v>0.4390243902439024</v>
      </c>
      <c r="AC625" s="36" t="n">
        <v>41</v>
      </c>
      <c r="AD625" s="37" t="n">
        <v>0.3761467889908257</v>
      </c>
      <c r="AE625" s="36" t="n">
        <v>25</v>
      </c>
      <c r="AF625" s="37" t="n">
        <v>0.6410256410256411</v>
      </c>
      <c r="AG625" s="36" t="n">
        <v>37</v>
      </c>
      <c r="AH625" s="37" t="n">
        <v>0.9024390243902439</v>
      </c>
    </row>
    <row r="626">
      <c r="A626" s="53" t="n">
        <v>45766</v>
      </c>
      <c r="B626" t="inlineStr">
        <is>
          <t>R02_Sumbagsel</t>
        </is>
      </c>
      <c r="C626" t="inlineStr">
        <is>
          <t>NOP JAMBI</t>
        </is>
      </c>
      <c r="D626" s="38" t="n">
        <v>25.64</v>
      </c>
      <c r="E626" s="38" t="n">
        <v>9.9</v>
      </c>
      <c r="F626" s="36" t="n">
        <v>12.91</v>
      </c>
      <c r="G626" s="36" t="n">
        <v>8.19</v>
      </c>
      <c r="H626" s="36" t="n">
        <v>113</v>
      </c>
      <c r="I626" s="37" t="n">
        <v>0.7018633540372671</v>
      </c>
      <c r="J626" s="36" t="n">
        <v>29</v>
      </c>
      <c r="K626" s="37" t="n">
        <v>0.58</v>
      </c>
      <c r="L626" s="36" t="n">
        <v>84</v>
      </c>
      <c r="M626" s="37" t="n">
        <v>0.7567567567567568</v>
      </c>
      <c r="N626" s="36" t="n">
        <v>18</v>
      </c>
      <c r="O626" s="37" t="n">
        <v>0.6206896551724138</v>
      </c>
      <c r="P626" s="36" t="n">
        <v>18</v>
      </c>
      <c r="Q626" s="37" t="n">
        <v>0.6206896551724138</v>
      </c>
      <c r="R626" s="36" t="n">
        <v>161</v>
      </c>
      <c r="S626" s="37" t="n">
        <v>1</v>
      </c>
      <c r="T626" s="36" t="n">
        <v>63</v>
      </c>
      <c r="U626" s="37" t="n">
        <v>0.391304347826087</v>
      </c>
      <c r="V626" s="38" t="n">
        <v>0</v>
      </c>
      <c r="W626" s="38" t="n">
        <v>14.36799999999998</v>
      </c>
      <c r="X626" s="38" t="n">
        <v>13.054</v>
      </c>
      <c r="Y626" s="38" t="n">
        <v>30.402</v>
      </c>
      <c r="Z626" s="38" t="n">
        <v>0</v>
      </c>
      <c r="AA626" s="36" t="n">
        <v>145</v>
      </c>
      <c r="AB626" s="37" t="n">
        <v>0.6590909090909091</v>
      </c>
      <c r="AC626" s="36" t="n">
        <v>64</v>
      </c>
      <c r="AD626" s="37" t="n">
        <v>0.6881720430107527</v>
      </c>
      <c r="AE626" s="36" t="n">
        <v>68</v>
      </c>
      <c r="AF626" s="37" t="n">
        <v>0.7555555555555555</v>
      </c>
      <c r="AG626" s="36" t="n">
        <v>50</v>
      </c>
      <c r="AH626" s="37" t="n">
        <v>0.78125</v>
      </c>
    </row>
    <row r="627">
      <c r="A627" s="53" t="n">
        <v>45766</v>
      </c>
      <c r="B627" t="inlineStr">
        <is>
          <t>R02_Sumbagsel</t>
        </is>
      </c>
      <c r="C627" t="inlineStr">
        <is>
          <t>NOP LAMPUNG</t>
        </is>
      </c>
      <c r="D627" s="38" t="n">
        <v>0</v>
      </c>
      <c r="E627" s="38" t="n">
        <v>3.178000000000002</v>
      </c>
      <c r="F627" s="36" t="n">
        <v>4.8</v>
      </c>
      <c r="G627" s="36" t="n">
        <v>5.909000000000003</v>
      </c>
      <c r="H627" s="36" t="n">
        <v>78</v>
      </c>
      <c r="I627" s="37" t="n">
        <v>0.6724137931034483</v>
      </c>
      <c r="J627" s="36" t="n">
        <v>15</v>
      </c>
      <c r="K627" s="37" t="n">
        <v>0.8333333333333334</v>
      </c>
      <c r="L627" s="36" t="n">
        <v>63</v>
      </c>
      <c r="M627" s="37" t="n">
        <v>0.6428571428571429</v>
      </c>
      <c r="N627" s="36" t="n">
        <v>13</v>
      </c>
      <c r="O627" s="37" t="n">
        <v>0.8666666666666667</v>
      </c>
      <c r="P627" s="36" t="n">
        <v>13</v>
      </c>
      <c r="Q627" s="37" t="n">
        <v>0.8666666666666667</v>
      </c>
      <c r="R627" s="36" t="n">
        <v>116</v>
      </c>
      <c r="S627" s="37" t="n">
        <v>1</v>
      </c>
      <c r="T627" s="36" t="n">
        <v>37</v>
      </c>
      <c r="U627" s="37" t="n">
        <v>0.3189655172413793</v>
      </c>
      <c r="V627" s="38" t="n">
        <v>0.02</v>
      </c>
      <c r="W627" s="38" t="n">
        <v>5.266000000000004</v>
      </c>
      <c r="X627" s="38" t="n">
        <v>6.850000000000001</v>
      </c>
      <c r="Y627" s="38" t="n">
        <v>17.274</v>
      </c>
      <c r="Z627" s="38" t="n">
        <v>0</v>
      </c>
      <c r="AA627" s="36" t="n">
        <v>139</v>
      </c>
      <c r="AB627" s="37" t="n">
        <v>0.8176470588235294</v>
      </c>
      <c r="AC627" s="36" t="n">
        <v>50</v>
      </c>
      <c r="AD627" s="37" t="n">
        <v>0.7575757575757576</v>
      </c>
      <c r="AE627" s="36" t="n">
        <v>82</v>
      </c>
      <c r="AF627" s="37" t="n">
        <v>0.8817204301075269</v>
      </c>
      <c r="AG627" s="36" t="n">
        <v>45</v>
      </c>
      <c r="AH627" s="37" t="n">
        <v>0.9</v>
      </c>
    </row>
    <row r="628">
      <c r="A628" s="53" t="n">
        <v>45766</v>
      </c>
      <c r="B628" t="inlineStr">
        <is>
          <t>R02_Sumbagsel</t>
        </is>
      </c>
      <c r="C628" t="inlineStr">
        <is>
          <t>NOP MUARA ENIM</t>
        </is>
      </c>
      <c r="D628" s="38" t="n">
        <v>3.31</v>
      </c>
      <c r="E628" s="38" t="n">
        <v>3.63</v>
      </c>
      <c r="F628" s="36" t="n">
        <v>6.89</v>
      </c>
      <c r="G628" s="36" t="n">
        <v>7.57</v>
      </c>
      <c r="H628" s="36" t="n">
        <v>253</v>
      </c>
      <c r="I628" s="37" t="n">
        <v>0.4454225352112676</v>
      </c>
      <c r="J628" s="36" t="n">
        <v>29</v>
      </c>
      <c r="K628" s="37" t="n">
        <v>0.4603174603174603</v>
      </c>
      <c r="L628" s="36" t="n">
        <v>224</v>
      </c>
      <c r="M628" s="37" t="n">
        <v>0.4435643564356436</v>
      </c>
      <c r="N628" s="36" t="n">
        <v>10</v>
      </c>
      <c r="O628" s="37" t="n">
        <v>0.3448275862068966</v>
      </c>
      <c r="P628" s="36" t="n">
        <v>10</v>
      </c>
      <c r="Q628" s="37" t="n">
        <v>0.4</v>
      </c>
      <c r="R628" s="36" t="n">
        <v>554</v>
      </c>
      <c r="S628" s="37" t="n">
        <v>0.9753521126760564</v>
      </c>
      <c r="T628" s="36" t="n">
        <v>59</v>
      </c>
      <c r="U628" s="37" t="n">
        <v>0.1038732394366197</v>
      </c>
      <c r="V628" s="38" t="n">
        <v>0</v>
      </c>
      <c r="W628" s="38" t="n">
        <v>5.240000000000001</v>
      </c>
      <c r="X628" s="38" t="n">
        <v>11.84800000000001</v>
      </c>
      <c r="Y628" s="38" t="n">
        <v>7.65</v>
      </c>
      <c r="Z628" s="38" t="n">
        <v>0</v>
      </c>
      <c r="AA628" s="36" t="n">
        <v>90</v>
      </c>
      <c r="AB628" s="37" t="n">
        <v>0.2586206896551724</v>
      </c>
      <c r="AC628" s="36" t="n">
        <v>48</v>
      </c>
      <c r="AD628" s="37" t="n">
        <v>0.2711864406779661</v>
      </c>
      <c r="AE628" s="36" t="n">
        <v>40</v>
      </c>
      <c r="AF628" s="37" t="n">
        <v>0.3007518796992481</v>
      </c>
      <c r="AG628" s="36" t="n">
        <v>37</v>
      </c>
      <c r="AH628" s="37" t="n">
        <v>0.7708333333333334</v>
      </c>
    </row>
    <row r="629">
      <c r="A629" s="53" t="n">
        <v>45766</v>
      </c>
      <c r="B629" t="inlineStr">
        <is>
          <t>R02_Sumbagsel</t>
        </is>
      </c>
      <c r="C629" t="inlineStr">
        <is>
          <t>NOP PALEMBANG</t>
        </is>
      </c>
      <c r="D629" s="38" t="n">
        <v>3.526000000000001</v>
      </c>
      <c r="E629" s="38" t="n">
        <v>2.18</v>
      </c>
      <c r="F629" s="36" t="n">
        <v>5.83</v>
      </c>
      <c r="G629" s="36" t="n">
        <v>4.866000000000001</v>
      </c>
      <c r="H629" s="36" t="n">
        <v>85</v>
      </c>
      <c r="I629" s="37" t="n">
        <v>0.2478134110787172</v>
      </c>
      <c r="J629" s="36" t="n">
        <v>8</v>
      </c>
      <c r="K629" s="37" t="n">
        <v>0.3636363636363636</v>
      </c>
      <c r="L629" s="36" t="n">
        <v>77</v>
      </c>
      <c r="M629" s="37" t="n">
        <v>0.2398753894080997</v>
      </c>
      <c r="N629" s="36" t="n">
        <v>1</v>
      </c>
      <c r="O629" s="37" t="n">
        <v>0.125</v>
      </c>
      <c r="P629" s="36" t="n">
        <v>1</v>
      </c>
      <c r="Q629" s="37" t="n">
        <v>0.125</v>
      </c>
      <c r="R629" s="36" t="n">
        <v>343</v>
      </c>
      <c r="S629" s="37" t="n">
        <v>1</v>
      </c>
      <c r="T629" s="36" t="n">
        <v>21</v>
      </c>
      <c r="U629" s="37" t="n">
        <v>0.06122448979591837</v>
      </c>
      <c r="V629" s="38" t="n">
        <v>0</v>
      </c>
      <c r="W629" s="38" t="n">
        <v>4.06</v>
      </c>
      <c r="X629" s="38" t="n">
        <v>7.749999999999997</v>
      </c>
      <c r="Y629" s="38" t="n">
        <v>6</v>
      </c>
      <c r="Z629" s="38" t="n">
        <v>0</v>
      </c>
      <c r="AA629" s="36" t="n">
        <v>76</v>
      </c>
      <c r="AB629" s="37" t="n">
        <v>0.3261802575107296</v>
      </c>
      <c r="AC629" s="36" t="n">
        <v>38</v>
      </c>
      <c r="AD629" s="37" t="n">
        <v>0.3140495867768595</v>
      </c>
      <c r="AE629" s="36" t="n">
        <v>37</v>
      </c>
      <c r="AF629" s="37" t="n">
        <v>0.4111111111111111</v>
      </c>
      <c r="AG629" s="36" t="n">
        <v>16</v>
      </c>
      <c r="AH629" s="37" t="n">
        <v>0.4210526315789473</v>
      </c>
    </row>
    <row r="630">
      <c r="A630" s="53" t="n">
        <v>45766</v>
      </c>
      <c r="B630" t="inlineStr">
        <is>
          <t>R02_Sumbagsel</t>
        </is>
      </c>
      <c r="C630" t="inlineStr">
        <is>
          <t>NOP PANGKAL PINANG</t>
        </is>
      </c>
      <c r="D630" s="38" t="n">
        <v>0</v>
      </c>
      <c r="E630" s="38" t="n">
        <v>0</v>
      </c>
      <c r="F630" s="36" t="n">
        <v>1.96</v>
      </c>
      <c r="G630" s="36" t="n">
        <v>12.918</v>
      </c>
      <c r="H630" s="36" t="n">
        <v>11</v>
      </c>
      <c r="I630" s="37" t="n">
        <v>0.4782608695652174</v>
      </c>
      <c r="J630" s="36" t="n">
        <v>0</v>
      </c>
      <c r="K630" s="37" t="n">
        <v>0</v>
      </c>
      <c r="L630" s="36" t="n">
        <v>11</v>
      </c>
      <c r="M630" s="37" t="n">
        <v>0.4782608695652174</v>
      </c>
      <c r="N630" s="36" t="n">
        <v>0</v>
      </c>
      <c r="O630" s="37" t="n">
        <v>0</v>
      </c>
      <c r="P630" s="36" t="n">
        <v>0</v>
      </c>
      <c r="Q630" s="37" t="n">
        <v>0</v>
      </c>
      <c r="R630" s="36" t="n">
        <v>23</v>
      </c>
      <c r="S630" s="37" t="n">
        <v>1</v>
      </c>
      <c r="T630" s="36" t="n">
        <v>5</v>
      </c>
      <c r="U630" s="37" t="n">
        <v>0.2173913043478261</v>
      </c>
      <c r="V630" s="38" t="n">
        <v>0</v>
      </c>
      <c r="W630" s="38" t="n">
        <v>22.27200000000001</v>
      </c>
      <c r="X630" s="38" t="n">
        <v>7.469000000000005</v>
      </c>
      <c r="Y630" s="38" t="n">
        <v>3.308</v>
      </c>
      <c r="Z630" s="38" t="n">
        <v>0</v>
      </c>
      <c r="AA630" s="36" t="n">
        <v>56</v>
      </c>
      <c r="AB630" s="37" t="n">
        <v>0.717948717948718</v>
      </c>
      <c r="AC630" s="36" t="n">
        <v>13</v>
      </c>
      <c r="AD630" s="37" t="n">
        <v>0.7647058823529411</v>
      </c>
      <c r="AE630" s="36" t="n">
        <v>43</v>
      </c>
      <c r="AF630" s="37" t="n">
        <v>0.7543859649122807</v>
      </c>
      <c r="AG630" s="36" t="n">
        <v>9</v>
      </c>
      <c r="AH630" s="37" t="n">
        <v>0.6923076923076923</v>
      </c>
    </row>
    <row r="631">
      <c r="A631" s="53" t="n">
        <v>45766</v>
      </c>
      <c r="B631" t="inlineStr">
        <is>
          <t>R05_Jawa Tengah DIY</t>
        </is>
      </c>
      <c r="C631" t="inlineStr">
        <is>
          <t>NOP MAGELANG</t>
        </is>
      </c>
      <c r="D631" s="38" t="n">
        <v>1.786</v>
      </c>
      <c r="E631" s="38" t="n">
        <v>0</v>
      </c>
      <c r="F631" s="36" t="n">
        <v>4.372999999999998</v>
      </c>
      <c r="G631" s="36" t="n">
        <v>2.526</v>
      </c>
      <c r="H631" s="36" t="n">
        <v>10</v>
      </c>
      <c r="I631" s="37" t="n">
        <v>0.7142857142857143</v>
      </c>
      <c r="J631" s="36" t="n">
        <v>2</v>
      </c>
      <c r="K631" s="37" t="n">
        <v>0.6666666666666666</v>
      </c>
      <c r="L631" s="36" t="n">
        <v>8</v>
      </c>
      <c r="M631" s="37" t="n">
        <v>0.7272727272727273</v>
      </c>
      <c r="N631" s="36" t="n">
        <v>2</v>
      </c>
      <c r="O631" s="37" t="n">
        <v>1</v>
      </c>
      <c r="P631" s="36" t="n">
        <v>2</v>
      </c>
      <c r="Q631" s="37" t="n">
        <v>1</v>
      </c>
      <c r="R631" s="36" t="n">
        <v>13</v>
      </c>
      <c r="S631" s="37" t="n">
        <v>0.9285714285714286</v>
      </c>
      <c r="T631" s="36" t="n">
        <v>10</v>
      </c>
      <c r="U631" s="37" t="n">
        <v>0.7142857142857143</v>
      </c>
      <c r="V631" s="38" t="n">
        <v>0</v>
      </c>
      <c r="W631" s="38" t="n">
        <v>2.777</v>
      </c>
      <c r="X631" s="38" t="n">
        <v>7.13</v>
      </c>
      <c r="Y631" s="38" t="n">
        <v>16.13</v>
      </c>
      <c r="Z631" s="38" t="n">
        <v>0</v>
      </c>
      <c r="AA631" s="36" t="n">
        <v>41</v>
      </c>
      <c r="AB631" s="37" t="n">
        <v>1</v>
      </c>
      <c r="AC631" s="36" t="n">
        <v>14</v>
      </c>
      <c r="AD631" s="37" t="n">
        <v>1</v>
      </c>
      <c r="AE631" s="36" t="n">
        <v>27</v>
      </c>
      <c r="AF631" s="37" t="n">
        <v>1</v>
      </c>
      <c r="AG631" s="36" t="n">
        <v>13</v>
      </c>
      <c r="AH631" s="37" t="n">
        <v>0.9285714285714286</v>
      </c>
    </row>
    <row r="632">
      <c r="A632" s="53" t="n">
        <v>45766</v>
      </c>
      <c r="B632" t="inlineStr">
        <is>
          <t>R05_Jawa Tengah DIY</t>
        </is>
      </c>
      <c r="C632" t="inlineStr">
        <is>
          <t>NOP PEKALONGAN</t>
        </is>
      </c>
      <c r="D632" s="38" t="n">
        <v>2.7</v>
      </c>
      <c r="E632" s="38" t="n">
        <v>0</v>
      </c>
      <c r="F632" s="36" t="n">
        <v>2.062</v>
      </c>
      <c r="G632" s="36" t="n">
        <v>6.761000000000001</v>
      </c>
      <c r="H632" s="36" t="n">
        <v>3</v>
      </c>
      <c r="I632" s="37" t="n">
        <v>0.3</v>
      </c>
      <c r="J632" s="36" t="n">
        <v>1</v>
      </c>
      <c r="K632" s="37" t="n">
        <v>1</v>
      </c>
      <c r="L632" s="36" t="n">
        <v>2</v>
      </c>
      <c r="M632" s="37" t="n">
        <v>0.2222222222222222</v>
      </c>
      <c r="N632" s="36" t="n">
        <v>1</v>
      </c>
      <c r="O632" s="37" t="n">
        <v>1</v>
      </c>
      <c r="P632" s="36" t="n">
        <v>1</v>
      </c>
      <c r="Q632" s="37" t="n">
        <v>1</v>
      </c>
      <c r="R632" s="36" t="n">
        <v>10</v>
      </c>
      <c r="S632" s="37" t="n">
        <v>1</v>
      </c>
      <c r="T632" s="36" t="n">
        <v>7</v>
      </c>
      <c r="U632" s="37" t="n">
        <v>0.7</v>
      </c>
      <c r="V632" s="38" t="n">
        <v>0</v>
      </c>
      <c r="W632" s="38" t="n">
        <v>3.266</v>
      </c>
      <c r="X632" s="38" t="n">
        <v>9.972000000000001</v>
      </c>
      <c r="Y632" s="38" t="n">
        <v>29.67</v>
      </c>
      <c r="Z632" s="38" t="n">
        <v>0</v>
      </c>
      <c r="AA632" s="36" t="n">
        <v>15</v>
      </c>
      <c r="AB632" s="37" t="n">
        <v>1</v>
      </c>
      <c r="AC632" s="36" t="n">
        <v>5</v>
      </c>
      <c r="AD632" s="37" t="n">
        <v>1</v>
      </c>
      <c r="AE632" s="36" t="n">
        <v>10</v>
      </c>
      <c r="AF632" s="37" t="n">
        <v>1</v>
      </c>
      <c r="AG632" s="36" t="n">
        <v>4</v>
      </c>
      <c r="AH632" s="37" t="n">
        <v>0.8</v>
      </c>
    </row>
    <row r="633">
      <c r="A633" s="53" t="n">
        <v>45766</v>
      </c>
      <c r="B633" t="inlineStr">
        <is>
          <t>R05_Jawa Tengah DIY</t>
        </is>
      </c>
      <c r="C633" t="inlineStr">
        <is>
          <t>NOP PURWOKERTO</t>
        </is>
      </c>
      <c r="D633" s="38" t="n">
        <v>1.28</v>
      </c>
      <c r="E633" s="38" t="n">
        <v>0</v>
      </c>
      <c r="F633" s="36" t="n">
        <v>1.51</v>
      </c>
      <c r="G633" s="36" t="n">
        <v>3</v>
      </c>
      <c r="H633" s="36" t="n">
        <v>11</v>
      </c>
      <c r="I633" s="37" t="n">
        <v>0.5</v>
      </c>
      <c r="J633" s="36" t="n">
        <v>1</v>
      </c>
      <c r="K633" s="37" t="n">
        <v>1</v>
      </c>
      <c r="L633" s="36" t="n">
        <v>10</v>
      </c>
      <c r="M633" s="37" t="n">
        <v>0.4761904761904762</v>
      </c>
      <c r="N633" s="36" t="n">
        <v>1</v>
      </c>
      <c r="O633" s="37" t="n">
        <v>1</v>
      </c>
      <c r="P633" s="36" t="n">
        <v>1</v>
      </c>
      <c r="Q633" s="37" t="n">
        <v>1</v>
      </c>
      <c r="R633" s="36" t="n">
        <v>20</v>
      </c>
      <c r="S633" s="37" t="n">
        <v>0.9090909090909091</v>
      </c>
      <c r="T633" s="36" t="n">
        <v>8</v>
      </c>
      <c r="U633" s="37" t="n">
        <v>0.3636363636363636</v>
      </c>
      <c r="V633" s="38" t="n">
        <v>0</v>
      </c>
      <c r="W633" s="38" t="n">
        <v>1.784</v>
      </c>
      <c r="X633" s="38" t="n">
        <v>6.437000000000001</v>
      </c>
      <c r="Y633" s="38" t="n">
        <v>21.17000000000001</v>
      </c>
      <c r="Z633" s="38" t="n">
        <v>0</v>
      </c>
      <c r="AA633" s="36" t="n">
        <v>20</v>
      </c>
      <c r="AB633" s="37" t="n">
        <v>0.8</v>
      </c>
      <c r="AC633" s="36" t="n">
        <v>4</v>
      </c>
      <c r="AD633" s="37" t="n">
        <v>1</v>
      </c>
      <c r="AE633" s="36" t="n">
        <v>16</v>
      </c>
      <c r="AF633" s="37" t="n">
        <v>0.7619047619047619</v>
      </c>
      <c r="AG633" s="36" t="n">
        <v>4</v>
      </c>
      <c r="AH633" s="37" t="n">
        <v>1</v>
      </c>
    </row>
    <row r="634">
      <c r="A634" s="53" t="n">
        <v>45766</v>
      </c>
      <c r="B634" t="inlineStr">
        <is>
          <t>R05_Jawa Tengah DIY</t>
        </is>
      </c>
      <c r="C634" t="inlineStr">
        <is>
          <t>NOP SEMARANG</t>
        </is>
      </c>
      <c r="D634" s="38" t="n">
        <v>0.46</v>
      </c>
      <c r="E634" s="38" t="n">
        <v>0</v>
      </c>
      <c r="F634" s="36" t="n">
        <v>1.178</v>
      </c>
      <c r="G634" s="36" t="n">
        <v>1.618</v>
      </c>
      <c r="H634" s="36" t="n">
        <v>16</v>
      </c>
      <c r="I634" s="37" t="n">
        <v>0.6153846153846154</v>
      </c>
      <c r="J634" s="36" t="n">
        <v>0</v>
      </c>
      <c r="K634" s="37" t="n">
        <v>0</v>
      </c>
      <c r="L634" s="36" t="n">
        <v>16</v>
      </c>
      <c r="M634" s="37" t="n">
        <v>0.64</v>
      </c>
      <c r="N634" s="36" t="n">
        <v>0</v>
      </c>
      <c r="O634" s="37" t="n">
        <v>0</v>
      </c>
      <c r="P634" s="36" t="n">
        <v>0</v>
      </c>
      <c r="Q634" s="37" t="n">
        <v>0</v>
      </c>
      <c r="R634" s="36" t="n">
        <v>25</v>
      </c>
      <c r="S634" s="37" t="n">
        <v>0.9615384615384616</v>
      </c>
      <c r="T634" s="36" t="n">
        <v>6</v>
      </c>
      <c r="U634" s="37" t="n">
        <v>0.2307692307692308</v>
      </c>
      <c r="V634" s="38" t="n">
        <v>0.06</v>
      </c>
      <c r="W634" s="38" t="n">
        <v>4.699</v>
      </c>
      <c r="X634" s="38" t="n">
        <v>8.558000000000002</v>
      </c>
      <c r="Y634" s="38" t="n">
        <v>91.77200000000002</v>
      </c>
      <c r="Z634" s="38" t="n">
        <v>0</v>
      </c>
      <c r="AA634" s="36" t="n">
        <v>37</v>
      </c>
      <c r="AB634" s="37" t="n">
        <v>0.7708333333333334</v>
      </c>
      <c r="AC634" s="36" t="n">
        <v>6</v>
      </c>
      <c r="AD634" s="37" t="n">
        <v>0.6666666666666666</v>
      </c>
      <c r="AE634" s="36" t="n">
        <v>31</v>
      </c>
      <c r="AF634" s="37" t="n">
        <v>0.7948717948717948</v>
      </c>
      <c r="AG634" s="36" t="n">
        <v>6</v>
      </c>
      <c r="AH634" s="37" t="n">
        <v>1</v>
      </c>
    </row>
    <row r="635">
      <c r="A635" s="53" t="n">
        <v>45766</v>
      </c>
      <c r="B635" t="inlineStr">
        <is>
          <t>R05_Jawa Tengah DIY</t>
        </is>
      </c>
      <c r="C635" t="inlineStr">
        <is>
          <t>NOP SURAKARTA</t>
        </is>
      </c>
      <c r="D635" s="38" t="n">
        <v>0.616</v>
      </c>
      <c r="E635" s="38" t="n">
        <v>0</v>
      </c>
      <c r="F635" s="36" t="n">
        <v>2.93</v>
      </c>
      <c r="G635" s="36" t="n">
        <v>2.498</v>
      </c>
      <c r="H635" s="36" t="n">
        <v>22</v>
      </c>
      <c r="I635" s="37" t="n">
        <v>0.4888888888888889</v>
      </c>
      <c r="J635" s="36" t="n">
        <v>0</v>
      </c>
      <c r="K635" s="37" t="n">
        <v>0</v>
      </c>
      <c r="L635" s="36" t="n">
        <v>22</v>
      </c>
      <c r="M635" s="37" t="n">
        <v>0.5116279069767442</v>
      </c>
      <c r="N635" s="36" t="n">
        <v>0</v>
      </c>
      <c r="O635" s="37" t="n">
        <v>0</v>
      </c>
      <c r="P635" s="36" t="n">
        <v>0</v>
      </c>
      <c r="Q635" s="37" t="n">
        <v>0</v>
      </c>
      <c r="R635" s="36" t="n">
        <v>43</v>
      </c>
      <c r="S635" s="37" t="n">
        <v>0.9555555555555556</v>
      </c>
      <c r="T635" s="36" t="n">
        <v>14</v>
      </c>
      <c r="U635" s="37" t="n">
        <v>0.3111111111111111</v>
      </c>
      <c r="V635" s="38" t="n">
        <v>0</v>
      </c>
      <c r="W635" s="38" t="n">
        <v>2.815</v>
      </c>
      <c r="X635" s="38" t="n">
        <v>7.920000000000002</v>
      </c>
      <c r="Y635" s="38" t="n">
        <v>5.37</v>
      </c>
      <c r="Z635" s="38" t="n">
        <v>0</v>
      </c>
      <c r="AA635" s="36" t="n">
        <v>26</v>
      </c>
      <c r="AB635" s="37" t="n">
        <v>0.7647058823529411</v>
      </c>
      <c r="AC635" s="36" t="n">
        <v>6</v>
      </c>
      <c r="AD635" s="37" t="n">
        <v>1</v>
      </c>
      <c r="AE635" s="36" t="n">
        <v>20</v>
      </c>
      <c r="AF635" s="37" t="n">
        <v>0.7142857142857143</v>
      </c>
      <c r="AG635" s="36" t="n">
        <v>5</v>
      </c>
      <c r="AH635" s="37" t="n">
        <v>0.8333333333333334</v>
      </c>
    </row>
    <row r="636">
      <c r="A636" s="53" t="n">
        <v>45766</v>
      </c>
      <c r="B636" t="inlineStr">
        <is>
          <t>R05_Jawa Tengah DIY</t>
        </is>
      </c>
      <c r="C636" t="inlineStr">
        <is>
          <t>NOP YOGYAKARTA</t>
        </is>
      </c>
      <c r="D636" s="38" t="n">
        <v>1.06</v>
      </c>
      <c r="E636" s="38" t="n">
        <v>0</v>
      </c>
      <c r="F636" s="36" t="n">
        <v>1.846</v>
      </c>
      <c r="G636" s="36" t="n">
        <v>1.027</v>
      </c>
      <c r="H636" s="36" t="n">
        <v>0</v>
      </c>
      <c r="I636" s="37" t="n">
        <v>0</v>
      </c>
      <c r="J636" s="36" t="n">
        <v>0</v>
      </c>
      <c r="K636" s="37" t="n">
        <v>0</v>
      </c>
      <c r="L636" s="36" t="n">
        <v>0</v>
      </c>
      <c r="M636" s="37" t="n">
        <v>0</v>
      </c>
      <c r="N636" s="36" t="n">
        <v>0</v>
      </c>
      <c r="O636" s="37" t="n">
        <v>0</v>
      </c>
      <c r="P636" s="36" t="n">
        <v>0</v>
      </c>
      <c r="Q636" s="37" t="n">
        <v>0</v>
      </c>
      <c r="R636" s="36" t="n">
        <v>7</v>
      </c>
      <c r="S636" s="37" t="n">
        <v>0.875</v>
      </c>
      <c r="T636" s="36" t="n">
        <v>0</v>
      </c>
      <c r="U636" s="37" t="n">
        <v>0</v>
      </c>
      <c r="V636" s="38" t="n">
        <v>0</v>
      </c>
      <c r="W636" s="38" t="n">
        <v>22.47</v>
      </c>
      <c r="X636" s="38" t="n">
        <v>16.32</v>
      </c>
      <c r="Y636" s="38" t="n">
        <v>48.798</v>
      </c>
      <c r="Z636" s="38" t="n">
        <v>0</v>
      </c>
      <c r="AA636" s="36" t="n">
        <v>35</v>
      </c>
      <c r="AB636" s="37" t="n">
        <v>0.9722222222222222</v>
      </c>
      <c r="AC636" s="36" t="n">
        <v>6</v>
      </c>
      <c r="AD636" s="37" t="n">
        <v>1</v>
      </c>
      <c r="AE636" s="36" t="n">
        <v>29</v>
      </c>
      <c r="AF636" s="37" t="n">
        <v>0.9666666666666667</v>
      </c>
      <c r="AG636" s="36" t="n">
        <v>6</v>
      </c>
      <c r="AH636" s="37" t="n">
        <v>1</v>
      </c>
    </row>
    <row r="637">
      <c r="A637" s="53" t="n">
        <v>45766</v>
      </c>
      <c r="B637" t="inlineStr">
        <is>
          <t>R06_Jawa Timur</t>
        </is>
      </c>
      <c r="C637" t="inlineStr">
        <is>
          <t>NOP JEMBER</t>
        </is>
      </c>
      <c r="D637" s="38" t="n">
        <v>0</v>
      </c>
      <c r="E637" s="38" t="n">
        <v>0</v>
      </c>
      <c r="F637" s="36" t="n">
        <v>2.802</v>
      </c>
      <c r="G637" s="36" t="n">
        <v>2.992</v>
      </c>
      <c r="H637" s="36" t="n">
        <v>12</v>
      </c>
      <c r="I637" s="37" t="n">
        <v>0.5454545454545454</v>
      </c>
      <c r="J637" s="36" t="n">
        <v>0</v>
      </c>
      <c r="K637" s="37" t="n">
        <v>0</v>
      </c>
      <c r="L637" s="36" t="n">
        <v>12</v>
      </c>
      <c r="M637" s="37" t="n">
        <v>0.5454545454545454</v>
      </c>
      <c r="N637" s="36" t="n">
        <v>0</v>
      </c>
      <c r="O637" s="37" t="n">
        <v>0</v>
      </c>
      <c r="P637" s="36" t="n">
        <v>0</v>
      </c>
      <c r="Q637" s="37" t="n">
        <v>0</v>
      </c>
      <c r="R637" s="36" t="n">
        <v>22</v>
      </c>
      <c r="S637" s="37" t="n">
        <v>1</v>
      </c>
      <c r="T637" s="36" t="n">
        <v>9</v>
      </c>
      <c r="U637" s="37" t="n">
        <v>0.4090909090909091</v>
      </c>
      <c r="V637" s="38" t="n">
        <v>0</v>
      </c>
      <c r="W637" s="38" t="n">
        <v>3.31</v>
      </c>
      <c r="X637" s="38" t="n">
        <v>17.82400000000001</v>
      </c>
      <c r="Y637" s="38" t="n">
        <v>52.305</v>
      </c>
      <c r="Z637" s="38" t="n">
        <v>0</v>
      </c>
      <c r="AA637" s="36" t="n">
        <v>16</v>
      </c>
      <c r="AB637" s="37" t="n">
        <v>0.9411764705882353</v>
      </c>
      <c r="AC637" s="36" t="n">
        <v>5</v>
      </c>
      <c r="AD637" s="37" t="n">
        <v>0.8333333333333334</v>
      </c>
      <c r="AE637" s="36" t="n">
        <v>11</v>
      </c>
      <c r="AF637" s="37" t="n">
        <v>1</v>
      </c>
      <c r="AG637" s="36" t="n">
        <v>5</v>
      </c>
      <c r="AH637" s="37" t="n">
        <v>1</v>
      </c>
    </row>
    <row r="638">
      <c r="A638" s="53" t="n">
        <v>45766</v>
      </c>
      <c r="B638" t="inlineStr">
        <is>
          <t>R06_Jawa Timur</t>
        </is>
      </c>
      <c r="C638" t="inlineStr">
        <is>
          <t>NOP KEDIRI</t>
        </is>
      </c>
      <c r="D638" s="38" t="n">
        <v>1.2</v>
      </c>
      <c r="E638" s="38" t="n">
        <v>0</v>
      </c>
      <c r="F638" s="36" t="n">
        <v>1.003</v>
      </c>
      <c r="G638" s="36" t="n">
        <v>0</v>
      </c>
      <c r="H638" s="36" t="n">
        <v>9</v>
      </c>
      <c r="I638" s="37" t="n">
        <v>1</v>
      </c>
      <c r="J638" s="36" t="n">
        <v>1</v>
      </c>
      <c r="K638" s="37" t="n">
        <v>1</v>
      </c>
      <c r="L638" s="36" t="n">
        <v>8</v>
      </c>
      <c r="M638" s="37" t="n">
        <v>1</v>
      </c>
      <c r="N638" s="36" t="n">
        <v>1</v>
      </c>
      <c r="O638" s="37" t="n">
        <v>1</v>
      </c>
      <c r="P638" s="36" t="n">
        <v>1</v>
      </c>
      <c r="Q638" s="37" t="n">
        <v>1</v>
      </c>
      <c r="R638" s="36" t="n">
        <v>9</v>
      </c>
      <c r="S638" s="37" t="n">
        <v>1</v>
      </c>
      <c r="T638" s="36" t="n">
        <v>8</v>
      </c>
      <c r="U638" s="37" t="n">
        <v>0.8888888888888888</v>
      </c>
      <c r="V638" s="38" t="n">
        <v>0</v>
      </c>
      <c r="W638" s="38" t="n">
        <v>0.91</v>
      </c>
      <c r="X638" s="38" t="n">
        <v>3.016000000000001</v>
      </c>
      <c r="Y638" s="38" t="n">
        <v>0</v>
      </c>
      <c r="Z638" s="38" t="n">
        <v>0</v>
      </c>
      <c r="AA638" s="36" t="n">
        <v>14</v>
      </c>
      <c r="AB638" s="37" t="n">
        <v>0.9333333333333333</v>
      </c>
      <c r="AC638" s="36" t="n">
        <v>1</v>
      </c>
      <c r="AD638" s="37" t="n">
        <v>1</v>
      </c>
      <c r="AE638" s="36" t="n">
        <v>13</v>
      </c>
      <c r="AF638" s="37" t="n">
        <v>0.9285714285714286</v>
      </c>
      <c r="AG638" s="36" t="n">
        <v>1</v>
      </c>
      <c r="AH638" s="37" t="n">
        <v>1</v>
      </c>
    </row>
    <row r="639">
      <c r="A639" s="53" t="n">
        <v>45766</v>
      </c>
      <c r="B639" t="inlineStr">
        <is>
          <t>R06_Jawa Timur</t>
        </is>
      </c>
      <c r="C639" t="inlineStr">
        <is>
          <t>NOP LAMONGAN</t>
        </is>
      </c>
      <c r="D639" s="38" t="n">
        <v>0</v>
      </c>
      <c r="E639" s="38" t="n">
        <v>0</v>
      </c>
      <c r="F639" s="36" t="n">
        <v>3.01</v>
      </c>
      <c r="G639" s="36" t="n">
        <v>3.705</v>
      </c>
      <c r="H639" s="36" t="n">
        <v>8</v>
      </c>
      <c r="I639" s="37" t="n">
        <v>0.7272727272727273</v>
      </c>
      <c r="J639" s="36" t="n">
        <v>0</v>
      </c>
      <c r="K639" s="37" t="n">
        <v>0</v>
      </c>
      <c r="L639" s="36" t="n">
        <v>8</v>
      </c>
      <c r="M639" s="37" t="n">
        <v>0.7272727272727273</v>
      </c>
      <c r="N639" s="36" t="n">
        <v>0</v>
      </c>
      <c r="O639" s="37" t="n">
        <v>0</v>
      </c>
      <c r="P639" s="36" t="n">
        <v>0</v>
      </c>
      <c r="Q639" s="37" t="n">
        <v>0</v>
      </c>
      <c r="R639" s="36" t="n">
        <v>11</v>
      </c>
      <c r="S639" s="37" t="n">
        <v>1</v>
      </c>
      <c r="T639" s="36" t="n">
        <v>8</v>
      </c>
      <c r="U639" s="37" t="n">
        <v>0.7272727272727273</v>
      </c>
      <c r="V639" s="38" t="n">
        <v>0</v>
      </c>
      <c r="W639" s="38" t="n">
        <v>1.592</v>
      </c>
      <c r="X639" s="38" t="n">
        <v>5.246</v>
      </c>
      <c r="Y639" s="38" t="n">
        <v>0</v>
      </c>
      <c r="Z639" s="38" t="n">
        <v>0</v>
      </c>
      <c r="AA639" s="36" t="n">
        <v>6</v>
      </c>
      <c r="AB639" s="37" t="n">
        <v>0.75</v>
      </c>
      <c r="AC639" s="36" t="n">
        <v>2</v>
      </c>
      <c r="AD639" s="37" t="n">
        <v>0.5</v>
      </c>
      <c r="AE639" s="36" t="n">
        <v>4</v>
      </c>
      <c r="AF639" s="37" t="n">
        <v>1</v>
      </c>
      <c r="AG639" s="36" t="n">
        <v>2</v>
      </c>
      <c r="AH639" s="37" t="n">
        <v>1</v>
      </c>
    </row>
    <row r="640">
      <c r="A640" s="53" t="n">
        <v>45766</v>
      </c>
      <c r="B640" t="inlineStr">
        <is>
          <t>R06_Jawa Timur</t>
        </is>
      </c>
      <c r="C640" t="inlineStr">
        <is>
          <t>NOP MADIUN</t>
        </is>
      </c>
      <c r="D640" s="38" t="n">
        <v>0</v>
      </c>
      <c r="E640" s="38" t="n">
        <v>0</v>
      </c>
      <c r="F640" s="36" t="n">
        <v>0.72</v>
      </c>
      <c r="G640" s="36" t="n">
        <v>0.38</v>
      </c>
      <c r="H640" s="36" t="n">
        <v>4</v>
      </c>
      <c r="I640" s="37" t="n">
        <v>1</v>
      </c>
      <c r="J640" s="36" t="n">
        <v>0</v>
      </c>
      <c r="K640" s="37" t="n">
        <v>0</v>
      </c>
      <c r="L640" s="36" t="n">
        <v>4</v>
      </c>
      <c r="M640" s="37" t="n">
        <v>1</v>
      </c>
      <c r="N640" s="36" t="n">
        <v>0</v>
      </c>
      <c r="O640" s="37" t="n">
        <v>0</v>
      </c>
      <c r="P640" s="36" t="n">
        <v>0</v>
      </c>
      <c r="Q640" s="37" t="n">
        <v>0</v>
      </c>
      <c r="R640" s="36" t="n">
        <v>4</v>
      </c>
      <c r="S640" s="37" t="n">
        <v>1</v>
      </c>
      <c r="T640" s="36" t="n">
        <v>2</v>
      </c>
      <c r="U640" s="37" t="n">
        <v>0.5</v>
      </c>
      <c r="V640" s="38" t="n">
        <v>0</v>
      </c>
      <c r="W640" s="38" t="n">
        <v>2.2</v>
      </c>
      <c r="X640" s="38" t="n">
        <v>15.72099999999997</v>
      </c>
      <c r="Y640" s="38" t="n">
        <v>0</v>
      </c>
      <c r="Z640" s="38" t="n">
        <v>0</v>
      </c>
      <c r="AA640" s="36" t="n">
        <v>9</v>
      </c>
      <c r="AB640" s="37" t="n">
        <v>0.6923076923076923</v>
      </c>
      <c r="AC640" s="36" t="n">
        <v>3</v>
      </c>
      <c r="AD640" s="37" t="n">
        <v>1</v>
      </c>
      <c r="AE640" s="36" t="n">
        <v>6</v>
      </c>
      <c r="AF640" s="37" t="n">
        <v>0.6</v>
      </c>
      <c r="AG640" s="36" t="n">
        <v>3</v>
      </c>
      <c r="AH640" s="37" t="n">
        <v>1</v>
      </c>
    </row>
    <row r="641">
      <c r="A641" s="53" t="n">
        <v>45766</v>
      </c>
      <c r="B641" t="inlineStr">
        <is>
          <t>R06_Jawa Timur</t>
        </is>
      </c>
      <c r="C641" t="inlineStr">
        <is>
          <t>NOP MALANG</t>
        </is>
      </c>
      <c r="D641" s="38" t="n">
        <v>0</v>
      </c>
      <c r="E641" s="38" t="n">
        <v>0</v>
      </c>
      <c r="F641" s="36" t="n">
        <v>2.792</v>
      </c>
      <c r="G641" s="36" t="n">
        <v>0.864</v>
      </c>
      <c r="H641" s="36" t="n">
        <v>3</v>
      </c>
      <c r="I641" s="37" t="n">
        <v>0.75</v>
      </c>
      <c r="J641" s="36" t="n">
        <v>0</v>
      </c>
      <c r="K641" s="37" t="n">
        <v>0</v>
      </c>
      <c r="L641" s="36" t="n">
        <v>3</v>
      </c>
      <c r="M641" s="37" t="n">
        <v>0.75</v>
      </c>
      <c r="N641" s="36" t="n">
        <v>0</v>
      </c>
      <c r="O641" s="37" t="n">
        <v>0</v>
      </c>
      <c r="P641" s="36" t="n">
        <v>0</v>
      </c>
      <c r="Q641" s="37" t="n">
        <v>0</v>
      </c>
      <c r="R641" s="36" t="n">
        <v>4</v>
      </c>
      <c r="S641" s="37" t="n">
        <v>1</v>
      </c>
      <c r="T641" s="36" t="n">
        <v>4</v>
      </c>
      <c r="U641" s="37" t="n">
        <v>1</v>
      </c>
      <c r="V641" s="38" t="n">
        <v>0</v>
      </c>
      <c r="W641" s="38" t="n">
        <v>1.518</v>
      </c>
      <c r="X641" s="38" t="n">
        <v>5.728000000000001</v>
      </c>
      <c r="Y641" s="38" t="n">
        <v>0</v>
      </c>
      <c r="Z641" s="38" t="n">
        <v>0</v>
      </c>
      <c r="AA641" s="36" t="n">
        <v>3</v>
      </c>
      <c r="AB641" s="37" t="n">
        <v>0.5</v>
      </c>
      <c r="AC641" s="36" t="n">
        <v>2</v>
      </c>
      <c r="AD641" s="37" t="n">
        <v>0.6666666666666666</v>
      </c>
      <c r="AE641" s="36" t="n">
        <v>1</v>
      </c>
      <c r="AF641" s="37" t="n">
        <v>0.3333333333333333</v>
      </c>
      <c r="AG641" s="36" t="n">
        <v>1</v>
      </c>
      <c r="AH641" s="37" t="n">
        <v>0.5</v>
      </c>
    </row>
    <row r="642">
      <c r="A642" s="53" t="n">
        <v>45766</v>
      </c>
      <c r="B642" t="inlineStr">
        <is>
          <t>R06_Jawa Timur</t>
        </is>
      </c>
      <c r="C642" t="inlineStr">
        <is>
          <t>NOP SIDOARJO</t>
        </is>
      </c>
      <c r="D642" s="38" t="n">
        <v>0</v>
      </c>
      <c r="E642" s="38" t="n">
        <v>0</v>
      </c>
      <c r="F642" s="36" t="n">
        <v>2.15</v>
      </c>
      <c r="G642" s="36" t="n">
        <v>0.744</v>
      </c>
      <c r="H642" s="36" t="n">
        <v>3</v>
      </c>
      <c r="I642" s="37" t="n">
        <v>0.6</v>
      </c>
      <c r="J642" s="36" t="n">
        <v>0</v>
      </c>
      <c r="K642" s="37" t="n">
        <v>0</v>
      </c>
      <c r="L642" s="36" t="n">
        <v>3</v>
      </c>
      <c r="M642" s="37" t="n">
        <v>0.6</v>
      </c>
      <c r="N642" s="36" t="n">
        <v>0</v>
      </c>
      <c r="O642" s="37" t="n">
        <v>0</v>
      </c>
      <c r="P642" s="36" t="n">
        <v>0</v>
      </c>
      <c r="Q642" s="37" t="n">
        <v>0</v>
      </c>
      <c r="R642" s="36" t="n">
        <v>5</v>
      </c>
      <c r="S642" s="37" t="n">
        <v>1</v>
      </c>
      <c r="T642" s="36" t="n">
        <v>3</v>
      </c>
      <c r="U642" s="37" t="n">
        <v>0.6</v>
      </c>
      <c r="V642" s="38" t="n">
        <v>0.01</v>
      </c>
      <c r="W642" s="38" t="n">
        <v>18.26000000000001</v>
      </c>
      <c r="X642" s="38" t="n">
        <v>12.15</v>
      </c>
      <c r="Y642" s="38" t="n">
        <v>9.106999999999999</v>
      </c>
      <c r="Z642" s="38" t="n">
        <v>0</v>
      </c>
      <c r="AA642" s="36" t="n">
        <v>17</v>
      </c>
      <c r="AB642" s="37" t="n">
        <v>1</v>
      </c>
      <c r="AC642" s="36" t="n">
        <v>8</v>
      </c>
      <c r="AD642" s="37" t="n">
        <v>1</v>
      </c>
      <c r="AE642" s="36" t="n">
        <v>9</v>
      </c>
      <c r="AF642" s="37" t="n">
        <v>1</v>
      </c>
      <c r="AG642" s="36" t="n">
        <v>6</v>
      </c>
      <c r="AH642" s="37" t="n">
        <v>0.75</v>
      </c>
    </row>
    <row r="643">
      <c r="A643" s="53" t="n">
        <v>45766</v>
      </c>
      <c r="B643" t="inlineStr">
        <is>
          <t>R06_Jawa Timur</t>
        </is>
      </c>
      <c r="C643" t="inlineStr">
        <is>
          <t>NOP SURABAYA</t>
        </is>
      </c>
      <c r="D643" s="38" t="n">
        <v>1.895</v>
      </c>
      <c r="E643" s="38" t="n">
        <v>0</v>
      </c>
      <c r="F643" s="36" t="n">
        <v>2.771999999999999</v>
      </c>
      <c r="G643" s="36" t="n">
        <v>1.592000000000001</v>
      </c>
      <c r="H643" s="36" t="n">
        <v>21</v>
      </c>
      <c r="I643" s="37" t="n">
        <v>0.75</v>
      </c>
      <c r="J643" s="36" t="n">
        <v>4</v>
      </c>
      <c r="K643" s="37" t="n">
        <v>1</v>
      </c>
      <c r="L643" s="36" t="n">
        <v>17</v>
      </c>
      <c r="M643" s="37" t="n">
        <v>0.7083333333333334</v>
      </c>
      <c r="N643" s="36" t="n">
        <v>4</v>
      </c>
      <c r="O643" s="37" t="n">
        <v>1</v>
      </c>
      <c r="P643" s="36" t="n">
        <v>4</v>
      </c>
      <c r="Q643" s="37" t="n">
        <v>1</v>
      </c>
      <c r="R643" s="36" t="n">
        <v>28</v>
      </c>
      <c r="S643" s="37" t="n">
        <v>1</v>
      </c>
      <c r="T643" s="36" t="n">
        <v>14</v>
      </c>
      <c r="U643" s="37" t="n">
        <v>0.5</v>
      </c>
      <c r="V643" s="38" t="n">
        <v>0</v>
      </c>
      <c r="W643" s="38" t="n">
        <v>0.6919999999999999</v>
      </c>
      <c r="X643" s="38" t="n">
        <v>6.837999999999999</v>
      </c>
      <c r="Y643" s="38" t="n">
        <v>18.255</v>
      </c>
      <c r="Z643" s="38" t="n">
        <v>0</v>
      </c>
      <c r="AA643" s="36" t="n">
        <v>24</v>
      </c>
      <c r="AB643" s="37" t="n">
        <v>0.6666666666666666</v>
      </c>
      <c r="AC643" s="36" t="n">
        <v>10</v>
      </c>
      <c r="AD643" s="37" t="n">
        <v>0.7692307692307693</v>
      </c>
      <c r="AE643" s="36" t="n">
        <v>14</v>
      </c>
      <c r="AF643" s="37" t="n">
        <v>0.6086956521739131</v>
      </c>
      <c r="AG643" s="36" t="n">
        <v>10</v>
      </c>
      <c r="AH643" s="37" t="n">
        <v>1</v>
      </c>
    </row>
    <row r="644">
      <c r="A644" s="53" t="n">
        <v>45766</v>
      </c>
      <c r="B644" t="inlineStr">
        <is>
          <t>R07_Bali Nusra</t>
        </is>
      </c>
      <c r="C644" t="inlineStr">
        <is>
          <t>NOP DENPASAR</t>
        </is>
      </c>
      <c r="D644" s="38" t="n">
        <v>0.97</v>
      </c>
      <c r="E644" s="38" t="n">
        <v>0</v>
      </c>
      <c r="F644" s="36" t="n">
        <v>2.816000000000002</v>
      </c>
      <c r="G644" s="36" t="n">
        <v>3.122</v>
      </c>
      <c r="H644" s="36" t="n">
        <v>13</v>
      </c>
      <c r="I644" s="37" t="n">
        <v>1</v>
      </c>
      <c r="J644" s="36" t="n">
        <v>1</v>
      </c>
      <c r="K644" s="37" t="n">
        <v>1</v>
      </c>
      <c r="L644" s="36" t="n">
        <v>12</v>
      </c>
      <c r="M644" s="37" t="n">
        <v>1</v>
      </c>
      <c r="N644" s="36" t="n">
        <v>1</v>
      </c>
      <c r="O644" s="37" t="n">
        <v>1</v>
      </c>
      <c r="P644" s="36" t="n">
        <v>1</v>
      </c>
      <c r="Q644" s="37" t="n">
        <v>1</v>
      </c>
      <c r="R644" s="36" t="n">
        <v>13</v>
      </c>
      <c r="S644" s="37" t="n">
        <v>1</v>
      </c>
      <c r="T644" s="36" t="n">
        <v>13</v>
      </c>
      <c r="U644" s="37" t="n">
        <v>1</v>
      </c>
      <c r="V644" s="38" t="n">
        <v>0</v>
      </c>
      <c r="W644" s="38" t="n">
        <v>632.4499999999999</v>
      </c>
      <c r="X644" s="38" t="n">
        <v>7.121000000000003</v>
      </c>
      <c r="Y644" s="38" t="n">
        <v>0</v>
      </c>
      <c r="Z644" s="38" t="n">
        <v>0</v>
      </c>
      <c r="AA644" s="36" t="n">
        <v>22</v>
      </c>
      <c r="AB644" s="37" t="n">
        <v>0.9565217391304348</v>
      </c>
      <c r="AC644" s="36" t="n">
        <v>9</v>
      </c>
      <c r="AD644" s="37" t="n">
        <v>1</v>
      </c>
      <c r="AE644" s="36" t="n">
        <v>13</v>
      </c>
      <c r="AF644" s="37" t="n">
        <v>0.9285714285714286</v>
      </c>
      <c r="AG644" s="36" t="n">
        <v>9</v>
      </c>
      <c r="AH644" s="37" t="n">
        <v>1</v>
      </c>
    </row>
    <row r="645">
      <c r="A645" s="53" t="n">
        <v>45766</v>
      </c>
      <c r="B645" t="inlineStr">
        <is>
          <t>R07_Bali Nusra</t>
        </is>
      </c>
      <c r="C645" t="inlineStr">
        <is>
          <t>NOP FLORES</t>
        </is>
      </c>
      <c r="D645" s="38" t="n">
        <v>2.19</v>
      </c>
      <c r="E645" s="38" t="n">
        <v>1.83</v>
      </c>
      <c r="F645" s="36" t="n">
        <v>3.11</v>
      </c>
      <c r="G645" s="36" t="n">
        <v>5.429999999999999</v>
      </c>
      <c r="H645" s="36" t="n">
        <v>36</v>
      </c>
      <c r="I645" s="37" t="n">
        <v>0.4137931034482759</v>
      </c>
      <c r="J645" s="36" t="n">
        <v>11</v>
      </c>
      <c r="K645" s="37" t="n">
        <v>0.5238095238095238</v>
      </c>
      <c r="L645" s="36" t="n">
        <v>25</v>
      </c>
      <c r="M645" s="37" t="n">
        <v>0.3787878787878788</v>
      </c>
      <c r="N645" s="36" t="n">
        <v>4</v>
      </c>
      <c r="O645" s="37" t="n">
        <v>0.3636363636363636</v>
      </c>
      <c r="P645" s="36" t="n">
        <v>4</v>
      </c>
      <c r="Q645" s="37" t="n">
        <v>0.3636363636363636</v>
      </c>
      <c r="R645" s="36" t="n">
        <v>87</v>
      </c>
      <c r="S645" s="37" t="n">
        <v>1</v>
      </c>
      <c r="T645" s="36" t="n">
        <v>19</v>
      </c>
      <c r="U645" s="37" t="n">
        <v>0.2183908045977012</v>
      </c>
      <c r="V645" s="38" t="n">
        <v>0</v>
      </c>
      <c r="W645" s="38" t="n">
        <v>7.37</v>
      </c>
      <c r="X645" s="38" t="n">
        <v>6.920000000000001</v>
      </c>
      <c r="Y645" s="38" t="n">
        <v>6.778</v>
      </c>
      <c r="Z645" s="38" t="n">
        <v>0</v>
      </c>
      <c r="AA645" s="36" t="n">
        <v>43</v>
      </c>
      <c r="AB645" s="37" t="n">
        <v>0.4387755102040816</v>
      </c>
      <c r="AC645" s="36" t="n">
        <v>32</v>
      </c>
      <c r="AD645" s="37" t="n">
        <v>0.5245901639344263</v>
      </c>
      <c r="AE645" s="36" t="n">
        <v>11</v>
      </c>
      <c r="AF645" s="37" t="n">
        <v>0.2972972972972973</v>
      </c>
      <c r="AG645" s="36" t="n">
        <v>26</v>
      </c>
      <c r="AH645" s="37" t="n">
        <v>0.8125</v>
      </c>
    </row>
    <row r="646">
      <c r="A646" s="53" t="n">
        <v>45766</v>
      </c>
      <c r="B646" t="inlineStr">
        <is>
          <t>R07_Bali Nusra</t>
        </is>
      </c>
      <c r="C646" t="inlineStr">
        <is>
          <t>NOP KUPANG</t>
        </is>
      </c>
      <c r="D646" s="38" t="n">
        <v>0</v>
      </c>
      <c r="E646" s="38" t="n">
        <v>4.68</v>
      </c>
      <c r="F646" s="36" t="n">
        <v>3.005999999999999</v>
      </c>
      <c r="G646" s="36" t="n">
        <v>17.967</v>
      </c>
      <c r="H646" s="36" t="n">
        <v>22</v>
      </c>
      <c r="I646" s="37" t="n">
        <v>0.6666666666666666</v>
      </c>
      <c r="J646" s="36" t="n">
        <v>6</v>
      </c>
      <c r="K646" s="37" t="n">
        <v>1</v>
      </c>
      <c r="L646" s="36" t="n">
        <v>16</v>
      </c>
      <c r="M646" s="37" t="n">
        <v>0.5925925925925926</v>
      </c>
      <c r="N646" s="36" t="n">
        <v>2</v>
      </c>
      <c r="O646" s="37" t="n">
        <v>0.3333333333333333</v>
      </c>
      <c r="P646" s="36" t="n">
        <v>2</v>
      </c>
      <c r="Q646" s="37" t="n">
        <v>0.3333333333333333</v>
      </c>
      <c r="R646" s="36" t="n">
        <v>33</v>
      </c>
      <c r="S646" s="37" t="n">
        <v>1</v>
      </c>
      <c r="T646" s="36" t="n">
        <v>7</v>
      </c>
      <c r="U646" s="37" t="n">
        <v>0.2121212121212121</v>
      </c>
      <c r="V646" s="38" t="n">
        <v>0</v>
      </c>
      <c r="W646" s="38" t="n">
        <v>14.48599999999998</v>
      </c>
      <c r="X646" s="38" t="n">
        <v>44.18300000000007</v>
      </c>
      <c r="Y646" s="38" t="n">
        <v>54.56600000000002</v>
      </c>
      <c r="Z646" s="38" t="n">
        <v>0</v>
      </c>
      <c r="AA646" s="36" t="n">
        <v>29</v>
      </c>
      <c r="AB646" s="37" t="n">
        <v>0.4603174603174603</v>
      </c>
      <c r="AC646" s="36" t="n">
        <v>15</v>
      </c>
      <c r="AD646" s="37" t="n">
        <v>0.4054054054054054</v>
      </c>
      <c r="AE646" s="36" t="n">
        <v>14</v>
      </c>
      <c r="AF646" s="37" t="n">
        <v>0.5384615384615384</v>
      </c>
      <c r="AG646" s="36" t="n">
        <v>6</v>
      </c>
      <c r="AH646" s="37" t="n">
        <v>0.4</v>
      </c>
    </row>
    <row r="647">
      <c r="A647" s="53" t="n">
        <v>45766</v>
      </c>
      <c r="B647" t="inlineStr">
        <is>
          <t>R07_Bali Nusra</t>
        </is>
      </c>
      <c r="C647" t="inlineStr">
        <is>
          <t>NOP MATARAM</t>
        </is>
      </c>
      <c r="D647" s="38" t="n">
        <v>0</v>
      </c>
      <c r="E647" s="38" t="n">
        <v>3.755999999999999</v>
      </c>
      <c r="F647" s="36" t="n">
        <v>0.734</v>
      </c>
      <c r="G647" s="36" t="n">
        <v>6.901000000000001</v>
      </c>
      <c r="H647" s="36" t="n">
        <v>7</v>
      </c>
      <c r="I647" s="37" t="n">
        <v>0.4117647058823529</v>
      </c>
      <c r="J647" s="36" t="n">
        <v>1</v>
      </c>
      <c r="K647" s="37" t="n">
        <v>0.5</v>
      </c>
      <c r="L647" s="36" t="n">
        <v>6</v>
      </c>
      <c r="M647" s="37" t="n">
        <v>0.4</v>
      </c>
      <c r="N647" s="36" t="n">
        <v>1</v>
      </c>
      <c r="O647" s="37" t="n">
        <v>1</v>
      </c>
      <c r="P647" s="36" t="n">
        <v>1</v>
      </c>
      <c r="Q647" s="37" t="n">
        <v>1</v>
      </c>
      <c r="R647" s="36" t="n">
        <v>17</v>
      </c>
      <c r="S647" s="37" t="n">
        <v>1</v>
      </c>
      <c r="T647" s="36" t="n">
        <v>3</v>
      </c>
      <c r="U647" s="37" t="n">
        <v>0.1764705882352941</v>
      </c>
      <c r="V647" s="38" t="n">
        <v>0</v>
      </c>
      <c r="W647" s="38" t="n">
        <v>16.695</v>
      </c>
      <c r="X647" s="38" t="n">
        <v>32.056</v>
      </c>
      <c r="Y647" s="38" t="n">
        <v>28.33</v>
      </c>
      <c r="Z647" s="38" t="n">
        <v>0</v>
      </c>
      <c r="AA647" s="36" t="n">
        <v>13</v>
      </c>
      <c r="AB647" s="37" t="n">
        <v>0.5</v>
      </c>
      <c r="AC647" s="36" t="n">
        <v>8</v>
      </c>
      <c r="AD647" s="37" t="n">
        <v>0.5</v>
      </c>
      <c r="AE647" s="36" t="n">
        <v>5</v>
      </c>
      <c r="AF647" s="37" t="n">
        <v>0.5</v>
      </c>
      <c r="AG647" s="36" t="n">
        <v>6</v>
      </c>
      <c r="AH647" s="37" t="n">
        <v>0.75</v>
      </c>
    </row>
    <row r="648">
      <c r="A648" s="53" t="n">
        <v>45767</v>
      </c>
      <c r="B648" t="inlineStr">
        <is>
          <t>R01_Sumbagut</t>
        </is>
      </c>
      <c r="C648" t="inlineStr">
        <is>
          <t>NOP ACEH</t>
        </is>
      </c>
      <c r="D648" s="38" t="n">
        <v>3.68</v>
      </c>
      <c r="E648" s="38" t="n">
        <v>5.29</v>
      </c>
      <c r="F648" s="36" t="n">
        <v>5.33</v>
      </c>
      <c r="G648" s="36" t="n">
        <v>2.705000000000001</v>
      </c>
      <c r="H648" s="36" t="n">
        <v>83</v>
      </c>
      <c r="I648" s="37" t="n">
        <v>0.9222222222222223</v>
      </c>
      <c r="J648" s="36" t="n">
        <v>26</v>
      </c>
      <c r="K648" s="37" t="n">
        <v>0.8666666666666667</v>
      </c>
      <c r="L648" s="36" t="n">
        <v>57</v>
      </c>
      <c r="M648" s="37" t="n">
        <v>0.95</v>
      </c>
      <c r="N648" s="36" t="n">
        <v>9</v>
      </c>
      <c r="O648" s="37" t="n">
        <v>0.3461538461538461</v>
      </c>
      <c r="P648" s="36" t="n">
        <v>9</v>
      </c>
      <c r="Q648" s="37" t="n">
        <v>0.36</v>
      </c>
      <c r="R648" s="36" t="n">
        <v>89</v>
      </c>
      <c r="S648" s="37" t="n">
        <v>0.9888888888888889</v>
      </c>
      <c r="T648" s="36" t="n">
        <v>29</v>
      </c>
      <c r="U648" s="37" t="n">
        <v>0.3222222222222222</v>
      </c>
      <c r="V648" s="38" t="n">
        <v>0.01</v>
      </c>
      <c r="W648" s="38" t="n">
        <v>1.47</v>
      </c>
      <c r="X648" s="38" t="n">
        <v>147.505</v>
      </c>
      <c r="Y648" s="38" t="n">
        <v>138.614</v>
      </c>
      <c r="Z648" s="38" t="n">
        <v>0</v>
      </c>
      <c r="AA648" s="36" t="n">
        <v>377</v>
      </c>
      <c r="AB648" s="37" t="n">
        <v>0.9019138755980861</v>
      </c>
      <c r="AC648" s="36" t="n">
        <v>21</v>
      </c>
      <c r="AD648" s="37" t="n">
        <v>0.7777777777777778</v>
      </c>
      <c r="AE648" s="36" t="n">
        <v>353</v>
      </c>
      <c r="AF648" s="37" t="n">
        <v>0.9168831168831169</v>
      </c>
      <c r="AG648" s="36" t="n">
        <v>1</v>
      </c>
      <c r="AH648" s="37" t="n">
        <v>0.04761904761904762</v>
      </c>
    </row>
    <row r="649">
      <c r="A649" s="53" t="n">
        <v>45767</v>
      </c>
      <c r="B649" t="inlineStr">
        <is>
          <t>R01_Sumbagut</t>
        </is>
      </c>
      <c r="C649" t="inlineStr">
        <is>
          <t>NOP BINJAI</t>
        </is>
      </c>
      <c r="D649" s="38" t="n">
        <v>0</v>
      </c>
      <c r="E649" s="38" t="n">
        <v>4.345</v>
      </c>
      <c r="F649" s="36" t="n">
        <v>0.5659999999999999</v>
      </c>
      <c r="G649" s="36" t="n">
        <v>5.815000000000003</v>
      </c>
      <c r="H649" s="36" t="n">
        <v>14</v>
      </c>
      <c r="I649" s="37" t="n">
        <v>0.5600000000000001</v>
      </c>
      <c r="J649" s="36" t="n">
        <v>5</v>
      </c>
      <c r="K649" s="37" t="n">
        <v>0.8333333333333334</v>
      </c>
      <c r="L649" s="36" t="n">
        <v>9</v>
      </c>
      <c r="M649" s="37" t="n">
        <v>0.4736842105263158</v>
      </c>
      <c r="N649" s="36" t="n">
        <v>4</v>
      </c>
      <c r="O649" s="37" t="n">
        <v>0.8</v>
      </c>
      <c r="P649" s="36" t="n">
        <v>4</v>
      </c>
      <c r="Q649" s="37" t="n">
        <v>0.8</v>
      </c>
      <c r="R649" s="36" t="n">
        <v>25</v>
      </c>
      <c r="S649" s="37" t="n">
        <v>1</v>
      </c>
      <c r="T649" s="36" t="n">
        <v>10</v>
      </c>
      <c r="U649" s="37" t="n">
        <v>0.4</v>
      </c>
      <c r="V649" s="38" t="n">
        <v>0</v>
      </c>
      <c r="W649" s="38" t="n">
        <v>14.52</v>
      </c>
      <c r="X649" s="38" t="n">
        <v>14.954</v>
      </c>
      <c r="Y649" s="38" t="n">
        <v>20</v>
      </c>
      <c r="Z649" s="38" t="n">
        <v>0</v>
      </c>
      <c r="AA649" s="36" t="n">
        <v>50</v>
      </c>
      <c r="AB649" s="37" t="n">
        <v>0.5617977528089888</v>
      </c>
      <c r="AC649" s="36" t="n">
        <v>9</v>
      </c>
      <c r="AD649" s="37" t="n">
        <v>0.5625</v>
      </c>
      <c r="AE649" s="36" t="n">
        <v>39</v>
      </c>
      <c r="AF649" s="37" t="n">
        <v>0.8297872340425532</v>
      </c>
      <c r="AG649" s="36" t="n">
        <v>8</v>
      </c>
      <c r="AH649" s="37" t="n">
        <v>0.8888888888888888</v>
      </c>
    </row>
    <row r="650">
      <c r="A650" s="53" t="n">
        <v>45767</v>
      </c>
      <c r="B650" t="inlineStr">
        <is>
          <t>R01_Sumbagut</t>
        </is>
      </c>
      <c r="C650" t="inlineStr">
        <is>
          <t>NOP MEDAN</t>
        </is>
      </c>
      <c r="D650" s="38" t="n">
        <v>0</v>
      </c>
      <c r="E650" s="38" t="n">
        <v>2.46</v>
      </c>
      <c r="F650" s="36" t="n">
        <v>2.54</v>
      </c>
      <c r="G650" s="36" t="n">
        <v>3.814000000000001</v>
      </c>
      <c r="H650" s="36" t="n">
        <v>8</v>
      </c>
      <c r="I650" s="37" t="n">
        <v>0.4210526315789473</v>
      </c>
      <c r="J650" s="36" t="n">
        <v>2</v>
      </c>
      <c r="K650" s="37" t="n">
        <v>0.3333333333333333</v>
      </c>
      <c r="L650" s="36" t="n">
        <v>6</v>
      </c>
      <c r="M650" s="37" t="n">
        <v>0.4615384615384616</v>
      </c>
      <c r="N650" s="36" t="n">
        <v>2</v>
      </c>
      <c r="O650" s="37" t="n">
        <v>1</v>
      </c>
      <c r="P650" s="36" t="n">
        <v>2</v>
      </c>
      <c r="Q650" s="37" t="n">
        <v>1</v>
      </c>
      <c r="R650" s="36" t="n">
        <v>19</v>
      </c>
      <c r="S650" s="37" t="n">
        <v>1</v>
      </c>
      <c r="T650" s="36" t="n">
        <v>5</v>
      </c>
      <c r="U650" s="37" t="n">
        <v>0.2631578947368421</v>
      </c>
      <c r="V650" s="38" t="n">
        <v>0</v>
      </c>
      <c r="W650" s="38" t="n">
        <v>62.21200000000004</v>
      </c>
      <c r="X650" s="38" t="n">
        <v>16.25</v>
      </c>
      <c r="Y650" s="38" t="n">
        <v>31.06900000000001</v>
      </c>
      <c r="Z650" s="38" t="n">
        <v>0</v>
      </c>
      <c r="AA650" s="36" t="n">
        <v>3</v>
      </c>
      <c r="AB650" s="37" t="n">
        <v>0.103448275862069</v>
      </c>
      <c r="AC650" s="36" t="n">
        <v>0</v>
      </c>
      <c r="AD650" s="37" t="n">
        <v>0</v>
      </c>
      <c r="AE650" s="36" t="n">
        <v>3</v>
      </c>
      <c r="AF650" s="37" t="n">
        <v>0.1666666666666667</v>
      </c>
      <c r="AG650" s="36" t="n">
        <v>0</v>
      </c>
      <c r="AH650" s="37" t="n">
        <v>0</v>
      </c>
    </row>
    <row r="651">
      <c r="A651" s="53" t="n">
        <v>45767</v>
      </c>
      <c r="B651" t="inlineStr">
        <is>
          <t>R01_Sumbagut</t>
        </is>
      </c>
      <c r="C651" t="inlineStr">
        <is>
          <t>NOP PADANG SIDEMPUAN</t>
        </is>
      </c>
      <c r="D651" s="38" t="n">
        <v>0.75</v>
      </c>
      <c r="E651" s="38" t="n">
        <v>1.076</v>
      </c>
      <c r="F651" s="36" t="n">
        <v>3.49</v>
      </c>
      <c r="G651" s="36" t="n">
        <v>2.49</v>
      </c>
      <c r="H651" s="36" t="n">
        <v>10</v>
      </c>
      <c r="I651" s="37" t="n">
        <v>0.1886792452830189</v>
      </c>
      <c r="J651" s="36" t="n">
        <v>3</v>
      </c>
      <c r="K651" s="37" t="n">
        <v>0.375</v>
      </c>
      <c r="L651" s="36" t="n">
        <v>7</v>
      </c>
      <c r="M651" s="37" t="n">
        <v>0.1555555555555556</v>
      </c>
      <c r="N651" s="36" t="n">
        <v>2</v>
      </c>
      <c r="O651" s="37" t="n">
        <v>0.6666666666666666</v>
      </c>
      <c r="P651" s="36" t="n">
        <v>2</v>
      </c>
      <c r="Q651" s="37" t="n">
        <v>0.6666666666666666</v>
      </c>
      <c r="R651" s="36" t="n">
        <v>53</v>
      </c>
      <c r="S651" s="37" t="n">
        <v>1</v>
      </c>
      <c r="T651" s="36" t="n">
        <v>7</v>
      </c>
      <c r="U651" s="37" t="n">
        <v>0.1320754716981132</v>
      </c>
      <c r="V651" s="38" t="n">
        <v>0.01</v>
      </c>
      <c r="W651" s="38" t="n">
        <v>1.892</v>
      </c>
      <c r="X651" s="38" t="n">
        <v>21.62300000000001</v>
      </c>
      <c r="Y651" s="38" t="n">
        <v>54.81900000000002</v>
      </c>
      <c r="Z651" s="38" t="n">
        <v>0</v>
      </c>
      <c r="AA651" s="36" t="n">
        <v>43</v>
      </c>
      <c r="AB651" s="37" t="n">
        <v>0.2171717171717172</v>
      </c>
      <c r="AC651" s="36" t="n">
        <v>23</v>
      </c>
      <c r="AD651" s="37" t="n">
        <v>0.3026315789473684</v>
      </c>
      <c r="AE651" s="36" t="n">
        <v>20</v>
      </c>
      <c r="AF651" s="37" t="n">
        <v>0.1666666666666667</v>
      </c>
      <c r="AG651" s="36" t="n">
        <v>10</v>
      </c>
      <c r="AH651" s="37" t="n">
        <v>0.4347826086956522</v>
      </c>
    </row>
    <row r="652">
      <c r="A652" s="53" t="n">
        <v>45767</v>
      </c>
      <c r="B652" t="inlineStr">
        <is>
          <t>R01_Sumbagut</t>
        </is>
      </c>
      <c r="C652" t="inlineStr">
        <is>
          <t>NOP PEMATANG SIANTAR</t>
        </is>
      </c>
      <c r="D652" s="38" t="n">
        <v>0</v>
      </c>
      <c r="E652" s="38" t="n">
        <v>2.33</v>
      </c>
      <c r="F652" s="36" t="n">
        <v>7.16400000000001</v>
      </c>
      <c r="G652" s="36" t="n">
        <v>3.215</v>
      </c>
      <c r="H652" s="36" t="n">
        <v>36</v>
      </c>
      <c r="I652" s="37" t="n">
        <v>0.3130434782608696</v>
      </c>
      <c r="J652" s="36" t="n">
        <v>6</v>
      </c>
      <c r="K652" s="37" t="n">
        <v>0.2857142857142857</v>
      </c>
      <c r="L652" s="36" t="n">
        <v>30</v>
      </c>
      <c r="M652" s="37" t="n">
        <v>0.3191489361702128</v>
      </c>
      <c r="N652" s="36" t="n">
        <v>5</v>
      </c>
      <c r="O652" s="37" t="n">
        <v>0.8333333333333334</v>
      </c>
      <c r="P652" s="36" t="n">
        <v>5</v>
      </c>
      <c r="Q652" s="37" t="n">
        <v>0.8333333333333334</v>
      </c>
      <c r="R652" s="36" t="n">
        <v>115</v>
      </c>
      <c r="S652" s="37" t="n">
        <v>1</v>
      </c>
      <c r="T652" s="36" t="n">
        <v>17</v>
      </c>
      <c r="U652" s="37" t="n">
        <v>0.1478260869565217</v>
      </c>
      <c r="V652" s="38" t="n">
        <v>0</v>
      </c>
      <c r="W652" s="38" t="n">
        <v>2.758</v>
      </c>
      <c r="X652" s="38" t="n">
        <v>39.90400000000004</v>
      </c>
      <c r="Y652" s="38" t="n">
        <v>51.14100000000001</v>
      </c>
      <c r="Z652" s="38" t="n">
        <v>0</v>
      </c>
      <c r="AA652" s="36" t="n">
        <v>41</v>
      </c>
      <c r="AB652" s="37" t="n">
        <v>0.0944700460829493</v>
      </c>
      <c r="AC652" s="36" t="n">
        <v>12</v>
      </c>
      <c r="AD652" s="37" t="n">
        <v>0.2666666666666667</v>
      </c>
      <c r="AE652" s="36" t="n">
        <v>28</v>
      </c>
      <c r="AF652" s="37" t="n">
        <v>0.07349081364829396</v>
      </c>
      <c r="AG652" s="36" t="n">
        <v>11</v>
      </c>
      <c r="AH652" s="37" t="n">
        <v>0.9166666666666666</v>
      </c>
    </row>
    <row r="653">
      <c r="A653" s="53" t="n">
        <v>45767</v>
      </c>
      <c r="B653" t="inlineStr">
        <is>
          <t>R01_Sumbagut</t>
        </is>
      </c>
      <c r="C653" t="inlineStr">
        <is>
          <t>NOP RANTAU PRAPAT</t>
        </is>
      </c>
      <c r="D653" s="38" t="n">
        <v>0</v>
      </c>
      <c r="E653" s="38" t="n">
        <v>10.11600000000001</v>
      </c>
      <c r="F653" s="36" t="n">
        <v>5.307999999999996</v>
      </c>
      <c r="G653" s="36" t="n">
        <v>4.22</v>
      </c>
      <c r="H653" s="36" t="n">
        <v>49</v>
      </c>
      <c r="I653" s="37" t="n">
        <v>0.392</v>
      </c>
      <c r="J653" s="36" t="n">
        <v>7</v>
      </c>
      <c r="K653" s="37" t="n">
        <v>0.4117647058823529</v>
      </c>
      <c r="L653" s="36" t="n">
        <v>42</v>
      </c>
      <c r="M653" s="37" t="n">
        <v>0.3888888888888889</v>
      </c>
      <c r="N653" s="36" t="n">
        <v>4</v>
      </c>
      <c r="O653" s="37" t="n">
        <v>0.5714285714285714</v>
      </c>
      <c r="P653" s="36" t="n">
        <v>4</v>
      </c>
      <c r="Q653" s="37" t="n">
        <v>0.5714285714285714</v>
      </c>
      <c r="R653" s="36" t="n">
        <v>123</v>
      </c>
      <c r="S653" s="37" t="n">
        <v>0.984</v>
      </c>
      <c r="T653" s="36" t="n">
        <v>33</v>
      </c>
      <c r="U653" s="37" t="n">
        <v>0.264</v>
      </c>
      <c r="V653" s="38" t="n">
        <v>0</v>
      </c>
      <c r="W653" s="38" t="n">
        <v>6.616000000000001</v>
      </c>
      <c r="X653" s="38" t="n">
        <v>59.48299999999998</v>
      </c>
      <c r="Y653" s="38" t="n">
        <v>47.912</v>
      </c>
      <c r="Z653" s="38" t="n">
        <v>0</v>
      </c>
      <c r="AA653" s="36" t="n">
        <v>16</v>
      </c>
      <c r="AB653" s="37" t="n">
        <v>0.06106870229007633</v>
      </c>
      <c r="AC653" s="36" t="n">
        <v>6</v>
      </c>
      <c r="AD653" s="37" t="n">
        <v>0.1818181818181818</v>
      </c>
      <c r="AE653" s="36" t="n">
        <v>10</v>
      </c>
      <c r="AF653" s="37" t="n">
        <v>0.04504504504504504</v>
      </c>
      <c r="AG653" s="36" t="n">
        <v>2</v>
      </c>
      <c r="AH653" s="37" t="n">
        <v>0.3333333333333333</v>
      </c>
    </row>
    <row r="654">
      <c r="A654" s="53" t="n">
        <v>45767</v>
      </c>
      <c r="B654" t="inlineStr">
        <is>
          <t>R10_Sumbagteng</t>
        </is>
      </c>
      <c r="C654" t="inlineStr">
        <is>
          <t>NOP BATAM</t>
        </is>
      </c>
      <c r="D654" s="38" t="n">
        <v>2.208</v>
      </c>
      <c r="E654" s="38" t="n">
        <v>5.089000000000004</v>
      </c>
      <c r="F654" s="36" t="n">
        <v>6.39</v>
      </c>
      <c r="G654" s="36" t="n">
        <v>7.245000000000003</v>
      </c>
      <c r="H654" s="36" t="n">
        <v>39</v>
      </c>
      <c r="I654" s="37" t="n">
        <v>0.2689655172413793</v>
      </c>
      <c r="J654" s="36" t="n">
        <v>2</v>
      </c>
      <c r="K654" s="37" t="n">
        <v>0.125</v>
      </c>
      <c r="L654" s="36" t="n">
        <v>37</v>
      </c>
      <c r="M654" s="37" t="n">
        <v>0.2868217054263566</v>
      </c>
      <c r="N654" s="36" t="n">
        <v>2</v>
      </c>
      <c r="O654" s="37" t="n">
        <v>1</v>
      </c>
      <c r="P654" s="36" t="n">
        <v>2</v>
      </c>
      <c r="Q654" s="37" t="n">
        <v>1</v>
      </c>
      <c r="R654" s="36" t="n">
        <v>145</v>
      </c>
      <c r="S654" s="37" t="n">
        <v>1</v>
      </c>
      <c r="T654" s="36" t="n">
        <v>21</v>
      </c>
      <c r="U654" s="37" t="n">
        <v>0.1448275862068966</v>
      </c>
      <c r="V654" s="38" t="n">
        <v>0</v>
      </c>
      <c r="W654" s="38" t="n">
        <v>4.866000000000009</v>
      </c>
      <c r="X654" s="38" t="n">
        <v>46.44600000000009</v>
      </c>
      <c r="Y654" s="38" t="n">
        <v>50.25799999999997</v>
      </c>
      <c r="Z654" s="38" t="n">
        <v>0</v>
      </c>
      <c r="AA654" s="36" t="n">
        <v>23</v>
      </c>
      <c r="AB654" s="37" t="n">
        <v>0.0575</v>
      </c>
      <c r="AC654" s="36" t="n">
        <v>9</v>
      </c>
      <c r="AD654" s="37" t="n">
        <v>0.1304347826086956</v>
      </c>
      <c r="AE654" s="36" t="n">
        <v>14</v>
      </c>
      <c r="AF654" s="37" t="n">
        <v>0.04347826086956522</v>
      </c>
      <c r="AG654" s="36" t="n">
        <v>9</v>
      </c>
      <c r="AH654" s="37" t="n">
        <v>1</v>
      </c>
    </row>
    <row r="655">
      <c r="A655" s="53" t="n">
        <v>45767</v>
      </c>
      <c r="B655" t="inlineStr">
        <is>
          <t>R10_Sumbagteng</t>
        </is>
      </c>
      <c r="C655" t="inlineStr">
        <is>
          <t>NOP BUKITTINGGI</t>
        </is>
      </c>
      <c r="D655" s="38" t="n">
        <v>0</v>
      </c>
      <c r="E655" s="38" t="n">
        <v>2.716</v>
      </c>
      <c r="F655" s="36" t="n">
        <v>3.77</v>
      </c>
      <c r="G655" s="36" t="n">
        <v>4.127000000000001</v>
      </c>
      <c r="H655" s="36" t="n">
        <v>20</v>
      </c>
      <c r="I655" s="37" t="n">
        <v>0.7692307692307693</v>
      </c>
      <c r="J655" s="36" t="n">
        <v>5</v>
      </c>
      <c r="K655" s="37" t="n">
        <v>1</v>
      </c>
      <c r="L655" s="36" t="n">
        <v>15</v>
      </c>
      <c r="M655" s="37" t="n">
        <v>0.7142857142857143</v>
      </c>
      <c r="N655" s="36" t="n">
        <v>3</v>
      </c>
      <c r="O655" s="37" t="n">
        <v>0.6</v>
      </c>
      <c r="P655" s="36" t="n">
        <v>3</v>
      </c>
      <c r="Q655" s="37" t="n">
        <v>0.6</v>
      </c>
      <c r="R655" s="36" t="n">
        <v>26</v>
      </c>
      <c r="S655" s="37" t="n">
        <v>1</v>
      </c>
      <c r="T655" s="36" t="n">
        <v>11</v>
      </c>
      <c r="U655" s="37" t="n">
        <v>0.4230769230769231</v>
      </c>
      <c r="V655" s="38" t="n">
        <v>0</v>
      </c>
      <c r="W655" s="38" t="n">
        <v>4.16</v>
      </c>
      <c r="X655" s="38" t="n">
        <v>8.936</v>
      </c>
      <c r="Y655" s="38" t="n">
        <v>88.61600000000001</v>
      </c>
      <c r="Z655" s="38" t="n">
        <v>0</v>
      </c>
      <c r="AA655" s="36" t="n">
        <v>46</v>
      </c>
      <c r="AB655" s="37" t="n">
        <v>0.4181818181818182</v>
      </c>
      <c r="AC655" s="36" t="n">
        <v>14</v>
      </c>
      <c r="AD655" s="37" t="n">
        <v>0.875</v>
      </c>
      <c r="AE655" s="36" t="n">
        <v>32</v>
      </c>
      <c r="AF655" s="37" t="n">
        <v>0.3478260869565217</v>
      </c>
      <c r="AG655" s="36" t="n">
        <v>9</v>
      </c>
      <c r="AH655" s="37" t="n">
        <v>0.6428571428571429</v>
      </c>
    </row>
    <row r="656">
      <c r="A656" s="53" t="n">
        <v>45767</v>
      </c>
      <c r="B656" t="inlineStr">
        <is>
          <t>R10_Sumbagteng</t>
        </is>
      </c>
      <c r="C656" t="inlineStr">
        <is>
          <t>NOP DUMAI</t>
        </is>
      </c>
      <c r="D656" s="38" t="n">
        <v>2.298</v>
      </c>
      <c r="E656" s="38" t="n">
        <v>2.652000000000001</v>
      </c>
      <c r="F656" s="36" t="n">
        <v>4.19</v>
      </c>
      <c r="G656" s="36" t="n">
        <v>8.294000000000002</v>
      </c>
      <c r="H656" s="36" t="n">
        <v>44</v>
      </c>
      <c r="I656" s="37" t="n">
        <v>0.34375</v>
      </c>
      <c r="J656" s="36" t="n">
        <v>15</v>
      </c>
      <c r="K656" s="37" t="n">
        <v>0.4838709677419355</v>
      </c>
      <c r="L656" s="36" t="n">
        <v>29</v>
      </c>
      <c r="M656" s="37" t="n">
        <v>0.2989690721649484</v>
      </c>
      <c r="N656" s="36" t="n">
        <v>12</v>
      </c>
      <c r="O656" s="37" t="n">
        <v>0.8</v>
      </c>
      <c r="P656" s="36" t="n">
        <v>12</v>
      </c>
      <c r="Q656" s="37" t="n">
        <v>0.8</v>
      </c>
      <c r="R656" s="36" t="n">
        <v>127</v>
      </c>
      <c r="S656" s="37" t="n">
        <v>0.9921875</v>
      </c>
      <c r="T656" s="36" t="n">
        <v>31</v>
      </c>
      <c r="U656" s="37" t="n">
        <v>0.2421875</v>
      </c>
      <c r="V656" s="38" t="n">
        <v>0.01</v>
      </c>
      <c r="W656" s="38" t="n">
        <v>3.871</v>
      </c>
      <c r="X656" s="38" t="n">
        <v>83.19699999999993</v>
      </c>
      <c r="Y656" s="38" t="n">
        <v>132.19</v>
      </c>
      <c r="Z656" s="38" t="n">
        <v>0</v>
      </c>
      <c r="AA656" s="36" t="n">
        <v>101</v>
      </c>
      <c r="AB656" s="37" t="n">
        <v>0.3366666666666667</v>
      </c>
      <c r="AC656" s="36" t="n">
        <v>37</v>
      </c>
      <c r="AD656" s="37" t="n">
        <v>0.5211267605633803</v>
      </c>
      <c r="AE656" s="36" t="n">
        <v>64</v>
      </c>
      <c r="AF656" s="37" t="n">
        <v>0.2895927601809955</v>
      </c>
      <c r="AG656" s="36" t="n">
        <v>33</v>
      </c>
      <c r="AH656" s="37" t="n">
        <v>0.8918918918918919</v>
      </c>
    </row>
    <row r="657">
      <c r="A657" s="53" t="n">
        <v>45767</v>
      </c>
      <c r="B657" t="inlineStr">
        <is>
          <t>R10_Sumbagteng</t>
        </is>
      </c>
      <c r="C657" t="inlineStr">
        <is>
          <t>NOP PADANG</t>
        </is>
      </c>
      <c r="D657" s="38" t="n">
        <v>0</v>
      </c>
      <c r="E657" s="38" t="n">
        <v>0.4</v>
      </c>
      <c r="F657" s="36" t="n">
        <v>2.974999999999999</v>
      </c>
      <c r="G657" s="36" t="n">
        <v>2.5</v>
      </c>
      <c r="H657" s="36" t="n">
        <v>29</v>
      </c>
      <c r="I657" s="37" t="n">
        <v>0.6041666666666666</v>
      </c>
      <c r="J657" s="36" t="n">
        <v>1</v>
      </c>
      <c r="K657" s="37" t="n">
        <v>1</v>
      </c>
      <c r="L657" s="36" t="n">
        <v>28</v>
      </c>
      <c r="M657" s="37" t="n">
        <v>0.5957446808510638</v>
      </c>
      <c r="N657" s="36" t="n">
        <v>0</v>
      </c>
      <c r="O657" s="37" t="n">
        <v>0</v>
      </c>
      <c r="P657" s="36" t="n">
        <v>0</v>
      </c>
      <c r="Q657" s="37" t="n">
        <v>0</v>
      </c>
      <c r="R657" s="36" t="n">
        <v>48</v>
      </c>
      <c r="S657" s="37" t="n">
        <v>1</v>
      </c>
      <c r="T657" s="36" t="n">
        <v>12</v>
      </c>
      <c r="U657" s="37" t="n">
        <v>0.25</v>
      </c>
      <c r="V657" s="38" t="n">
        <v>0</v>
      </c>
      <c r="W657" s="38" t="n">
        <v>2.614</v>
      </c>
      <c r="X657" s="38" t="n">
        <v>70.425</v>
      </c>
      <c r="Y657" s="38" t="n">
        <v>46.74999999999999</v>
      </c>
      <c r="Z657" s="38" t="n">
        <v>0</v>
      </c>
      <c r="AA657" s="36" t="n">
        <v>115</v>
      </c>
      <c r="AB657" s="37" t="n">
        <v>0.7666666666666667</v>
      </c>
      <c r="AC657" s="36" t="n">
        <v>26</v>
      </c>
      <c r="AD657" s="37" t="n">
        <v>0.6666666666666666</v>
      </c>
      <c r="AE657" s="36" t="n">
        <v>88</v>
      </c>
      <c r="AF657" s="37" t="n">
        <v>0.8148148148148148</v>
      </c>
      <c r="AG657" s="36" t="n">
        <v>13</v>
      </c>
      <c r="AH657" s="37" t="n">
        <v>0.5</v>
      </c>
    </row>
    <row r="658">
      <c r="A658" s="53" t="n">
        <v>45767</v>
      </c>
      <c r="B658" t="inlineStr">
        <is>
          <t>R10_Sumbagteng</t>
        </is>
      </c>
      <c r="C658" t="inlineStr">
        <is>
          <t>NOP PEKANBARU</t>
        </is>
      </c>
      <c r="D658" s="38" t="n">
        <v>0.626</v>
      </c>
      <c r="E658" s="38" t="n">
        <v>6.455</v>
      </c>
      <c r="F658" s="36" t="n">
        <v>3.266</v>
      </c>
      <c r="G658" s="36" t="n">
        <v>3.14</v>
      </c>
      <c r="H658" s="36" t="n">
        <v>49</v>
      </c>
      <c r="I658" s="37" t="n">
        <v>0.3769230769230769</v>
      </c>
      <c r="J658" s="36" t="n">
        <v>8</v>
      </c>
      <c r="K658" s="37" t="n">
        <v>0.4444444444444444</v>
      </c>
      <c r="L658" s="36" t="n">
        <v>41</v>
      </c>
      <c r="M658" s="37" t="n">
        <v>0.3660714285714285</v>
      </c>
      <c r="N658" s="36" t="n">
        <v>6</v>
      </c>
      <c r="O658" s="37" t="n">
        <v>0.75</v>
      </c>
      <c r="P658" s="36" t="n">
        <v>6</v>
      </c>
      <c r="Q658" s="37" t="n">
        <v>0.75</v>
      </c>
      <c r="R658" s="36" t="n">
        <v>130</v>
      </c>
      <c r="S658" s="37" t="n">
        <v>1</v>
      </c>
      <c r="T658" s="36" t="n">
        <v>24</v>
      </c>
      <c r="U658" s="37" t="n">
        <v>0.1846153846153846</v>
      </c>
      <c r="V658" s="38" t="n">
        <v>0</v>
      </c>
      <c r="W658" s="38" t="n">
        <v>3.548000000000003</v>
      </c>
      <c r="X658" s="38" t="n">
        <v>47.078</v>
      </c>
      <c r="Y658" s="38" t="n">
        <v>50.29200000000002</v>
      </c>
      <c r="Z658" s="38" t="n">
        <v>0</v>
      </c>
      <c r="AA658" s="36" t="n">
        <v>64</v>
      </c>
      <c r="AB658" s="37" t="n">
        <v>0.248062015503876</v>
      </c>
      <c r="AC658" s="36" t="n">
        <v>14</v>
      </c>
      <c r="AD658" s="37" t="n">
        <v>0.1707317073170732</v>
      </c>
      <c r="AE658" s="36" t="n">
        <v>46</v>
      </c>
      <c r="AF658" s="37" t="n">
        <v>0.2929936305732484</v>
      </c>
      <c r="AG658" s="36" t="n">
        <v>14</v>
      </c>
      <c r="AH658" s="37" t="n">
        <v>1</v>
      </c>
    </row>
    <row r="659">
      <c r="A659" s="53" t="n">
        <v>45767</v>
      </c>
      <c r="B659" t="inlineStr">
        <is>
          <t>R02_Sumbagsel</t>
        </is>
      </c>
      <c r="C659" t="inlineStr">
        <is>
          <t>NOP BENGKULU</t>
        </is>
      </c>
      <c r="D659" s="38" t="n">
        <v>1.54</v>
      </c>
      <c r="E659" s="38" t="n">
        <v>4.52</v>
      </c>
      <c r="F659" s="36" t="n">
        <v>5.42</v>
      </c>
      <c r="G659" s="36" t="n">
        <v>3.85</v>
      </c>
      <c r="H659" s="36" t="n">
        <v>31</v>
      </c>
      <c r="I659" s="37" t="n">
        <v>0.4366197183098591</v>
      </c>
      <c r="J659" s="36" t="n">
        <v>13</v>
      </c>
      <c r="K659" s="37" t="n">
        <v>0.5652173913043478</v>
      </c>
      <c r="L659" s="36" t="n">
        <v>18</v>
      </c>
      <c r="M659" s="37" t="n">
        <v>0.375</v>
      </c>
      <c r="N659" s="36" t="n">
        <v>8</v>
      </c>
      <c r="O659" s="37" t="n">
        <v>0.6153846153846154</v>
      </c>
      <c r="P659" s="36" t="n">
        <v>8</v>
      </c>
      <c r="Q659" s="37" t="n">
        <v>0.6153846153846154</v>
      </c>
      <c r="R659" s="36" t="n">
        <v>71</v>
      </c>
      <c r="S659" s="37" t="n">
        <v>1</v>
      </c>
      <c r="T659" s="36" t="n">
        <v>15</v>
      </c>
      <c r="U659" s="37" t="n">
        <v>0.2112676056338028</v>
      </c>
      <c r="V659" s="38" t="n">
        <v>0</v>
      </c>
      <c r="W659" s="38" t="n">
        <v>12.52600000000001</v>
      </c>
      <c r="X659" s="38" t="n">
        <v>6.093999999999999</v>
      </c>
      <c r="Y659" s="38" t="n">
        <v>9.033000000000003</v>
      </c>
      <c r="Z659" s="38" t="n">
        <v>0</v>
      </c>
      <c r="AA659" s="36" t="n">
        <v>72</v>
      </c>
      <c r="AB659" s="37" t="n">
        <v>0.4556962025316456</v>
      </c>
      <c r="AC659" s="36" t="n">
        <v>50</v>
      </c>
      <c r="AD659" s="37" t="n">
        <v>0.4385964912280702</v>
      </c>
      <c r="AE659" s="36" t="n">
        <v>21</v>
      </c>
      <c r="AF659" s="37" t="n">
        <v>0.5526315789473685</v>
      </c>
      <c r="AG659" s="36" t="n">
        <v>46</v>
      </c>
      <c r="AH659" s="37" t="n">
        <v>0.92</v>
      </c>
    </row>
    <row r="660">
      <c r="A660" s="53" t="n">
        <v>45767</v>
      </c>
      <c r="B660" t="inlineStr">
        <is>
          <t>R02_Sumbagsel</t>
        </is>
      </c>
      <c r="C660" t="inlineStr">
        <is>
          <t>NOP JAMBI</t>
        </is>
      </c>
      <c r="D660" s="38" t="n">
        <v>3.37</v>
      </c>
      <c r="E660" s="38" t="n">
        <v>12.074</v>
      </c>
      <c r="F660" s="36" t="n">
        <v>4.04</v>
      </c>
      <c r="G660" s="36" t="n">
        <v>13.19</v>
      </c>
      <c r="H660" s="36" t="n">
        <v>66</v>
      </c>
      <c r="I660" s="37" t="n">
        <v>0.5641025641025641</v>
      </c>
      <c r="J660" s="36" t="n">
        <v>24</v>
      </c>
      <c r="K660" s="37" t="n">
        <v>0.6666666666666666</v>
      </c>
      <c r="L660" s="36" t="n">
        <v>42</v>
      </c>
      <c r="M660" s="37" t="n">
        <v>0.5185185185185185</v>
      </c>
      <c r="N660" s="36" t="n">
        <v>20</v>
      </c>
      <c r="O660" s="37" t="n">
        <v>0.8333333333333334</v>
      </c>
      <c r="P660" s="36" t="n">
        <v>20</v>
      </c>
      <c r="Q660" s="37" t="n">
        <v>0.8333333333333334</v>
      </c>
      <c r="R660" s="36" t="n">
        <v>117</v>
      </c>
      <c r="S660" s="37" t="n">
        <v>1</v>
      </c>
      <c r="T660" s="36" t="n">
        <v>37</v>
      </c>
      <c r="U660" s="37" t="n">
        <v>0.3162393162393162</v>
      </c>
      <c r="V660" s="38" t="n">
        <v>0</v>
      </c>
      <c r="W660" s="38" t="n">
        <v>7.788</v>
      </c>
      <c r="X660" s="38" t="n">
        <v>31.88399999999998</v>
      </c>
      <c r="Y660" s="38" t="n">
        <v>8.41</v>
      </c>
      <c r="Z660" s="38" t="n">
        <v>0</v>
      </c>
      <c r="AA660" s="36" t="n">
        <v>122</v>
      </c>
      <c r="AB660" s="37" t="n">
        <v>0.5350877192982456</v>
      </c>
      <c r="AC660" s="36" t="n">
        <v>59</v>
      </c>
      <c r="AD660" s="37" t="n">
        <v>0.5267857142857143</v>
      </c>
      <c r="AE660" s="36" t="n">
        <v>47</v>
      </c>
      <c r="AF660" s="37" t="n">
        <v>0.6351351351351351</v>
      </c>
      <c r="AG660" s="36" t="n">
        <v>42</v>
      </c>
      <c r="AH660" s="37" t="n">
        <v>0.711864406779661</v>
      </c>
    </row>
    <row r="661">
      <c r="A661" s="53" t="n">
        <v>45767</v>
      </c>
      <c r="B661" t="inlineStr">
        <is>
          <t>R02_Sumbagsel</t>
        </is>
      </c>
      <c r="C661" t="inlineStr">
        <is>
          <t>NOP LAMPUNG</t>
        </is>
      </c>
      <c r="D661" s="38" t="n">
        <v>0</v>
      </c>
      <c r="E661" s="38" t="n">
        <v>4.689</v>
      </c>
      <c r="F661" s="36" t="n">
        <v>5.59</v>
      </c>
      <c r="G661" s="36" t="n">
        <v>8.640000000000008</v>
      </c>
      <c r="H661" s="36" t="n">
        <v>46</v>
      </c>
      <c r="I661" s="37" t="n">
        <v>0.5411764705882353</v>
      </c>
      <c r="J661" s="36" t="n">
        <v>27</v>
      </c>
      <c r="K661" s="37" t="n">
        <v>0.84375</v>
      </c>
      <c r="L661" s="36" t="n">
        <v>19</v>
      </c>
      <c r="M661" s="37" t="n">
        <v>0.3584905660377358</v>
      </c>
      <c r="N661" s="36" t="n">
        <v>19</v>
      </c>
      <c r="O661" s="37" t="n">
        <v>0.7037037037037037</v>
      </c>
      <c r="P661" s="36" t="n">
        <v>19</v>
      </c>
      <c r="Q661" s="37" t="n">
        <v>0.7037037037037037</v>
      </c>
      <c r="R661" s="36" t="n">
        <v>85</v>
      </c>
      <c r="S661" s="37" t="n">
        <v>1</v>
      </c>
      <c r="T661" s="36" t="n">
        <v>31</v>
      </c>
      <c r="U661" s="37" t="n">
        <v>0.3647058823529412</v>
      </c>
      <c r="V661" s="38" t="n">
        <v>0</v>
      </c>
      <c r="W661" s="38" t="n">
        <v>5.427999999999999</v>
      </c>
      <c r="X661" s="38" t="n">
        <v>7.180000000000001</v>
      </c>
      <c r="Y661" s="38" t="n">
        <v>19.13599999999999</v>
      </c>
      <c r="Z661" s="38" t="n">
        <v>0</v>
      </c>
      <c r="AA661" s="36" t="n">
        <v>145</v>
      </c>
      <c r="AB661" s="37" t="n">
        <v>0.8895705521472392</v>
      </c>
      <c r="AC661" s="36" t="n">
        <v>48</v>
      </c>
      <c r="AD661" s="37" t="n">
        <v>0.8421052631578947</v>
      </c>
      <c r="AE661" s="36" t="n">
        <v>95</v>
      </c>
      <c r="AF661" s="37" t="n">
        <v>0.9313725490196079</v>
      </c>
      <c r="AG661" s="36" t="n">
        <v>41</v>
      </c>
      <c r="AH661" s="37" t="n">
        <v>0.8541666666666666</v>
      </c>
    </row>
    <row r="662">
      <c r="A662" s="53" t="n">
        <v>45767</v>
      </c>
      <c r="B662" t="inlineStr">
        <is>
          <t>R02_Sumbagsel</t>
        </is>
      </c>
      <c r="C662" t="inlineStr">
        <is>
          <t>NOP MUARA ENIM</t>
        </is>
      </c>
      <c r="D662" s="38" t="n">
        <v>2.492</v>
      </c>
      <c r="E662" s="38" t="n">
        <v>2.09</v>
      </c>
      <c r="F662" s="36" t="n">
        <v>2.618</v>
      </c>
      <c r="G662" s="36" t="n">
        <v>4.373000000000003</v>
      </c>
      <c r="H662" s="36" t="n">
        <v>50</v>
      </c>
      <c r="I662" s="37" t="n">
        <v>0.4032258064516129</v>
      </c>
      <c r="J662" s="36" t="n">
        <v>10</v>
      </c>
      <c r="K662" s="37" t="n">
        <v>0.5263157894736842</v>
      </c>
      <c r="L662" s="36" t="n">
        <v>40</v>
      </c>
      <c r="M662" s="37" t="n">
        <v>0.3809523809523809</v>
      </c>
      <c r="N662" s="36" t="n">
        <v>9</v>
      </c>
      <c r="O662" s="37" t="n">
        <v>0.9</v>
      </c>
      <c r="P662" s="36" t="n">
        <v>9</v>
      </c>
      <c r="Q662" s="37" t="n">
        <v>0.9</v>
      </c>
      <c r="R662" s="36" t="n">
        <v>122</v>
      </c>
      <c r="S662" s="37" t="n">
        <v>0.9838709677419355</v>
      </c>
      <c r="T662" s="36" t="n">
        <v>26</v>
      </c>
      <c r="U662" s="37" t="n">
        <v>0.2096774193548387</v>
      </c>
      <c r="V662" s="38" t="n">
        <v>0</v>
      </c>
      <c r="W662" s="38" t="n">
        <v>3.98</v>
      </c>
      <c r="X662" s="38" t="n">
        <v>4.86</v>
      </c>
      <c r="Y662" s="38" t="n">
        <v>10.012</v>
      </c>
      <c r="Z662" s="38" t="n">
        <v>0</v>
      </c>
      <c r="AA662" s="36" t="n">
        <v>69</v>
      </c>
      <c r="AB662" s="37" t="n">
        <v>0.4233128834355828</v>
      </c>
      <c r="AC662" s="36" t="n">
        <v>37</v>
      </c>
      <c r="AD662" s="37" t="n">
        <v>0.5211267605633803</v>
      </c>
      <c r="AE662" s="36" t="n">
        <v>30</v>
      </c>
      <c r="AF662" s="37" t="n">
        <v>0.46875</v>
      </c>
      <c r="AG662" s="36" t="n">
        <v>31</v>
      </c>
      <c r="AH662" s="37" t="n">
        <v>0.8378378378378378</v>
      </c>
    </row>
    <row r="663">
      <c r="A663" s="53" t="n">
        <v>45767</v>
      </c>
      <c r="B663" t="inlineStr">
        <is>
          <t>R02_Sumbagsel</t>
        </is>
      </c>
      <c r="C663" t="inlineStr">
        <is>
          <t>NOP PALEMBANG</t>
        </is>
      </c>
      <c r="D663" s="38" t="n">
        <v>2.52</v>
      </c>
      <c r="E663" s="38" t="n">
        <v>2.136</v>
      </c>
      <c r="F663" s="36" t="n">
        <v>6.420000000000007</v>
      </c>
      <c r="G663" s="36" t="n">
        <v>3.63</v>
      </c>
      <c r="H663" s="36" t="n">
        <v>37</v>
      </c>
      <c r="I663" s="37" t="n">
        <v>0.3894736842105263</v>
      </c>
      <c r="J663" s="36" t="n">
        <v>2</v>
      </c>
      <c r="K663" s="37" t="n">
        <v>0.2222222222222222</v>
      </c>
      <c r="L663" s="36" t="n">
        <v>35</v>
      </c>
      <c r="M663" s="37" t="n">
        <v>0.4069767441860465</v>
      </c>
      <c r="N663" s="36" t="n">
        <v>1</v>
      </c>
      <c r="O663" s="37" t="n">
        <v>0.5</v>
      </c>
      <c r="P663" s="36" t="n">
        <v>1</v>
      </c>
      <c r="Q663" s="37" t="n">
        <v>0.5</v>
      </c>
      <c r="R663" s="36" t="n">
        <v>95</v>
      </c>
      <c r="S663" s="37" t="n">
        <v>1</v>
      </c>
      <c r="T663" s="36" t="n">
        <v>18</v>
      </c>
      <c r="U663" s="37" t="n">
        <v>0.1894736842105263</v>
      </c>
      <c r="V663" s="38" t="n">
        <v>0</v>
      </c>
      <c r="W663" s="38" t="n">
        <v>4.582000000000004</v>
      </c>
      <c r="X663" s="38" t="n">
        <v>23.57</v>
      </c>
      <c r="Y663" s="38" t="n">
        <v>4.120000000000003</v>
      </c>
      <c r="Z663" s="38" t="n">
        <v>0</v>
      </c>
      <c r="AA663" s="36" t="n">
        <v>38</v>
      </c>
      <c r="AB663" s="37" t="n">
        <v>0.2638888888888889</v>
      </c>
      <c r="AC663" s="36" t="n">
        <v>18</v>
      </c>
      <c r="AD663" s="37" t="n">
        <v>0.2195121951219512</v>
      </c>
      <c r="AE663" s="36" t="n">
        <v>18</v>
      </c>
      <c r="AF663" s="37" t="n">
        <v>0.45</v>
      </c>
      <c r="AG663" s="36" t="n">
        <v>7</v>
      </c>
      <c r="AH663" s="37" t="n">
        <v>0.3888888888888889</v>
      </c>
    </row>
    <row r="664">
      <c r="A664" s="53" t="n">
        <v>45767</v>
      </c>
      <c r="B664" t="inlineStr">
        <is>
          <t>R02_Sumbagsel</t>
        </is>
      </c>
      <c r="C664" t="inlineStr">
        <is>
          <t>NOP PANGKAL PINANG</t>
        </is>
      </c>
      <c r="D664" s="38" t="n">
        <v>0</v>
      </c>
      <c r="E664" s="38" t="n">
        <v>0</v>
      </c>
      <c r="F664" s="36" t="n">
        <v>2.17</v>
      </c>
      <c r="G664" s="36" t="n">
        <v>3.886</v>
      </c>
      <c r="H664" s="36" t="n">
        <v>9</v>
      </c>
      <c r="I664" s="37" t="n">
        <v>0.6923076923076923</v>
      </c>
      <c r="J664" s="36" t="n">
        <v>0</v>
      </c>
      <c r="K664" s="37" t="n">
        <v>0</v>
      </c>
      <c r="L664" s="36" t="n">
        <v>9</v>
      </c>
      <c r="M664" s="37" t="n">
        <v>0.6923076923076923</v>
      </c>
      <c r="N664" s="36" t="n">
        <v>0</v>
      </c>
      <c r="O664" s="37" t="n">
        <v>0</v>
      </c>
      <c r="P664" s="36" t="n">
        <v>0</v>
      </c>
      <c r="Q664" s="37" t="n">
        <v>0</v>
      </c>
      <c r="R664" s="36" t="n">
        <v>13</v>
      </c>
      <c r="S664" s="37" t="n">
        <v>1</v>
      </c>
      <c r="T664" s="36" t="n">
        <v>8</v>
      </c>
      <c r="U664" s="37" t="n">
        <v>0.6153846153846154</v>
      </c>
      <c r="V664" s="38" t="n">
        <v>0</v>
      </c>
      <c r="W664" s="38" t="n">
        <v>11.61600000000001</v>
      </c>
      <c r="X664" s="38" t="n">
        <v>6.590000000000001</v>
      </c>
      <c r="Y664" s="38" t="n">
        <v>3.948</v>
      </c>
      <c r="Z664" s="38" t="n">
        <v>0</v>
      </c>
      <c r="AA664" s="36" t="n">
        <v>38</v>
      </c>
      <c r="AB664" s="37" t="n">
        <v>0.8085106382978723</v>
      </c>
      <c r="AC664" s="36" t="n">
        <v>9</v>
      </c>
      <c r="AD664" s="37" t="n">
        <v>1</v>
      </c>
      <c r="AE664" s="36" t="n">
        <v>28</v>
      </c>
      <c r="AF664" s="37" t="n">
        <v>0.7777777777777778</v>
      </c>
      <c r="AG664" s="36" t="n">
        <v>5</v>
      </c>
      <c r="AH664" s="37" t="n">
        <v>0.5555555555555556</v>
      </c>
    </row>
    <row r="665">
      <c r="A665" s="53" t="n">
        <v>45767</v>
      </c>
      <c r="B665" t="inlineStr">
        <is>
          <t>R05_Jawa Tengah DIY</t>
        </is>
      </c>
      <c r="C665" t="inlineStr">
        <is>
          <t>NOP MAGELANG</t>
        </is>
      </c>
      <c r="D665" s="38" t="n">
        <v>4.425</v>
      </c>
      <c r="E665" s="38" t="n">
        <v>0</v>
      </c>
      <c r="F665" s="36" t="n">
        <v>0.91</v>
      </c>
      <c r="G665" s="36" t="n">
        <v>8.718</v>
      </c>
      <c r="H665" s="36" t="n">
        <v>20</v>
      </c>
      <c r="I665" s="37" t="n">
        <v>0.8333333333333334</v>
      </c>
      <c r="J665" s="36" t="n">
        <v>6</v>
      </c>
      <c r="K665" s="37" t="n">
        <v>1</v>
      </c>
      <c r="L665" s="36" t="n">
        <v>14</v>
      </c>
      <c r="M665" s="37" t="n">
        <v>0.7777777777777778</v>
      </c>
      <c r="N665" s="36" t="n">
        <v>6</v>
      </c>
      <c r="O665" s="37" t="n">
        <v>1</v>
      </c>
      <c r="P665" s="36" t="n">
        <v>6</v>
      </c>
      <c r="Q665" s="37" t="n">
        <v>1</v>
      </c>
      <c r="R665" s="36" t="n">
        <v>24</v>
      </c>
      <c r="S665" s="37" t="n">
        <v>1</v>
      </c>
      <c r="T665" s="36" t="n">
        <v>17</v>
      </c>
      <c r="U665" s="37" t="n">
        <v>0.7083333333333334</v>
      </c>
      <c r="V665" s="38" t="n">
        <v>0</v>
      </c>
      <c r="W665" s="38" t="n">
        <v>4.518</v>
      </c>
      <c r="X665" s="38" t="n">
        <v>6.929000000000006</v>
      </c>
      <c r="Y665" s="38" t="n">
        <v>10.48</v>
      </c>
      <c r="Z665" s="38" t="n">
        <v>0</v>
      </c>
      <c r="AA665" s="36" t="n">
        <v>48</v>
      </c>
      <c r="AB665" s="37" t="n">
        <v>0.9056603773584906</v>
      </c>
      <c r="AC665" s="36" t="n">
        <v>5</v>
      </c>
      <c r="AD665" s="37" t="n">
        <v>1</v>
      </c>
      <c r="AE665" s="36" t="n">
        <v>43</v>
      </c>
      <c r="AF665" s="37" t="n">
        <v>0.8958333333333334</v>
      </c>
      <c r="AG665" s="36" t="n">
        <v>5</v>
      </c>
      <c r="AH665" s="37" t="n">
        <v>1</v>
      </c>
    </row>
    <row r="666">
      <c r="A666" s="53" t="n">
        <v>45767</v>
      </c>
      <c r="B666" t="inlineStr">
        <is>
          <t>R05_Jawa Tengah DIY</t>
        </is>
      </c>
      <c r="C666" t="inlineStr">
        <is>
          <t>NOP PEKALONGAN</t>
        </is>
      </c>
      <c r="D666" s="38" t="n">
        <v>3.14</v>
      </c>
      <c r="E666" s="38" t="n">
        <v>0</v>
      </c>
      <c r="F666" s="36" t="n">
        <v>1.481</v>
      </c>
      <c r="G666" s="36" t="n">
        <v>2.9</v>
      </c>
      <c r="H666" s="36" t="n">
        <v>9</v>
      </c>
      <c r="I666" s="37" t="n">
        <v>0.8181818181818182</v>
      </c>
      <c r="J666" s="36" t="n">
        <v>1</v>
      </c>
      <c r="K666" s="37" t="n">
        <v>1</v>
      </c>
      <c r="L666" s="36" t="n">
        <v>8</v>
      </c>
      <c r="M666" s="37" t="n">
        <v>0.8</v>
      </c>
      <c r="N666" s="36" t="n">
        <v>1</v>
      </c>
      <c r="O666" s="37" t="n">
        <v>1</v>
      </c>
      <c r="P666" s="36" t="n">
        <v>1</v>
      </c>
      <c r="Q666" s="37" t="n">
        <v>1</v>
      </c>
      <c r="R666" s="36" t="n">
        <v>11</v>
      </c>
      <c r="S666" s="37" t="n">
        <v>1</v>
      </c>
      <c r="T666" s="36" t="n">
        <v>7</v>
      </c>
      <c r="U666" s="37" t="n">
        <v>0.6363636363636364</v>
      </c>
      <c r="V666" s="38" t="n">
        <v>0</v>
      </c>
      <c r="W666" s="38" t="n">
        <v>1.868</v>
      </c>
      <c r="X666" s="38" t="n">
        <v>4.488000000000001</v>
      </c>
      <c r="Y666" s="38" t="n">
        <v>26.23</v>
      </c>
      <c r="Z666" s="38" t="n">
        <v>0</v>
      </c>
      <c r="AA666" s="36" t="n">
        <v>21</v>
      </c>
      <c r="AB666" s="37" t="n">
        <v>0.8076923076923077</v>
      </c>
      <c r="AC666" s="36" t="n">
        <v>3</v>
      </c>
      <c r="AD666" s="37" t="n">
        <v>0.75</v>
      </c>
      <c r="AE666" s="36" t="n">
        <v>18</v>
      </c>
      <c r="AF666" s="37" t="n">
        <v>0.8181818181818182</v>
      </c>
      <c r="AG666" s="36" t="n">
        <v>2</v>
      </c>
      <c r="AH666" s="37" t="n">
        <v>0.6666666666666666</v>
      </c>
    </row>
    <row r="667">
      <c r="A667" s="53" t="n">
        <v>45767</v>
      </c>
      <c r="B667" t="inlineStr">
        <is>
          <t>R05_Jawa Tengah DIY</t>
        </is>
      </c>
      <c r="C667" t="inlineStr">
        <is>
          <t>NOP PURWOKERTO</t>
        </is>
      </c>
      <c r="D667" s="38" t="n">
        <v>0.86</v>
      </c>
      <c r="E667" s="38" t="n">
        <v>0</v>
      </c>
      <c r="F667" s="36" t="n">
        <v>10.58</v>
      </c>
      <c r="G667" s="36" t="n">
        <v>6.624000000000001</v>
      </c>
      <c r="H667" s="36" t="n">
        <v>9</v>
      </c>
      <c r="I667" s="37" t="n">
        <v>0.8181818181818182</v>
      </c>
      <c r="J667" s="36" t="n">
        <v>0</v>
      </c>
      <c r="K667" s="37" t="n">
        <v>0</v>
      </c>
      <c r="L667" s="36" t="n">
        <v>9</v>
      </c>
      <c r="M667" s="37" t="n">
        <v>0.9</v>
      </c>
      <c r="N667" s="36" t="n">
        <v>0</v>
      </c>
      <c r="O667" s="37" t="n">
        <v>0</v>
      </c>
      <c r="P667" s="36" t="n">
        <v>0</v>
      </c>
      <c r="Q667" s="37" t="n">
        <v>0</v>
      </c>
      <c r="R667" s="36" t="n">
        <v>10</v>
      </c>
      <c r="S667" s="37" t="n">
        <v>0.9090909090909091</v>
      </c>
      <c r="T667" s="36" t="n">
        <v>8</v>
      </c>
      <c r="U667" s="37" t="n">
        <v>0.7272727272727273</v>
      </c>
      <c r="V667" s="38" t="n">
        <v>0</v>
      </c>
      <c r="W667" s="38" t="n">
        <v>3.828</v>
      </c>
      <c r="X667" s="38" t="n">
        <v>12.398</v>
      </c>
      <c r="Y667" s="38" t="n">
        <v>32.215</v>
      </c>
      <c r="Z667" s="38" t="n">
        <v>0</v>
      </c>
      <c r="AA667" s="36" t="n">
        <v>11</v>
      </c>
      <c r="AB667" s="37" t="n">
        <v>0.6111111111111112</v>
      </c>
      <c r="AC667" s="36" t="n">
        <v>1</v>
      </c>
      <c r="AD667" s="37" t="n">
        <v>0.3333333333333333</v>
      </c>
      <c r="AE667" s="36" t="n">
        <v>10</v>
      </c>
      <c r="AF667" s="37" t="n">
        <v>0.6666666666666666</v>
      </c>
      <c r="AG667" s="36" t="n">
        <v>1</v>
      </c>
      <c r="AH667" s="37" t="n">
        <v>1</v>
      </c>
    </row>
    <row r="668">
      <c r="A668" s="53" t="n">
        <v>45767</v>
      </c>
      <c r="B668" t="inlineStr">
        <is>
          <t>R05_Jawa Tengah DIY</t>
        </is>
      </c>
      <c r="C668" t="inlineStr">
        <is>
          <t>NOP SEMARANG</t>
        </is>
      </c>
      <c r="D668" s="38" t="n">
        <v>0.8280000000000001</v>
      </c>
      <c r="E668" s="38" t="n">
        <v>0</v>
      </c>
      <c r="F668" s="36" t="n">
        <v>1.632</v>
      </c>
      <c r="G668" s="36" t="n">
        <v>4.28</v>
      </c>
      <c r="H668" s="36" t="n">
        <v>5</v>
      </c>
      <c r="I668" s="37" t="n">
        <v>0.1785714285714286</v>
      </c>
      <c r="J668" s="36" t="n">
        <v>1</v>
      </c>
      <c r="K668" s="37" t="n">
        <v>0.3333333333333333</v>
      </c>
      <c r="L668" s="36" t="n">
        <v>4</v>
      </c>
      <c r="M668" s="37" t="n">
        <v>0.16</v>
      </c>
      <c r="N668" s="36" t="n">
        <v>1</v>
      </c>
      <c r="O668" s="37" t="n">
        <v>1</v>
      </c>
      <c r="P668" s="36" t="n">
        <v>1</v>
      </c>
      <c r="Q668" s="37" t="n">
        <v>1</v>
      </c>
      <c r="R668" s="36" t="n">
        <v>26</v>
      </c>
      <c r="S668" s="37" t="n">
        <v>0.9285714285714286</v>
      </c>
      <c r="T668" s="36" t="n">
        <v>4</v>
      </c>
      <c r="U668" s="37" t="n">
        <v>0.1428571428571428</v>
      </c>
      <c r="V668" s="38" t="n">
        <v>0</v>
      </c>
      <c r="W668" s="38" t="n">
        <v>2.374</v>
      </c>
      <c r="X668" s="38" t="n">
        <v>9.433999999999996</v>
      </c>
      <c r="Y668" s="38" t="n">
        <v>28.538</v>
      </c>
      <c r="Z668" s="38" t="n">
        <v>0</v>
      </c>
      <c r="AA668" s="36" t="n">
        <v>30</v>
      </c>
      <c r="AB668" s="37" t="n">
        <v>0.7317073170731707</v>
      </c>
      <c r="AC668" s="36" t="n">
        <v>2</v>
      </c>
      <c r="AD668" s="37" t="n">
        <v>0.2857142857142857</v>
      </c>
      <c r="AE668" s="36" t="n">
        <v>28</v>
      </c>
      <c r="AF668" s="37" t="n">
        <v>0.8235294117647058</v>
      </c>
      <c r="AG668" s="36" t="n">
        <v>2</v>
      </c>
      <c r="AH668" s="37" t="n">
        <v>1</v>
      </c>
    </row>
    <row r="669">
      <c r="A669" s="53" t="n">
        <v>45767</v>
      </c>
      <c r="B669" t="inlineStr">
        <is>
          <t>R05_Jawa Tengah DIY</t>
        </is>
      </c>
      <c r="C669" t="inlineStr">
        <is>
          <t>NOP SURAKARTA</t>
        </is>
      </c>
      <c r="D669" s="38" t="n">
        <v>0.742</v>
      </c>
      <c r="E669" s="38" t="n">
        <v>0</v>
      </c>
      <c r="F669" s="36" t="n">
        <v>2.54</v>
      </c>
      <c r="G669" s="36" t="n">
        <v>2.022</v>
      </c>
      <c r="H669" s="36" t="n">
        <v>15</v>
      </c>
      <c r="I669" s="37" t="n">
        <v>0.8333333333333334</v>
      </c>
      <c r="J669" s="36" t="n">
        <v>0</v>
      </c>
      <c r="K669" s="37" t="n">
        <v>0</v>
      </c>
      <c r="L669" s="36" t="n">
        <v>15</v>
      </c>
      <c r="M669" s="37" t="n">
        <v>0.9375</v>
      </c>
      <c r="N669" s="36" t="n">
        <v>0</v>
      </c>
      <c r="O669" s="37" t="n">
        <v>0</v>
      </c>
      <c r="P669" s="36" t="n">
        <v>0</v>
      </c>
      <c r="Q669" s="37" t="n">
        <v>0</v>
      </c>
      <c r="R669" s="36" t="n">
        <v>16</v>
      </c>
      <c r="S669" s="37" t="n">
        <v>0.8888888888888888</v>
      </c>
      <c r="T669" s="36" t="n">
        <v>9</v>
      </c>
      <c r="U669" s="37" t="n">
        <v>0.5</v>
      </c>
      <c r="V669" s="38" t="n">
        <v>0</v>
      </c>
      <c r="W669" s="38" t="n">
        <v>34.614</v>
      </c>
      <c r="X669" s="38" t="n">
        <v>3.922000000000001</v>
      </c>
      <c r="Y669" s="38" t="n">
        <v>46.34</v>
      </c>
      <c r="Z669" s="38" t="n">
        <v>0</v>
      </c>
      <c r="AA669" s="36" t="n">
        <v>27</v>
      </c>
      <c r="AB669" s="37" t="n">
        <v>0.9</v>
      </c>
      <c r="AC669" s="36" t="n">
        <v>4</v>
      </c>
      <c r="AD669" s="37" t="n">
        <v>0.8</v>
      </c>
      <c r="AE669" s="36" t="n">
        <v>23</v>
      </c>
      <c r="AF669" s="37" t="n">
        <v>0.92</v>
      </c>
      <c r="AG669" s="36" t="n">
        <v>2</v>
      </c>
      <c r="AH669" s="37" t="n">
        <v>0.5</v>
      </c>
    </row>
    <row r="670">
      <c r="A670" s="53" t="n">
        <v>45767</v>
      </c>
      <c r="B670" t="inlineStr">
        <is>
          <t>R05_Jawa Tengah DIY</t>
        </is>
      </c>
      <c r="C670" t="inlineStr">
        <is>
          <t>NOP YOGYAKARTA</t>
        </is>
      </c>
      <c r="D670" s="38" t="n">
        <v>2.116</v>
      </c>
      <c r="E670" s="38" t="n">
        <v>0</v>
      </c>
      <c r="F670" s="36" t="n">
        <v>1.85</v>
      </c>
      <c r="G670" s="36" t="n">
        <v>2.610000000000001</v>
      </c>
      <c r="H670" s="36" t="n">
        <v>13</v>
      </c>
      <c r="I670" s="37" t="n">
        <v>0.4193548387096774</v>
      </c>
      <c r="J670" s="36" t="n">
        <v>3</v>
      </c>
      <c r="K670" s="37" t="n">
        <v>1</v>
      </c>
      <c r="L670" s="36" t="n">
        <v>10</v>
      </c>
      <c r="M670" s="37" t="n">
        <v>0.3571428571428572</v>
      </c>
      <c r="N670" s="36" t="n">
        <v>3</v>
      </c>
      <c r="O670" s="37" t="n">
        <v>1</v>
      </c>
      <c r="P670" s="36" t="n">
        <v>3</v>
      </c>
      <c r="Q670" s="37" t="n">
        <v>1</v>
      </c>
      <c r="R670" s="36" t="n">
        <v>31</v>
      </c>
      <c r="S670" s="37" t="n">
        <v>1</v>
      </c>
      <c r="T670" s="36" t="n">
        <v>11</v>
      </c>
      <c r="U670" s="37" t="n">
        <v>0.3548387096774194</v>
      </c>
      <c r="V670" s="38" t="n">
        <v>0</v>
      </c>
      <c r="W670" s="38" t="n">
        <v>4.521999999999993</v>
      </c>
      <c r="X670" s="38" t="n">
        <v>16.11</v>
      </c>
      <c r="Y670" s="38" t="n">
        <v>30.046</v>
      </c>
      <c r="Z670" s="38" t="n">
        <v>0</v>
      </c>
      <c r="AA670" s="36" t="n">
        <v>36</v>
      </c>
      <c r="AB670" s="37" t="n">
        <v>0.972972972972973</v>
      </c>
      <c r="AC670" s="36" t="n">
        <v>10</v>
      </c>
      <c r="AD670" s="37" t="n">
        <v>1</v>
      </c>
      <c r="AE670" s="36" t="n">
        <v>26</v>
      </c>
      <c r="AF670" s="37" t="n">
        <v>0.9629629629629629</v>
      </c>
      <c r="AG670" s="36" t="n">
        <v>10</v>
      </c>
      <c r="AH670" s="37" t="n">
        <v>1</v>
      </c>
    </row>
    <row r="671">
      <c r="A671" s="53" t="n">
        <v>45767</v>
      </c>
      <c r="B671" t="inlineStr">
        <is>
          <t>R06_Jawa Timur</t>
        </is>
      </c>
      <c r="C671" t="inlineStr">
        <is>
          <t>NOP JEMBER</t>
        </is>
      </c>
      <c r="D671" s="38" t="n">
        <v>0</v>
      </c>
      <c r="E671" s="38" t="n">
        <v>0</v>
      </c>
      <c r="F671" s="36" t="n">
        <v>2.37</v>
      </c>
      <c r="G671" s="36" t="n">
        <v>2.462</v>
      </c>
      <c r="H671" s="36" t="n">
        <v>22</v>
      </c>
      <c r="I671" s="37" t="n">
        <v>0.8148148148148148</v>
      </c>
      <c r="J671" s="36" t="n">
        <v>0</v>
      </c>
      <c r="K671" s="37" t="n">
        <v>0</v>
      </c>
      <c r="L671" s="36" t="n">
        <v>22</v>
      </c>
      <c r="M671" s="37" t="n">
        <v>0.8148148148148148</v>
      </c>
      <c r="N671" s="36" t="n">
        <v>0</v>
      </c>
      <c r="O671" s="37" t="n">
        <v>0</v>
      </c>
      <c r="P671" s="36" t="n">
        <v>0</v>
      </c>
      <c r="Q671" s="37" t="n">
        <v>0</v>
      </c>
      <c r="R671" s="36" t="n">
        <v>27</v>
      </c>
      <c r="S671" s="37" t="n">
        <v>1</v>
      </c>
      <c r="T671" s="36" t="n">
        <v>11</v>
      </c>
      <c r="U671" s="37" t="n">
        <v>0.4074074074074074</v>
      </c>
      <c r="V671" s="38" t="n">
        <v>0</v>
      </c>
      <c r="W671" s="38" t="n">
        <v>2.496</v>
      </c>
      <c r="X671" s="38" t="n">
        <v>2.8</v>
      </c>
      <c r="Y671" s="38" t="n">
        <v>25.07</v>
      </c>
      <c r="Z671" s="38" t="n">
        <v>0</v>
      </c>
      <c r="AA671" s="36" t="n">
        <v>13</v>
      </c>
      <c r="AB671" s="37" t="n">
        <v>0.65</v>
      </c>
      <c r="AC671" s="36" t="n">
        <v>5</v>
      </c>
      <c r="AD671" s="37" t="n">
        <v>0.7142857142857143</v>
      </c>
      <c r="AE671" s="36" t="n">
        <v>8</v>
      </c>
      <c r="AF671" s="37" t="n">
        <v>0.6153846153846154</v>
      </c>
      <c r="AG671" s="36" t="n">
        <v>3</v>
      </c>
      <c r="AH671" s="37" t="n">
        <v>0.6</v>
      </c>
    </row>
    <row r="672">
      <c r="A672" s="53" t="n">
        <v>45767</v>
      </c>
      <c r="B672" t="inlineStr">
        <is>
          <t>R06_Jawa Timur</t>
        </is>
      </c>
      <c r="C672" t="inlineStr">
        <is>
          <t>NOP KEDIRI</t>
        </is>
      </c>
      <c r="D672" s="38" t="n">
        <v>0.93</v>
      </c>
      <c r="E672" s="38" t="n">
        <v>0</v>
      </c>
      <c r="F672" s="36" t="n">
        <v>1.031</v>
      </c>
      <c r="G672" s="36" t="n">
        <v>1.706</v>
      </c>
      <c r="H672" s="36" t="n">
        <v>7</v>
      </c>
      <c r="I672" s="37" t="n">
        <v>0.875</v>
      </c>
      <c r="J672" s="36" t="n">
        <v>1</v>
      </c>
      <c r="K672" s="37" t="n">
        <v>1</v>
      </c>
      <c r="L672" s="36" t="n">
        <v>6</v>
      </c>
      <c r="M672" s="37" t="n">
        <v>0.8571428571428571</v>
      </c>
      <c r="N672" s="36" t="n">
        <v>1</v>
      </c>
      <c r="O672" s="37" t="n">
        <v>1</v>
      </c>
      <c r="P672" s="36" t="n">
        <v>1</v>
      </c>
      <c r="Q672" s="37" t="n">
        <v>1</v>
      </c>
      <c r="R672" s="36" t="n">
        <v>8</v>
      </c>
      <c r="S672" s="37" t="n">
        <v>1</v>
      </c>
      <c r="T672" s="36" t="n">
        <v>5</v>
      </c>
      <c r="U672" s="37" t="n">
        <v>0.625</v>
      </c>
      <c r="V672" s="38" t="n">
        <v>0</v>
      </c>
      <c r="W672" s="38" t="n">
        <v>3.77</v>
      </c>
      <c r="X672" s="38" t="n">
        <v>1.707</v>
      </c>
      <c r="Y672" s="38" t="n">
        <v>12.07</v>
      </c>
      <c r="Z672" s="38" t="n">
        <v>0</v>
      </c>
      <c r="AA672" s="36" t="n">
        <v>6</v>
      </c>
      <c r="AB672" s="37" t="n">
        <v>1</v>
      </c>
      <c r="AC672" s="36" t="n">
        <v>3</v>
      </c>
      <c r="AD672" s="37" t="n">
        <v>1</v>
      </c>
      <c r="AE672" s="36" t="n">
        <v>3</v>
      </c>
      <c r="AF672" s="37" t="n">
        <v>1</v>
      </c>
      <c r="AG672" s="36" t="n">
        <v>3</v>
      </c>
      <c r="AH672" s="37" t="n">
        <v>1</v>
      </c>
    </row>
    <row r="673">
      <c r="A673" s="53" t="n">
        <v>45767</v>
      </c>
      <c r="B673" t="inlineStr">
        <is>
          <t>R06_Jawa Timur</t>
        </is>
      </c>
      <c r="C673" t="inlineStr">
        <is>
          <t>NOP LAMONGAN</t>
        </is>
      </c>
      <c r="D673" s="38" t="n">
        <v>0.61</v>
      </c>
      <c r="E673" s="38" t="n">
        <v>0</v>
      </c>
      <c r="F673" s="36" t="n">
        <v>6.038000000000003</v>
      </c>
      <c r="G673" s="36" t="n">
        <v>4.354000000000002</v>
      </c>
      <c r="H673" s="36" t="n">
        <v>29</v>
      </c>
      <c r="I673" s="37" t="n">
        <v>0.8787878787878788</v>
      </c>
      <c r="J673" s="36" t="n">
        <v>1</v>
      </c>
      <c r="K673" s="37" t="n">
        <v>1</v>
      </c>
      <c r="L673" s="36" t="n">
        <v>28</v>
      </c>
      <c r="M673" s="37" t="n">
        <v>0.875</v>
      </c>
      <c r="N673" s="36" t="n">
        <v>1</v>
      </c>
      <c r="O673" s="37" t="n">
        <v>1</v>
      </c>
      <c r="P673" s="36" t="n">
        <v>1</v>
      </c>
      <c r="Q673" s="37" t="n">
        <v>1</v>
      </c>
      <c r="R673" s="36" t="n">
        <v>33</v>
      </c>
      <c r="S673" s="37" t="n">
        <v>1</v>
      </c>
      <c r="T673" s="36" t="n">
        <v>25</v>
      </c>
      <c r="U673" s="37" t="n">
        <v>0.7575757575757576</v>
      </c>
      <c r="V673" s="38" t="n">
        <v>0</v>
      </c>
      <c r="W673" s="38" t="n">
        <v>1.866</v>
      </c>
      <c r="X673" s="38" t="n">
        <v>10.714</v>
      </c>
      <c r="Y673" s="38" t="n">
        <v>15.304</v>
      </c>
      <c r="Z673" s="38" t="n">
        <v>0</v>
      </c>
      <c r="AA673" s="36" t="n">
        <v>27</v>
      </c>
      <c r="AB673" s="37" t="n">
        <v>0.7941176470588235</v>
      </c>
      <c r="AC673" s="36" t="n">
        <v>15</v>
      </c>
      <c r="AD673" s="37" t="n">
        <v>0.8333333333333334</v>
      </c>
      <c r="AE673" s="36" t="n">
        <v>12</v>
      </c>
      <c r="AF673" s="37" t="n">
        <v>0.75</v>
      </c>
      <c r="AG673" s="36" t="n">
        <v>14</v>
      </c>
      <c r="AH673" s="37" t="n">
        <v>0.9333333333333333</v>
      </c>
    </row>
    <row r="674">
      <c r="A674" s="53" t="n">
        <v>45767</v>
      </c>
      <c r="B674" t="inlineStr">
        <is>
          <t>R06_Jawa Timur</t>
        </is>
      </c>
      <c r="C674" t="inlineStr">
        <is>
          <t>NOP MADIUN</t>
        </is>
      </c>
      <c r="D674" s="38" t="n">
        <v>0</v>
      </c>
      <c r="E674" s="38" t="n">
        <v>0</v>
      </c>
      <c r="F674" s="36" t="n">
        <v>1.36</v>
      </c>
      <c r="G674" s="36" t="n">
        <v>1.352</v>
      </c>
      <c r="H674" s="36" t="n">
        <v>3</v>
      </c>
      <c r="I674" s="37" t="n">
        <v>0.6</v>
      </c>
      <c r="J674" s="36" t="n">
        <v>0</v>
      </c>
      <c r="K674" s="37" t="n">
        <v>0</v>
      </c>
      <c r="L674" s="36" t="n">
        <v>3</v>
      </c>
      <c r="M674" s="37" t="n">
        <v>0.6</v>
      </c>
      <c r="N674" s="36" t="n">
        <v>0</v>
      </c>
      <c r="O674" s="37" t="n">
        <v>0</v>
      </c>
      <c r="P674" s="36" t="n">
        <v>0</v>
      </c>
      <c r="Q674" s="37" t="n">
        <v>0</v>
      </c>
      <c r="R674" s="36" t="n">
        <v>5</v>
      </c>
      <c r="S674" s="37" t="n">
        <v>1</v>
      </c>
      <c r="T674" s="36" t="n">
        <v>2</v>
      </c>
      <c r="U674" s="37" t="n">
        <v>0.4</v>
      </c>
      <c r="V674" s="38" t="n">
        <v>0</v>
      </c>
      <c r="W674" s="38" t="n">
        <v>2.454</v>
      </c>
      <c r="X674" s="38" t="n">
        <v>2.499</v>
      </c>
      <c r="Y674" s="38" t="n">
        <v>34.012</v>
      </c>
      <c r="Z674" s="38" t="n">
        <v>0</v>
      </c>
      <c r="AA674" s="36" t="n">
        <v>14</v>
      </c>
      <c r="AB674" s="37" t="n">
        <v>0.6363636363636364</v>
      </c>
      <c r="AC674" s="36" t="n">
        <v>9</v>
      </c>
      <c r="AD674" s="37" t="n">
        <v>0.9</v>
      </c>
      <c r="AE674" s="36" t="n">
        <v>5</v>
      </c>
      <c r="AF674" s="37" t="n">
        <v>0.4166666666666667</v>
      </c>
      <c r="AG674" s="36" t="n">
        <v>9</v>
      </c>
      <c r="AH674" s="37" t="n">
        <v>1</v>
      </c>
    </row>
    <row r="675">
      <c r="A675" s="53" t="n">
        <v>45767</v>
      </c>
      <c r="B675" t="inlineStr">
        <is>
          <t>R06_Jawa Timur</t>
        </is>
      </c>
      <c r="C675" t="inlineStr">
        <is>
          <t>NOP MALANG</t>
        </is>
      </c>
      <c r="D675" s="38" t="n">
        <v>0</v>
      </c>
      <c r="E675" s="38" t="n">
        <v>0</v>
      </c>
      <c r="F675" s="36" t="n">
        <v>0.68</v>
      </c>
      <c r="G675" s="36" t="n">
        <v>2.374</v>
      </c>
      <c r="H675" s="36" t="n">
        <v>4</v>
      </c>
      <c r="I675" s="37" t="n">
        <v>1</v>
      </c>
      <c r="J675" s="36" t="n">
        <v>0</v>
      </c>
      <c r="K675" s="37" t="n">
        <v>0</v>
      </c>
      <c r="L675" s="36" t="n">
        <v>4</v>
      </c>
      <c r="M675" s="37" t="n">
        <v>1</v>
      </c>
      <c r="N675" s="36" t="n">
        <v>0</v>
      </c>
      <c r="O675" s="37" t="n">
        <v>0</v>
      </c>
      <c r="P675" s="36" t="n">
        <v>0</v>
      </c>
      <c r="Q675" s="37" t="n">
        <v>0</v>
      </c>
      <c r="R675" s="36" t="n">
        <v>4</v>
      </c>
      <c r="S675" s="37" t="n">
        <v>1</v>
      </c>
      <c r="T675" s="36" t="n">
        <v>3</v>
      </c>
      <c r="U675" s="37" t="n">
        <v>0.75</v>
      </c>
      <c r="V675" s="38" t="n">
        <v>0</v>
      </c>
      <c r="W675" s="38" t="n">
        <v>1.03</v>
      </c>
      <c r="X675" s="38" t="n">
        <v>12.39</v>
      </c>
      <c r="Y675" s="38" t="n">
        <v>0</v>
      </c>
      <c r="Z675" s="38" t="n">
        <v>0</v>
      </c>
      <c r="AA675" s="36" t="n">
        <v>5</v>
      </c>
      <c r="AB675" s="37" t="n">
        <v>1</v>
      </c>
      <c r="AC675" s="36" t="n">
        <v>1</v>
      </c>
      <c r="AD675" s="37" t="n">
        <v>1</v>
      </c>
      <c r="AE675" s="36" t="n">
        <v>4</v>
      </c>
      <c r="AF675" s="37" t="n">
        <v>1</v>
      </c>
      <c r="AG675" s="36" t="n">
        <v>1</v>
      </c>
      <c r="AH675" s="37" t="n">
        <v>1</v>
      </c>
    </row>
    <row r="676">
      <c r="A676" s="53" t="n">
        <v>45767</v>
      </c>
      <c r="B676" t="inlineStr">
        <is>
          <t>R06_Jawa Timur</t>
        </is>
      </c>
      <c r="C676" t="inlineStr">
        <is>
          <t>NOP SIDOARJO</t>
        </is>
      </c>
      <c r="D676" s="38" t="n">
        <v>1.82</v>
      </c>
      <c r="E676" s="38" t="n">
        <v>0</v>
      </c>
      <c r="F676" s="36" t="n">
        <v>4.014000000000004</v>
      </c>
      <c r="G676" s="36" t="n">
        <v>10.82</v>
      </c>
      <c r="H676" s="36" t="n">
        <v>21</v>
      </c>
      <c r="I676" s="37" t="n">
        <v>0.7777777777777778</v>
      </c>
      <c r="J676" s="36" t="n">
        <v>1</v>
      </c>
      <c r="K676" s="37" t="n">
        <v>1</v>
      </c>
      <c r="L676" s="36" t="n">
        <v>20</v>
      </c>
      <c r="M676" s="37" t="n">
        <v>0.7692307692307693</v>
      </c>
      <c r="N676" s="36" t="n">
        <v>1</v>
      </c>
      <c r="O676" s="37" t="n">
        <v>1</v>
      </c>
      <c r="P676" s="36" t="n">
        <v>1</v>
      </c>
      <c r="Q676" s="37" t="n">
        <v>1</v>
      </c>
      <c r="R676" s="36" t="n">
        <v>27</v>
      </c>
      <c r="S676" s="37" t="n">
        <v>1</v>
      </c>
      <c r="T676" s="36" t="n">
        <v>15</v>
      </c>
      <c r="U676" s="37" t="n">
        <v>0.5555555555555556</v>
      </c>
      <c r="V676" s="38" t="n">
        <v>0</v>
      </c>
      <c r="W676" s="38" t="n">
        <v>3.468000000000001</v>
      </c>
      <c r="X676" s="38" t="n">
        <v>4.725</v>
      </c>
      <c r="Y676" s="38" t="n">
        <v>0</v>
      </c>
      <c r="Z676" s="38" t="n">
        <v>0</v>
      </c>
      <c r="AA676" s="36" t="n">
        <v>25</v>
      </c>
      <c r="AB676" s="37" t="n">
        <v>0.8620689655172413</v>
      </c>
      <c r="AC676" s="36" t="n">
        <v>12</v>
      </c>
      <c r="AD676" s="37" t="n">
        <v>0.9230769230769231</v>
      </c>
      <c r="AE676" s="36" t="n">
        <v>13</v>
      </c>
      <c r="AF676" s="37" t="n">
        <v>0.8125</v>
      </c>
      <c r="AG676" s="36" t="n">
        <v>10</v>
      </c>
      <c r="AH676" s="37" t="n">
        <v>0.8333333333333334</v>
      </c>
    </row>
    <row r="677">
      <c r="A677" s="53" t="n">
        <v>45767</v>
      </c>
      <c r="B677" t="inlineStr">
        <is>
          <t>R06_Jawa Timur</t>
        </is>
      </c>
      <c r="C677" t="inlineStr">
        <is>
          <t>NOP SURABAYA</t>
        </is>
      </c>
      <c r="D677" s="38" t="n">
        <v>3.387</v>
      </c>
      <c r="E677" s="38" t="n">
        <v>0</v>
      </c>
      <c r="F677" s="36" t="n">
        <v>5.83</v>
      </c>
      <c r="G677" s="36" t="n">
        <v>5.665</v>
      </c>
      <c r="H677" s="36" t="n">
        <v>26</v>
      </c>
      <c r="I677" s="37" t="n">
        <v>0.8387096774193549</v>
      </c>
      <c r="J677" s="36" t="n">
        <v>2</v>
      </c>
      <c r="K677" s="37" t="n">
        <v>1</v>
      </c>
      <c r="L677" s="36" t="n">
        <v>24</v>
      </c>
      <c r="M677" s="37" t="n">
        <v>0.8275862068965517</v>
      </c>
      <c r="N677" s="36" t="n">
        <v>2</v>
      </c>
      <c r="O677" s="37" t="n">
        <v>1</v>
      </c>
      <c r="P677" s="36" t="n">
        <v>2</v>
      </c>
      <c r="Q677" s="37" t="n">
        <v>1</v>
      </c>
      <c r="R677" s="36" t="n">
        <v>31</v>
      </c>
      <c r="S677" s="37" t="n">
        <v>1</v>
      </c>
      <c r="T677" s="36" t="n">
        <v>18</v>
      </c>
      <c r="U677" s="37" t="n">
        <v>0.5806451612903226</v>
      </c>
      <c r="V677" s="38" t="n">
        <v>0</v>
      </c>
      <c r="W677" s="38" t="n">
        <v>3.093000000000001</v>
      </c>
      <c r="X677" s="38" t="n">
        <v>5.106</v>
      </c>
      <c r="Y677" s="38" t="n">
        <v>46.999</v>
      </c>
      <c r="Z677" s="38" t="n">
        <v>0</v>
      </c>
      <c r="AA677" s="36" t="n">
        <v>72</v>
      </c>
      <c r="AB677" s="37" t="n">
        <v>0.7741935483870968</v>
      </c>
      <c r="AC677" s="36" t="n">
        <v>14</v>
      </c>
      <c r="AD677" s="37" t="n">
        <v>1</v>
      </c>
      <c r="AE677" s="36" t="n">
        <v>58</v>
      </c>
      <c r="AF677" s="37" t="n">
        <v>0.7341772151898734</v>
      </c>
      <c r="AG677" s="36" t="n">
        <v>13</v>
      </c>
      <c r="AH677" s="37" t="n">
        <v>0.9285714285714286</v>
      </c>
    </row>
    <row r="678">
      <c r="A678" s="53" t="n">
        <v>45767</v>
      </c>
      <c r="B678" t="inlineStr">
        <is>
          <t>R07_Bali Nusra</t>
        </is>
      </c>
      <c r="C678" t="inlineStr">
        <is>
          <t>NOP DENPASAR</t>
        </is>
      </c>
      <c r="D678" s="38" t="n">
        <v>1.4</v>
      </c>
      <c r="E678" s="38" t="n">
        <v>0</v>
      </c>
      <c r="F678" s="36" t="n">
        <v>2.164000000000001</v>
      </c>
      <c r="G678" s="36" t="n">
        <v>2.432</v>
      </c>
      <c r="H678" s="36" t="n">
        <v>14</v>
      </c>
      <c r="I678" s="37" t="n">
        <v>0.9333333333333333</v>
      </c>
      <c r="J678" s="36" t="n">
        <v>1</v>
      </c>
      <c r="K678" s="37" t="n">
        <v>1</v>
      </c>
      <c r="L678" s="36" t="n">
        <v>13</v>
      </c>
      <c r="M678" s="37" t="n">
        <v>0.9285714285714286</v>
      </c>
      <c r="N678" s="36" t="n">
        <v>1</v>
      </c>
      <c r="O678" s="37" t="n">
        <v>1</v>
      </c>
      <c r="P678" s="36" t="n">
        <v>1</v>
      </c>
      <c r="Q678" s="37" t="n">
        <v>1</v>
      </c>
      <c r="R678" s="36" t="n">
        <v>15</v>
      </c>
      <c r="S678" s="37" t="n">
        <v>1</v>
      </c>
      <c r="T678" s="36" t="n">
        <v>15</v>
      </c>
      <c r="U678" s="37" t="n">
        <v>1</v>
      </c>
      <c r="V678" s="38" t="n">
        <v>0</v>
      </c>
      <c r="W678" s="38" t="n">
        <v>25.136</v>
      </c>
      <c r="X678" s="38" t="n">
        <v>12.24</v>
      </c>
      <c r="Y678" s="38" t="n">
        <v>25.899</v>
      </c>
      <c r="Z678" s="38" t="n">
        <v>0</v>
      </c>
      <c r="AA678" s="36" t="n">
        <v>11</v>
      </c>
      <c r="AB678" s="37" t="n">
        <v>0.6111111111111112</v>
      </c>
      <c r="AC678" s="36" t="n">
        <v>1</v>
      </c>
      <c r="AD678" s="37" t="n">
        <v>0.3333333333333333</v>
      </c>
      <c r="AE678" s="36" t="n">
        <v>10</v>
      </c>
      <c r="AF678" s="37" t="n">
        <v>0.6666666666666666</v>
      </c>
      <c r="AG678" s="36" t="n">
        <v>1</v>
      </c>
      <c r="AH678" s="37" t="n">
        <v>1</v>
      </c>
    </row>
    <row r="679">
      <c r="A679" s="53" t="n">
        <v>45767</v>
      </c>
      <c r="B679" t="inlineStr">
        <is>
          <t>R07_Bali Nusra</t>
        </is>
      </c>
      <c r="C679" t="inlineStr">
        <is>
          <t>NOP FLORES</t>
        </is>
      </c>
      <c r="D679" s="38" t="n">
        <v>4.7</v>
      </c>
      <c r="E679" s="38" t="n">
        <v>2.594</v>
      </c>
      <c r="F679" s="36" t="n">
        <v>3.270000000000005</v>
      </c>
      <c r="G679" s="36" t="n">
        <v>9.476000000000006</v>
      </c>
      <c r="H679" s="36" t="n">
        <v>24</v>
      </c>
      <c r="I679" s="37" t="n">
        <v>0.3809523809523809</v>
      </c>
      <c r="J679" s="36" t="n">
        <v>9</v>
      </c>
      <c r="K679" s="37" t="n">
        <v>0.8181818181818182</v>
      </c>
      <c r="L679" s="36" t="n">
        <v>15</v>
      </c>
      <c r="M679" s="37" t="n">
        <v>0.2884615384615384</v>
      </c>
      <c r="N679" s="36" t="n">
        <v>4</v>
      </c>
      <c r="O679" s="37" t="n">
        <v>0.4444444444444444</v>
      </c>
      <c r="P679" s="36" t="n">
        <v>4</v>
      </c>
      <c r="Q679" s="37" t="n">
        <v>0.4444444444444444</v>
      </c>
      <c r="R679" s="36" t="n">
        <v>63</v>
      </c>
      <c r="S679" s="37" t="n">
        <v>1</v>
      </c>
      <c r="T679" s="36" t="n">
        <v>16</v>
      </c>
      <c r="U679" s="37" t="n">
        <v>0.253968253968254</v>
      </c>
      <c r="V679" s="38" t="n">
        <v>0</v>
      </c>
      <c r="W679" s="38" t="n">
        <v>8.210000000000001</v>
      </c>
      <c r="X679" s="38" t="n">
        <v>11.76399999999999</v>
      </c>
      <c r="Y679" s="38" t="n">
        <v>18.73</v>
      </c>
      <c r="Z679" s="38" t="n">
        <v>0</v>
      </c>
      <c r="AA679" s="36" t="n">
        <v>50</v>
      </c>
      <c r="AB679" s="37" t="n">
        <v>0.5154639175257731</v>
      </c>
      <c r="AC679" s="36" t="n">
        <v>36</v>
      </c>
      <c r="AD679" s="37" t="n">
        <v>0.5806451612903226</v>
      </c>
      <c r="AE679" s="36" t="n">
        <v>14</v>
      </c>
      <c r="AF679" s="37" t="n">
        <v>0.4</v>
      </c>
      <c r="AG679" s="36" t="n">
        <v>27</v>
      </c>
      <c r="AH679" s="37" t="n">
        <v>0.75</v>
      </c>
    </row>
    <row r="680">
      <c r="A680" s="53" t="n">
        <v>45767</v>
      </c>
      <c r="B680" t="inlineStr">
        <is>
          <t>R07_Bali Nusra</t>
        </is>
      </c>
      <c r="C680" t="inlineStr">
        <is>
          <t>NOP KUPANG</t>
        </is>
      </c>
      <c r="D680" s="38" t="n">
        <v>0</v>
      </c>
      <c r="E680" s="38" t="n">
        <v>2.315</v>
      </c>
      <c r="F680" s="36" t="n">
        <v>2.758000000000004</v>
      </c>
      <c r="G680" s="36" t="n">
        <v>6.795</v>
      </c>
      <c r="H680" s="36" t="n">
        <v>15</v>
      </c>
      <c r="I680" s="37" t="n">
        <v>0.3409090909090909</v>
      </c>
      <c r="J680" s="36" t="n">
        <v>3</v>
      </c>
      <c r="K680" s="37" t="n">
        <v>0.5</v>
      </c>
      <c r="L680" s="36" t="n">
        <v>12</v>
      </c>
      <c r="M680" s="37" t="n">
        <v>0.3157894736842105</v>
      </c>
      <c r="N680" s="36" t="n">
        <v>2</v>
      </c>
      <c r="O680" s="37" t="n">
        <v>0.6666666666666666</v>
      </c>
      <c r="P680" s="36" t="n">
        <v>2</v>
      </c>
      <c r="Q680" s="37" t="n">
        <v>0.6666666666666666</v>
      </c>
      <c r="R680" s="36" t="n">
        <v>44</v>
      </c>
      <c r="S680" s="37" t="n">
        <v>1</v>
      </c>
      <c r="T680" s="36" t="n">
        <v>3</v>
      </c>
      <c r="U680" s="37" t="n">
        <v>0.06818181818181818</v>
      </c>
      <c r="V680" s="38" t="n">
        <v>0</v>
      </c>
      <c r="W680" s="38" t="n">
        <v>9.267999999999997</v>
      </c>
      <c r="X680" s="38" t="n">
        <v>8.955999999999998</v>
      </c>
      <c r="Y680" s="38" t="n">
        <v>218.2010000000001</v>
      </c>
      <c r="Z680" s="38" t="n">
        <v>0</v>
      </c>
      <c r="AA680" s="36" t="n">
        <v>39</v>
      </c>
      <c r="AB680" s="37" t="n">
        <v>0.65</v>
      </c>
      <c r="AC680" s="36" t="n">
        <v>25</v>
      </c>
      <c r="AD680" s="37" t="n">
        <v>0.6756756756756757</v>
      </c>
      <c r="AE680" s="36" t="n">
        <v>14</v>
      </c>
      <c r="AF680" s="37" t="n">
        <v>0.6086956521739131</v>
      </c>
      <c r="AG680" s="36" t="n">
        <v>19</v>
      </c>
      <c r="AH680" s="37" t="n">
        <v>0.76</v>
      </c>
    </row>
    <row r="681">
      <c r="A681" s="53" t="n">
        <v>45767</v>
      </c>
      <c r="B681" t="inlineStr">
        <is>
          <t>R07_Bali Nusra</t>
        </is>
      </c>
      <c r="C681" t="inlineStr">
        <is>
          <t>NOP MATARAM</t>
        </is>
      </c>
      <c r="D681" s="38" t="n">
        <v>0</v>
      </c>
      <c r="E681" s="38" t="n">
        <v>4.44</v>
      </c>
      <c r="F681" s="36" t="n">
        <v>0.9399999999999999</v>
      </c>
      <c r="G681" s="36" t="n">
        <v>8.369999999999999</v>
      </c>
      <c r="H681" s="36" t="n">
        <v>2</v>
      </c>
      <c r="I681" s="37" t="n">
        <v>0.1428571428571428</v>
      </c>
      <c r="J681" s="36" t="n">
        <v>0</v>
      </c>
      <c r="K681" s="37" t="n">
        <v>0</v>
      </c>
      <c r="L681" s="36" t="n">
        <v>2</v>
      </c>
      <c r="M681" s="37" t="n">
        <v>0.1538461538461539</v>
      </c>
      <c r="N681" s="36" t="n">
        <v>0</v>
      </c>
      <c r="O681" s="37" t="n">
        <v>0</v>
      </c>
      <c r="P681" s="36" t="n">
        <v>0</v>
      </c>
      <c r="Q681" s="37" t="n">
        <v>0</v>
      </c>
      <c r="R681" s="36" t="n">
        <v>14</v>
      </c>
      <c r="S681" s="37" t="n">
        <v>1</v>
      </c>
      <c r="T681" s="36" t="n">
        <v>1</v>
      </c>
      <c r="U681" s="37" t="n">
        <v>0.07142857142857142</v>
      </c>
      <c r="V681" s="38" t="n">
        <v>0</v>
      </c>
      <c r="W681" s="38" t="n">
        <v>17.679</v>
      </c>
      <c r="X681" s="38" t="n">
        <v>22.23400000000002</v>
      </c>
      <c r="Y681" s="38" t="n">
        <v>25.57800000000001</v>
      </c>
      <c r="Z681" s="38" t="n">
        <v>0</v>
      </c>
      <c r="AA681" s="36" t="n">
        <v>16</v>
      </c>
      <c r="AB681" s="37" t="n">
        <v>0.3333333333333333</v>
      </c>
      <c r="AC681" s="36" t="n">
        <v>10</v>
      </c>
      <c r="AD681" s="37" t="n">
        <v>0.3125</v>
      </c>
      <c r="AE681" s="36" t="n">
        <v>6</v>
      </c>
      <c r="AF681" s="37" t="n">
        <v>0.375</v>
      </c>
      <c r="AG681" s="36" t="n">
        <v>5</v>
      </c>
      <c r="AH681" s="37" t="n">
        <v>0.5</v>
      </c>
    </row>
    <row r="682">
      <c r="A682" s="53" t="n">
        <v>45768</v>
      </c>
      <c r="B682" t="inlineStr">
        <is>
          <t>R01_Sumbagut</t>
        </is>
      </c>
      <c r="C682" t="inlineStr">
        <is>
          <t>NOP ACEH</t>
        </is>
      </c>
      <c r="D682" s="38" t="n">
        <v>14.95</v>
      </c>
      <c r="E682" s="38" t="n">
        <v>2.452</v>
      </c>
      <c r="F682" s="36" t="n">
        <v>4.115000000000004</v>
      </c>
      <c r="G682" s="36" t="n">
        <v>20.97000000000001</v>
      </c>
      <c r="H682" s="36" t="n">
        <v>56</v>
      </c>
      <c r="I682" s="37" t="n">
        <v>0.7088607594936709</v>
      </c>
      <c r="J682" s="36" t="n">
        <v>11</v>
      </c>
      <c r="K682" s="37" t="n">
        <v>0.6875</v>
      </c>
      <c r="L682" s="36" t="n">
        <v>45</v>
      </c>
      <c r="M682" s="37" t="n">
        <v>0.7142857142857143</v>
      </c>
      <c r="N682" s="36" t="n">
        <v>2</v>
      </c>
      <c r="O682" s="37" t="n">
        <v>0.1818181818181818</v>
      </c>
      <c r="P682" s="36" t="n">
        <v>2</v>
      </c>
      <c r="Q682" s="37" t="n">
        <v>0.1818181818181818</v>
      </c>
      <c r="R682" s="36" t="n">
        <v>79</v>
      </c>
      <c r="S682" s="37" t="n">
        <v>1</v>
      </c>
      <c r="T682" s="36" t="n">
        <v>18</v>
      </c>
      <c r="U682" s="37" t="n">
        <v>0.2278481012658228</v>
      </c>
      <c r="V682" s="38" t="n">
        <v>0</v>
      </c>
      <c r="W682" s="38" t="n">
        <v>2.054</v>
      </c>
      <c r="X682" s="38" t="n">
        <v>35.01</v>
      </c>
      <c r="Y682" s="38" t="n">
        <v>67.512</v>
      </c>
      <c r="Z682" s="38" t="n">
        <v>0</v>
      </c>
      <c r="AA682" s="36" t="n">
        <v>324</v>
      </c>
      <c r="AB682" s="37" t="n">
        <v>0.8140703517587939</v>
      </c>
      <c r="AC682" s="36" t="n">
        <v>45</v>
      </c>
      <c r="AD682" s="37" t="n">
        <v>0.6923076923076923</v>
      </c>
      <c r="AE682" s="36" t="n">
        <v>276</v>
      </c>
      <c r="AF682" s="37" t="n">
        <v>0.8363636363636363</v>
      </c>
      <c r="AG682" s="36" t="n">
        <v>4</v>
      </c>
      <c r="AH682" s="37" t="n">
        <v>0.08888888888888889</v>
      </c>
    </row>
    <row r="683">
      <c r="A683" s="53" t="n">
        <v>45768</v>
      </c>
      <c r="B683" t="inlineStr">
        <is>
          <t>R01_Sumbagut</t>
        </is>
      </c>
      <c r="C683" t="inlineStr">
        <is>
          <t>NOP BINJAI</t>
        </is>
      </c>
      <c r="D683" s="38" t="n">
        <v>0</v>
      </c>
      <c r="E683" s="38" t="n">
        <v>7.400000000000004</v>
      </c>
      <c r="F683" s="36" t="n">
        <v>1.97</v>
      </c>
      <c r="G683" s="36" t="n">
        <v>4.775</v>
      </c>
      <c r="H683" s="36" t="n">
        <v>27</v>
      </c>
      <c r="I683" s="37" t="n">
        <v>0.7105263157894737</v>
      </c>
      <c r="J683" s="36" t="n">
        <v>4</v>
      </c>
      <c r="K683" s="37" t="n">
        <v>0.5714285714285714</v>
      </c>
      <c r="L683" s="36" t="n">
        <v>23</v>
      </c>
      <c r="M683" s="37" t="n">
        <v>0.7419354838709677</v>
      </c>
      <c r="N683" s="36" t="n">
        <v>3</v>
      </c>
      <c r="O683" s="37" t="n">
        <v>0.75</v>
      </c>
      <c r="P683" s="36" t="n">
        <v>3</v>
      </c>
      <c r="Q683" s="37" t="n">
        <v>0.75</v>
      </c>
      <c r="R683" s="36" t="n">
        <v>38</v>
      </c>
      <c r="S683" s="37" t="n">
        <v>1</v>
      </c>
      <c r="T683" s="36" t="n">
        <v>16</v>
      </c>
      <c r="U683" s="37" t="n">
        <v>0.4210526315789473</v>
      </c>
      <c r="V683" s="38" t="n">
        <v>0</v>
      </c>
      <c r="W683" s="38" t="n">
        <v>4.865</v>
      </c>
      <c r="X683" s="38" t="n">
        <v>19.55</v>
      </c>
      <c r="Y683" s="38" t="n">
        <v>69.40000000000001</v>
      </c>
      <c r="Z683" s="38" t="n">
        <v>0</v>
      </c>
      <c r="AA683" s="36" t="n">
        <v>63</v>
      </c>
      <c r="AB683" s="37" t="n">
        <v>0.6116504854368932</v>
      </c>
      <c r="AC683" s="36" t="n">
        <v>15</v>
      </c>
      <c r="AD683" s="37" t="n">
        <v>0.5769230769230769</v>
      </c>
      <c r="AE683" s="36" t="n">
        <v>45</v>
      </c>
      <c r="AF683" s="37" t="n">
        <v>0.7258064516129032</v>
      </c>
      <c r="AG683" s="36" t="n">
        <v>10</v>
      </c>
      <c r="AH683" s="37" t="n">
        <v>0.6666666666666666</v>
      </c>
    </row>
    <row r="684">
      <c r="A684" s="53" t="n">
        <v>45768</v>
      </c>
      <c r="B684" t="inlineStr">
        <is>
          <t>R01_Sumbagut</t>
        </is>
      </c>
      <c r="C684" t="inlineStr">
        <is>
          <t>NOP MEDAN</t>
        </is>
      </c>
      <c r="D684" s="38" t="n">
        <v>0.62</v>
      </c>
      <c r="E684" s="38" t="n">
        <v>2.96</v>
      </c>
      <c r="F684" s="36" t="n">
        <v>4.71</v>
      </c>
      <c r="G684" s="36" t="n">
        <v>4.377000000000001</v>
      </c>
      <c r="H684" s="36" t="n">
        <v>16</v>
      </c>
      <c r="I684" s="37" t="n">
        <v>0.5</v>
      </c>
      <c r="J684" s="36" t="n">
        <v>6</v>
      </c>
      <c r="K684" s="37" t="n">
        <v>0.5</v>
      </c>
      <c r="L684" s="36" t="n">
        <v>10</v>
      </c>
      <c r="M684" s="37" t="n">
        <v>0.5</v>
      </c>
      <c r="N684" s="36" t="n">
        <v>6</v>
      </c>
      <c r="O684" s="37" t="n">
        <v>1</v>
      </c>
      <c r="P684" s="36" t="n">
        <v>6</v>
      </c>
      <c r="Q684" s="37" t="n">
        <v>1</v>
      </c>
      <c r="R684" s="36" t="n">
        <v>32</v>
      </c>
      <c r="S684" s="37" t="n">
        <v>1</v>
      </c>
      <c r="T684" s="36" t="n">
        <v>12</v>
      </c>
      <c r="U684" s="37" t="n">
        <v>0.375</v>
      </c>
      <c r="V684" s="38" t="n">
        <v>0</v>
      </c>
      <c r="W684" s="38" t="n">
        <v>1.584000000000001</v>
      </c>
      <c r="X684" s="38" t="n">
        <v>13.39000000000001</v>
      </c>
      <c r="Y684" s="38" t="n">
        <v>0.178</v>
      </c>
      <c r="Z684" s="38" t="n">
        <v>0</v>
      </c>
      <c r="AA684" s="36" t="n">
        <v>28</v>
      </c>
      <c r="AB684" s="37" t="n">
        <v>0.417910447761194</v>
      </c>
      <c r="AC684" s="36" t="n">
        <v>4</v>
      </c>
      <c r="AD684" s="37" t="n">
        <v>0.2857142857142857</v>
      </c>
      <c r="AE684" s="36" t="n">
        <v>23</v>
      </c>
      <c r="AF684" s="37" t="n">
        <v>0.4893617021276596</v>
      </c>
      <c r="AG684" s="36" t="n">
        <v>4</v>
      </c>
      <c r="AH684" s="37" t="n">
        <v>1</v>
      </c>
    </row>
    <row r="685">
      <c r="A685" s="53" t="n">
        <v>45768</v>
      </c>
      <c r="B685" t="inlineStr">
        <is>
          <t>R01_Sumbagut</t>
        </is>
      </c>
      <c r="C685" t="inlineStr">
        <is>
          <t>NOP PADANG SIDEMPUAN</t>
        </is>
      </c>
      <c r="D685" s="38" t="n">
        <v>2.572</v>
      </c>
      <c r="E685" s="38" t="n">
        <v>3.587999999999999</v>
      </c>
      <c r="F685" s="36" t="n">
        <v>2.846</v>
      </c>
      <c r="G685" s="36" t="n">
        <v>7.77</v>
      </c>
      <c r="H685" s="36" t="n">
        <v>42</v>
      </c>
      <c r="I685" s="37" t="n">
        <v>0.4883720930232558</v>
      </c>
      <c r="J685" s="36" t="n">
        <v>9</v>
      </c>
      <c r="K685" s="37" t="n">
        <v>0.5294117647058824</v>
      </c>
      <c r="L685" s="36" t="n">
        <v>33</v>
      </c>
      <c r="M685" s="37" t="n">
        <v>0.4782608695652174</v>
      </c>
      <c r="N685" s="36" t="n">
        <v>3</v>
      </c>
      <c r="O685" s="37" t="n">
        <v>0.3333333333333333</v>
      </c>
      <c r="P685" s="36" t="n">
        <v>3</v>
      </c>
      <c r="Q685" s="37" t="n">
        <v>0.3333333333333333</v>
      </c>
      <c r="R685" s="36" t="n">
        <v>86</v>
      </c>
      <c r="S685" s="37" t="n">
        <v>1</v>
      </c>
      <c r="T685" s="36" t="n">
        <v>14</v>
      </c>
      <c r="U685" s="37" t="n">
        <v>0.1627906976744186</v>
      </c>
      <c r="V685" s="38" t="n">
        <v>0</v>
      </c>
      <c r="W685" s="38" t="n">
        <v>2.42</v>
      </c>
      <c r="X685" s="38" t="n">
        <v>19.592</v>
      </c>
      <c r="Y685" s="38" t="n">
        <v>92.71800000000003</v>
      </c>
      <c r="Z685" s="38" t="n">
        <v>0</v>
      </c>
      <c r="AA685" s="36" t="n">
        <v>71</v>
      </c>
      <c r="AB685" s="37" t="n">
        <v>0.3429951690821256</v>
      </c>
      <c r="AC685" s="36" t="n">
        <v>19</v>
      </c>
      <c r="AD685" s="37" t="n">
        <v>0.475</v>
      </c>
      <c r="AE685" s="36" t="n">
        <v>52</v>
      </c>
      <c r="AF685" s="37" t="n">
        <v>0.3170731707317073</v>
      </c>
      <c r="AG685" s="36" t="n">
        <v>10</v>
      </c>
      <c r="AH685" s="37" t="n">
        <v>0.5263157894736842</v>
      </c>
    </row>
    <row r="686">
      <c r="A686" s="53" t="n">
        <v>45768</v>
      </c>
      <c r="B686" t="inlineStr">
        <is>
          <t>R01_Sumbagut</t>
        </is>
      </c>
      <c r="C686" t="inlineStr">
        <is>
          <t>NOP PEMATANG SIANTAR</t>
        </is>
      </c>
      <c r="D686" s="38" t="n">
        <v>2.475</v>
      </c>
      <c r="E686" s="38" t="n">
        <v>4.475</v>
      </c>
      <c r="F686" s="36" t="n">
        <v>7.93</v>
      </c>
      <c r="G686" s="36" t="n">
        <v>2.842</v>
      </c>
      <c r="H686" s="36" t="n">
        <v>37</v>
      </c>
      <c r="I686" s="37" t="n">
        <v>0.2890625</v>
      </c>
      <c r="J686" s="36" t="n">
        <v>18</v>
      </c>
      <c r="K686" s="37" t="n">
        <v>0.4090909090909091</v>
      </c>
      <c r="L686" s="36" t="n">
        <v>19</v>
      </c>
      <c r="M686" s="37" t="n">
        <v>0.2261904761904762</v>
      </c>
      <c r="N686" s="36" t="n">
        <v>12</v>
      </c>
      <c r="O686" s="37" t="n">
        <v>0.6666666666666666</v>
      </c>
      <c r="P686" s="36" t="n">
        <v>12</v>
      </c>
      <c r="Q686" s="37" t="n">
        <v>0.6666666666666666</v>
      </c>
      <c r="R686" s="36" t="n">
        <v>128</v>
      </c>
      <c r="S686" s="37" t="n">
        <v>1</v>
      </c>
      <c r="T686" s="36" t="n">
        <v>21</v>
      </c>
      <c r="U686" s="37" t="n">
        <v>0.1640625</v>
      </c>
      <c r="V686" s="38" t="n">
        <v>0</v>
      </c>
      <c r="W686" s="38" t="n">
        <v>2.601999999999999</v>
      </c>
      <c r="X686" s="38" t="n">
        <v>46.89100000000001</v>
      </c>
      <c r="Y686" s="38" t="n">
        <v>72.80799999999999</v>
      </c>
      <c r="Z686" s="38" t="n">
        <v>0</v>
      </c>
      <c r="AA686" s="36" t="n">
        <v>67</v>
      </c>
      <c r="AB686" s="37" t="n">
        <v>0.1395833333333333</v>
      </c>
      <c r="AC686" s="36" t="n">
        <v>16</v>
      </c>
      <c r="AD686" s="37" t="n">
        <v>0.4324324324324325</v>
      </c>
      <c r="AE686" s="36" t="n">
        <v>49</v>
      </c>
      <c r="AF686" s="37" t="n">
        <v>0.1121281464530892</v>
      </c>
      <c r="AG686" s="36" t="n">
        <v>11</v>
      </c>
      <c r="AH686" s="37" t="n">
        <v>0.6875</v>
      </c>
    </row>
    <row r="687">
      <c r="A687" s="53" t="n">
        <v>45768</v>
      </c>
      <c r="B687" t="inlineStr">
        <is>
          <t>R01_Sumbagut</t>
        </is>
      </c>
      <c r="C687" t="inlineStr">
        <is>
          <t>NOP RANTAU PRAPAT</t>
        </is>
      </c>
      <c r="D687" s="38" t="n">
        <v>0</v>
      </c>
      <c r="E687" s="38" t="n">
        <v>3.644</v>
      </c>
      <c r="F687" s="36" t="n">
        <v>4.67</v>
      </c>
      <c r="G687" s="36" t="n">
        <v>3.216000000000005</v>
      </c>
      <c r="H687" s="36" t="n">
        <v>47</v>
      </c>
      <c r="I687" s="37" t="n">
        <v>0.415929203539823</v>
      </c>
      <c r="J687" s="36" t="n">
        <v>4</v>
      </c>
      <c r="K687" s="37" t="n">
        <v>0.2352941176470588</v>
      </c>
      <c r="L687" s="36" t="n">
        <v>43</v>
      </c>
      <c r="M687" s="37" t="n">
        <v>0.4479166666666667</v>
      </c>
      <c r="N687" s="36" t="n">
        <v>2</v>
      </c>
      <c r="O687" s="37" t="n">
        <v>0.5</v>
      </c>
      <c r="P687" s="36" t="n">
        <v>2</v>
      </c>
      <c r="Q687" s="37" t="n">
        <v>0.5</v>
      </c>
      <c r="R687" s="36" t="n">
        <v>113</v>
      </c>
      <c r="S687" s="37" t="n">
        <v>1</v>
      </c>
      <c r="T687" s="36" t="n">
        <v>29</v>
      </c>
      <c r="U687" s="37" t="n">
        <v>0.2566371681415929</v>
      </c>
      <c r="V687" s="38" t="n">
        <v>0</v>
      </c>
      <c r="W687" s="38" t="n">
        <v>6.193999999999996</v>
      </c>
      <c r="X687" s="38" t="n">
        <v>27.06799999999999</v>
      </c>
      <c r="Y687" s="38" t="n">
        <v>112.677</v>
      </c>
      <c r="Z687" s="38" t="n">
        <v>0</v>
      </c>
      <c r="AA687" s="36" t="n">
        <v>23</v>
      </c>
      <c r="AB687" s="37" t="n">
        <v>0.08333333333333333</v>
      </c>
      <c r="AC687" s="36" t="n">
        <v>9</v>
      </c>
      <c r="AD687" s="37" t="n">
        <v>0.3103448275862069</v>
      </c>
      <c r="AE687" s="36" t="n">
        <v>11</v>
      </c>
      <c r="AF687" s="37" t="n">
        <v>0.04564315352697095</v>
      </c>
      <c r="AG687" s="36" t="n">
        <v>7</v>
      </c>
      <c r="AH687" s="37" t="n">
        <v>0.7777777777777778</v>
      </c>
    </row>
    <row r="688">
      <c r="A688" s="53" t="n">
        <v>45768</v>
      </c>
      <c r="B688" t="inlineStr">
        <is>
          <t>R10_Sumbagteng</t>
        </is>
      </c>
      <c r="C688" t="inlineStr">
        <is>
          <t>NOP BATAM</t>
        </is>
      </c>
      <c r="D688" s="38" t="n">
        <v>1.679</v>
      </c>
      <c r="E688" s="38" t="n">
        <v>15.30100000000001</v>
      </c>
      <c r="F688" s="36" t="n">
        <v>12.295</v>
      </c>
      <c r="G688" s="36" t="n">
        <v>11.248</v>
      </c>
      <c r="H688" s="36" t="n">
        <v>46</v>
      </c>
      <c r="I688" s="37" t="n">
        <v>0.4181818181818182</v>
      </c>
      <c r="J688" s="36" t="n">
        <v>7</v>
      </c>
      <c r="K688" s="37" t="n">
        <v>0.5</v>
      </c>
      <c r="L688" s="36" t="n">
        <v>39</v>
      </c>
      <c r="M688" s="37" t="n">
        <v>0.40625</v>
      </c>
      <c r="N688" s="36" t="n">
        <v>5</v>
      </c>
      <c r="O688" s="37" t="n">
        <v>0.7142857142857143</v>
      </c>
      <c r="P688" s="36" t="n">
        <v>5</v>
      </c>
      <c r="Q688" s="37" t="n">
        <v>0.7142857142857143</v>
      </c>
      <c r="R688" s="36" t="n">
        <v>108</v>
      </c>
      <c r="S688" s="37" t="n">
        <v>0.9818181818181818</v>
      </c>
      <c r="T688" s="36" t="n">
        <v>34</v>
      </c>
      <c r="U688" s="37" t="n">
        <v>0.3090909090909091</v>
      </c>
      <c r="V688" s="38" t="n">
        <v>0</v>
      </c>
      <c r="W688" s="38" t="n">
        <v>3.67</v>
      </c>
      <c r="X688" s="38" t="n">
        <v>23.25500000000001</v>
      </c>
      <c r="Y688" s="38" t="n">
        <v>72.07700000000001</v>
      </c>
      <c r="Z688" s="38" t="n">
        <v>0</v>
      </c>
      <c r="AA688" s="36" t="n">
        <v>55</v>
      </c>
      <c r="AB688" s="37" t="n">
        <v>0.1466666666666667</v>
      </c>
      <c r="AC688" s="36" t="n">
        <v>18</v>
      </c>
      <c r="AD688" s="37" t="n">
        <v>0.2769230769230769</v>
      </c>
      <c r="AE688" s="36" t="n">
        <v>36</v>
      </c>
      <c r="AF688" s="37" t="n">
        <v>0.1208053691275168</v>
      </c>
      <c r="AG688" s="36" t="n">
        <v>9</v>
      </c>
      <c r="AH688" s="37" t="n">
        <v>0.5</v>
      </c>
    </row>
    <row r="689">
      <c r="A689" s="53" t="n">
        <v>45768</v>
      </c>
      <c r="B689" t="inlineStr">
        <is>
          <t>R10_Sumbagteng</t>
        </is>
      </c>
      <c r="C689" t="inlineStr">
        <is>
          <t>NOP BUKITTINGGI</t>
        </is>
      </c>
      <c r="D689" s="38" t="n">
        <v>2.01</v>
      </c>
      <c r="E689" s="38" t="n">
        <v>6.151999999999992</v>
      </c>
      <c r="F689" s="36" t="n">
        <v>6.22</v>
      </c>
      <c r="G689" s="36" t="n">
        <v>2.99</v>
      </c>
      <c r="H689" s="36" t="n">
        <v>76</v>
      </c>
      <c r="I689" s="37" t="n">
        <v>0.76</v>
      </c>
      <c r="J689" s="36" t="n">
        <v>30</v>
      </c>
      <c r="K689" s="37" t="n">
        <v>0.7894736842105263</v>
      </c>
      <c r="L689" s="36" t="n">
        <v>46</v>
      </c>
      <c r="M689" s="37" t="n">
        <v>0.7419354838709677</v>
      </c>
      <c r="N689" s="36" t="n">
        <v>15</v>
      </c>
      <c r="O689" s="37" t="n">
        <v>0.5</v>
      </c>
      <c r="P689" s="36" t="n">
        <v>15</v>
      </c>
      <c r="Q689" s="37" t="n">
        <v>0.625</v>
      </c>
      <c r="R689" s="36" t="n">
        <v>100</v>
      </c>
      <c r="S689" s="37" t="n">
        <v>1</v>
      </c>
      <c r="T689" s="36" t="n">
        <v>60</v>
      </c>
      <c r="U689" s="37" t="n">
        <v>0.6</v>
      </c>
      <c r="V689" s="38" t="n">
        <v>0</v>
      </c>
      <c r="W689" s="38" t="n">
        <v>2.514</v>
      </c>
      <c r="X689" s="38" t="n">
        <v>8</v>
      </c>
      <c r="Y689" s="38" t="n">
        <v>57.13399999999999</v>
      </c>
      <c r="Z689" s="38" t="n">
        <v>0</v>
      </c>
      <c r="AA689" s="36" t="n">
        <v>96</v>
      </c>
      <c r="AB689" s="37" t="n">
        <v>0.3404255319148936</v>
      </c>
      <c r="AC689" s="36" t="n">
        <v>20</v>
      </c>
      <c r="AD689" s="37" t="n">
        <v>0.8</v>
      </c>
      <c r="AE689" s="36" t="n">
        <v>75</v>
      </c>
      <c r="AF689" s="37" t="n">
        <v>0.3</v>
      </c>
      <c r="AG689" s="36" t="n">
        <v>11</v>
      </c>
      <c r="AH689" s="37" t="n">
        <v>0.55</v>
      </c>
    </row>
    <row r="690">
      <c r="A690" s="53" t="n">
        <v>45768</v>
      </c>
      <c r="B690" t="inlineStr">
        <is>
          <t>R10_Sumbagteng</t>
        </is>
      </c>
      <c r="C690" t="inlineStr">
        <is>
          <t>NOP DUMAI</t>
        </is>
      </c>
      <c r="D690" s="38" t="n">
        <v>1.09</v>
      </c>
      <c r="E690" s="38" t="n">
        <v>5.314999999999999</v>
      </c>
      <c r="F690" s="36" t="n">
        <v>3.57</v>
      </c>
      <c r="G690" s="36" t="n">
        <v>7.417999999999998</v>
      </c>
      <c r="H690" s="36" t="n">
        <v>59</v>
      </c>
      <c r="I690" s="37" t="n">
        <v>0.4503816793893129</v>
      </c>
      <c r="J690" s="36" t="n">
        <v>23</v>
      </c>
      <c r="K690" s="37" t="n">
        <v>0.6216216216216216</v>
      </c>
      <c r="L690" s="36" t="n">
        <v>36</v>
      </c>
      <c r="M690" s="37" t="n">
        <v>0.3829787234042553</v>
      </c>
      <c r="N690" s="36" t="n">
        <v>15</v>
      </c>
      <c r="O690" s="37" t="n">
        <v>0.6521739130434783</v>
      </c>
      <c r="P690" s="36" t="n">
        <v>15</v>
      </c>
      <c r="Q690" s="37" t="n">
        <v>0.6521739130434783</v>
      </c>
      <c r="R690" s="36" t="n">
        <v>129</v>
      </c>
      <c r="S690" s="37" t="n">
        <v>0.9847328244274809</v>
      </c>
      <c r="T690" s="36" t="n">
        <v>39</v>
      </c>
      <c r="U690" s="37" t="n">
        <v>0.2977099236641221</v>
      </c>
      <c r="V690" s="38" t="n">
        <v>0.01</v>
      </c>
      <c r="W690" s="38" t="n">
        <v>3.016000000000002</v>
      </c>
      <c r="X690" s="38" t="n">
        <v>61.72600000000001</v>
      </c>
      <c r="Y690" s="38" t="n">
        <v>61.61199999999999</v>
      </c>
      <c r="Z690" s="38" t="n">
        <v>0</v>
      </c>
      <c r="AA690" s="36" t="n">
        <v>99</v>
      </c>
      <c r="AB690" s="37" t="n">
        <v>0.3113207547169811</v>
      </c>
      <c r="AC690" s="36" t="n">
        <v>30</v>
      </c>
      <c r="AD690" s="37" t="n">
        <v>0.3409090909090909</v>
      </c>
      <c r="AE690" s="36" t="n">
        <v>68</v>
      </c>
      <c r="AF690" s="37" t="n">
        <v>0.3177570093457944</v>
      </c>
      <c r="AG690" s="36" t="n">
        <v>28</v>
      </c>
      <c r="AH690" s="37" t="n">
        <v>0.9333333333333333</v>
      </c>
    </row>
    <row r="691">
      <c r="A691" s="53" t="n">
        <v>45768</v>
      </c>
      <c r="B691" t="inlineStr">
        <is>
          <t>R10_Sumbagteng</t>
        </is>
      </c>
      <c r="C691" t="inlineStr">
        <is>
          <t>NOP PADANG</t>
        </is>
      </c>
      <c r="D691" s="38" t="n">
        <v>3.67</v>
      </c>
      <c r="E691" s="38" t="n">
        <v>1.724</v>
      </c>
      <c r="F691" s="36" t="n">
        <v>14.19500000000001</v>
      </c>
      <c r="G691" s="36" t="n">
        <v>9.23</v>
      </c>
      <c r="H691" s="36" t="n">
        <v>88</v>
      </c>
      <c r="I691" s="37" t="n">
        <v>0.8301886792452831</v>
      </c>
      <c r="J691" s="36" t="n">
        <v>13</v>
      </c>
      <c r="K691" s="37" t="n">
        <v>1</v>
      </c>
      <c r="L691" s="36" t="n">
        <v>75</v>
      </c>
      <c r="M691" s="37" t="n">
        <v>0.8064516129032258</v>
      </c>
      <c r="N691" s="36" t="n">
        <v>10</v>
      </c>
      <c r="O691" s="37" t="n">
        <v>0.7692307692307693</v>
      </c>
      <c r="P691" s="36" t="n">
        <v>10</v>
      </c>
      <c r="Q691" s="37" t="n">
        <v>0.7692307692307693</v>
      </c>
      <c r="R691" s="36" t="n">
        <v>99</v>
      </c>
      <c r="S691" s="37" t="n">
        <v>0.9339622641509434</v>
      </c>
      <c r="T691" s="36" t="n">
        <v>32</v>
      </c>
      <c r="U691" s="37" t="n">
        <v>0.3018867924528302</v>
      </c>
      <c r="V691" s="38" t="n">
        <v>0</v>
      </c>
      <c r="W691" s="38" t="n">
        <v>3.515</v>
      </c>
      <c r="X691" s="38" t="n">
        <v>36.38</v>
      </c>
      <c r="Y691" s="38" t="n">
        <v>83.98999999999999</v>
      </c>
      <c r="Z691" s="38" t="n">
        <v>0</v>
      </c>
      <c r="AA691" s="36" t="n">
        <v>180</v>
      </c>
      <c r="AB691" s="37" t="n">
        <v>0.8490566037735849</v>
      </c>
      <c r="AC691" s="36" t="n">
        <v>31</v>
      </c>
      <c r="AD691" s="37" t="n">
        <v>0.6739130434782609</v>
      </c>
      <c r="AE691" s="36" t="n">
        <v>147</v>
      </c>
      <c r="AF691" s="37" t="n">
        <v>0.8963414634146342</v>
      </c>
      <c r="AG691" s="36" t="n">
        <v>21</v>
      </c>
      <c r="AH691" s="37" t="n">
        <v>0.6774193548387096</v>
      </c>
    </row>
    <row r="692">
      <c r="A692" s="53" t="n">
        <v>45768</v>
      </c>
      <c r="B692" t="inlineStr">
        <is>
          <t>R10_Sumbagteng</t>
        </is>
      </c>
      <c r="C692" t="inlineStr">
        <is>
          <t>NOP PEKANBARU</t>
        </is>
      </c>
      <c r="D692" s="38" t="n">
        <v>0.54</v>
      </c>
      <c r="E692" s="38" t="n">
        <v>3.86</v>
      </c>
      <c r="F692" s="36" t="n">
        <v>5.23</v>
      </c>
      <c r="G692" s="36" t="n">
        <v>4.932000000000004</v>
      </c>
      <c r="H692" s="36" t="n">
        <v>81</v>
      </c>
      <c r="I692" s="37" t="n">
        <v>0.50625</v>
      </c>
      <c r="J692" s="36" t="n">
        <v>10</v>
      </c>
      <c r="K692" s="37" t="n">
        <v>0.3333333333333333</v>
      </c>
      <c r="L692" s="36" t="n">
        <v>71</v>
      </c>
      <c r="M692" s="37" t="n">
        <v>0.5461538461538461</v>
      </c>
      <c r="N692" s="36" t="n">
        <v>8</v>
      </c>
      <c r="O692" s="37" t="n">
        <v>0.8</v>
      </c>
      <c r="P692" s="36" t="n">
        <v>8</v>
      </c>
      <c r="Q692" s="37" t="n">
        <v>0.8</v>
      </c>
      <c r="R692" s="36" t="n">
        <v>160</v>
      </c>
      <c r="S692" s="37" t="n">
        <v>1</v>
      </c>
      <c r="T692" s="36" t="n">
        <v>45</v>
      </c>
      <c r="U692" s="37" t="n">
        <v>0.28125</v>
      </c>
      <c r="V692" s="38" t="n">
        <v>0</v>
      </c>
      <c r="W692" s="38" t="n">
        <v>2.978</v>
      </c>
      <c r="X692" s="38" t="n">
        <v>49.86400000000001</v>
      </c>
      <c r="Y692" s="38" t="n">
        <v>20.802</v>
      </c>
      <c r="Z692" s="38" t="n">
        <v>0</v>
      </c>
      <c r="AA692" s="36" t="n">
        <v>88</v>
      </c>
      <c r="AB692" s="37" t="n">
        <v>0.3320754716981132</v>
      </c>
      <c r="AC692" s="36" t="n">
        <v>30</v>
      </c>
      <c r="AD692" s="37" t="n">
        <v>0.4054054054054054</v>
      </c>
      <c r="AE692" s="36" t="n">
        <v>56</v>
      </c>
      <c r="AF692" s="37" t="n">
        <v>0.3414634146341464</v>
      </c>
      <c r="AG692" s="36" t="n">
        <v>27</v>
      </c>
      <c r="AH692" s="37" t="n">
        <v>0.9</v>
      </c>
    </row>
    <row r="693">
      <c r="A693" s="53" t="n">
        <v>45768</v>
      </c>
      <c r="B693" t="inlineStr">
        <is>
          <t>R02_Sumbagsel</t>
        </is>
      </c>
      <c r="C693" t="inlineStr">
        <is>
          <t>NOP BENGKULU</t>
        </is>
      </c>
      <c r="D693" s="38" t="n">
        <v>0.61</v>
      </c>
      <c r="E693" s="38" t="n">
        <v>2.19</v>
      </c>
      <c r="F693" s="36" t="n">
        <v>3.39</v>
      </c>
      <c r="G693" s="36" t="n">
        <v>2.708</v>
      </c>
      <c r="H693" s="36" t="n">
        <v>43</v>
      </c>
      <c r="I693" s="37" t="n">
        <v>0.3385826771653543</v>
      </c>
      <c r="J693" s="36" t="n">
        <v>11</v>
      </c>
      <c r="K693" s="37" t="n">
        <v>0.22</v>
      </c>
      <c r="L693" s="36" t="n">
        <v>32</v>
      </c>
      <c r="M693" s="37" t="n">
        <v>0.4155844155844156</v>
      </c>
      <c r="N693" s="36" t="n">
        <v>10</v>
      </c>
      <c r="O693" s="37" t="n">
        <v>0.9090909090909091</v>
      </c>
      <c r="P693" s="36" t="n">
        <v>10</v>
      </c>
      <c r="Q693" s="37" t="n">
        <v>0.9090909090909091</v>
      </c>
      <c r="R693" s="36" t="n">
        <v>122</v>
      </c>
      <c r="S693" s="37" t="n">
        <v>0.9606299212598425</v>
      </c>
      <c r="T693" s="36" t="n">
        <v>19</v>
      </c>
      <c r="U693" s="37" t="n">
        <v>0.1496062992125984</v>
      </c>
      <c r="V693" s="38" t="n">
        <v>0</v>
      </c>
      <c r="W693" s="38" t="n">
        <v>6.006</v>
      </c>
      <c r="X693" s="38" t="n">
        <v>3.556</v>
      </c>
      <c r="Y693" s="38" t="n">
        <v>5.404000000000003</v>
      </c>
      <c r="Z693" s="38" t="n">
        <v>0</v>
      </c>
      <c r="AA693" s="36" t="n">
        <v>101</v>
      </c>
      <c r="AB693" s="37" t="n">
        <v>0.4590909090909091</v>
      </c>
      <c r="AC693" s="36" t="n">
        <v>59</v>
      </c>
      <c r="AD693" s="37" t="n">
        <v>0.3986486486486486</v>
      </c>
      <c r="AE693" s="36" t="n">
        <v>34</v>
      </c>
      <c r="AF693" s="37" t="n">
        <v>0.5573770491803278</v>
      </c>
      <c r="AG693" s="36" t="n">
        <v>51</v>
      </c>
      <c r="AH693" s="37" t="n">
        <v>0.864406779661017</v>
      </c>
    </row>
    <row r="694">
      <c r="A694" s="53" t="n">
        <v>45768</v>
      </c>
      <c r="B694" t="inlineStr">
        <is>
          <t>R02_Sumbagsel</t>
        </is>
      </c>
      <c r="C694" t="inlineStr">
        <is>
          <t>NOP JAMBI</t>
        </is>
      </c>
      <c r="D694" s="38" t="n">
        <v>5.208</v>
      </c>
      <c r="E694" s="38" t="n">
        <v>8.06</v>
      </c>
      <c r="F694" s="36" t="n">
        <v>2.862000000000001</v>
      </c>
      <c r="G694" s="36" t="n">
        <v>5.882000000000001</v>
      </c>
      <c r="H694" s="36" t="n">
        <v>77</v>
      </c>
      <c r="I694" s="37" t="n">
        <v>0.5923076923076923</v>
      </c>
      <c r="J694" s="36" t="n">
        <v>28</v>
      </c>
      <c r="K694" s="37" t="n">
        <v>0.6222222222222222</v>
      </c>
      <c r="L694" s="36" t="n">
        <v>49</v>
      </c>
      <c r="M694" s="37" t="n">
        <v>0.5764705882352941</v>
      </c>
      <c r="N694" s="36" t="n">
        <v>16</v>
      </c>
      <c r="O694" s="37" t="n">
        <v>0.5714285714285714</v>
      </c>
      <c r="P694" s="36" t="n">
        <v>16</v>
      </c>
      <c r="Q694" s="37" t="n">
        <v>0.6153846153846154</v>
      </c>
      <c r="R694" s="36" t="n">
        <v>130</v>
      </c>
      <c r="S694" s="37" t="n">
        <v>1</v>
      </c>
      <c r="T694" s="36" t="n">
        <v>38</v>
      </c>
      <c r="U694" s="37" t="n">
        <v>0.2923076923076923</v>
      </c>
      <c r="V694" s="38" t="n">
        <v>0</v>
      </c>
      <c r="W694" s="38" t="n">
        <v>8.310000000000002</v>
      </c>
      <c r="X694" s="38" t="n">
        <v>11.264</v>
      </c>
      <c r="Y694" s="38" t="n">
        <v>18.87100000000013</v>
      </c>
      <c r="Z694" s="38" t="n">
        <v>0</v>
      </c>
      <c r="AA694" s="36" t="n">
        <v>136</v>
      </c>
      <c r="AB694" s="37" t="n">
        <v>0.6210045662100456</v>
      </c>
      <c r="AC694" s="36" t="n">
        <v>64</v>
      </c>
      <c r="AD694" s="37" t="n">
        <v>0.5565217391304348</v>
      </c>
      <c r="AE694" s="36" t="n">
        <v>65</v>
      </c>
      <c r="AF694" s="37" t="n">
        <v>0.7386363636363636</v>
      </c>
      <c r="AG694" s="36" t="n">
        <v>55</v>
      </c>
      <c r="AH694" s="37" t="n">
        <v>0.859375</v>
      </c>
    </row>
    <row r="695">
      <c r="A695" s="53" t="n">
        <v>45768</v>
      </c>
      <c r="B695" t="inlineStr">
        <is>
          <t>R02_Sumbagsel</t>
        </is>
      </c>
      <c r="C695" t="inlineStr">
        <is>
          <t>NOP LAMPUNG</t>
        </is>
      </c>
      <c r="D695" s="38" t="n">
        <v>0</v>
      </c>
      <c r="E695" s="38" t="n">
        <v>5.39</v>
      </c>
      <c r="F695" s="36" t="n">
        <v>2.508</v>
      </c>
      <c r="G695" s="36" t="n">
        <v>4.494000000000002</v>
      </c>
      <c r="H695" s="36" t="n">
        <v>31</v>
      </c>
      <c r="I695" s="37" t="n">
        <v>0.5</v>
      </c>
      <c r="J695" s="36" t="n">
        <v>17</v>
      </c>
      <c r="K695" s="37" t="n">
        <v>0.8095238095238095</v>
      </c>
      <c r="L695" s="36" t="n">
        <v>14</v>
      </c>
      <c r="M695" s="37" t="n">
        <v>0.3414634146341464</v>
      </c>
      <c r="N695" s="36" t="n">
        <v>7</v>
      </c>
      <c r="O695" s="37" t="n">
        <v>0.4117647058823529</v>
      </c>
      <c r="P695" s="36" t="n">
        <v>7</v>
      </c>
      <c r="Q695" s="37" t="n">
        <v>0.4117647058823529</v>
      </c>
      <c r="R695" s="36" t="n">
        <v>62</v>
      </c>
      <c r="S695" s="37" t="n">
        <v>1</v>
      </c>
      <c r="T695" s="36" t="n">
        <v>18</v>
      </c>
      <c r="U695" s="37" t="n">
        <v>0.2903225806451613</v>
      </c>
      <c r="V695" s="38" t="n">
        <v>0</v>
      </c>
      <c r="W695" s="38" t="n">
        <v>6.956000000000001</v>
      </c>
      <c r="X695" s="38" t="n">
        <v>8.598000000000001</v>
      </c>
      <c r="Y695" s="38" t="n">
        <v>11.72800000000001</v>
      </c>
      <c r="Z695" s="38" t="n">
        <v>0</v>
      </c>
      <c r="AA695" s="36" t="n">
        <v>174</v>
      </c>
      <c r="AB695" s="37" t="n">
        <v>0.9109947643979057</v>
      </c>
      <c r="AC695" s="36" t="n">
        <v>43</v>
      </c>
      <c r="AD695" s="37" t="n">
        <v>0.86</v>
      </c>
      <c r="AE695" s="36" t="n">
        <v>127</v>
      </c>
      <c r="AF695" s="37" t="n">
        <v>0.9548872180451128</v>
      </c>
      <c r="AG695" s="36" t="n">
        <v>39</v>
      </c>
      <c r="AH695" s="37" t="n">
        <v>0.9069767441860465</v>
      </c>
    </row>
    <row r="696">
      <c r="A696" s="53" t="n">
        <v>45768</v>
      </c>
      <c r="B696" t="inlineStr">
        <is>
          <t>R02_Sumbagsel</t>
        </is>
      </c>
      <c r="C696" t="inlineStr">
        <is>
          <t>NOP MUARA ENIM</t>
        </is>
      </c>
      <c r="D696" s="38" t="n">
        <v>3.09</v>
      </c>
      <c r="E696" s="38" t="n">
        <v>3.496</v>
      </c>
      <c r="F696" s="36" t="n">
        <v>6.176</v>
      </c>
      <c r="G696" s="36" t="n">
        <v>4.26</v>
      </c>
      <c r="H696" s="36" t="n">
        <v>69</v>
      </c>
      <c r="I696" s="37" t="n">
        <v>0.3854748603351955</v>
      </c>
      <c r="J696" s="36" t="n">
        <v>18</v>
      </c>
      <c r="K696" s="37" t="n">
        <v>0.3333333333333333</v>
      </c>
      <c r="L696" s="36" t="n">
        <v>51</v>
      </c>
      <c r="M696" s="37" t="n">
        <v>0.408</v>
      </c>
      <c r="N696" s="36" t="n">
        <v>9</v>
      </c>
      <c r="O696" s="37" t="n">
        <v>0.5</v>
      </c>
      <c r="P696" s="36" t="n">
        <v>9</v>
      </c>
      <c r="Q696" s="37" t="n">
        <v>0.6428571428571429</v>
      </c>
      <c r="R696" s="36" t="n">
        <v>169</v>
      </c>
      <c r="S696" s="37" t="n">
        <v>0.9441340782122905</v>
      </c>
      <c r="T696" s="36" t="n">
        <v>23</v>
      </c>
      <c r="U696" s="37" t="n">
        <v>0.1284916201117318</v>
      </c>
      <c r="V696" s="38" t="n">
        <v>0</v>
      </c>
      <c r="W696" s="38" t="n">
        <v>3.419</v>
      </c>
      <c r="X696" s="38" t="n">
        <v>6.416</v>
      </c>
      <c r="Y696" s="38" t="n">
        <v>3.914</v>
      </c>
      <c r="Z696" s="38" t="n">
        <v>0</v>
      </c>
      <c r="AA696" s="36" t="n">
        <v>89</v>
      </c>
      <c r="AB696" s="37" t="n">
        <v>0.4759358288770054</v>
      </c>
      <c r="AC696" s="36" t="n">
        <v>33</v>
      </c>
      <c r="AD696" s="37" t="n">
        <v>0.3928571428571428</v>
      </c>
      <c r="AE696" s="36" t="n">
        <v>52</v>
      </c>
      <c r="AF696" s="37" t="n">
        <v>0.6265060240963856</v>
      </c>
      <c r="AG696" s="36" t="n">
        <v>24</v>
      </c>
      <c r="AH696" s="37" t="n">
        <v>0.7272727272727273</v>
      </c>
    </row>
    <row r="697">
      <c r="A697" s="53" t="n">
        <v>45768</v>
      </c>
      <c r="B697" t="inlineStr">
        <is>
          <t>R02_Sumbagsel</t>
        </is>
      </c>
      <c r="C697" t="inlineStr">
        <is>
          <t>NOP PALEMBANG</t>
        </is>
      </c>
      <c r="D697" s="38" t="n">
        <v>1.245</v>
      </c>
      <c r="E697" s="38" t="n">
        <v>3.756</v>
      </c>
      <c r="F697" s="36" t="n">
        <v>4.93</v>
      </c>
      <c r="G697" s="36" t="n">
        <v>8.179999999999996</v>
      </c>
      <c r="H697" s="36" t="n">
        <v>68</v>
      </c>
      <c r="I697" s="37" t="n">
        <v>0.2753036437246963</v>
      </c>
      <c r="J697" s="36" t="n">
        <v>10</v>
      </c>
      <c r="K697" s="37" t="n">
        <v>0.4347826086956522</v>
      </c>
      <c r="L697" s="36" t="n">
        <v>58</v>
      </c>
      <c r="M697" s="37" t="n">
        <v>0.2589285714285715</v>
      </c>
      <c r="N697" s="36" t="n">
        <v>6</v>
      </c>
      <c r="O697" s="37" t="n">
        <v>0.6</v>
      </c>
      <c r="P697" s="36" t="n">
        <v>6</v>
      </c>
      <c r="Q697" s="37" t="n">
        <v>0.6</v>
      </c>
      <c r="R697" s="36" t="n">
        <v>247</v>
      </c>
      <c r="S697" s="37" t="n">
        <v>1</v>
      </c>
      <c r="T697" s="36" t="n">
        <v>23</v>
      </c>
      <c r="U697" s="37" t="n">
        <v>0.0931174089068826</v>
      </c>
      <c r="V697" s="38" t="n">
        <v>0</v>
      </c>
      <c r="W697" s="38" t="n">
        <v>4.161000000000001</v>
      </c>
      <c r="X697" s="38" t="n">
        <v>16.22600000000001</v>
      </c>
      <c r="Y697" s="38" t="n">
        <v>0</v>
      </c>
      <c r="Z697" s="38" t="n">
        <v>0</v>
      </c>
      <c r="AA697" s="36" t="n">
        <v>89</v>
      </c>
      <c r="AB697" s="37" t="n">
        <v>0.4472361809045226</v>
      </c>
      <c r="AC697" s="36" t="n">
        <v>23</v>
      </c>
      <c r="AD697" s="37" t="n">
        <v>0.3108108108108108</v>
      </c>
      <c r="AE697" s="36" t="n">
        <v>66</v>
      </c>
      <c r="AF697" s="37" t="n">
        <v>0.6055045871559633</v>
      </c>
      <c r="AG697" s="36" t="n">
        <v>16</v>
      </c>
      <c r="AH697" s="37" t="n">
        <v>0.6956521739130435</v>
      </c>
    </row>
    <row r="698">
      <c r="A698" s="53" t="n">
        <v>45768</v>
      </c>
      <c r="B698" t="inlineStr">
        <is>
          <t>R02_Sumbagsel</t>
        </is>
      </c>
      <c r="C698" t="inlineStr">
        <is>
          <t>NOP PANGKAL PINANG</t>
        </is>
      </c>
      <c r="D698" s="38" t="n">
        <v>0</v>
      </c>
      <c r="E698" s="38" t="n">
        <v>0</v>
      </c>
      <c r="F698" s="36" t="n">
        <v>5.94</v>
      </c>
      <c r="G698" s="36" t="n">
        <v>4.553999999999999</v>
      </c>
      <c r="H698" s="36" t="n">
        <v>33</v>
      </c>
      <c r="I698" s="37" t="n">
        <v>0.7857142857142857</v>
      </c>
      <c r="J698" s="36" t="n">
        <v>0</v>
      </c>
      <c r="K698" s="37" t="n">
        <v>0</v>
      </c>
      <c r="L698" s="36" t="n">
        <v>33</v>
      </c>
      <c r="M698" s="37" t="n">
        <v>0.7857142857142857</v>
      </c>
      <c r="N698" s="36" t="n">
        <v>0</v>
      </c>
      <c r="O698" s="37" t="n">
        <v>0</v>
      </c>
      <c r="P698" s="36" t="n">
        <v>0</v>
      </c>
      <c r="Q698" s="37" t="n">
        <v>0</v>
      </c>
      <c r="R698" s="36" t="n">
        <v>42</v>
      </c>
      <c r="S698" s="37" t="n">
        <v>1</v>
      </c>
      <c r="T698" s="36" t="n">
        <v>23</v>
      </c>
      <c r="U698" s="37" t="n">
        <v>0.5476190476190477</v>
      </c>
      <c r="V698" s="38" t="n">
        <v>0</v>
      </c>
      <c r="W698" s="38" t="n">
        <v>19</v>
      </c>
      <c r="X698" s="38" t="n">
        <v>5.775</v>
      </c>
      <c r="Y698" s="38" t="n">
        <v>9.278000000000002</v>
      </c>
      <c r="Z698" s="38" t="n">
        <v>0</v>
      </c>
      <c r="AA698" s="36" t="n">
        <v>58</v>
      </c>
      <c r="AB698" s="37" t="n">
        <v>0.7837837837837838</v>
      </c>
      <c r="AC698" s="36" t="n">
        <v>20</v>
      </c>
      <c r="AD698" s="37" t="n">
        <v>0.7692307692307693</v>
      </c>
      <c r="AE698" s="36" t="n">
        <v>35</v>
      </c>
      <c r="AF698" s="37" t="n">
        <v>0.813953488372093</v>
      </c>
      <c r="AG698" s="36" t="n">
        <v>11</v>
      </c>
      <c r="AH698" s="37" t="n">
        <v>0.55</v>
      </c>
    </row>
    <row r="699">
      <c r="A699" s="53" t="n">
        <v>45768</v>
      </c>
      <c r="B699" t="inlineStr">
        <is>
          <t>R05_Jawa Tengah DIY</t>
        </is>
      </c>
      <c r="C699" t="inlineStr">
        <is>
          <t>NOP MAGELANG</t>
        </is>
      </c>
      <c r="D699" s="38" t="n">
        <v>0</v>
      </c>
      <c r="E699" s="38" t="n">
        <v>0</v>
      </c>
      <c r="F699" s="36" t="n">
        <v>1.68</v>
      </c>
      <c r="G699" s="36" t="n">
        <v>2.216</v>
      </c>
      <c r="H699" s="36" t="n">
        <v>10</v>
      </c>
      <c r="I699" s="37" t="n">
        <v>0.8333333333333334</v>
      </c>
      <c r="J699" s="36" t="n">
        <v>0</v>
      </c>
      <c r="K699" s="37" t="n">
        <v>0</v>
      </c>
      <c r="L699" s="36" t="n">
        <v>10</v>
      </c>
      <c r="M699" s="37" t="n">
        <v>0.8333333333333334</v>
      </c>
      <c r="N699" s="36" t="n">
        <v>0</v>
      </c>
      <c r="O699" s="37" t="n">
        <v>0</v>
      </c>
      <c r="P699" s="36" t="n">
        <v>0</v>
      </c>
      <c r="Q699" s="37" t="n">
        <v>0</v>
      </c>
      <c r="R699" s="36" t="n">
        <v>12</v>
      </c>
      <c r="S699" s="37" t="n">
        <v>1</v>
      </c>
      <c r="T699" s="36" t="n">
        <v>8</v>
      </c>
      <c r="U699" s="37" t="n">
        <v>0.6666666666666666</v>
      </c>
      <c r="V699" s="38" t="n">
        <v>0</v>
      </c>
      <c r="W699" s="38" t="n">
        <v>4.204000000000001</v>
      </c>
      <c r="X699" s="38" t="n">
        <v>8.173999999999999</v>
      </c>
      <c r="Y699" s="38" t="n">
        <v>13.2</v>
      </c>
      <c r="Z699" s="38" t="n">
        <v>0</v>
      </c>
      <c r="AA699" s="36" t="n">
        <v>42</v>
      </c>
      <c r="AB699" s="37" t="n">
        <v>0.9545454545454546</v>
      </c>
      <c r="AC699" s="36" t="n">
        <v>10</v>
      </c>
      <c r="AD699" s="37" t="n">
        <v>0.9090909090909091</v>
      </c>
      <c r="AE699" s="36" t="n">
        <v>32</v>
      </c>
      <c r="AF699" s="37" t="n">
        <v>0.9696969696969697</v>
      </c>
      <c r="AG699" s="36" t="n">
        <v>7</v>
      </c>
      <c r="AH699" s="37" t="n">
        <v>0.7</v>
      </c>
    </row>
    <row r="700">
      <c r="A700" s="53" t="n">
        <v>45768</v>
      </c>
      <c r="B700" t="inlineStr">
        <is>
          <t>R05_Jawa Tengah DIY</t>
        </is>
      </c>
      <c r="C700" t="inlineStr">
        <is>
          <t>NOP PEKALONGAN</t>
        </is>
      </c>
      <c r="D700" s="38" t="n">
        <v>2.72</v>
      </c>
      <c r="E700" s="38" t="n">
        <v>0</v>
      </c>
      <c r="F700" s="36" t="n">
        <v>4.255999999999998</v>
      </c>
      <c r="G700" s="36" t="n">
        <v>2.804</v>
      </c>
      <c r="H700" s="36" t="n">
        <v>27</v>
      </c>
      <c r="I700" s="37" t="n">
        <v>0.6923076923076923</v>
      </c>
      <c r="J700" s="36" t="n">
        <v>3</v>
      </c>
      <c r="K700" s="37" t="n">
        <v>0.5</v>
      </c>
      <c r="L700" s="36" t="n">
        <v>24</v>
      </c>
      <c r="M700" s="37" t="n">
        <v>0.7272727272727273</v>
      </c>
      <c r="N700" s="36" t="n">
        <v>3</v>
      </c>
      <c r="O700" s="37" t="n">
        <v>1</v>
      </c>
      <c r="P700" s="36" t="n">
        <v>3</v>
      </c>
      <c r="Q700" s="37" t="n">
        <v>1</v>
      </c>
      <c r="R700" s="36" t="n">
        <v>36</v>
      </c>
      <c r="S700" s="37" t="n">
        <v>0.9230769230769231</v>
      </c>
      <c r="T700" s="36" t="n">
        <v>23</v>
      </c>
      <c r="U700" s="37" t="n">
        <v>0.5897435897435898</v>
      </c>
      <c r="V700" s="38" t="n">
        <v>0</v>
      </c>
      <c r="W700" s="38" t="n">
        <v>4.450000000000001</v>
      </c>
      <c r="X700" s="38" t="n">
        <v>6.284000000000001</v>
      </c>
      <c r="Y700" s="38" t="n">
        <v>18.442</v>
      </c>
      <c r="Z700" s="38" t="n">
        <v>0</v>
      </c>
      <c r="AA700" s="36" t="n">
        <v>42</v>
      </c>
      <c r="AB700" s="37" t="n">
        <v>0.711864406779661</v>
      </c>
      <c r="AC700" s="36" t="n">
        <v>12</v>
      </c>
      <c r="AD700" s="37" t="n">
        <v>0.8571428571428571</v>
      </c>
      <c r="AE700" s="36" t="n">
        <v>30</v>
      </c>
      <c r="AF700" s="37" t="n">
        <v>0.6666666666666666</v>
      </c>
      <c r="AG700" s="36" t="n">
        <v>7</v>
      </c>
      <c r="AH700" s="37" t="n">
        <v>0.5833333333333334</v>
      </c>
    </row>
    <row r="701">
      <c r="A701" s="53" t="n">
        <v>45768</v>
      </c>
      <c r="B701" t="inlineStr">
        <is>
          <t>R05_Jawa Tengah DIY</t>
        </is>
      </c>
      <c r="C701" t="inlineStr">
        <is>
          <t>NOP PURWOKERTO</t>
        </is>
      </c>
      <c r="D701" s="38" t="n">
        <v>0.8899999999999999</v>
      </c>
      <c r="E701" s="38" t="n">
        <v>0</v>
      </c>
      <c r="F701" s="36" t="n">
        <v>1.26</v>
      </c>
      <c r="G701" s="36" t="n">
        <v>5.002000000000001</v>
      </c>
      <c r="H701" s="36" t="n">
        <v>12</v>
      </c>
      <c r="I701" s="37" t="n">
        <v>0.6666666666666666</v>
      </c>
      <c r="J701" s="36" t="n">
        <v>1</v>
      </c>
      <c r="K701" s="37" t="n">
        <v>0.5</v>
      </c>
      <c r="L701" s="36" t="n">
        <v>11</v>
      </c>
      <c r="M701" s="37" t="n">
        <v>0.6875</v>
      </c>
      <c r="N701" s="36" t="n">
        <v>1</v>
      </c>
      <c r="O701" s="37" t="n">
        <v>1</v>
      </c>
      <c r="P701" s="36" t="n">
        <v>1</v>
      </c>
      <c r="Q701" s="37" t="n">
        <v>1</v>
      </c>
      <c r="R701" s="36" t="n">
        <v>17</v>
      </c>
      <c r="S701" s="37" t="n">
        <v>0.9444444444444444</v>
      </c>
      <c r="T701" s="36" t="n">
        <v>5</v>
      </c>
      <c r="U701" s="37" t="n">
        <v>0.2777777777777778</v>
      </c>
      <c r="V701" s="38" t="n">
        <v>0</v>
      </c>
      <c r="W701" s="38" t="n">
        <v>1.084</v>
      </c>
      <c r="X701" s="38" t="n">
        <v>9.968999999999994</v>
      </c>
      <c r="Y701" s="38" t="n">
        <v>16.192</v>
      </c>
      <c r="Z701" s="38" t="n">
        <v>0</v>
      </c>
      <c r="AA701" s="36" t="n">
        <v>24</v>
      </c>
      <c r="AB701" s="37" t="n">
        <v>0.8275862068965517</v>
      </c>
      <c r="AC701" s="36" t="n">
        <v>4</v>
      </c>
      <c r="AD701" s="37" t="n">
        <v>0.8</v>
      </c>
      <c r="AE701" s="36" t="n">
        <v>20</v>
      </c>
      <c r="AF701" s="37" t="n">
        <v>0.8333333333333334</v>
      </c>
      <c r="AG701" s="36" t="n">
        <v>3</v>
      </c>
      <c r="AH701" s="37" t="n">
        <v>0.75</v>
      </c>
    </row>
    <row r="702">
      <c r="A702" s="53" t="n">
        <v>45768</v>
      </c>
      <c r="B702" t="inlineStr">
        <is>
          <t>R05_Jawa Tengah DIY</t>
        </is>
      </c>
      <c r="C702" t="inlineStr">
        <is>
          <t>NOP SEMARANG</t>
        </is>
      </c>
      <c r="D702" s="38" t="n">
        <v>4.346</v>
      </c>
      <c r="E702" s="38" t="n">
        <v>0</v>
      </c>
      <c r="F702" s="36" t="n">
        <v>3.41</v>
      </c>
      <c r="G702" s="36" t="n">
        <v>4.32</v>
      </c>
      <c r="H702" s="36" t="n">
        <v>41</v>
      </c>
      <c r="I702" s="37" t="n">
        <v>0.353448275862069</v>
      </c>
      <c r="J702" s="36" t="n">
        <v>8</v>
      </c>
      <c r="K702" s="37" t="n">
        <v>0.6666666666666666</v>
      </c>
      <c r="L702" s="36" t="n">
        <v>33</v>
      </c>
      <c r="M702" s="37" t="n">
        <v>0.3173076923076923</v>
      </c>
      <c r="N702" s="36" t="n">
        <v>8</v>
      </c>
      <c r="O702" s="37" t="n">
        <v>1</v>
      </c>
      <c r="P702" s="36" t="n">
        <v>8</v>
      </c>
      <c r="Q702" s="37" t="n">
        <v>1</v>
      </c>
      <c r="R702" s="36" t="n">
        <v>112</v>
      </c>
      <c r="S702" s="37" t="n">
        <v>0.9655172413793104</v>
      </c>
      <c r="T702" s="36" t="n">
        <v>23</v>
      </c>
      <c r="U702" s="37" t="n">
        <v>0.1982758620689655</v>
      </c>
      <c r="V702" s="38" t="n">
        <v>1.4</v>
      </c>
      <c r="W702" s="38" t="n">
        <v>5.153</v>
      </c>
      <c r="X702" s="38" t="n">
        <v>4.94</v>
      </c>
      <c r="Y702" s="38" t="n">
        <v>70.267</v>
      </c>
      <c r="Z702" s="38" t="n">
        <v>0</v>
      </c>
      <c r="AA702" s="36" t="n">
        <v>81</v>
      </c>
      <c r="AB702" s="37" t="n">
        <v>0.84375</v>
      </c>
      <c r="AC702" s="36" t="n">
        <v>17</v>
      </c>
      <c r="AD702" s="37" t="n">
        <v>0.8095238095238095</v>
      </c>
      <c r="AE702" s="36" t="n">
        <v>64</v>
      </c>
      <c r="AF702" s="37" t="n">
        <v>0.8533333333333334</v>
      </c>
      <c r="AG702" s="36" t="n">
        <v>12</v>
      </c>
      <c r="AH702" s="37" t="n">
        <v>0.7058823529411765</v>
      </c>
    </row>
    <row r="703">
      <c r="A703" s="53" t="n">
        <v>45768</v>
      </c>
      <c r="B703" t="inlineStr">
        <is>
          <t>R05_Jawa Tengah DIY</t>
        </is>
      </c>
      <c r="C703" t="inlineStr">
        <is>
          <t>NOP SURAKARTA</t>
        </is>
      </c>
      <c r="D703" s="38" t="n">
        <v>2.745</v>
      </c>
      <c r="E703" s="38" t="n">
        <v>0</v>
      </c>
      <c r="F703" s="36" t="n">
        <v>2.9</v>
      </c>
      <c r="G703" s="36" t="n">
        <v>3.078</v>
      </c>
      <c r="H703" s="36" t="n">
        <v>35</v>
      </c>
      <c r="I703" s="37" t="n">
        <v>0.8974358974358975</v>
      </c>
      <c r="J703" s="36" t="n">
        <v>15</v>
      </c>
      <c r="K703" s="37" t="n">
        <v>0.9375</v>
      </c>
      <c r="L703" s="36" t="n">
        <v>20</v>
      </c>
      <c r="M703" s="37" t="n">
        <v>0.8695652173913043</v>
      </c>
      <c r="N703" s="36" t="n">
        <v>14</v>
      </c>
      <c r="O703" s="37" t="n">
        <v>0.9333333333333333</v>
      </c>
      <c r="P703" s="36" t="n">
        <v>14</v>
      </c>
      <c r="Q703" s="37" t="n">
        <v>0.9333333333333333</v>
      </c>
      <c r="R703" s="36" t="n">
        <v>38</v>
      </c>
      <c r="S703" s="37" t="n">
        <v>0.9743589743589743</v>
      </c>
      <c r="T703" s="36" t="n">
        <v>31</v>
      </c>
      <c r="U703" s="37" t="n">
        <v>0.7948717948717948</v>
      </c>
      <c r="V703" s="38" t="n">
        <v>0</v>
      </c>
      <c r="W703" s="38" t="n">
        <v>2.73</v>
      </c>
      <c r="X703" s="38" t="n">
        <v>5.093000000000009</v>
      </c>
      <c r="Y703" s="38" t="n">
        <v>27.762</v>
      </c>
      <c r="Z703" s="38" t="n">
        <v>0</v>
      </c>
      <c r="AA703" s="36" t="n">
        <v>43</v>
      </c>
      <c r="AB703" s="37" t="n">
        <v>0.86</v>
      </c>
      <c r="AC703" s="36" t="n">
        <v>9</v>
      </c>
      <c r="AD703" s="37" t="n">
        <v>0.6923076923076923</v>
      </c>
      <c r="AE703" s="36" t="n">
        <v>34</v>
      </c>
      <c r="AF703" s="37" t="n">
        <v>0.918918918918919</v>
      </c>
      <c r="AG703" s="36" t="n">
        <v>7</v>
      </c>
      <c r="AH703" s="37" t="n">
        <v>0.7777777777777778</v>
      </c>
    </row>
    <row r="704">
      <c r="A704" s="53" t="n">
        <v>45768</v>
      </c>
      <c r="B704" t="inlineStr">
        <is>
          <t>R05_Jawa Tengah DIY</t>
        </is>
      </c>
      <c r="C704" t="inlineStr">
        <is>
          <t>NOP YOGYAKARTA</t>
        </is>
      </c>
      <c r="D704" s="38" t="n">
        <v>0.42</v>
      </c>
      <c r="E704" s="38" t="n">
        <v>0</v>
      </c>
      <c r="F704" s="36" t="n">
        <v>4.431000000000004</v>
      </c>
      <c r="G704" s="36" t="n">
        <v>1.188</v>
      </c>
      <c r="H704" s="36" t="n">
        <v>16</v>
      </c>
      <c r="I704" s="37" t="n">
        <v>0.6666666666666666</v>
      </c>
      <c r="J704" s="36" t="n">
        <v>0</v>
      </c>
      <c r="K704" s="37" t="n">
        <v>0</v>
      </c>
      <c r="L704" s="36" t="n">
        <v>16</v>
      </c>
      <c r="M704" s="37" t="n">
        <v>0.6956521739130435</v>
      </c>
      <c r="N704" s="36" t="n">
        <v>0</v>
      </c>
      <c r="O704" s="37" t="n">
        <v>0</v>
      </c>
      <c r="P704" s="36" t="n">
        <v>0</v>
      </c>
      <c r="Q704" s="37" t="n">
        <v>0</v>
      </c>
      <c r="R704" s="36" t="n">
        <v>23</v>
      </c>
      <c r="S704" s="37" t="n">
        <v>0.9583333333333334</v>
      </c>
      <c r="T704" s="36" t="n">
        <v>12</v>
      </c>
      <c r="U704" s="37" t="n">
        <v>0.5</v>
      </c>
      <c r="V704" s="38" t="n">
        <v>0</v>
      </c>
      <c r="W704" s="38" t="n">
        <v>2.915</v>
      </c>
      <c r="X704" s="38" t="n">
        <v>20.26300000000001</v>
      </c>
      <c r="Y704" s="38" t="n">
        <v>30.907</v>
      </c>
      <c r="Z704" s="38" t="n">
        <v>0</v>
      </c>
      <c r="AA704" s="36" t="n">
        <v>33</v>
      </c>
      <c r="AB704" s="37" t="n">
        <v>0.9166666666666666</v>
      </c>
      <c r="AC704" s="36" t="n">
        <v>5</v>
      </c>
      <c r="AD704" s="37" t="n">
        <v>0.8333333333333334</v>
      </c>
      <c r="AE704" s="36" t="n">
        <v>28</v>
      </c>
      <c r="AF704" s="37" t="n">
        <v>0.9333333333333333</v>
      </c>
      <c r="AG704" s="36" t="n">
        <v>5</v>
      </c>
      <c r="AH704" s="37" t="n">
        <v>1</v>
      </c>
    </row>
    <row r="705">
      <c r="A705" s="53" t="n">
        <v>45768</v>
      </c>
      <c r="B705" t="inlineStr">
        <is>
          <t>R06_Jawa Timur</t>
        </is>
      </c>
      <c r="C705" t="inlineStr">
        <is>
          <t>NOP JEMBER</t>
        </is>
      </c>
      <c r="D705" s="38" t="n">
        <v>2.03</v>
      </c>
      <c r="E705" s="38" t="n">
        <v>0</v>
      </c>
      <c r="F705" s="36" t="n">
        <v>3.646</v>
      </c>
      <c r="G705" s="36" t="n">
        <v>2.055</v>
      </c>
      <c r="H705" s="36" t="n">
        <v>8</v>
      </c>
      <c r="I705" s="37" t="n">
        <v>0.6666666666666666</v>
      </c>
      <c r="J705" s="36" t="n">
        <v>1</v>
      </c>
      <c r="K705" s="37" t="n">
        <v>1</v>
      </c>
      <c r="L705" s="36" t="n">
        <v>7</v>
      </c>
      <c r="M705" s="37" t="n">
        <v>0.6363636363636364</v>
      </c>
      <c r="N705" s="36" t="n">
        <v>1</v>
      </c>
      <c r="O705" s="37" t="n">
        <v>1</v>
      </c>
      <c r="P705" s="36" t="n">
        <v>1</v>
      </c>
      <c r="Q705" s="37" t="n">
        <v>1</v>
      </c>
      <c r="R705" s="36" t="n">
        <v>12</v>
      </c>
      <c r="S705" s="37" t="n">
        <v>1</v>
      </c>
      <c r="T705" s="36" t="n">
        <v>7</v>
      </c>
      <c r="U705" s="37" t="n">
        <v>0.5833333333333334</v>
      </c>
      <c r="V705" s="38" t="n">
        <v>0</v>
      </c>
      <c r="W705" s="38" t="n">
        <v>10.388</v>
      </c>
      <c r="X705" s="38" t="n">
        <v>4.358000000000001</v>
      </c>
      <c r="Y705" s="38" t="n">
        <v>144.652</v>
      </c>
      <c r="Z705" s="38" t="n">
        <v>0</v>
      </c>
      <c r="AA705" s="36" t="n">
        <v>10</v>
      </c>
      <c r="AB705" s="37" t="n">
        <v>0.5</v>
      </c>
      <c r="AC705" s="36" t="n">
        <v>2</v>
      </c>
      <c r="AD705" s="37" t="n">
        <v>0.6666666666666666</v>
      </c>
      <c r="AE705" s="36" t="n">
        <v>8</v>
      </c>
      <c r="AF705" s="37" t="n">
        <v>0.4705882352941176</v>
      </c>
      <c r="AG705" s="36" t="n">
        <v>2</v>
      </c>
      <c r="AH705" s="37" t="n">
        <v>1</v>
      </c>
    </row>
    <row r="706">
      <c r="A706" s="53" t="n">
        <v>45768</v>
      </c>
      <c r="B706" t="inlineStr">
        <is>
          <t>R06_Jawa Timur</t>
        </is>
      </c>
      <c r="C706" t="inlineStr">
        <is>
          <t>NOP KEDIRI</t>
        </is>
      </c>
      <c r="D706" s="38" t="n">
        <v>0</v>
      </c>
      <c r="E706" s="38" t="n">
        <v>0</v>
      </c>
      <c r="F706" s="36" t="n">
        <v>4.731999999999999</v>
      </c>
      <c r="G706" s="36" t="n">
        <v>1.23</v>
      </c>
      <c r="H706" s="36" t="n">
        <v>5</v>
      </c>
      <c r="I706" s="37" t="n">
        <v>0.8333333333333334</v>
      </c>
      <c r="J706" s="36" t="n">
        <v>0</v>
      </c>
      <c r="K706" s="37" t="n">
        <v>0</v>
      </c>
      <c r="L706" s="36" t="n">
        <v>5</v>
      </c>
      <c r="M706" s="37" t="n">
        <v>0.8333333333333334</v>
      </c>
      <c r="N706" s="36" t="n">
        <v>0</v>
      </c>
      <c r="O706" s="37" t="n">
        <v>0</v>
      </c>
      <c r="P706" s="36" t="n">
        <v>0</v>
      </c>
      <c r="Q706" s="37" t="n">
        <v>0</v>
      </c>
      <c r="R706" s="36" t="n">
        <v>6</v>
      </c>
      <c r="S706" s="37" t="n">
        <v>1</v>
      </c>
      <c r="T706" s="36" t="n">
        <v>5</v>
      </c>
      <c r="U706" s="37" t="n">
        <v>0.8333333333333334</v>
      </c>
      <c r="V706" s="38" t="n">
        <v>0</v>
      </c>
      <c r="W706" s="38" t="n">
        <v>1.192</v>
      </c>
      <c r="X706" s="38" t="n">
        <v>1.353999999999999</v>
      </c>
      <c r="Y706" s="38" t="n">
        <v>0</v>
      </c>
      <c r="Z706" s="38" t="n">
        <v>0</v>
      </c>
      <c r="AA706" s="36" t="n">
        <v>14</v>
      </c>
      <c r="AB706" s="37" t="n">
        <v>1</v>
      </c>
      <c r="AC706" s="36" t="n">
        <v>4</v>
      </c>
      <c r="AD706" s="37" t="n">
        <v>1</v>
      </c>
      <c r="AE706" s="36" t="n">
        <v>10</v>
      </c>
      <c r="AF706" s="37" t="n">
        <v>1</v>
      </c>
      <c r="AG706" s="36" t="n">
        <v>4</v>
      </c>
      <c r="AH706" s="37" t="n">
        <v>1</v>
      </c>
    </row>
    <row r="707">
      <c r="A707" s="53" t="n">
        <v>45768</v>
      </c>
      <c r="B707" t="inlineStr">
        <is>
          <t>R06_Jawa Timur</t>
        </is>
      </c>
      <c r="C707" t="inlineStr">
        <is>
          <t>NOP LAMONGAN</t>
        </is>
      </c>
      <c r="D707" s="38" t="n">
        <v>1.54</v>
      </c>
      <c r="E707" s="38" t="n">
        <v>0</v>
      </c>
      <c r="F707" s="36" t="n">
        <v>1.66</v>
      </c>
      <c r="G707" s="36" t="n">
        <v>1.9</v>
      </c>
      <c r="H707" s="36" t="n">
        <v>7</v>
      </c>
      <c r="I707" s="37" t="n">
        <v>0.7</v>
      </c>
      <c r="J707" s="36" t="n">
        <v>1</v>
      </c>
      <c r="K707" s="37" t="n">
        <v>1</v>
      </c>
      <c r="L707" s="36" t="n">
        <v>6</v>
      </c>
      <c r="M707" s="37" t="n">
        <v>0.6666666666666666</v>
      </c>
      <c r="N707" s="36" t="n">
        <v>1</v>
      </c>
      <c r="O707" s="37" t="n">
        <v>1</v>
      </c>
      <c r="P707" s="36" t="n">
        <v>1</v>
      </c>
      <c r="Q707" s="37" t="n">
        <v>1</v>
      </c>
      <c r="R707" s="36" t="n">
        <v>10</v>
      </c>
      <c r="S707" s="37" t="n">
        <v>1</v>
      </c>
      <c r="T707" s="36" t="n">
        <v>7</v>
      </c>
      <c r="U707" s="37" t="n">
        <v>0.7</v>
      </c>
      <c r="V707" s="38" t="n">
        <v>0</v>
      </c>
      <c r="W707" s="38" t="n">
        <v>0.8720000000000001</v>
      </c>
      <c r="X707" s="38" t="n">
        <v>10.696</v>
      </c>
      <c r="Y707" s="38" t="n">
        <v>7.47</v>
      </c>
      <c r="Z707" s="38" t="n">
        <v>0</v>
      </c>
      <c r="AA707" s="36" t="n">
        <v>10</v>
      </c>
      <c r="AB707" s="37" t="n">
        <v>0.6666666666666666</v>
      </c>
      <c r="AC707" s="36" t="n">
        <v>3</v>
      </c>
      <c r="AD707" s="37" t="n">
        <v>0.6</v>
      </c>
      <c r="AE707" s="36" t="n">
        <v>7</v>
      </c>
      <c r="AF707" s="37" t="n">
        <v>0.7</v>
      </c>
      <c r="AG707" s="36" t="n">
        <v>3</v>
      </c>
      <c r="AH707" s="37" t="n">
        <v>1</v>
      </c>
    </row>
    <row r="708">
      <c r="A708" s="53" t="n">
        <v>45768</v>
      </c>
      <c r="B708" t="inlineStr">
        <is>
          <t>R06_Jawa Timur</t>
        </is>
      </c>
      <c r="C708" t="inlineStr">
        <is>
          <t>NOP MADIUN</t>
        </is>
      </c>
      <c r="D708" s="38" t="n">
        <v>0</v>
      </c>
      <c r="E708" s="38" t="n">
        <v>0</v>
      </c>
      <c r="F708" s="36" t="n">
        <v>2.409</v>
      </c>
      <c r="G708" s="36" t="n">
        <v>2.667</v>
      </c>
      <c r="H708" s="36" t="n">
        <v>11</v>
      </c>
      <c r="I708" s="37" t="n">
        <v>0.6875</v>
      </c>
      <c r="J708" s="36" t="n">
        <v>0</v>
      </c>
      <c r="K708" s="37" t="n">
        <v>0</v>
      </c>
      <c r="L708" s="36" t="n">
        <v>11</v>
      </c>
      <c r="M708" s="37" t="n">
        <v>0.6875</v>
      </c>
      <c r="N708" s="36" t="n">
        <v>0</v>
      </c>
      <c r="O708" s="37" t="n">
        <v>0</v>
      </c>
      <c r="P708" s="36" t="n">
        <v>0</v>
      </c>
      <c r="Q708" s="37" t="n">
        <v>0</v>
      </c>
      <c r="R708" s="36" t="n">
        <v>16</v>
      </c>
      <c r="S708" s="37" t="n">
        <v>1</v>
      </c>
      <c r="T708" s="36" t="n">
        <v>7</v>
      </c>
      <c r="U708" s="37" t="n">
        <v>0.4375</v>
      </c>
      <c r="V708" s="38" t="n">
        <v>0</v>
      </c>
      <c r="W708" s="38" t="n">
        <v>2.68</v>
      </c>
      <c r="X708" s="38" t="n">
        <v>3.368</v>
      </c>
      <c r="Y708" s="38" t="n">
        <v>6.27</v>
      </c>
      <c r="Z708" s="38" t="n">
        <v>0</v>
      </c>
      <c r="AA708" s="36" t="n">
        <v>13</v>
      </c>
      <c r="AB708" s="37" t="n">
        <v>0.7647058823529411</v>
      </c>
      <c r="AC708" s="36" t="n">
        <v>5</v>
      </c>
      <c r="AD708" s="37" t="n">
        <v>0.8333333333333334</v>
      </c>
      <c r="AE708" s="36" t="n">
        <v>8</v>
      </c>
      <c r="AF708" s="37" t="n">
        <v>0.7272727272727273</v>
      </c>
      <c r="AG708" s="36" t="n">
        <v>5</v>
      </c>
      <c r="AH708" s="37" t="n">
        <v>1</v>
      </c>
    </row>
    <row r="709">
      <c r="A709" s="53" t="n">
        <v>45768</v>
      </c>
      <c r="B709" t="inlineStr">
        <is>
          <t>R06_Jawa Timur</t>
        </is>
      </c>
      <c r="C709" t="inlineStr">
        <is>
          <t>NOP MALANG</t>
        </is>
      </c>
      <c r="D709" s="38" t="n">
        <v>0</v>
      </c>
      <c r="E709" s="38" t="n">
        <v>0</v>
      </c>
      <c r="F709" s="36" t="n">
        <v>3.4</v>
      </c>
      <c r="G709" s="36" t="n">
        <v>0.62</v>
      </c>
      <c r="H709" s="36" t="n">
        <v>13</v>
      </c>
      <c r="I709" s="37" t="n">
        <v>0.7222222222222222</v>
      </c>
      <c r="J709" s="36" t="n">
        <v>0</v>
      </c>
      <c r="K709" s="37" t="n">
        <v>0</v>
      </c>
      <c r="L709" s="36" t="n">
        <v>13</v>
      </c>
      <c r="M709" s="37" t="n">
        <v>0.7222222222222222</v>
      </c>
      <c r="N709" s="36" t="n">
        <v>0</v>
      </c>
      <c r="O709" s="37" t="n">
        <v>0</v>
      </c>
      <c r="P709" s="36" t="n">
        <v>0</v>
      </c>
      <c r="Q709" s="37" t="n">
        <v>0</v>
      </c>
      <c r="R709" s="36" t="n">
        <v>18</v>
      </c>
      <c r="S709" s="37" t="n">
        <v>1</v>
      </c>
      <c r="T709" s="36" t="n">
        <v>10</v>
      </c>
      <c r="U709" s="37" t="n">
        <v>0.5555555555555556</v>
      </c>
      <c r="V709" s="38" t="n">
        <v>0</v>
      </c>
      <c r="W709" s="38" t="n">
        <v>1.348</v>
      </c>
      <c r="X709" s="38" t="n">
        <v>2.202</v>
      </c>
      <c r="Y709" s="38" t="n">
        <v>11.058</v>
      </c>
      <c r="Z709" s="38" t="n">
        <v>0</v>
      </c>
      <c r="AA709" s="36" t="n">
        <v>12</v>
      </c>
      <c r="AB709" s="37" t="n">
        <v>0.8571428571428571</v>
      </c>
      <c r="AC709" s="36" t="n">
        <v>1</v>
      </c>
      <c r="AD709" s="37" t="n">
        <v>0.3333333333333333</v>
      </c>
      <c r="AE709" s="36" t="n">
        <v>11</v>
      </c>
      <c r="AF709" s="37" t="n">
        <v>1</v>
      </c>
      <c r="AG709" s="36" t="n">
        <v>0</v>
      </c>
      <c r="AH709" s="37" t="n">
        <v>0</v>
      </c>
    </row>
    <row r="710">
      <c r="A710" s="53" t="n">
        <v>45768</v>
      </c>
      <c r="B710" t="inlineStr">
        <is>
          <t>R06_Jawa Timur</t>
        </is>
      </c>
      <c r="C710" t="inlineStr">
        <is>
          <t>NOP SIDOARJO</t>
        </is>
      </c>
      <c r="D710" s="38" t="n">
        <v>1.17</v>
      </c>
      <c r="E710" s="38" t="n">
        <v>0</v>
      </c>
      <c r="F710" s="36" t="n">
        <v>2.08</v>
      </c>
      <c r="G710" s="36" t="n">
        <v>0.499</v>
      </c>
      <c r="H710" s="36" t="n">
        <v>9</v>
      </c>
      <c r="I710" s="37" t="n">
        <v>0.8181818181818182</v>
      </c>
      <c r="J710" s="36" t="n">
        <v>1</v>
      </c>
      <c r="K710" s="37" t="n">
        <v>1</v>
      </c>
      <c r="L710" s="36" t="n">
        <v>8</v>
      </c>
      <c r="M710" s="37" t="n">
        <v>0.8</v>
      </c>
      <c r="N710" s="36" t="n">
        <v>1</v>
      </c>
      <c r="O710" s="37" t="n">
        <v>1</v>
      </c>
      <c r="P710" s="36" t="n">
        <v>1</v>
      </c>
      <c r="Q710" s="37" t="n">
        <v>1</v>
      </c>
      <c r="R710" s="36" t="n">
        <v>11</v>
      </c>
      <c r="S710" s="37" t="n">
        <v>1</v>
      </c>
      <c r="T710" s="36" t="n">
        <v>7</v>
      </c>
      <c r="U710" s="37" t="n">
        <v>0.6363636363636364</v>
      </c>
      <c r="V710" s="38" t="n">
        <v>0</v>
      </c>
      <c r="W710" s="38" t="n">
        <v>132.1909999999998</v>
      </c>
      <c r="X710" s="38" t="n">
        <v>30.732</v>
      </c>
      <c r="Y710" s="38" t="n">
        <v>48.562</v>
      </c>
      <c r="Z710" s="38" t="n">
        <v>0</v>
      </c>
      <c r="AA710" s="36" t="n">
        <v>18</v>
      </c>
      <c r="AB710" s="37" t="n">
        <v>1</v>
      </c>
      <c r="AC710" s="36" t="n">
        <v>10</v>
      </c>
      <c r="AD710" s="37" t="n">
        <v>1</v>
      </c>
      <c r="AE710" s="36" t="n">
        <v>8</v>
      </c>
      <c r="AF710" s="37" t="n">
        <v>1</v>
      </c>
      <c r="AG710" s="36" t="n">
        <v>9</v>
      </c>
      <c r="AH710" s="37" t="n">
        <v>0.9</v>
      </c>
    </row>
    <row r="711">
      <c r="A711" s="53" t="n">
        <v>45768</v>
      </c>
      <c r="B711" t="inlineStr">
        <is>
          <t>R06_Jawa Timur</t>
        </is>
      </c>
      <c r="C711" t="inlineStr">
        <is>
          <t>NOP SURABAYA</t>
        </is>
      </c>
      <c r="D711" s="38" t="n">
        <v>1.034</v>
      </c>
      <c r="E711" s="38" t="n">
        <v>0</v>
      </c>
      <c r="F711" s="36" t="n">
        <v>2.203</v>
      </c>
      <c r="G711" s="36" t="n">
        <v>1.466</v>
      </c>
      <c r="H711" s="36" t="n">
        <v>8</v>
      </c>
      <c r="I711" s="37" t="n">
        <v>0.5714285714285714</v>
      </c>
      <c r="J711" s="36" t="n">
        <v>1</v>
      </c>
      <c r="K711" s="37" t="n">
        <v>0.5</v>
      </c>
      <c r="L711" s="36" t="n">
        <v>7</v>
      </c>
      <c r="M711" s="37" t="n">
        <v>0.5833333333333334</v>
      </c>
      <c r="N711" s="36" t="n">
        <v>1</v>
      </c>
      <c r="O711" s="37" t="n">
        <v>1</v>
      </c>
      <c r="P711" s="36" t="n">
        <v>1</v>
      </c>
      <c r="Q711" s="37" t="n">
        <v>1</v>
      </c>
      <c r="R711" s="36" t="n">
        <v>13</v>
      </c>
      <c r="S711" s="37" t="n">
        <v>0.9285714285714286</v>
      </c>
      <c r="T711" s="36" t="n">
        <v>6</v>
      </c>
      <c r="U711" s="37" t="n">
        <v>0.4285714285714285</v>
      </c>
      <c r="V711" s="38" t="n">
        <v>0</v>
      </c>
      <c r="W711" s="38" t="n">
        <v>2.51</v>
      </c>
      <c r="X711" s="38" t="n">
        <v>5.91</v>
      </c>
      <c r="Y711" s="38" t="n">
        <v>19.931</v>
      </c>
      <c r="Z711" s="38" t="n">
        <v>0</v>
      </c>
      <c r="AA711" s="36" t="n">
        <v>20</v>
      </c>
      <c r="AB711" s="37" t="n">
        <v>0.5714285714285714</v>
      </c>
      <c r="AC711" s="36" t="n">
        <v>1</v>
      </c>
      <c r="AD711" s="37" t="n">
        <v>1</v>
      </c>
      <c r="AE711" s="36" t="n">
        <v>19</v>
      </c>
      <c r="AF711" s="37" t="n">
        <v>0.5588235294117647</v>
      </c>
      <c r="AG711" s="36" t="n">
        <v>1</v>
      </c>
      <c r="AH711" s="37" t="n">
        <v>1</v>
      </c>
    </row>
    <row r="712">
      <c r="A712" s="53" t="n">
        <v>45768</v>
      </c>
      <c r="B712" t="inlineStr">
        <is>
          <t>R07_Bali Nusra</t>
        </is>
      </c>
      <c r="C712" t="inlineStr">
        <is>
          <t>NOP DENPASAR</t>
        </is>
      </c>
      <c r="D712" s="38" t="n">
        <v>0</v>
      </c>
      <c r="E712" s="38" t="n">
        <v>0</v>
      </c>
      <c r="F712" s="36" t="n">
        <v>1.7</v>
      </c>
      <c r="G712" s="36" t="n">
        <v>2.248</v>
      </c>
      <c r="H712" s="36" t="n">
        <v>8</v>
      </c>
      <c r="I712" s="37" t="n">
        <v>1</v>
      </c>
      <c r="J712" s="36" t="n">
        <v>0</v>
      </c>
      <c r="K712" s="37" t="n">
        <v>0</v>
      </c>
      <c r="L712" s="36" t="n">
        <v>8</v>
      </c>
      <c r="M712" s="37" t="n">
        <v>1</v>
      </c>
      <c r="N712" s="36" t="n">
        <v>0</v>
      </c>
      <c r="O712" s="37" t="n">
        <v>0</v>
      </c>
      <c r="P712" s="36" t="n">
        <v>0</v>
      </c>
      <c r="Q712" s="37" t="n">
        <v>0</v>
      </c>
      <c r="R712" s="36" t="n">
        <v>8</v>
      </c>
      <c r="S712" s="37" t="n">
        <v>1</v>
      </c>
      <c r="T712" s="36" t="n">
        <v>7</v>
      </c>
      <c r="U712" s="37" t="n">
        <v>0.875</v>
      </c>
      <c r="V712" s="38" t="n">
        <v>0</v>
      </c>
      <c r="W712" s="38" t="n">
        <v>9.404</v>
      </c>
      <c r="X712" s="38" t="n">
        <v>10.71</v>
      </c>
      <c r="Y712" s="38" t="n">
        <v>79.542</v>
      </c>
      <c r="Z712" s="38" t="n">
        <v>0</v>
      </c>
      <c r="AA712" s="36" t="n">
        <v>18</v>
      </c>
      <c r="AB712" s="37" t="n">
        <v>0.75</v>
      </c>
      <c r="AC712" s="36" t="n">
        <v>4</v>
      </c>
      <c r="AD712" s="37" t="n">
        <v>0.8</v>
      </c>
      <c r="AE712" s="36" t="n">
        <v>14</v>
      </c>
      <c r="AF712" s="37" t="n">
        <v>0.7368421052631579</v>
      </c>
      <c r="AG712" s="36" t="n">
        <v>3</v>
      </c>
      <c r="AH712" s="37" t="n">
        <v>0.75</v>
      </c>
    </row>
    <row r="713">
      <c r="A713" s="53" t="n">
        <v>45768</v>
      </c>
      <c r="B713" t="inlineStr">
        <is>
          <t>R07_Bali Nusra</t>
        </is>
      </c>
      <c r="C713" t="inlineStr">
        <is>
          <t>NOP FLORES</t>
        </is>
      </c>
      <c r="D713" s="38" t="n">
        <v>1.13</v>
      </c>
      <c r="E713" s="38" t="n">
        <v>5.836000000000004</v>
      </c>
      <c r="F713" s="36" t="n">
        <v>3.147</v>
      </c>
      <c r="G713" s="36" t="n">
        <v>4.458</v>
      </c>
      <c r="H713" s="36" t="n">
        <v>34</v>
      </c>
      <c r="I713" s="37" t="n">
        <v>0.6071428571428571</v>
      </c>
      <c r="J713" s="36" t="n">
        <v>15</v>
      </c>
      <c r="K713" s="37" t="n">
        <v>0.9375</v>
      </c>
      <c r="L713" s="36" t="n">
        <v>19</v>
      </c>
      <c r="M713" s="37" t="n">
        <v>0.475</v>
      </c>
      <c r="N713" s="36" t="n">
        <v>8</v>
      </c>
      <c r="O713" s="37" t="n">
        <v>0.5333333333333333</v>
      </c>
      <c r="P713" s="36" t="n">
        <v>8</v>
      </c>
      <c r="Q713" s="37" t="n">
        <v>0.5333333333333333</v>
      </c>
      <c r="R713" s="36" t="n">
        <v>56</v>
      </c>
      <c r="S713" s="37" t="n">
        <v>1</v>
      </c>
      <c r="T713" s="36" t="n">
        <v>18</v>
      </c>
      <c r="U713" s="37" t="n">
        <v>0.3214285714285715</v>
      </c>
      <c r="V713" s="38" t="n">
        <v>0</v>
      </c>
      <c r="W713" s="38" t="n">
        <v>7.391000000000002</v>
      </c>
      <c r="X713" s="38" t="n">
        <v>3.202</v>
      </c>
      <c r="Y713" s="38" t="n">
        <v>20.552</v>
      </c>
      <c r="Z713" s="38" t="n">
        <v>0</v>
      </c>
      <c r="AA713" s="36" t="n">
        <v>93</v>
      </c>
      <c r="AB713" s="37" t="n">
        <v>0.775</v>
      </c>
      <c r="AC713" s="36" t="n">
        <v>70</v>
      </c>
      <c r="AD713" s="37" t="n">
        <v>0.8536585365853658</v>
      </c>
      <c r="AE713" s="36" t="n">
        <v>23</v>
      </c>
      <c r="AF713" s="37" t="n">
        <v>0.6052631578947368</v>
      </c>
      <c r="AG713" s="36" t="n">
        <v>52</v>
      </c>
      <c r="AH713" s="37" t="n">
        <v>0.7428571428571429</v>
      </c>
    </row>
    <row r="714">
      <c r="A714" s="53" t="n">
        <v>45768</v>
      </c>
      <c r="B714" t="inlineStr">
        <is>
          <t>R07_Bali Nusra</t>
        </is>
      </c>
      <c r="C714" t="inlineStr">
        <is>
          <t>NOP KUPANG</t>
        </is>
      </c>
      <c r="D714" s="38" t="n">
        <v>0</v>
      </c>
      <c r="E714" s="38" t="n">
        <v>1.096</v>
      </c>
      <c r="F714" s="36" t="n">
        <v>7.37</v>
      </c>
      <c r="G714" s="36" t="n">
        <v>32.65400000000001</v>
      </c>
      <c r="H714" s="36" t="n">
        <v>5</v>
      </c>
      <c r="I714" s="37" t="n">
        <v>0.1063829787234043</v>
      </c>
      <c r="J714" s="36" t="n">
        <v>0</v>
      </c>
      <c r="K714" s="37" t="n">
        <v>0</v>
      </c>
      <c r="L714" s="36" t="n">
        <v>5</v>
      </c>
      <c r="M714" s="37" t="n">
        <v>0.1136363636363636</v>
      </c>
      <c r="N714" s="36" t="n">
        <v>0</v>
      </c>
      <c r="O714" s="37" t="n">
        <v>0</v>
      </c>
      <c r="P714" s="36" t="n">
        <v>0</v>
      </c>
      <c r="Q714" s="37" t="n">
        <v>0</v>
      </c>
      <c r="R714" s="36" t="n">
        <v>46</v>
      </c>
      <c r="S714" s="37" t="n">
        <v>0.9787234042553191</v>
      </c>
      <c r="T714" s="36" t="n">
        <v>4</v>
      </c>
      <c r="U714" s="37" t="n">
        <v>0.0851063829787234</v>
      </c>
      <c r="V714" s="38" t="n">
        <v>0.217</v>
      </c>
      <c r="W714" s="38" t="n">
        <v>8.627999999999998</v>
      </c>
      <c r="X714" s="38" t="n">
        <v>27.29</v>
      </c>
      <c r="Y714" s="38" t="n">
        <v>66.608</v>
      </c>
      <c r="Z714" s="38" t="n">
        <v>0</v>
      </c>
      <c r="AA714" s="36" t="n">
        <v>31</v>
      </c>
      <c r="AB714" s="37" t="n">
        <v>0.4305555555555556</v>
      </c>
      <c r="AC714" s="36" t="n">
        <v>14</v>
      </c>
      <c r="AD714" s="37" t="n">
        <v>0.358974358974359</v>
      </c>
      <c r="AE714" s="36" t="n">
        <v>17</v>
      </c>
      <c r="AF714" s="37" t="n">
        <v>0.5151515151515151</v>
      </c>
      <c r="AG714" s="36" t="n">
        <v>11</v>
      </c>
      <c r="AH714" s="37" t="n">
        <v>0.7857142857142857</v>
      </c>
    </row>
    <row r="715">
      <c r="A715" s="53" t="n">
        <v>45768</v>
      </c>
      <c r="B715" t="inlineStr">
        <is>
          <t>R07_Bali Nusra</t>
        </is>
      </c>
      <c r="C715" t="inlineStr">
        <is>
          <t>NOP MATARAM</t>
        </is>
      </c>
      <c r="D715" s="38" t="n">
        <v>3.13</v>
      </c>
      <c r="E715" s="38" t="n">
        <v>4.462</v>
      </c>
      <c r="F715" s="36" t="n">
        <v>4.561999999999999</v>
      </c>
      <c r="G715" s="36" t="n">
        <v>2.752</v>
      </c>
      <c r="H715" s="36" t="n">
        <v>20</v>
      </c>
      <c r="I715" s="37" t="n">
        <v>0.5</v>
      </c>
      <c r="J715" s="36" t="n">
        <v>8</v>
      </c>
      <c r="K715" s="37" t="n">
        <v>0.8888888888888888</v>
      </c>
      <c r="L715" s="36" t="n">
        <v>12</v>
      </c>
      <c r="M715" s="37" t="n">
        <v>0.3870967741935484</v>
      </c>
      <c r="N715" s="36" t="n">
        <v>6</v>
      </c>
      <c r="O715" s="37" t="n">
        <v>0.75</v>
      </c>
      <c r="P715" s="36" t="n">
        <v>6</v>
      </c>
      <c r="Q715" s="37" t="n">
        <v>0.75</v>
      </c>
      <c r="R715" s="36" t="n">
        <v>40</v>
      </c>
      <c r="S715" s="37" t="n">
        <v>1</v>
      </c>
      <c r="T715" s="36" t="n">
        <v>9</v>
      </c>
      <c r="U715" s="37" t="n">
        <v>0.225</v>
      </c>
      <c r="V715" s="38" t="n">
        <v>0</v>
      </c>
      <c r="W715" s="38" t="n">
        <v>52.32800000000003</v>
      </c>
      <c r="X715" s="38" t="n">
        <v>23.254</v>
      </c>
      <c r="Y715" s="38" t="n">
        <v>17.88</v>
      </c>
      <c r="Z715" s="38" t="n">
        <v>0</v>
      </c>
      <c r="AA715" s="36" t="n">
        <v>31</v>
      </c>
      <c r="AB715" s="37" t="n">
        <v>0.5166666666666667</v>
      </c>
      <c r="AC715" s="36" t="n">
        <v>25</v>
      </c>
      <c r="AD715" s="37" t="n">
        <v>0.5813953488372093</v>
      </c>
      <c r="AE715" s="36" t="n">
        <v>6</v>
      </c>
      <c r="AF715" s="37" t="n">
        <v>0.3529411764705883</v>
      </c>
      <c r="AG715" s="36" t="n">
        <v>18</v>
      </c>
      <c r="AH715" s="37" t="n">
        <v>0.72</v>
      </c>
    </row>
    <row r="716">
      <c r="A716" s="53" t="n">
        <v>45769</v>
      </c>
      <c r="B716" t="inlineStr">
        <is>
          <t>R01_Sumbagut</t>
        </is>
      </c>
      <c r="C716" t="inlineStr">
        <is>
          <t>NOP ACEH</t>
        </is>
      </c>
      <c r="D716" s="38" t="n">
        <v>2.05</v>
      </c>
      <c r="E716" s="38" t="n">
        <v>3.676</v>
      </c>
      <c r="F716" s="36" t="n">
        <v>1.97</v>
      </c>
      <c r="G716" s="36" t="n">
        <v>5.314999999999997</v>
      </c>
      <c r="H716" s="36" t="n">
        <v>71</v>
      </c>
      <c r="I716" s="37" t="n">
        <v>0.7717391304347826</v>
      </c>
      <c r="J716" s="36" t="n">
        <v>24</v>
      </c>
      <c r="K716" s="37" t="n">
        <v>0.8275862068965517</v>
      </c>
      <c r="L716" s="36" t="n">
        <v>47</v>
      </c>
      <c r="M716" s="37" t="n">
        <v>0.746031746031746</v>
      </c>
      <c r="N716" s="36" t="n">
        <v>7</v>
      </c>
      <c r="O716" s="37" t="n">
        <v>0.2916666666666667</v>
      </c>
      <c r="P716" s="36" t="n">
        <v>7</v>
      </c>
      <c r="Q716" s="37" t="n">
        <v>0.2916666666666667</v>
      </c>
      <c r="R716" s="36" t="n">
        <v>92</v>
      </c>
      <c r="S716" s="37" t="n">
        <v>1</v>
      </c>
      <c r="T716" s="36" t="n">
        <v>22</v>
      </c>
      <c r="U716" s="37" t="n">
        <v>0.2391304347826087</v>
      </c>
      <c r="V716" s="38" t="n">
        <v>0</v>
      </c>
      <c r="W716" s="38" t="n">
        <v>2.169000000000005</v>
      </c>
      <c r="X716" s="38" t="n">
        <v>34.25200000000006</v>
      </c>
      <c r="Y716" s="38" t="n">
        <v>145.432</v>
      </c>
      <c r="Z716" s="38" t="n">
        <v>0</v>
      </c>
      <c r="AA716" s="36" t="n">
        <v>333</v>
      </c>
      <c r="AB716" s="37" t="n">
        <v>0.7909738717339667</v>
      </c>
      <c r="AC716" s="36" t="n">
        <v>34</v>
      </c>
      <c r="AD716" s="37" t="n">
        <v>0.5</v>
      </c>
      <c r="AE716" s="36" t="n">
        <v>295</v>
      </c>
      <c r="AF716" s="37" t="n">
        <v>0.8575581395348837</v>
      </c>
      <c r="AG716" s="36" t="n">
        <v>7</v>
      </c>
      <c r="AH716" s="37" t="n">
        <v>0.2058823529411765</v>
      </c>
    </row>
    <row r="717">
      <c r="A717" s="53" t="n">
        <v>45769</v>
      </c>
      <c r="B717" t="inlineStr">
        <is>
          <t>R01_Sumbagut</t>
        </is>
      </c>
      <c r="C717" t="inlineStr">
        <is>
          <t>NOP BINJAI</t>
        </is>
      </c>
      <c r="D717" s="38" t="n">
        <v>0</v>
      </c>
      <c r="E717" s="38" t="n">
        <v>0.674</v>
      </c>
      <c r="F717" s="36" t="n">
        <v>2.26</v>
      </c>
      <c r="G717" s="36" t="n">
        <v>1.455</v>
      </c>
      <c r="H717" s="36" t="n">
        <v>16</v>
      </c>
      <c r="I717" s="37" t="n">
        <v>0.5517241379310345</v>
      </c>
      <c r="J717" s="36" t="n">
        <v>1</v>
      </c>
      <c r="K717" s="37" t="n">
        <v>0.3333333333333333</v>
      </c>
      <c r="L717" s="36" t="n">
        <v>15</v>
      </c>
      <c r="M717" s="37" t="n">
        <v>0.5769230769230769</v>
      </c>
      <c r="N717" s="36" t="n">
        <v>0</v>
      </c>
      <c r="O717" s="37" t="n">
        <v>0</v>
      </c>
      <c r="P717" s="36" t="n">
        <v>0</v>
      </c>
      <c r="Q717" s="37" t="n">
        <v>0</v>
      </c>
      <c r="R717" s="36" t="n">
        <v>29</v>
      </c>
      <c r="S717" s="37" t="n">
        <v>1</v>
      </c>
      <c r="T717" s="36" t="n">
        <v>9</v>
      </c>
      <c r="U717" s="37" t="n">
        <v>0.3103448275862069</v>
      </c>
      <c r="V717" s="38" t="n">
        <v>0</v>
      </c>
      <c r="W717" s="38" t="n">
        <v>2.630000000000002</v>
      </c>
      <c r="X717" s="38" t="n">
        <v>14.07</v>
      </c>
      <c r="Y717" s="38" t="n">
        <v>36.425</v>
      </c>
      <c r="Z717" s="38" t="n">
        <v>0</v>
      </c>
      <c r="AA717" s="36" t="n">
        <v>68</v>
      </c>
      <c r="AB717" s="37" t="n">
        <v>0.7640449438202247</v>
      </c>
      <c r="AC717" s="36" t="n">
        <v>20</v>
      </c>
      <c r="AD717" s="37" t="n">
        <v>0.5714285714285714</v>
      </c>
      <c r="AE717" s="36" t="n">
        <v>44</v>
      </c>
      <c r="AF717" s="37" t="n">
        <v>0.88</v>
      </c>
      <c r="AG717" s="36" t="n">
        <v>7</v>
      </c>
      <c r="AH717" s="37" t="n">
        <v>0.35</v>
      </c>
    </row>
    <row r="718">
      <c r="A718" s="53" t="n">
        <v>45769</v>
      </c>
      <c r="B718" t="inlineStr">
        <is>
          <t>R01_Sumbagut</t>
        </is>
      </c>
      <c r="C718" t="inlineStr">
        <is>
          <t>NOP MEDAN</t>
        </is>
      </c>
      <c r="D718" s="38" t="n">
        <v>2.42</v>
      </c>
      <c r="E718" s="38" t="n">
        <v>2.956000000000001</v>
      </c>
      <c r="F718" s="36" t="n">
        <v>6.57</v>
      </c>
      <c r="G718" s="36" t="n">
        <v>4.065</v>
      </c>
      <c r="H718" s="36" t="n">
        <v>27</v>
      </c>
      <c r="I718" s="37" t="n">
        <v>0.3552631578947368</v>
      </c>
      <c r="J718" s="36" t="n">
        <v>11</v>
      </c>
      <c r="K718" s="37" t="n">
        <v>0.44</v>
      </c>
      <c r="L718" s="36" t="n">
        <v>16</v>
      </c>
      <c r="M718" s="37" t="n">
        <v>0.3137254901960784</v>
      </c>
      <c r="N718" s="36" t="n">
        <v>9</v>
      </c>
      <c r="O718" s="37" t="n">
        <v>0.8181818181818182</v>
      </c>
      <c r="P718" s="36" t="n">
        <v>9</v>
      </c>
      <c r="Q718" s="37" t="n">
        <v>0.8181818181818182</v>
      </c>
      <c r="R718" s="36" t="n">
        <v>76</v>
      </c>
      <c r="S718" s="37" t="n">
        <v>1</v>
      </c>
      <c r="T718" s="36" t="n">
        <v>22</v>
      </c>
      <c r="U718" s="37" t="n">
        <v>0.2894736842105263</v>
      </c>
      <c r="V718" s="38" t="n">
        <v>0</v>
      </c>
      <c r="W718" s="38" t="n">
        <v>1.364</v>
      </c>
      <c r="X718" s="38" t="n">
        <v>15.9</v>
      </c>
      <c r="Y718" s="38" t="n">
        <v>20.24599999999998</v>
      </c>
      <c r="Z718" s="38" t="n">
        <v>0</v>
      </c>
      <c r="AA718" s="36" t="n">
        <v>23</v>
      </c>
      <c r="AB718" s="37" t="n">
        <v>0.3285714285714286</v>
      </c>
      <c r="AC718" s="36" t="n">
        <v>2</v>
      </c>
      <c r="AD718" s="37" t="n">
        <v>0.1538461538461539</v>
      </c>
      <c r="AE718" s="36" t="n">
        <v>19</v>
      </c>
      <c r="AF718" s="37" t="n">
        <v>0.38</v>
      </c>
      <c r="AG718" s="36" t="n">
        <v>1</v>
      </c>
      <c r="AH718" s="37" t="n">
        <v>0.5</v>
      </c>
    </row>
    <row r="719">
      <c r="A719" s="53" t="n">
        <v>45769</v>
      </c>
      <c r="B719" t="inlineStr">
        <is>
          <t>R01_Sumbagut</t>
        </is>
      </c>
      <c r="C719" t="inlineStr">
        <is>
          <t>NOP PADANG SIDEMPUAN</t>
        </is>
      </c>
      <c r="D719" s="38" t="n">
        <v>0</v>
      </c>
      <c r="E719" s="38" t="n">
        <v>2.923999999999999</v>
      </c>
      <c r="F719" s="36" t="n">
        <v>4.07</v>
      </c>
      <c r="G719" s="36" t="n">
        <v>4.832000000000002</v>
      </c>
      <c r="H719" s="36" t="n">
        <v>15</v>
      </c>
      <c r="I719" s="37" t="n">
        <v>0.1923076923076923</v>
      </c>
      <c r="J719" s="36" t="n">
        <v>4</v>
      </c>
      <c r="K719" s="37" t="n">
        <v>0.2666666666666667</v>
      </c>
      <c r="L719" s="36" t="n">
        <v>11</v>
      </c>
      <c r="M719" s="37" t="n">
        <v>0.1746031746031746</v>
      </c>
      <c r="N719" s="36" t="n">
        <v>2</v>
      </c>
      <c r="O719" s="37" t="n">
        <v>0.5</v>
      </c>
      <c r="P719" s="36" t="n">
        <v>2</v>
      </c>
      <c r="Q719" s="37" t="n">
        <v>0.5</v>
      </c>
      <c r="R719" s="36" t="n">
        <v>77</v>
      </c>
      <c r="S719" s="37" t="n">
        <v>0.9871794871794872</v>
      </c>
      <c r="T719" s="36" t="n">
        <v>7</v>
      </c>
      <c r="U719" s="37" t="n">
        <v>0.08974358974358974</v>
      </c>
      <c r="V719" s="38" t="n">
        <v>0.01</v>
      </c>
      <c r="W719" s="38" t="n">
        <v>2.323000000000003</v>
      </c>
      <c r="X719" s="38" t="n">
        <v>8.262</v>
      </c>
      <c r="Y719" s="38" t="n">
        <v>73.61</v>
      </c>
      <c r="Z719" s="38" t="n">
        <v>0</v>
      </c>
      <c r="AA719" s="36" t="n">
        <v>91</v>
      </c>
      <c r="AB719" s="37" t="n">
        <v>0.2852664576802508</v>
      </c>
      <c r="AC719" s="36" t="n">
        <v>31</v>
      </c>
      <c r="AD719" s="37" t="n">
        <v>0.3780487804878049</v>
      </c>
      <c r="AE719" s="36" t="n">
        <v>60</v>
      </c>
      <c r="AF719" s="37" t="n">
        <v>0.2553191489361702</v>
      </c>
      <c r="AG719" s="36" t="n">
        <v>12</v>
      </c>
      <c r="AH719" s="37" t="n">
        <v>0.3870967741935484</v>
      </c>
    </row>
    <row r="720">
      <c r="A720" s="53" t="n">
        <v>45769</v>
      </c>
      <c r="B720" t="inlineStr">
        <is>
          <t>R01_Sumbagut</t>
        </is>
      </c>
      <c r="C720" t="inlineStr">
        <is>
          <t>NOP PEMATANG SIANTAR</t>
        </is>
      </c>
      <c r="D720" s="38" t="n">
        <v>0.5880000000000001</v>
      </c>
      <c r="E720" s="38" t="n">
        <v>17.00700000000002</v>
      </c>
      <c r="F720" s="36" t="n">
        <v>4.54</v>
      </c>
      <c r="G720" s="36" t="n">
        <v>4.012</v>
      </c>
      <c r="H720" s="36" t="n">
        <v>43</v>
      </c>
      <c r="I720" s="37" t="n">
        <v>0.3282442748091603</v>
      </c>
      <c r="J720" s="36" t="n">
        <v>12</v>
      </c>
      <c r="K720" s="37" t="n">
        <v>0.5217391304347826</v>
      </c>
      <c r="L720" s="36" t="n">
        <v>31</v>
      </c>
      <c r="M720" s="37" t="n">
        <v>0.287037037037037</v>
      </c>
      <c r="N720" s="36" t="n">
        <v>7</v>
      </c>
      <c r="O720" s="37" t="n">
        <v>0.5833333333333334</v>
      </c>
      <c r="P720" s="36" t="n">
        <v>7</v>
      </c>
      <c r="Q720" s="37" t="n">
        <v>0.5833333333333334</v>
      </c>
      <c r="R720" s="36" t="n">
        <v>130</v>
      </c>
      <c r="S720" s="37" t="n">
        <v>0.9923664122137404</v>
      </c>
      <c r="T720" s="36" t="n">
        <v>27</v>
      </c>
      <c r="U720" s="37" t="n">
        <v>0.2061068702290076</v>
      </c>
      <c r="V720" s="38" t="n">
        <v>0.03</v>
      </c>
      <c r="W720" s="38" t="n">
        <v>6.504000000000001</v>
      </c>
      <c r="X720" s="38" t="n">
        <v>83.40000000000001</v>
      </c>
      <c r="Y720" s="38" t="n">
        <v>40.938</v>
      </c>
      <c r="Z720" s="38" t="n">
        <v>0</v>
      </c>
      <c r="AA720" s="36" t="n">
        <v>50</v>
      </c>
      <c r="AB720" s="37" t="n">
        <v>0.1412429378531073</v>
      </c>
      <c r="AC720" s="36" t="n">
        <v>14</v>
      </c>
      <c r="AD720" s="37" t="n">
        <v>0.3414634146341464</v>
      </c>
      <c r="AE720" s="36" t="n">
        <v>36</v>
      </c>
      <c r="AF720" s="37" t="n">
        <v>0.1157556270096463</v>
      </c>
      <c r="AG720" s="36" t="n">
        <v>11</v>
      </c>
      <c r="AH720" s="37" t="n">
        <v>0.7857142857142857</v>
      </c>
    </row>
    <row r="721">
      <c r="A721" s="53" t="n">
        <v>45769</v>
      </c>
      <c r="B721" t="inlineStr">
        <is>
          <t>R01_Sumbagut</t>
        </is>
      </c>
      <c r="C721" t="inlineStr">
        <is>
          <t>NOP RANTAU PRAPAT</t>
        </is>
      </c>
      <c r="D721" s="38" t="n">
        <v>9.210000000000001</v>
      </c>
      <c r="E721" s="38" t="n">
        <v>7.348000000000001</v>
      </c>
      <c r="F721" s="36" t="n">
        <v>9.290000000000001</v>
      </c>
      <c r="G721" s="36" t="n">
        <v>8.774000000000001</v>
      </c>
      <c r="H721" s="36" t="n">
        <v>119</v>
      </c>
      <c r="I721" s="37" t="n">
        <v>0.3695652173913043</v>
      </c>
      <c r="J721" s="36" t="n">
        <v>36</v>
      </c>
      <c r="K721" s="37" t="n">
        <v>0.3829787234042553</v>
      </c>
      <c r="L721" s="36" t="n">
        <v>83</v>
      </c>
      <c r="M721" s="37" t="n">
        <v>0.3640350877192983</v>
      </c>
      <c r="N721" s="36" t="n">
        <v>16</v>
      </c>
      <c r="O721" s="37" t="n">
        <v>0.4444444444444444</v>
      </c>
      <c r="P721" s="36" t="n">
        <v>16</v>
      </c>
      <c r="Q721" s="37" t="n">
        <v>0.4571428571428571</v>
      </c>
      <c r="R721" s="36" t="n">
        <v>312</v>
      </c>
      <c r="S721" s="37" t="n">
        <v>0.968944099378882</v>
      </c>
      <c r="T721" s="36" t="n">
        <v>49</v>
      </c>
      <c r="U721" s="37" t="n">
        <v>0.1521739130434783</v>
      </c>
      <c r="V721" s="38" t="n">
        <v>0.02</v>
      </c>
      <c r="W721" s="38" t="n">
        <v>7.516000000000004</v>
      </c>
      <c r="X721" s="38" t="n">
        <v>32.17600000000014</v>
      </c>
      <c r="Y721" s="38" t="n">
        <v>254.84</v>
      </c>
      <c r="Z721" s="38" t="n">
        <v>0</v>
      </c>
      <c r="AA721" s="36" t="n">
        <v>34</v>
      </c>
      <c r="AB721" s="37" t="n">
        <v>0.07798165137614679</v>
      </c>
      <c r="AC721" s="36" t="n">
        <v>17</v>
      </c>
      <c r="AD721" s="37" t="n">
        <v>0.3148148148148148</v>
      </c>
      <c r="AE721" s="36" t="n">
        <v>15</v>
      </c>
      <c r="AF721" s="37" t="n">
        <v>0.04155124653739612</v>
      </c>
      <c r="AG721" s="36" t="n">
        <v>8</v>
      </c>
      <c r="AH721" s="37" t="n">
        <v>0.4705882352941176</v>
      </c>
    </row>
    <row r="722">
      <c r="A722" s="53" t="n">
        <v>45769</v>
      </c>
      <c r="B722" t="inlineStr">
        <is>
          <t>R10_Sumbagteng</t>
        </is>
      </c>
      <c r="C722" t="inlineStr">
        <is>
          <t>NOP BATAM</t>
        </is>
      </c>
      <c r="D722" s="38" t="n">
        <v>7.55</v>
      </c>
      <c r="E722" s="38" t="n">
        <v>14.98</v>
      </c>
      <c r="F722" s="36" t="n">
        <v>6.745</v>
      </c>
      <c r="G722" s="36" t="n">
        <v>12.986</v>
      </c>
      <c r="H722" s="36" t="n">
        <v>46</v>
      </c>
      <c r="I722" s="37" t="n">
        <v>0.2513661202185792</v>
      </c>
      <c r="J722" s="36" t="n">
        <v>19</v>
      </c>
      <c r="K722" s="37" t="n">
        <v>0.475</v>
      </c>
      <c r="L722" s="36" t="n">
        <v>27</v>
      </c>
      <c r="M722" s="37" t="n">
        <v>0.1888111888111888</v>
      </c>
      <c r="N722" s="36" t="n">
        <v>9</v>
      </c>
      <c r="O722" s="37" t="n">
        <v>0.4736842105263158</v>
      </c>
      <c r="P722" s="36" t="n">
        <v>9</v>
      </c>
      <c r="Q722" s="37" t="n">
        <v>0.4736842105263158</v>
      </c>
      <c r="R722" s="36" t="n">
        <v>182</v>
      </c>
      <c r="S722" s="37" t="n">
        <v>0.9945355191256831</v>
      </c>
      <c r="T722" s="36" t="n">
        <v>31</v>
      </c>
      <c r="U722" s="37" t="n">
        <v>0.1693989071038251</v>
      </c>
      <c r="V722" s="38" t="n">
        <v>0</v>
      </c>
      <c r="W722" s="38" t="n">
        <v>3.322000000000003</v>
      </c>
      <c r="X722" s="38" t="n">
        <v>46.24900000000004</v>
      </c>
      <c r="Y722" s="38" t="n">
        <v>75.26200000000004</v>
      </c>
      <c r="Z722" s="38" t="n">
        <v>0</v>
      </c>
      <c r="AA722" s="36" t="n">
        <v>27</v>
      </c>
      <c r="AB722" s="37" t="n">
        <v>0.06428571428571428</v>
      </c>
      <c r="AC722" s="36" t="n">
        <v>15</v>
      </c>
      <c r="AD722" s="37" t="n">
        <v>0.2173913043478261</v>
      </c>
      <c r="AE722" s="36" t="n">
        <v>12</v>
      </c>
      <c r="AF722" s="37" t="n">
        <v>0.03508771929824561</v>
      </c>
      <c r="AG722" s="36" t="n">
        <v>14</v>
      </c>
      <c r="AH722" s="37" t="n">
        <v>0.9333333333333333</v>
      </c>
    </row>
    <row r="723">
      <c r="A723" s="53" t="n">
        <v>45769</v>
      </c>
      <c r="B723" t="inlineStr">
        <is>
          <t>R10_Sumbagteng</t>
        </is>
      </c>
      <c r="C723" t="inlineStr">
        <is>
          <t>NOP BUKITTINGGI</t>
        </is>
      </c>
      <c r="D723" s="38" t="n">
        <v>0</v>
      </c>
      <c r="E723" s="38" t="n">
        <v>9.658000000000007</v>
      </c>
      <c r="F723" s="36" t="n">
        <v>1.27</v>
      </c>
      <c r="G723" s="36" t="n">
        <v>10.034</v>
      </c>
      <c r="H723" s="36" t="n">
        <v>31</v>
      </c>
      <c r="I723" s="37" t="n">
        <v>0.8378378378378378</v>
      </c>
      <c r="J723" s="36" t="n">
        <v>9</v>
      </c>
      <c r="K723" s="37" t="n">
        <v>1</v>
      </c>
      <c r="L723" s="36" t="n">
        <v>22</v>
      </c>
      <c r="M723" s="37" t="n">
        <v>0.7857142857142857</v>
      </c>
      <c r="N723" s="36" t="n">
        <v>5</v>
      </c>
      <c r="O723" s="37" t="n">
        <v>0.5555555555555556</v>
      </c>
      <c r="P723" s="36" t="n">
        <v>5</v>
      </c>
      <c r="Q723" s="37" t="n">
        <v>0.5555555555555556</v>
      </c>
      <c r="R723" s="36" t="n">
        <v>36</v>
      </c>
      <c r="S723" s="37" t="n">
        <v>0.972972972972973</v>
      </c>
      <c r="T723" s="36" t="n">
        <v>19</v>
      </c>
      <c r="U723" s="37" t="n">
        <v>0.5135135135135135</v>
      </c>
      <c r="V723" s="38" t="n">
        <v>0.06</v>
      </c>
      <c r="W723" s="38" t="n">
        <v>2</v>
      </c>
      <c r="X723" s="38" t="n">
        <v>10.11</v>
      </c>
      <c r="Y723" s="38" t="n">
        <v>79.97</v>
      </c>
      <c r="Z723" s="38" t="n">
        <v>0</v>
      </c>
      <c r="AA723" s="36" t="n">
        <v>124</v>
      </c>
      <c r="AB723" s="37" t="n">
        <v>0.1753889674681754</v>
      </c>
      <c r="AC723" s="36" t="n">
        <v>33</v>
      </c>
      <c r="AD723" s="37" t="n">
        <v>0.9166666666666666</v>
      </c>
      <c r="AE723" s="36" t="n">
        <v>90</v>
      </c>
      <c r="AF723" s="37" t="n">
        <v>0.1343283582089552</v>
      </c>
      <c r="AG723" s="36" t="n">
        <v>25</v>
      </c>
      <c r="AH723" s="37" t="n">
        <v>0.7575757575757576</v>
      </c>
    </row>
    <row r="724">
      <c r="A724" s="53" t="n">
        <v>45769</v>
      </c>
      <c r="B724" t="inlineStr">
        <is>
          <t>R10_Sumbagteng</t>
        </is>
      </c>
      <c r="C724" t="inlineStr">
        <is>
          <t>NOP DUMAI</t>
        </is>
      </c>
      <c r="D724" s="38" t="n">
        <v>2.83</v>
      </c>
      <c r="E724" s="38" t="n">
        <v>5.35</v>
      </c>
      <c r="F724" s="36" t="n">
        <v>4.882000000000001</v>
      </c>
      <c r="G724" s="36" t="n">
        <v>10.093</v>
      </c>
      <c r="H724" s="36" t="n">
        <v>111</v>
      </c>
      <c r="I724" s="37" t="n">
        <v>0.3950177935943061</v>
      </c>
      <c r="J724" s="36" t="n">
        <v>38</v>
      </c>
      <c r="K724" s="37" t="n">
        <v>0.5135135135135135</v>
      </c>
      <c r="L724" s="36" t="n">
        <v>73</v>
      </c>
      <c r="M724" s="37" t="n">
        <v>0.3526570048309179</v>
      </c>
      <c r="N724" s="36" t="n">
        <v>31</v>
      </c>
      <c r="O724" s="37" t="n">
        <v>0.8157894736842105</v>
      </c>
      <c r="P724" s="36" t="n">
        <v>28</v>
      </c>
      <c r="Q724" s="37" t="n">
        <v>0.8</v>
      </c>
      <c r="R724" s="36" t="n">
        <v>277</v>
      </c>
      <c r="S724" s="37" t="n">
        <v>0.9857651245551602</v>
      </c>
      <c r="T724" s="36" t="n">
        <v>76</v>
      </c>
      <c r="U724" s="37" t="n">
        <v>0.2704626334519573</v>
      </c>
      <c r="V724" s="38" t="n">
        <v>0.009000000000000001</v>
      </c>
      <c r="W724" s="38" t="n">
        <v>3.87</v>
      </c>
      <c r="X724" s="38" t="n">
        <v>72.70500000000001</v>
      </c>
      <c r="Y724" s="38" t="n">
        <v>114.224</v>
      </c>
      <c r="Z724" s="38" t="n">
        <v>0</v>
      </c>
      <c r="AA724" s="36" t="n">
        <v>113</v>
      </c>
      <c r="AB724" s="37" t="n">
        <v>0.2927461139896373</v>
      </c>
      <c r="AC724" s="36" t="n">
        <v>30</v>
      </c>
      <c r="AD724" s="37" t="n">
        <v>0.3614457831325301</v>
      </c>
      <c r="AE724" s="36" t="n">
        <v>81</v>
      </c>
      <c r="AF724" s="37" t="n">
        <v>0.2793103448275862</v>
      </c>
      <c r="AG724" s="36" t="n">
        <v>30</v>
      </c>
      <c r="AH724" s="37" t="n">
        <v>1</v>
      </c>
    </row>
    <row r="725">
      <c r="A725" s="53" t="n">
        <v>45769</v>
      </c>
      <c r="B725" t="inlineStr">
        <is>
          <t>R10_Sumbagteng</t>
        </is>
      </c>
      <c r="C725" t="inlineStr">
        <is>
          <t>NOP PADANG</t>
        </is>
      </c>
      <c r="D725" s="38" t="n">
        <v>0</v>
      </c>
      <c r="E725" s="38" t="n">
        <v>2.323</v>
      </c>
      <c r="F725" s="36" t="n">
        <v>8.566000000000008</v>
      </c>
      <c r="G725" s="36" t="n">
        <v>9.75200000000001</v>
      </c>
      <c r="H725" s="36" t="n">
        <v>144</v>
      </c>
      <c r="I725" s="37" t="n">
        <v>0.8089887640449438</v>
      </c>
      <c r="J725" s="36" t="n">
        <v>14</v>
      </c>
      <c r="K725" s="37" t="n">
        <v>0.7</v>
      </c>
      <c r="L725" s="36" t="n">
        <v>130</v>
      </c>
      <c r="M725" s="37" t="n">
        <v>0.8227848101265823</v>
      </c>
      <c r="N725" s="36" t="n">
        <v>3</v>
      </c>
      <c r="O725" s="37" t="n">
        <v>0.2142857142857143</v>
      </c>
      <c r="P725" s="36" t="n">
        <v>3</v>
      </c>
      <c r="Q725" s="37" t="n">
        <v>0.2142857142857143</v>
      </c>
      <c r="R725" s="36" t="n">
        <v>176</v>
      </c>
      <c r="S725" s="37" t="n">
        <v>0.9887640449438202</v>
      </c>
      <c r="T725" s="36" t="n">
        <v>35</v>
      </c>
      <c r="U725" s="37" t="n">
        <v>0.1966292134831461</v>
      </c>
      <c r="V725" s="38" t="n">
        <v>0</v>
      </c>
      <c r="W725" s="38" t="n">
        <v>4.529000000000001</v>
      </c>
      <c r="X725" s="38" t="n">
        <v>13.1</v>
      </c>
      <c r="Y725" s="38" t="n">
        <v>67.044</v>
      </c>
      <c r="Z725" s="38" t="n">
        <v>0</v>
      </c>
      <c r="AA725" s="36" t="n">
        <v>528</v>
      </c>
      <c r="AB725" s="37" t="n">
        <v>0.947935368043088</v>
      </c>
      <c r="AC725" s="36" t="n">
        <v>37</v>
      </c>
      <c r="AD725" s="37" t="n">
        <v>0.8409090909090909</v>
      </c>
      <c r="AE725" s="36" t="n">
        <v>488</v>
      </c>
      <c r="AF725" s="37" t="n">
        <v>0.9587426326129665</v>
      </c>
      <c r="AG725" s="36" t="n">
        <v>16</v>
      </c>
      <c r="AH725" s="37" t="n">
        <v>0.4324324324324325</v>
      </c>
    </row>
    <row r="726">
      <c r="A726" s="53" t="n">
        <v>45769</v>
      </c>
      <c r="B726" t="inlineStr">
        <is>
          <t>R10_Sumbagteng</t>
        </is>
      </c>
      <c r="C726" t="inlineStr">
        <is>
          <t>NOP PEKANBARU</t>
        </is>
      </c>
      <c r="D726" s="38" t="n">
        <v>2.48</v>
      </c>
      <c r="E726" s="38" t="n">
        <v>9.484999999999999</v>
      </c>
      <c r="F726" s="36" t="n">
        <v>8.378000000000009</v>
      </c>
      <c r="G726" s="36" t="n">
        <v>9.970000000000006</v>
      </c>
      <c r="H726" s="36" t="n">
        <v>119</v>
      </c>
      <c r="I726" s="37" t="n">
        <v>0.5107296137339056</v>
      </c>
      <c r="J726" s="36" t="n">
        <v>37</v>
      </c>
      <c r="K726" s="37" t="n">
        <v>0.6607142857142857</v>
      </c>
      <c r="L726" s="36" t="n">
        <v>82</v>
      </c>
      <c r="M726" s="37" t="n">
        <v>0.4632768361581921</v>
      </c>
      <c r="N726" s="36" t="n">
        <v>24</v>
      </c>
      <c r="O726" s="37" t="n">
        <v>0.6486486486486487</v>
      </c>
      <c r="P726" s="36" t="n">
        <v>24</v>
      </c>
      <c r="Q726" s="37" t="n">
        <v>0.6486486486486487</v>
      </c>
      <c r="R726" s="36" t="n">
        <v>229</v>
      </c>
      <c r="S726" s="37" t="n">
        <v>0.9828326180257511</v>
      </c>
      <c r="T726" s="36" t="n">
        <v>70</v>
      </c>
      <c r="U726" s="37" t="n">
        <v>0.3004291845493562</v>
      </c>
      <c r="V726" s="38" t="n">
        <v>0.028</v>
      </c>
      <c r="W726" s="38" t="n">
        <v>5.785999999999995</v>
      </c>
      <c r="X726" s="38" t="n">
        <v>62.26799999999999</v>
      </c>
      <c r="Y726" s="38" t="n">
        <v>169.1900000000001</v>
      </c>
      <c r="Z726" s="38" t="n">
        <v>0</v>
      </c>
      <c r="AA726" s="36" t="n">
        <v>118</v>
      </c>
      <c r="AB726" s="37" t="n">
        <v>0.33810888252149</v>
      </c>
      <c r="AC726" s="36" t="n">
        <v>33</v>
      </c>
      <c r="AD726" s="37" t="n">
        <v>0.4074074074074074</v>
      </c>
      <c r="AE726" s="36" t="n">
        <v>84</v>
      </c>
      <c r="AF726" s="37" t="n">
        <v>0.3428571428571429</v>
      </c>
      <c r="AG726" s="36" t="n">
        <v>25</v>
      </c>
      <c r="AH726" s="37" t="n">
        <v>0.7575757575757576</v>
      </c>
    </row>
    <row r="727">
      <c r="A727" s="53" t="n">
        <v>45769</v>
      </c>
      <c r="B727" t="inlineStr">
        <is>
          <t>R02_Sumbagsel</t>
        </is>
      </c>
      <c r="C727" t="inlineStr">
        <is>
          <t>NOP BENGKULU</t>
        </is>
      </c>
      <c r="D727" s="38" t="n">
        <v>1.336</v>
      </c>
      <c r="E727" s="38" t="n">
        <v>5.58</v>
      </c>
      <c r="F727" s="36" t="n">
        <v>5.062</v>
      </c>
      <c r="G727" s="36" t="n">
        <v>5.62</v>
      </c>
      <c r="H727" s="36" t="n">
        <v>33</v>
      </c>
      <c r="I727" s="37" t="n">
        <v>0.25</v>
      </c>
      <c r="J727" s="36" t="n">
        <v>11</v>
      </c>
      <c r="K727" s="37" t="n">
        <v>0.2391304347826087</v>
      </c>
      <c r="L727" s="36" t="n">
        <v>22</v>
      </c>
      <c r="M727" s="37" t="n">
        <v>0.2558139534883721</v>
      </c>
      <c r="N727" s="36" t="n">
        <v>8</v>
      </c>
      <c r="O727" s="37" t="n">
        <v>0.7272727272727273</v>
      </c>
      <c r="P727" s="36" t="n">
        <v>8</v>
      </c>
      <c r="Q727" s="37" t="n">
        <v>0.7272727272727273</v>
      </c>
      <c r="R727" s="36" t="n">
        <v>129</v>
      </c>
      <c r="S727" s="37" t="n">
        <v>0.9772727272727273</v>
      </c>
      <c r="T727" s="36" t="n">
        <v>20</v>
      </c>
      <c r="U727" s="37" t="n">
        <v>0.1515151515151515</v>
      </c>
      <c r="V727" s="38" t="n">
        <v>0</v>
      </c>
      <c r="W727" s="38" t="n">
        <v>7.669999999999997</v>
      </c>
      <c r="X727" s="38" t="n">
        <v>7.912000000000008</v>
      </c>
      <c r="Y727" s="38" t="n">
        <v>6.25</v>
      </c>
      <c r="Z727" s="38" t="n">
        <v>0</v>
      </c>
      <c r="AA727" s="36" t="n">
        <v>129</v>
      </c>
      <c r="AB727" s="37" t="n">
        <v>0.5019455252918288</v>
      </c>
      <c r="AC727" s="36" t="n">
        <v>69</v>
      </c>
      <c r="AD727" s="37" t="n">
        <v>0.46</v>
      </c>
      <c r="AE727" s="36" t="n">
        <v>50</v>
      </c>
      <c r="AF727" s="37" t="n">
        <v>0.625</v>
      </c>
      <c r="AG727" s="36" t="n">
        <v>62</v>
      </c>
      <c r="AH727" s="37" t="n">
        <v>0.8985507246376812</v>
      </c>
    </row>
    <row r="728">
      <c r="A728" s="53" t="n">
        <v>45769</v>
      </c>
      <c r="B728" t="inlineStr">
        <is>
          <t>R02_Sumbagsel</t>
        </is>
      </c>
      <c r="C728" t="inlineStr">
        <is>
          <t>NOP JAMBI</t>
        </is>
      </c>
      <c r="D728" s="38" t="n">
        <v>6.28</v>
      </c>
      <c r="E728" s="38" t="n">
        <v>6.29</v>
      </c>
      <c r="F728" s="36" t="n">
        <v>5.102000000000002</v>
      </c>
      <c r="G728" s="36" t="n">
        <v>9.504000000000001</v>
      </c>
      <c r="H728" s="36" t="n">
        <v>150</v>
      </c>
      <c r="I728" s="37" t="n">
        <v>0.5725190839694656</v>
      </c>
      <c r="J728" s="36" t="n">
        <v>50</v>
      </c>
      <c r="K728" s="37" t="n">
        <v>0.5882352941176471</v>
      </c>
      <c r="L728" s="36" t="n">
        <v>100</v>
      </c>
      <c r="M728" s="37" t="n">
        <v>0.5649717514124294</v>
      </c>
      <c r="N728" s="36" t="n">
        <v>29</v>
      </c>
      <c r="O728" s="37" t="n">
        <v>0.58</v>
      </c>
      <c r="P728" s="36" t="n">
        <v>29</v>
      </c>
      <c r="Q728" s="37" t="n">
        <v>0.58</v>
      </c>
      <c r="R728" s="36" t="n">
        <v>262</v>
      </c>
      <c r="S728" s="37" t="n">
        <v>1</v>
      </c>
      <c r="T728" s="36" t="n">
        <v>67</v>
      </c>
      <c r="U728" s="37" t="n">
        <v>0.2557251908396946</v>
      </c>
      <c r="V728" s="38" t="n">
        <v>0</v>
      </c>
      <c r="W728" s="38" t="n">
        <v>9.689000000000004</v>
      </c>
      <c r="X728" s="38" t="n">
        <v>39.016</v>
      </c>
      <c r="Y728" s="38" t="n">
        <v>0</v>
      </c>
      <c r="Z728" s="38" t="n">
        <v>0</v>
      </c>
      <c r="AA728" s="36" t="n">
        <v>147</v>
      </c>
      <c r="AB728" s="37" t="n">
        <v>0.5719844357976653</v>
      </c>
      <c r="AC728" s="36" t="n">
        <v>68</v>
      </c>
      <c r="AD728" s="37" t="n">
        <v>0.5151515151515151</v>
      </c>
      <c r="AE728" s="36" t="n">
        <v>66</v>
      </c>
      <c r="AF728" s="37" t="n">
        <v>0.66</v>
      </c>
      <c r="AG728" s="36" t="n">
        <v>52</v>
      </c>
      <c r="AH728" s="37" t="n">
        <v>0.7647058823529411</v>
      </c>
    </row>
    <row r="729">
      <c r="A729" s="53" t="n">
        <v>45769</v>
      </c>
      <c r="B729" t="inlineStr">
        <is>
          <t>R02_Sumbagsel</t>
        </is>
      </c>
      <c r="C729" t="inlineStr">
        <is>
          <t>NOP LAMPUNG</t>
        </is>
      </c>
      <c r="D729" s="38" t="n">
        <v>3.84</v>
      </c>
      <c r="E729" s="38" t="n">
        <v>2.366</v>
      </c>
      <c r="F729" s="36" t="n">
        <v>3.523</v>
      </c>
      <c r="G729" s="36" t="n">
        <v>2.479000000000001</v>
      </c>
      <c r="H729" s="36" t="n">
        <v>36</v>
      </c>
      <c r="I729" s="37" t="n">
        <v>0.5454545454545454</v>
      </c>
      <c r="J729" s="36" t="n">
        <v>10</v>
      </c>
      <c r="K729" s="37" t="n">
        <v>0.625</v>
      </c>
      <c r="L729" s="36" t="n">
        <v>26</v>
      </c>
      <c r="M729" s="37" t="n">
        <v>0.52</v>
      </c>
      <c r="N729" s="36" t="n">
        <v>8</v>
      </c>
      <c r="O729" s="37" t="n">
        <v>0.8</v>
      </c>
      <c r="P729" s="36" t="n">
        <v>8</v>
      </c>
      <c r="Q729" s="37" t="n">
        <v>0.8</v>
      </c>
      <c r="R729" s="36" t="n">
        <v>66</v>
      </c>
      <c r="S729" s="37" t="n">
        <v>1</v>
      </c>
      <c r="T729" s="36" t="n">
        <v>21</v>
      </c>
      <c r="U729" s="37" t="n">
        <v>0.3181818181818182</v>
      </c>
      <c r="V729" s="38" t="n">
        <v>0</v>
      </c>
      <c r="W729" s="38" t="n">
        <v>5.278000000000002</v>
      </c>
      <c r="X729" s="38" t="n">
        <v>4.368</v>
      </c>
      <c r="Y729" s="38" t="n">
        <v>36.122</v>
      </c>
      <c r="Z729" s="38" t="n">
        <v>0</v>
      </c>
      <c r="AA729" s="36" t="n">
        <v>155</v>
      </c>
      <c r="AB729" s="37" t="n">
        <v>0.9171597633136095</v>
      </c>
      <c r="AC729" s="36" t="n">
        <v>45</v>
      </c>
      <c r="AD729" s="37" t="n">
        <v>0.8333333333333334</v>
      </c>
      <c r="AE729" s="36" t="n">
        <v>105</v>
      </c>
      <c r="AF729" s="37" t="n">
        <v>0.963302752293578</v>
      </c>
      <c r="AG729" s="36" t="n">
        <v>38</v>
      </c>
      <c r="AH729" s="37" t="n">
        <v>0.8444444444444444</v>
      </c>
    </row>
    <row r="730">
      <c r="A730" s="53" t="n">
        <v>45769</v>
      </c>
      <c r="B730" t="inlineStr">
        <is>
          <t>R02_Sumbagsel</t>
        </is>
      </c>
      <c r="C730" t="inlineStr">
        <is>
          <t>NOP MUARA ENIM</t>
        </is>
      </c>
      <c r="D730" s="38" t="n">
        <v>4.98</v>
      </c>
      <c r="E730" s="38" t="n">
        <v>3.660000000000001</v>
      </c>
      <c r="F730" s="36" t="n">
        <v>5.789</v>
      </c>
      <c r="G730" s="36" t="n">
        <v>4.08</v>
      </c>
      <c r="H730" s="36" t="n">
        <v>79</v>
      </c>
      <c r="I730" s="37" t="n">
        <v>0.3853658536585366</v>
      </c>
      <c r="J730" s="36" t="n">
        <v>23</v>
      </c>
      <c r="K730" s="37" t="n">
        <v>0.3709677419354839</v>
      </c>
      <c r="L730" s="36" t="n">
        <v>56</v>
      </c>
      <c r="M730" s="37" t="n">
        <v>0.3916083916083916</v>
      </c>
      <c r="N730" s="36" t="n">
        <v>11</v>
      </c>
      <c r="O730" s="37" t="n">
        <v>0.4782608695652174</v>
      </c>
      <c r="P730" s="36" t="n">
        <v>11</v>
      </c>
      <c r="Q730" s="37" t="n">
        <v>0.5789473684210527</v>
      </c>
      <c r="R730" s="36" t="n">
        <v>192</v>
      </c>
      <c r="S730" s="37" t="n">
        <v>0.9365853658536586</v>
      </c>
      <c r="T730" s="36" t="n">
        <v>42</v>
      </c>
      <c r="U730" s="37" t="n">
        <v>0.2048780487804878</v>
      </c>
      <c r="V730" s="38" t="n">
        <v>0</v>
      </c>
      <c r="W730" s="38" t="n">
        <v>4.509</v>
      </c>
      <c r="X730" s="38" t="n">
        <v>5.257999999999999</v>
      </c>
      <c r="Y730" s="38" t="n">
        <v>6.4</v>
      </c>
      <c r="Z730" s="38" t="n">
        <v>0</v>
      </c>
      <c r="AA730" s="36" t="n">
        <v>94</v>
      </c>
      <c r="AB730" s="37" t="n">
        <v>0.4895833333333333</v>
      </c>
      <c r="AC730" s="36" t="n">
        <v>44</v>
      </c>
      <c r="AD730" s="37" t="n">
        <v>0.5238095238095238</v>
      </c>
      <c r="AE730" s="36" t="n">
        <v>48</v>
      </c>
      <c r="AF730" s="37" t="n">
        <v>0.5454545454545454</v>
      </c>
      <c r="AG730" s="36" t="n">
        <v>34</v>
      </c>
      <c r="AH730" s="37" t="n">
        <v>0.7727272727272727</v>
      </c>
    </row>
    <row r="731">
      <c r="A731" s="53" t="n">
        <v>45769</v>
      </c>
      <c r="B731" t="inlineStr">
        <is>
          <t>R02_Sumbagsel</t>
        </is>
      </c>
      <c r="C731" t="inlineStr">
        <is>
          <t>NOP PALEMBANG</t>
        </is>
      </c>
      <c r="D731" s="38" t="n">
        <v>1.875</v>
      </c>
      <c r="E731" s="38" t="n">
        <v>4.235</v>
      </c>
      <c r="F731" s="36" t="n">
        <v>4.977000000000001</v>
      </c>
      <c r="G731" s="36" t="n">
        <v>4.79</v>
      </c>
      <c r="H731" s="36" t="n">
        <v>87</v>
      </c>
      <c r="I731" s="37" t="n">
        <v>0.3536585365853658</v>
      </c>
      <c r="J731" s="36" t="n">
        <v>7</v>
      </c>
      <c r="K731" s="37" t="n">
        <v>0.3181818181818182</v>
      </c>
      <c r="L731" s="36" t="n">
        <v>80</v>
      </c>
      <c r="M731" s="37" t="n">
        <v>0.3571428571428572</v>
      </c>
      <c r="N731" s="36" t="n">
        <v>5</v>
      </c>
      <c r="O731" s="37" t="n">
        <v>0.7142857142857143</v>
      </c>
      <c r="P731" s="36" t="n">
        <v>5</v>
      </c>
      <c r="Q731" s="37" t="n">
        <v>0.7142857142857143</v>
      </c>
      <c r="R731" s="36" t="n">
        <v>246</v>
      </c>
      <c r="S731" s="37" t="n">
        <v>1</v>
      </c>
      <c r="T731" s="36" t="n">
        <v>29</v>
      </c>
      <c r="U731" s="37" t="n">
        <v>0.1178861788617886</v>
      </c>
      <c r="V731" s="38" t="n">
        <v>0</v>
      </c>
      <c r="W731" s="38" t="n">
        <v>4.072000000000001</v>
      </c>
      <c r="X731" s="38" t="n">
        <v>9.645999999999999</v>
      </c>
      <c r="Y731" s="38" t="n">
        <v>0.3099999999999996</v>
      </c>
      <c r="Z731" s="38" t="n">
        <v>0</v>
      </c>
      <c r="AA731" s="36" t="n">
        <v>94</v>
      </c>
      <c r="AB731" s="37" t="n">
        <v>0.3468634686346864</v>
      </c>
      <c r="AC731" s="36" t="n">
        <v>26</v>
      </c>
      <c r="AD731" s="37" t="n">
        <v>0.2680412371134021</v>
      </c>
      <c r="AE731" s="36" t="n">
        <v>68</v>
      </c>
      <c r="AF731" s="37" t="n">
        <v>0.4857142857142857</v>
      </c>
      <c r="AG731" s="36" t="n">
        <v>13</v>
      </c>
      <c r="AH731" s="37" t="n">
        <v>0.5</v>
      </c>
    </row>
    <row r="732">
      <c r="A732" s="53" t="n">
        <v>45769</v>
      </c>
      <c r="B732" t="inlineStr">
        <is>
          <t>R02_Sumbagsel</t>
        </is>
      </c>
      <c r="C732" t="inlineStr">
        <is>
          <t>NOP PANGKAL PINANG</t>
        </is>
      </c>
      <c r="D732" s="38" t="n">
        <v>0</v>
      </c>
      <c r="E732" s="38" t="n">
        <v>3.218</v>
      </c>
      <c r="F732" s="36" t="n">
        <v>4.876</v>
      </c>
      <c r="G732" s="36" t="n">
        <v>6.370000000000005</v>
      </c>
      <c r="H732" s="36" t="n">
        <v>20</v>
      </c>
      <c r="I732" s="37" t="n">
        <v>0.5263157894736842</v>
      </c>
      <c r="J732" s="36" t="n">
        <v>4</v>
      </c>
      <c r="K732" s="37" t="n">
        <v>0.8</v>
      </c>
      <c r="L732" s="36" t="n">
        <v>16</v>
      </c>
      <c r="M732" s="37" t="n">
        <v>0.4848484848484849</v>
      </c>
      <c r="N732" s="36" t="n">
        <v>3</v>
      </c>
      <c r="O732" s="37" t="n">
        <v>0.75</v>
      </c>
      <c r="P732" s="36" t="n">
        <v>3</v>
      </c>
      <c r="Q732" s="37" t="n">
        <v>0.75</v>
      </c>
      <c r="R732" s="36" t="n">
        <v>38</v>
      </c>
      <c r="S732" s="37" t="n">
        <v>1</v>
      </c>
      <c r="T732" s="36" t="n">
        <v>11</v>
      </c>
      <c r="U732" s="37" t="n">
        <v>0.2894736842105263</v>
      </c>
      <c r="V732" s="38" t="n">
        <v>0</v>
      </c>
      <c r="W732" s="38" t="n">
        <v>29.73799999999999</v>
      </c>
      <c r="X732" s="38" t="n">
        <v>3.532000000000001</v>
      </c>
      <c r="Y732" s="38" t="n">
        <v>10.502</v>
      </c>
      <c r="Z732" s="38" t="n">
        <v>0</v>
      </c>
      <c r="AA732" s="36" t="n">
        <v>41</v>
      </c>
      <c r="AB732" s="37" t="n">
        <v>0.8723404255319149</v>
      </c>
      <c r="AC732" s="36" t="n">
        <v>13</v>
      </c>
      <c r="AD732" s="37" t="n">
        <v>0.8666666666666667</v>
      </c>
      <c r="AE732" s="36" t="n">
        <v>27</v>
      </c>
      <c r="AF732" s="37" t="n">
        <v>0.8709677419354839</v>
      </c>
      <c r="AG732" s="36" t="n">
        <v>9</v>
      </c>
      <c r="AH732" s="37" t="n">
        <v>0.6923076923076923</v>
      </c>
    </row>
    <row r="733">
      <c r="A733" s="53" t="n">
        <v>45769</v>
      </c>
      <c r="B733" t="inlineStr">
        <is>
          <t>R05_Jawa Tengah DIY</t>
        </is>
      </c>
      <c r="C733" t="inlineStr">
        <is>
          <t>NOP MAGELANG</t>
        </is>
      </c>
      <c r="D733" s="38" t="n">
        <v>0.764</v>
      </c>
      <c r="E733" s="38" t="n">
        <v>0</v>
      </c>
      <c r="F733" s="36" t="n">
        <v>2.304</v>
      </c>
      <c r="G733" s="36" t="n">
        <v>2.74</v>
      </c>
      <c r="H733" s="36" t="n">
        <v>13</v>
      </c>
      <c r="I733" s="37" t="n">
        <v>0.6842105263157895</v>
      </c>
      <c r="J733" s="36" t="n">
        <v>2</v>
      </c>
      <c r="K733" s="37" t="n">
        <v>1</v>
      </c>
      <c r="L733" s="36" t="n">
        <v>11</v>
      </c>
      <c r="M733" s="37" t="n">
        <v>0.6470588235294118</v>
      </c>
      <c r="N733" s="36" t="n">
        <v>2</v>
      </c>
      <c r="O733" s="37" t="n">
        <v>1</v>
      </c>
      <c r="P733" s="36" t="n">
        <v>2</v>
      </c>
      <c r="Q733" s="37" t="n">
        <v>1</v>
      </c>
      <c r="R733" s="36" t="n">
        <v>19</v>
      </c>
      <c r="S733" s="37" t="n">
        <v>1</v>
      </c>
      <c r="T733" s="36" t="n">
        <v>13</v>
      </c>
      <c r="U733" s="37" t="n">
        <v>0.6842105263157895</v>
      </c>
      <c r="V733" s="38" t="n">
        <v>0</v>
      </c>
      <c r="W733" s="38" t="n">
        <v>2.136</v>
      </c>
      <c r="X733" s="38" t="n">
        <v>8.49</v>
      </c>
      <c r="Y733" s="38" t="n">
        <v>16.076</v>
      </c>
      <c r="Z733" s="38" t="n">
        <v>0</v>
      </c>
      <c r="AA733" s="36" t="n">
        <v>39</v>
      </c>
      <c r="AB733" s="37" t="n">
        <v>0.975</v>
      </c>
      <c r="AC733" s="36" t="n">
        <v>5</v>
      </c>
      <c r="AD733" s="37" t="n">
        <v>1</v>
      </c>
      <c r="AE733" s="36" t="n">
        <v>34</v>
      </c>
      <c r="AF733" s="37" t="n">
        <v>0.9714285714285714</v>
      </c>
      <c r="AG733" s="36" t="n">
        <v>5</v>
      </c>
      <c r="AH733" s="37" t="n">
        <v>1</v>
      </c>
    </row>
    <row r="734">
      <c r="A734" s="53" t="n">
        <v>45769</v>
      </c>
      <c r="B734" t="inlineStr">
        <is>
          <t>R05_Jawa Tengah DIY</t>
        </is>
      </c>
      <c r="C734" t="inlineStr">
        <is>
          <t>NOP PEKALONGAN</t>
        </is>
      </c>
      <c r="D734" s="38" t="n">
        <v>0.85</v>
      </c>
      <c r="E734" s="38" t="n">
        <v>0</v>
      </c>
      <c r="F734" s="36" t="n">
        <v>6.26</v>
      </c>
      <c r="G734" s="36" t="n">
        <v>0.9740000000000001</v>
      </c>
      <c r="H734" s="36" t="n">
        <v>3</v>
      </c>
      <c r="I734" s="37" t="n">
        <v>0.5</v>
      </c>
      <c r="J734" s="36" t="n">
        <v>0</v>
      </c>
      <c r="K734" s="37" t="n">
        <v>0</v>
      </c>
      <c r="L734" s="36" t="n">
        <v>3</v>
      </c>
      <c r="M734" s="37" t="n">
        <v>0.6</v>
      </c>
      <c r="N734" s="36" t="n">
        <v>0</v>
      </c>
      <c r="O734" s="37" t="n">
        <v>0</v>
      </c>
      <c r="P734" s="36" t="n">
        <v>0</v>
      </c>
      <c r="Q734" s="37" t="n">
        <v>0</v>
      </c>
      <c r="R734" s="36" t="n">
        <v>5</v>
      </c>
      <c r="S734" s="37" t="n">
        <v>0.8333333333333334</v>
      </c>
      <c r="T734" s="36" t="n">
        <v>3</v>
      </c>
      <c r="U734" s="37" t="n">
        <v>0.5</v>
      </c>
      <c r="V734" s="38" t="n">
        <v>0</v>
      </c>
      <c r="W734" s="38" t="n">
        <v>1.642</v>
      </c>
      <c r="X734" s="38" t="n">
        <v>6.350000000000001</v>
      </c>
      <c r="Y734" s="38" t="n">
        <v>64.11199999999999</v>
      </c>
      <c r="Z734" s="38" t="n">
        <v>0</v>
      </c>
      <c r="AA734" s="36" t="n">
        <v>27</v>
      </c>
      <c r="AB734" s="37" t="n">
        <v>0.7105263157894737</v>
      </c>
      <c r="AC734" s="36" t="n">
        <v>6</v>
      </c>
      <c r="AD734" s="37" t="n">
        <v>0.5</v>
      </c>
      <c r="AE734" s="36" t="n">
        <v>21</v>
      </c>
      <c r="AF734" s="37" t="n">
        <v>0.8076923076923077</v>
      </c>
      <c r="AG734" s="36" t="n">
        <v>5</v>
      </c>
      <c r="AH734" s="37" t="n">
        <v>0.8333333333333334</v>
      </c>
    </row>
    <row r="735">
      <c r="A735" s="53" t="n">
        <v>45769</v>
      </c>
      <c r="B735" t="inlineStr">
        <is>
          <t>R05_Jawa Tengah DIY</t>
        </is>
      </c>
      <c r="C735" t="inlineStr">
        <is>
          <t>NOP PURWOKERTO</t>
        </is>
      </c>
      <c r="D735" s="38" t="n">
        <v>5.15</v>
      </c>
      <c r="E735" s="38" t="n">
        <v>0</v>
      </c>
      <c r="F735" s="36" t="n">
        <v>3.384</v>
      </c>
      <c r="G735" s="36" t="n">
        <v>5.55</v>
      </c>
      <c r="H735" s="36" t="n">
        <v>24</v>
      </c>
      <c r="I735" s="37" t="n">
        <v>0.8888888888888888</v>
      </c>
      <c r="J735" s="36" t="n">
        <v>7</v>
      </c>
      <c r="K735" s="37" t="n">
        <v>1</v>
      </c>
      <c r="L735" s="36" t="n">
        <v>17</v>
      </c>
      <c r="M735" s="37" t="n">
        <v>0.85</v>
      </c>
      <c r="N735" s="36" t="n">
        <v>7</v>
      </c>
      <c r="O735" s="37" t="n">
        <v>1</v>
      </c>
      <c r="P735" s="36" t="n">
        <v>7</v>
      </c>
      <c r="Q735" s="37" t="n">
        <v>1</v>
      </c>
      <c r="R735" s="36" t="n">
        <v>27</v>
      </c>
      <c r="S735" s="37" t="n">
        <v>1</v>
      </c>
      <c r="T735" s="36" t="n">
        <v>16</v>
      </c>
      <c r="U735" s="37" t="n">
        <v>0.5925925925925926</v>
      </c>
      <c r="V735" s="38" t="n">
        <v>0</v>
      </c>
      <c r="W735" s="38" t="n">
        <v>2.236</v>
      </c>
      <c r="X735" s="38" t="n">
        <v>10.37800000000001</v>
      </c>
      <c r="Y735" s="38" t="n">
        <v>49.514</v>
      </c>
      <c r="Z735" s="38" t="n">
        <v>0</v>
      </c>
      <c r="AA735" s="36" t="n">
        <v>31</v>
      </c>
      <c r="AB735" s="37" t="n">
        <v>1</v>
      </c>
      <c r="AC735" s="36" t="n">
        <v>5</v>
      </c>
      <c r="AD735" s="37" t="n">
        <v>1</v>
      </c>
      <c r="AE735" s="36" t="n">
        <v>26</v>
      </c>
      <c r="AF735" s="37" t="n">
        <v>1</v>
      </c>
      <c r="AG735" s="36" t="n">
        <v>4</v>
      </c>
      <c r="AH735" s="37" t="n">
        <v>0.8</v>
      </c>
    </row>
    <row r="736">
      <c r="A736" s="53" t="n">
        <v>45769</v>
      </c>
      <c r="B736" t="inlineStr">
        <is>
          <t>R05_Jawa Tengah DIY</t>
        </is>
      </c>
      <c r="C736" t="inlineStr">
        <is>
          <t>NOP SEMARANG</t>
        </is>
      </c>
      <c r="D736" s="38" t="n">
        <v>1.248</v>
      </c>
      <c r="E736" s="38" t="n">
        <v>0</v>
      </c>
      <c r="F736" s="36" t="n">
        <v>2.33</v>
      </c>
      <c r="G736" s="36" t="n">
        <v>4.167</v>
      </c>
      <c r="H736" s="36" t="n">
        <v>11</v>
      </c>
      <c r="I736" s="37" t="n">
        <v>0.4583333333333333</v>
      </c>
      <c r="J736" s="36" t="n">
        <v>3</v>
      </c>
      <c r="K736" s="37" t="n">
        <v>1</v>
      </c>
      <c r="L736" s="36" t="n">
        <v>8</v>
      </c>
      <c r="M736" s="37" t="n">
        <v>0.3809523809523809</v>
      </c>
      <c r="N736" s="36" t="n">
        <v>3</v>
      </c>
      <c r="O736" s="37" t="n">
        <v>1</v>
      </c>
      <c r="P736" s="36" t="n">
        <v>3</v>
      </c>
      <c r="Q736" s="37" t="n">
        <v>1</v>
      </c>
      <c r="R736" s="36" t="n">
        <v>23</v>
      </c>
      <c r="S736" s="37" t="n">
        <v>0.9583333333333334</v>
      </c>
      <c r="T736" s="36" t="n">
        <v>10</v>
      </c>
      <c r="U736" s="37" t="n">
        <v>0.4166666666666667</v>
      </c>
      <c r="V736" s="38" t="n">
        <v>0</v>
      </c>
      <c r="W736" s="38" t="n">
        <v>5.1</v>
      </c>
      <c r="X736" s="38" t="n">
        <v>20.76600000000003</v>
      </c>
      <c r="Y736" s="38" t="n">
        <v>53.759</v>
      </c>
      <c r="Z736" s="38" t="n">
        <v>0</v>
      </c>
      <c r="AA736" s="36" t="n">
        <v>39</v>
      </c>
      <c r="AB736" s="37" t="n">
        <v>0.8666666666666667</v>
      </c>
      <c r="AC736" s="36" t="n">
        <v>7</v>
      </c>
      <c r="AD736" s="37" t="n">
        <v>0.6363636363636364</v>
      </c>
      <c r="AE736" s="36" t="n">
        <v>32</v>
      </c>
      <c r="AF736" s="37" t="n">
        <v>0.9411764705882353</v>
      </c>
      <c r="AG736" s="36" t="n">
        <v>6</v>
      </c>
      <c r="AH736" s="37" t="n">
        <v>0.8571428571428571</v>
      </c>
    </row>
    <row r="737">
      <c r="A737" s="53" t="n">
        <v>45769</v>
      </c>
      <c r="B737" t="inlineStr">
        <is>
          <t>R05_Jawa Tengah DIY</t>
        </is>
      </c>
      <c r="C737" t="inlineStr">
        <is>
          <t>NOP SURAKARTA</t>
        </is>
      </c>
      <c r="D737" s="38" t="n">
        <v>2.078</v>
      </c>
      <c r="E737" s="38" t="n">
        <v>0</v>
      </c>
      <c r="F737" s="36" t="n">
        <v>33.981</v>
      </c>
      <c r="G737" s="36" t="n">
        <v>3.9</v>
      </c>
      <c r="H737" s="36" t="n">
        <v>50</v>
      </c>
      <c r="I737" s="37" t="n">
        <v>0.9433962264150944</v>
      </c>
      <c r="J737" s="36" t="n">
        <v>4</v>
      </c>
      <c r="K737" s="37" t="n">
        <v>1</v>
      </c>
      <c r="L737" s="36" t="n">
        <v>46</v>
      </c>
      <c r="M737" s="37" t="n">
        <v>0.9387755102040817</v>
      </c>
      <c r="N737" s="36" t="n">
        <v>4</v>
      </c>
      <c r="O737" s="37" t="n">
        <v>1</v>
      </c>
      <c r="P737" s="36" t="n">
        <v>4</v>
      </c>
      <c r="Q737" s="37" t="n">
        <v>1</v>
      </c>
      <c r="R737" s="36" t="n">
        <v>53</v>
      </c>
      <c r="S737" s="37" t="n">
        <v>1</v>
      </c>
      <c r="T737" s="36" t="n">
        <v>37</v>
      </c>
      <c r="U737" s="37" t="n">
        <v>0.6981132075471698</v>
      </c>
      <c r="V737" s="38" t="n">
        <v>0.009000000000000001</v>
      </c>
      <c r="W737" s="38" t="n">
        <v>1.204</v>
      </c>
      <c r="X737" s="38" t="n">
        <v>13.52400000000001</v>
      </c>
      <c r="Y737" s="38" t="n">
        <v>23.984</v>
      </c>
      <c r="Z737" s="38" t="n">
        <v>0</v>
      </c>
      <c r="AA737" s="36" t="n">
        <v>38</v>
      </c>
      <c r="AB737" s="37" t="n">
        <v>0.8085106382978723</v>
      </c>
      <c r="AC737" s="36" t="n">
        <v>4</v>
      </c>
      <c r="AD737" s="37" t="n">
        <v>0.4444444444444444</v>
      </c>
      <c r="AE737" s="36" t="n">
        <v>34</v>
      </c>
      <c r="AF737" s="37" t="n">
        <v>0.8947368421052632</v>
      </c>
      <c r="AG737" s="36" t="n">
        <v>3</v>
      </c>
      <c r="AH737" s="37" t="n">
        <v>0.75</v>
      </c>
    </row>
    <row r="738">
      <c r="A738" s="53" t="n">
        <v>45769</v>
      </c>
      <c r="B738" t="inlineStr">
        <is>
          <t>R05_Jawa Tengah DIY</t>
        </is>
      </c>
      <c r="C738" t="inlineStr">
        <is>
          <t>NOP YOGYAKARTA</t>
        </is>
      </c>
      <c r="D738" s="38" t="n">
        <v>3.635</v>
      </c>
      <c r="E738" s="38" t="n">
        <v>0</v>
      </c>
      <c r="F738" s="36" t="n">
        <v>3.055</v>
      </c>
      <c r="G738" s="36" t="n">
        <v>2.862000000000001</v>
      </c>
      <c r="H738" s="36" t="n">
        <v>13</v>
      </c>
      <c r="I738" s="37" t="n">
        <v>0.6842105263157895</v>
      </c>
      <c r="J738" s="36" t="n">
        <v>6</v>
      </c>
      <c r="K738" s="37" t="n">
        <v>1</v>
      </c>
      <c r="L738" s="36" t="n">
        <v>7</v>
      </c>
      <c r="M738" s="37" t="n">
        <v>0.5384615384615384</v>
      </c>
      <c r="N738" s="36" t="n">
        <v>6</v>
      </c>
      <c r="O738" s="37" t="n">
        <v>1</v>
      </c>
      <c r="P738" s="36" t="n">
        <v>6</v>
      </c>
      <c r="Q738" s="37" t="n">
        <v>1</v>
      </c>
      <c r="R738" s="36" t="n">
        <v>19</v>
      </c>
      <c r="S738" s="37" t="n">
        <v>1</v>
      </c>
      <c r="T738" s="36" t="n">
        <v>12</v>
      </c>
      <c r="U738" s="37" t="n">
        <v>0.631578947368421</v>
      </c>
      <c r="V738" s="38" t="n">
        <v>0</v>
      </c>
      <c r="W738" s="38" t="n">
        <v>2.116000000000001</v>
      </c>
      <c r="X738" s="38" t="n">
        <v>14.976</v>
      </c>
      <c r="Y738" s="38" t="n">
        <v>26.908</v>
      </c>
      <c r="Z738" s="38" t="n">
        <v>0</v>
      </c>
      <c r="AA738" s="36" t="n">
        <v>32</v>
      </c>
      <c r="AB738" s="37" t="n">
        <v>0.9142857142857143</v>
      </c>
      <c r="AC738" s="36" t="n">
        <v>10</v>
      </c>
      <c r="AD738" s="37" t="n">
        <v>0.7692307692307693</v>
      </c>
      <c r="AE738" s="36" t="n">
        <v>22</v>
      </c>
      <c r="AF738" s="37" t="n">
        <v>1</v>
      </c>
      <c r="AG738" s="36" t="n">
        <v>10</v>
      </c>
      <c r="AH738" s="37" t="n">
        <v>1</v>
      </c>
    </row>
    <row r="739">
      <c r="A739" s="53" t="n">
        <v>45769</v>
      </c>
      <c r="B739" t="inlineStr">
        <is>
          <t>R06_Jawa Timur</t>
        </is>
      </c>
      <c r="C739" t="inlineStr">
        <is>
          <t>NOP JEMBER</t>
        </is>
      </c>
      <c r="D739" s="38" t="n">
        <v>0</v>
      </c>
      <c r="E739" s="38" t="n">
        <v>0</v>
      </c>
      <c r="F739" s="36" t="n">
        <v>0.908</v>
      </c>
      <c r="G739" s="36" t="n">
        <v>2.426</v>
      </c>
      <c r="H739" s="36" t="n">
        <v>12</v>
      </c>
      <c r="I739" s="37" t="n">
        <v>0.8571428571428571</v>
      </c>
      <c r="J739" s="36" t="n">
        <v>0</v>
      </c>
      <c r="K739" s="37" t="n">
        <v>0</v>
      </c>
      <c r="L739" s="36" t="n">
        <v>12</v>
      </c>
      <c r="M739" s="37" t="n">
        <v>0.8571428571428571</v>
      </c>
      <c r="N739" s="36" t="n">
        <v>0</v>
      </c>
      <c r="O739" s="37" t="n">
        <v>0</v>
      </c>
      <c r="P739" s="36" t="n">
        <v>0</v>
      </c>
      <c r="Q739" s="37" t="n">
        <v>0</v>
      </c>
      <c r="R739" s="36" t="n">
        <v>11</v>
      </c>
      <c r="S739" s="37" t="n">
        <v>0.7857142857142857</v>
      </c>
      <c r="T739" s="36" t="n">
        <v>6</v>
      </c>
      <c r="U739" s="37" t="n">
        <v>0.4285714285714285</v>
      </c>
      <c r="V739" s="38" t="n">
        <v>0</v>
      </c>
      <c r="W739" s="38" t="n">
        <v>2.506</v>
      </c>
      <c r="X739" s="38" t="n">
        <v>4.246999999999999</v>
      </c>
      <c r="Y739" s="38" t="n">
        <v>27.406</v>
      </c>
      <c r="Z739" s="38" t="n">
        <v>0</v>
      </c>
      <c r="AA739" s="36" t="n">
        <v>17</v>
      </c>
      <c r="AB739" s="37" t="n">
        <v>0.8947368421052632</v>
      </c>
      <c r="AC739" s="36" t="n">
        <v>6</v>
      </c>
      <c r="AD739" s="37" t="n">
        <v>0.8571428571428571</v>
      </c>
      <c r="AE739" s="36" t="n">
        <v>11</v>
      </c>
      <c r="AF739" s="37" t="n">
        <v>0.9166666666666666</v>
      </c>
      <c r="AG739" s="36" t="n">
        <v>4</v>
      </c>
      <c r="AH739" s="37" t="n">
        <v>0.6666666666666666</v>
      </c>
    </row>
    <row r="740">
      <c r="A740" s="53" t="n">
        <v>45769</v>
      </c>
      <c r="B740" t="inlineStr">
        <is>
          <t>R06_Jawa Timur</t>
        </is>
      </c>
      <c r="C740" t="inlineStr">
        <is>
          <t>NOP KEDIRI</t>
        </is>
      </c>
      <c r="D740" s="38" t="n">
        <v>0</v>
      </c>
      <c r="E740" s="38" t="n">
        <v>0</v>
      </c>
      <c r="F740" s="36" t="n">
        <v>0</v>
      </c>
      <c r="G740" s="36" t="n">
        <v>1.919</v>
      </c>
      <c r="H740" s="36" t="n">
        <v>8</v>
      </c>
      <c r="I740" s="37" t="n">
        <v>1</v>
      </c>
      <c r="J740" s="36" t="n">
        <v>0</v>
      </c>
      <c r="K740" s="37" t="n">
        <v>0</v>
      </c>
      <c r="L740" s="36" t="n">
        <v>8</v>
      </c>
      <c r="M740" s="37" t="n">
        <v>1</v>
      </c>
      <c r="N740" s="36" t="n">
        <v>0</v>
      </c>
      <c r="O740" s="37" t="n">
        <v>0</v>
      </c>
      <c r="P740" s="36" t="n">
        <v>0</v>
      </c>
      <c r="Q740" s="37" t="n">
        <v>0</v>
      </c>
      <c r="R740" s="36" t="n">
        <v>8</v>
      </c>
      <c r="S740" s="37" t="n">
        <v>1</v>
      </c>
      <c r="T740" s="36" t="n">
        <v>7</v>
      </c>
      <c r="U740" s="37" t="n">
        <v>0.875</v>
      </c>
      <c r="V740" s="38" t="n">
        <v>0</v>
      </c>
      <c r="W740" s="38" t="n">
        <v>1.322</v>
      </c>
      <c r="X740" s="38" t="n">
        <v>2.994000000000001</v>
      </c>
      <c r="Y740" s="38" t="n">
        <v>0</v>
      </c>
      <c r="Z740" s="38" t="n">
        <v>0</v>
      </c>
      <c r="AA740" s="36" t="n">
        <v>9</v>
      </c>
      <c r="AB740" s="37" t="n">
        <v>1</v>
      </c>
      <c r="AC740" s="36" t="n">
        <v>2</v>
      </c>
      <c r="AD740" s="37" t="n">
        <v>1</v>
      </c>
      <c r="AE740" s="36" t="n">
        <v>7</v>
      </c>
      <c r="AF740" s="37" t="n">
        <v>1</v>
      </c>
      <c r="AG740" s="36" t="n">
        <v>2</v>
      </c>
      <c r="AH740" s="37" t="n">
        <v>1</v>
      </c>
    </row>
    <row r="741">
      <c r="A741" s="53" t="n">
        <v>45769</v>
      </c>
      <c r="B741" t="inlineStr">
        <is>
          <t>R06_Jawa Timur</t>
        </is>
      </c>
      <c r="C741" t="inlineStr">
        <is>
          <t>NOP LAMONGAN</t>
        </is>
      </c>
      <c r="D741" s="38" t="n">
        <v>0</v>
      </c>
      <c r="E741" s="38" t="n">
        <v>0</v>
      </c>
      <c r="F741" s="36" t="n">
        <v>0</v>
      </c>
      <c r="G741" s="36" t="n">
        <v>3.848000000000001</v>
      </c>
      <c r="H741" s="36" t="n">
        <v>4</v>
      </c>
      <c r="I741" s="37" t="n">
        <v>0.5714285714285714</v>
      </c>
      <c r="J741" s="36" t="n">
        <v>0</v>
      </c>
      <c r="K741" s="37" t="n">
        <v>0</v>
      </c>
      <c r="L741" s="36" t="n">
        <v>4</v>
      </c>
      <c r="M741" s="37" t="n">
        <v>0.5714285714285714</v>
      </c>
      <c r="N741" s="36" t="n">
        <v>0</v>
      </c>
      <c r="O741" s="37" t="n">
        <v>0</v>
      </c>
      <c r="P741" s="36" t="n">
        <v>0</v>
      </c>
      <c r="Q741" s="37" t="n">
        <v>0</v>
      </c>
      <c r="R741" s="36" t="n">
        <v>7</v>
      </c>
      <c r="S741" s="37" t="n">
        <v>1</v>
      </c>
      <c r="T741" s="36" t="n">
        <v>4</v>
      </c>
      <c r="U741" s="37" t="n">
        <v>0.5714285714285714</v>
      </c>
      <c r="V741" s="38" t="n">
        <v>0</v>
      </c>
      <c r="W741" s="38" t="n">
        <v>1.986</v>
      </c>
      <c r="X741" s="38" t="n">
        <v>6.830000000000004</v>
      </c>
      <c r="Y741" s="38" t="n">
        <v>44.977</v>
      </c>
      <c r="Z741" s="38" t="n">
        <v>0</v>
      </c>
      <c r="AA741" s="36" t="n">
        <v>12</v>
      </c>
      <c r="AB741" s="37" t="n">
        <v>0.8571428571428571</v>
      </c>
      <c r="AC741" s="36" t="n">
        <v>2</v>
      </c>
      <c r="AD741" s="37" t="n">
        <v>0.6666666666666666</v>
      </c>
      <c r="AE741" s="36" t="n">
        <v>10</v>
      </c>
      <c r="AF741" s="37" t="n">
        <v>0.9090909090909091</v>
      </c>
      <c r="AG741" s="36" t="n">
        <v>2</v>
      </c>
      <c r="AH741" s="37" t="n">
        <v>1</v>
      </c>
    </row>
    <row r="742">
      <c r="A742" s="53" t="n">
        <v>45769</v>
      </c>
      <c r="B742" t="inlineStr">
        <is>
          <t>R06_Jawa Timur</t>
        </is>
      </c>
      <c r="C742" t="inlineStr">
        <is>
          <t>NOP MADIUN</t>
        </is>
      </c>
      <c r="D742" s="38" t="n">
        <v>0</v>
      </c>
      <c r="E742" s="38" t="n">
        <v>0</v>
      </c>
      <c r="F742" s="36" t="n">
        <v>148.272</v>
      </c>
      <c r="G742" s="36" t="n">
        <v>2.441000000000001</v>
      </c>
      <c r="H742" s="36" t="n">
        <v>12</v>
      </c>
      <c r="I742" s="37" t="n">
        <v>0.5217391304347826</v>
      </c>
      <c r="J742" s="36" t="n">
        <v>0</v>
      </c>
      <c r="K742" s="37" t="n">
        <v>0</v>
      </c>
      <c r="L742" s="36" t="n">
        <v>12</v>
      </c>
      <c r="M742" s="37" t="n">
        <v>0.5217391304347826</v>
      </c>
      <c r="N742" s="36" t="n">
        <v>0</v>
      </c>
      <c r="O742" s="37" t="n">
        <v>0</v>
      </c>
      <c r="P742" s="36" t="n">
        <v>0</v>
      </c>
      <c r="Q742" s="37" t="n">
        <v>0</v>
      </c>
      <c r="R742" s="36" t="n">
        <v>23</v>
      </c>
      <c r="S742" s="37" t="n">
        <v>1</v>
      </c>
      <c r="T742" s="36" t="n">
        <v>6</v>
      </c>
      <c r="U742" s="37" t="n">
        <v>0.2608695652173913</v>
      </c>
      <c r="V742" s="38" t="n">
        <v>0</v>
      </c>
      <c r="W742" s="38" t="n">
        <v>1.529</v>
      </c>
      <c r="X742" s="38" t="n">
        <v>6.767999999999997</v>
      </c>
      <c r="Y742" s="38" t="n">
        <v>18.27</v>
      </c>
      <c r="Z742" s="38" t="n">
        <v>0</v>
      </c>
      <c r="AA742" s="36" t="n">
        <v>21</v>
      </c>
      <c r="AB742" s="37" t="n">
        <v>0.875</v>
      </c>
      <c r="AC742" s="36" t="n">
        <v>7</v>
      </c>
      <c r="AD742" s="37" t="n">
        <v>0.875</v>
      </c>
      <c r="AE742" s="36" t="n">
        <v>14</v>
      </c>
      <c r="AF742" s="37" t="n">
        <v>0.875</v>
      </c>
      <c r="AG742" s="36" t="n">
        <v>4</v>
      </c>
      <c r="AH742" s="37" t="n">
        <v>0.5714285714285714</v>
      </c>
    </row>
    <row r="743">
      <c r="A743" s="53" t="n">
        <v>45769</v>
      </c>
      <c r="B743" t="inlineStr">
        <is>
          <t>R06_Jawa Timur</t>
        </is>
      </c>
      <c r="C743" t="inlineStr">
        <is>
          <t>NOP MALANG</t>
        </is>
      </c>
      <c r="D743" s="38" t="n">
        <v>1.29</v>
      </c>
      <c r="E743" s="38" t="n">
        <v>0</v>
      </c>
      <c r="F743" s="36" t="n">
        <v>1.286999999999999</v>
      </c>
      <c r="G743" s="36" t="n">
        <v>2.106</v>
      </c>
      <c r="H743" s="36" t="n">
        <v>11</v>
      </c>
      <c r="I743" s="37" t="n">
        <v>0.7857142857142857</v>
      </c>
      <c r="J743" s="36" t="n">
        <v>1</v>
      </c>
      <c r="K743" s="37" t="n">
        <v>1</v>
      </c>
      <c r="L743" s="36" t="n">
        <v>10</v>
      </c>
      <c r="M743" s="37" t="n">
        <v>0.7692307692307693</v>
      </c>
      <c r="N743" s="36" t="n">
        <v>1</v>
      </c>
      <c r="O743" s="37" t="n">
        <v>1</v>
      </c>
      <c r="P743" s="36" t="n">
        <v>1</v>
      </c>
      <c r="Q743" s="37" t="n">
        <v>1</v>
      </c>
      <c r="R743" s="36" t="n">
        <v>14</v>
      </c>
      <c r="S743" s="37" t="n">
        <v>1</v>
      </c>
      <c r="T743" s="36" t="n">
        <v>11</v>
      </c>
      <c r="U743" s="37" t="n">
        <v>0.7857142857142857</v>
      </c>
      <c r="V743" s="38" t="n">
        <v>0</v>
      </c>
      <c r="W743" s="38" t="n">
        <v>0.6920000000000001</v>
      </c>
      <c r="X743" s="38" t="n">
        <v>2.29</v>
      </c>
      <c r="Y743" s="38" t="n">
        <v>0.4</v>
      </c>
      <c r="Z743" s="38" t="n">
        <v>0</v>
      </c>
      <c r="AA743" s="36" t="n">
        <v>6</v>
      </c>
      <c r="AB743" s="37" t="n">
        <v>0.6</v>
      </c>
      <c r="AC743" s="36" t="n">
        <v>0</v>
      </c>
      <c r="AD743" s="37" t="n">
        <v>0</v>
      </c>
      <c r="AE743" s="36" t="n">
        <v>6</v>
      </c>
      <c r="AF743" s="37" t="n">
        <v>0.8571428571428571</v>
      </c>
      <c r="AG743" s="36" t="n">
        <v>0</v>
      </c>
      <c r="AH743" s="37" t="n">
        <v>0</v>
      </c>
    </row>
    <row r="744">
      <c r="A744" s="53" t="n">
        <v>45769</v>
      </c>
      <c r="B744" t="inlineStr">
        <is>
          <t>R06_Jawa Timur</t>
        </is>
      </c>
      <c r="C744" t="inlineStr">
        <is>
          <t>NOP SIDOARJO</t>
        </is>
      </c>
      <c r="D744" s="38" t="n">
        <v>1.039</v>
      </c>
      <c r="E744" s="38" t="n">
        <v>3.01</v>
      </c>
      <c r="F744" s="36" t="n">
        <v>3.22</v>
      </c>
      <c r="G744" s="36" t="n">
        <v>5.234</v>
      </c>
      <c r="H744" s="36" t="n">
        <v>13</v>
      </c>
      <c r="I744" s="37" t="n">
        <v>0.7222222222222222</v>
      </c>
      <c r="J744" s="36" t="n">
        <v>3</v>
      </c>
      <c r="K744" s="37" t="n">
        <v>1</v>
      </c>
      <c r="L744" s="36" t="n">
        <v>10</v>
      </c>
      <c r="M744" s="37" t="n">
        <v>0.6666666666666666</v>
      </c>
      <c r="N744" s="36" t="n">
        <v>2</v>
      </c>
      <c r="O744" s="37" t="n">
        <v>0.6666666666666666</v>
      </c>
      <c r="P744" s="36" t="n">
        <v>2</v>
      </c>
      <c r="Q744" s="37" t="n">
        <v>0.6666666666666666</v>
      </c>
      <c r="R744" s="36" t="n">
        <v>18</v>
      </c>
      <c r="S744" s="37" t="n">
        <v>1</v>
      </c>
      <c r="T744" s="36" t="n">
        <v>10</v>
      </c>
      <c r="U744" s="37" t="n">
        <v>0.5555555555555556</v>
      </c>
      <c r="V744" s="38" t="n">
        <v>0.01</v>
      </c>
      <c r="W744" s="38" t="n">
        <v>3.542</v>
      </c>
      <c r="X744" s="38" t="n">
        <v>11.46800000000001</v>
      </c>
      <c r="Y744" s="38" t="n">
        <v>7.43</v>
      </c>
      <c r="Z744" s="38" t="n">
        <v>0</v>
      </c>
      <c r="AA744" s="36" t="n">
        <v>21</v>
      </c>
      <c r="AB744" s="37" t="n">
        <v>0.875</v>
      </c>
      <c r="AC744" s="36" t="n">
        <v>9</v>
      </c>
      <c r="AD744" s="37" t="n">
        <v>0.9</v>
      </c>
      <c r="AE744" s="36" t="n">
        <v>12</v>
      </c>
      <c r="AF744" s="37" t="n">
        <v>0.8571428571428571</v>
      </c>
      <c r="AG744" s="36" t="n">
        <v>8</v>
      </c>
      <c r="AH744" s="37" t="n">
        <v>0.8888888888888888</v>
      </c>
    </row>
    <row r="745">
      <c r="A745" s="53" t="n">
        <v>45769</v>
      </c>
      <c r="B745" t="inlineStr">
        <is>
          <t>R06_Jawa Timur</t>
        </is>
      </c>
      <c r="C745" t="inlineStr">
        <is>
          <t>NOP SURABAYA</t>
        </is>
      </c>
      <c r="D745" s="38" t="n">
        <v>3.829</v>
      </c>
      <c r="E745" s="38" t="n">
        <v>0</v>
      </c>
      <c r="F745" s="36" t="n">
        <v>2.37</v>
      </c>
      <c r="G745" s="36" t="n">
        <v>3.37</v>
      </c>
      <c r="H745" s="36" t="n">
        <v>9</v>
      </c>
      <c r="I745" s="37" t="n">
        <v>0.4090909090909091</v>
      </c>
      <c r="J745" s="36" t="n">
        <v>1</v>
      </c>
      <c r="K745" s="37" t="n">
        <v>0.5</v>
      </c>
      <c r="L745" s="36" t="n">
        <v>8</v>
      </c>
      <c r="M745" s="37" t="n">
        <v>0.4</v>
      </c>
      <c r="N745" s="36" t="n">
        <v>1</v>
      </c>
      <c r="O745" s="37" t="n">
        <v>1</v>
      </c>
      <c r="P745" s="36" t="n">
        <v>1</v>
      </c>
      <c r="Q745" s="37" t="n">
        <v>1</v>
      </c>
      <c r="R745" s="36" t="n">
        <v>21</v>
      </c>
      <c r="S745" s="37" t="n">
        <v>0.9545454545454546</v>
      </c>
      <c r="T745" s="36" t="n">
        <v>5</v>
      </c>
      <c r="U745" s="37" t="n">
        <v>0.2272727272727273</v>
      </c>
      <c r="V745" s="38" t="n">
        <v>0</v>
      </c>
      <c r="W745" s="38" t="n">
        <v>2.510000000000001</v>
      </c>
      <c r="X745" s="38" t="n">
        <v>5.065</v>
      </c>
      <c r="Y745" s="38" t="n">
        <v>14.574</v>
      </c>
      <c r="Z745" s="38" t="n">
        <v>0</v>
      </c>
      <c r="AA745" s="36" t="n">
        <v>25</v>
      </c>
      <c r="AB745" s="37" t="n">
        <v>0.6097560975609756</v>
      </c>
      <c r="AC745" s="36" t="n">
        <v>4</v>
      </c>
      <c r="AD745" s="37" t="n">
        <v>0.4444444444444444</v>
      </c>
      <c r="AE745" s="36" t="n">
        <v>21</v>
      </c>
      <c r="AF745" s="37" t="n">
        <v>0.65625</v>
      </c>
      <c r="AG745" s="36" t="n">
        <v>4</v>
      </c>
      <c r="AH745" s="37" t="n">
        <v>1</v>
      </c>
    </row>
    <row r="746">
      <c r="A746" s="53" t="n">
        <v>45769</v>
      </c>
      <c r="B746" t="inlineStr">
        <is>
          <t>R07_Bali Nusra</t>
        </is>
      </c>
      <c r="C746" t="inlineStr">
        <is>
          <t>NOP DENPASAR</t>
        </is>
      </c>
      <c r="D746" s="38" t="n">
        <v>2.611</v>
      </c>
      <c r="E746" s="38" t="n">
        <v>0</v>
      </c>
      <c r="F746" s="36" t="n">
        <v>0.42</v>
      </c>
      <c r="G746" s="36" t="n">
        <v>2.154000000000001</v>
      </c>
      <c r="H746" s="36" t="n">
        <v>10</v>
      </c>
      <c r="I746" s="37" t="n">
        <v>1</v>
      </c>
      <c r="J746" s="36" t="n">
        <v>2</v>
      </c>
      <c r="K746" s="37" t="n">
        <v>1</v>
      </c>
      <c r="L746" s="36" t="n">
        <v>8</v>
      </c>
      <c r="M746" s="37" t="n">
        <v>1</v>
      </c>
      <c r="N746" s="36" t="n">
        <v>2</v>
      </c>
      <c r="O746" s="37" t="n">
        <v>1</v>
      </c>
      <c r="P746" s="36" t="n">
        <v>2</v>
      </c>
      <c r="Q746" s="37" t="n">
        <v>1</v>
      </c>
      <c r="R746" s="36" t="n">
        <v>8</v>
      </c>
      <c r="S746" s="37" t="n">
        <v>0.8</v>
      </c>
      <c r="T746" s="36" t="n">
        <v>8</v>
      </c>
      <c r="U746" s="37" t="n">
        <v>0.8</v>
      </c>
      <c r="V746" s="38" t="n">
        <v>0</v>
      </c>
      <c r="W746" s="38" t="n">
        <v>27.30000000000002</v>
      </c>
      <c r="X746" s="38" t="n">
        <v>7.66</v>
      </c>
      <c r="Y746" s="38" t="n">
        <v>170.633</v>
      </c>
      <c r="Z746" s="38" t="n">
        <v>0</v>
      </c>
      <c r="AA746" s="36" t="n">
        <v>23</v>
      </c>
      <c r="AB746" s="37" t="n">
        <v>0.9583333333333334</v>
      </c>
      <c r="AC746" s="36" t="n">
        <v>9</v>
      </c>
      <c r="AD746" s="37" t="n">
        <v>1</v>
      </c>
      <c r="AE746" s="36" t="n">
        <v>14</v>
      </c>
      <c r="AF746" s="37" t="n">
        <v>0.9333333333333333</v>
      </c>
      <c r="AG746" s="36" t="n">
        <v>8</v>
      </c>
      <c r="AH746" s="37" t="n">
        <v>0.8888888888888888</v>
      </c>
    </row>
    <row r="747">
      <c r="A747" s="53" t="n">
        <v>45769</v>
      </c>
      <c r="B747" t="inlineStr">
        <is>
          <t>R07_Bali Nusra</t>
        </is>
      </c>
      <c r="C747" t="inlineStr">
        <is>
          <t>NOP FLORES</t>
        </is>
      </c>
      <c r="D747" s="38" t="n">
        <v>3.18</v>
      </c>
      <c r="E747" s="38" t="n">
        <v>3.66</v>
      </c>
      <c r="F747" s="36" t="n">
        <v>9.901999999999989</v>
      </c>
      <c r="G747" s="36" t="n">
        <v>8.489000000000004</v>
      </c>
      <c r="H747" s="36" t="n">
        <v>77</v>
      </c>
      <c r="I747" s="37" t="n">
        <v>0.8279569892473119</v>
      </c>
      <c r="J747" s="36" t="n">
        <v>23</v>
      </c>
      <c r="K747" s="37" t="n">
        <v>0.9583333333333334</v>
      </c>
      <c r="L747" s="36" t="n">
        <v>54</v>
      </c>
      <c r="M747" s="37" t="n">
        <v>0.7826086956521739</v>
      </c>
      <c r="N747" s="36" t="n">
        <v>17</v>
      </c>
      <c r="O747" s="37" t="n">
        <v>0.7391304347826086</v>
      </c>
      <c r="P747" s="36" t="n">
        <v>17</v>
      </c>
      <c r="Q747" s="37" t="n">
        <v>0.7391304347826086</v>
      </c>
      <c r="R747" s="36" t="n">
        <v>93</v>
      </c>
      <c r="S747" s="37" t="n">
        <v>1</v>
      </c>
      <c r="T747" s="36" t="n">
        <v>58</v>
      </c>
      <c r="U747" s="37" t="n">
        <v>0.6236559139784946</v>
      </c>
      <c r="V747" s="38" t="n">
        <v>0.8100000000000001</v>
      </c>
      <c r="W747" s="38" t="n">
        <v>8.813000000000006</v>
      </c>
      <c r="X747" s="38" t="n">
        <v>3.85</v>
      </c>
      <c r="Y747" s="38" t="n">
        <v>21.15099999999998</v>
      </c>
      <c r="Z747" s="38" t="n">
        <v>0</v>
      </c>
      <c r="AA747" s="36" t="n">
        <v>136</v>
      </c>
      <c r="AB747" s="37" t="n">
        <v>0.7816091954022989</v>
      </c>
      <c r="AC747" s="36" t="n">
        <v>84</v>
      </c>
      <c r="AD747" s="37" t="n">
        <v>0.8155339805825242</v>
      </c>
      <c r="AE747" s="36" t="n">
        <v>52</v>
      </c>
      <c r="AF747" s="37" t="n">
        <v>0.7323943661971831</v>
      </c>
      <c r="AG747" s="36" t="n">
        <v>61</v>
      </c>
      <c r="AH747" s="37" t="n">
        <v>0.7261904761904762</v>
      </c>
    </row>
    <row r="748">
      <c r="A748" s="53" t="n">
        <v>45769</v>
      </c>
      <c r="B748" t="inlineStr">
        <is>
          <t>R07_Bali Nusra</t>
        </is>
      </c>
      <c r="C748" t="inlineStr">
        <is>
          <t>NOP KUPANG</t>
        </is>
      </c>
      <c r="D748" s="38" t="n">
        <v>0</v>
      </c>
      <c r="E748" s="38" t="n">
        <v>12.37200000000001</v>
      </c>
      <c r="F748" s="36" t="n">
        <v>15.84</v>
      </c>
      <c r="G748" s="36" t="n">
        <v>41.09800000000002</v>
      </c>
      <c r="H748" s="36" t="n">
        <v>25</v>
      </c>
      <c r="I748" s="37" t="n">
        <v>0.25</v>
      </c>
      <c r="J748" s="36" t="n">
        <v>9</v>
      </c>
      <c r="K748" s="37" t="n">
        <v>0.6428571428571429</v>
      </c>
      <c r="L748" s="36" t="n">
        <v>16</v>
      </c>
      <c r="M748" s="37" t="n">
        <v>0.186046511627907</v>
      </c>
      <c r="N748" s="36" t="n">
        <v>6</v>
      </c>
      <c r="O748" s="37" t="n">
        <v>0.6666666666666666</v>
      </c>
      <c r="P748" s="36" t="n">
        <v>6</v>
      </c>
      <c r="Q748" s="37" t="n">
        <v>0.6666666666666666</v>
      </c>
      <c r="R748" s="36" t="n">
        <v>89</v>
      </c>
      <c r="S748" s="37" t="n">
        <v>0.89</v>
      </c>
      <c r="T748" s="36" t="n">
        <v>21</v>
      </c>
      <c r="U748" s="37" t="n">
        <v>0.21</v>
      </c>
      <c r="V748" s="38" t="n">
        <v>0.01</v>
      </c>
      <c r="W748" s="38" t="n">
        <v>5.37</v>
      </c>
      <c r="X748" s="38" t="n">
        <v>42.72400000000003</v>
      </c>
      <c r="Y748" s="38" t="n">
        <v>39.28900000000001</v>
      </c>
      <c r="Z748" s="38" t="n">
        <v>0</v>
      </c>
      <c r="AA748" s="36" t="n">
        <v>42</v>
      </c>
      <c r="AB748" s="37" t="n">
        <v>0.5753424657534246</v>
      </c>
      <c r="AC748" s="36" t="n">
        <v>25</v>
      </c>
      <c r="AD748" s="37" t="n">
        <v>0.5434782608695652</v>
      </c>
      <c r="AE748" s="36" t="n">
        <v>17</v>
      </c>
      <c r="AF748" s="37" t="n">
        <v>0.6296296296296297</v>
      </c>
      <c r="AG748" s="36" t="n">
        <v>22</v>
      </c>
      <c r="AH748" s="37" t="n">
        <v>0.88</v>
      </c>
    </row>
    <row r="749">
      <c r="A749" s="53" t="n">
        <v>45769</v>
      </c>
      <c r="B749" t="inlineStr">
        <is>
          <t>R07_Bali Nusra</t>
        </is>
      </c>
      <c r="C749" t="inlineStr">
        <is>
          <t>NOP MATARAM</t>
        </is>
      </c>
      <c r="D749" s="38" t="n">
        <v>0</v>
      </c>
      <c r="E749" s="38" t="n">
        <v>5.82</v>
      </c>
      <c r="F749" s="36" t="n">
        <v>3.358000000000001</v>
      </c>
      <c r="G749" s="36" t="n">
        <v>5.009999999999998</v>
      </c>
      <c r="H749" s="36" t="n">
        <v>36</v>
      </c>
      <c r="I749" s="37" t="n">
        <v>0.6206896551724138</v>
      </c>
      <c r="J749" s="36" t="n">
        <v>6</v>
      </c>
      <c r="K749" s="37" t="n">
        <v>0.5</v>
      </c>
      <c r="L749" s="36" t="n">
        <v>30</v>
      </c>
      <c r="M749" s="37" t="n">
        <v>0.6521739130434783</v>
      </c>
      <c r="N749" s="36" t="n">
        <v>2</v>
      </c>
      <c r="O749" s="37" t="n">
        <v>0.3333333333333333</v>
      </c>
      <c r="P749" s="36" t="n">
        <v>2</v>
      </c>
      <c r="Q749" s="37" t="n">
        <v>0.3333333333333333</v>
      </c>
      <c r="R749" s="36" t="n">
        <v>54</v>
      </c>
      <c r="S749" s="37" t="n">
        <v>0.9310344827586207</v>
      </c>
      <c r="T749" s="36" t="n">
        <v>17</v>
      </c>
      <c r="U749" s="37" t="n">
        <v>0.293103448275862</v>
      </c>
      <c r="V749" s="38" t="n">
        <v>0.08</v>
      </c>
      <c r="W749" s="38" t="n">
        <v>5.530000000000003</v>
      </c>
      <c r="X749" s="38" t="n">
        <v>5.674000000000003</v>
      </c>
      <c r="Y749" s="38" t="n">
        <v>78.288</v>
      </c>
      <c r="Z749" s="38" t="n">
        <v>0</v>
      </c>
      <c r="AA749" s="36" t="n">
        <v>22</v>
      </c>
      <c r="AB749" s="37" t="n">
        <v>0.4150943396226415</v>
      </c>
      <c r="AC749" s="36" t="n">
        <v>10</v>
      </c>
      <c r="AD749" s="37" t="n">
        <v>0.4347826086956522</v>
      </c>
      <c r="AE749" s="36" t="n">
        <v>12</v>
      </c>
      <c r="AF749" s="37" t="n">
        <v>0.4</v>
      </c>
      <c r="AG749" s="36" t="n">
        <v>6</v>
      </c>
      <c r="AH749" s="37" t="n">
        <v>0.6</v>
      </c>
    </row>
    <row r="750">
      <c r="A750" s="53" t="n">
        <v>45770</v>
      </c>
      <c r="B750" t="inlineStr">
        <is>
          <t>R01_Sumbagut</t>
        </is>
      </c>
      <c r="C750" t="inlineStr">
        <is>
          <t>NOP ACEH</t>
        </is>
      </c>
      <c r="D750" s="38" t="n">
        <v>4.67</v>
      </c>
      <c r="E750" s="38" t="n">
        <v>1.759999999999999</v>
      </c>
      <c r="F750" s="36" t="n">
        <v>8.041</v>
      </c>
      <c r="G750" s="36" t="n">
        <v>5.218000000000001</v>
      </c>
      <c r="H750" s="36" t="n">
        <v>136</v>
      </c>
      <c r="I750" s="37" t="n">
        <v>0.8395061728395061</v>
      </c>
      <c r="J750" s="36" t="n">
        <v>26</v>
      </c>
      <c r="K750" s="37" t="n">
        <v>0.8387096774193549</v>
      </c>
      <c r="L750" s="36" t="n">
        <v>110</v>
      </c>
      <c r="M750" s="37" t="n">
        <v>0.8396946564885496</v>
      </c>
      <c r="N750" s="36" t="n">
        <v>19</v>
      </c>
      <c r="O750" s="37" t="n">
        <v>0.7307692307692307</v>
      </c>
      <c r="P750" s="36" t="n">
        <v>18</v>
      </c>
      <c r="Q750" s="37" t="n">
        <v>0.72</v>
      </c>
      <c r="R750" s="36" t="n">
        <v>162</v>
      </c>
      <c r="S750" s="37" t="n">
        <v>1</v>
      </c>
      <c r="T750" s="36" t="n">
        <v>72</v>
      </c>
      <c r="U750" s="37" t="n">
        <v>0.4444444444444444</v>
      </c>
      <c r="V750" s="38" t="n">
        <v>0.02</v>
      </c>
      <c r="W750" s="38" t="n">
        <v>8.27</v>
      </c>
      <c r="X750" s="38" t="n">
        <v>57.67400000000001</v>
      </c>
      <c r="Y750" s="38" t="n">
        <v>197.418</v>
      </c>
      <c r="Z750" s="38" t="n">
        <v>0</v>
      </c>
      <c r="AA750" s="36" t="n">
        <v>380</v>
      </c>
      <c r="AB750" s="37" t="n">
        <v>0.8577878103837472</v>
      </c>
      <c r="AC750" s="36" t="n">
        <v>42</v>
      </c>
      <c r="AD750" s="37" t="n">
        <v>0.75</v>
      </c>
      <c r="AE750" s="36" t="n">
        <v>335</v>
      </c>
      <c r="AF750" s="37" t="n">
        <v>0.8746736292428199</v>
      </c>
      <c r="AG750" s="36" t="n">
        <v>12</v>
      </c>
      <c r="AH750" s="37" t="n">
        <v>0.2857142857142857</v>
      </c>
    </row>
    <row r="751">
      <c r="A751" s="53" t="n">
        <v>45770</v>
      </c>
      <c r="B751" t="inlineStr">
        <is>
          <t>R01_Sumbagut</t>
        </is>
      </c>
      <c r="C751" t="inlineStr">
        <is>
          <t>NOP BINJAI</t>
        </is>
      </c>
      <c r="D751" s="38" t="n">
        <v>0</v>
      </c>
      <c r="E751" s="38" t="n">
        <v>2.023</v>
      </c>
      <c r="F751" s="36" t="n">
        <v>1.130000000000001</v>
      </c>
      <c r="G751" s="36" t="n">
        <v>9.315999999999987</v>
      </c>
      <c r="H751" s="36" t="n">
        <v>37</v>
      </c>
      <c r="I751" s="37" t="n">
        <v>0.6271186440677966</v>
      </c>
      <c r="J751" s="36" t="n">
        <v>7</v>
      </c>
      <c r="K751" s="37" t="n">
        <v>0.875</v>
      </c>
      <c r="L751" s="36" t="n">
        <v>30</v>
      </c>
      <c r="M751" s="37" t="n">
        <v>0.5882352941176471</v>
      </c>
      <c r="N751" s="36" t="n">
        <v>2</v>
      </c>
      <c r="O751" s="37" t="n">
        <v>0.2857142857142857</v>
      </c>
      <c r="P751" s="36" t="n">
        <v>2</v>
      </c>
      <c r="Q751" s="37" t="n">
        <v>0.2857142857142857</v>
      </c>
      <c r="R751" s="36" t="n">
        <v>59</v>
      </c>
      <c r="S751" s="37" t="n">
        <v>1</v>
      </c>
      <c r="T751" s="36" t="n">
        <v>15</v>
      </c>
      <c r="U751" s="37" t="n">
        <v>0.2542372881355932</v>
      </c>
      <c r="V751" s="38" t="n">
        <v>0</v>
      </c>
      <c r="W751" s="38" t="n">
        <v>3.846000000000006</v>
      </c>
      <c r="X751" s="38" t="n">
        <v>14.49</v>
      </c>
      <c r="Y751" s="38" t="n">
        <v>48.08199999999999</v>
      </c>
      <c r="Z751" s="38" t="n">
        <v>0</v>
      </c>
      <c r="AA751" s="36" t="n">
        <v>60</v>
      </c>
      <c r="AB751" s="37" t="n">
        <v>0.6122448979591837</v>
      </c>
      <c r="AC751" s="36" t="n">
        <v>20</v>
      </c>
      <c r="AD751" s="37" t="n">
        <v>0.5128205128205128</v>
      </c>
      <c r="AE751" s="36" t="n">
        <v>38</v>
      </c>
      <c r="AF751" s="37" t="n">
        <v>0.6909090909090909</v>
      </c>
      <c r="AG751" s="36" t="n">
        <v>15</v>
      </c>
      <c r="AH751" s="37" t="n">
        <v>0.75</v>
      </c>
    </row>
    <row r="752">
      <c r="A752" s="53" t="n">
        <v>45770</v>
      </c>
      <c r="B752" t="inlineStr">
        <is>
          <t>R01_Sumbagut</t>
        </is>
      </c>
      <c r="C752" t="inlineStr">
        <is>
          <t>NOP MEDAN</t>
        </is>
      </c>
      <c r="D752" s="38" t="n">
        <v>5.2</v>
      </c>
      <c r="E752" s="38" t="n">
        <v>3.752</v>
      </c>
      <c r="F752" s="36" t="n">
        <v>6.59</v>
      </c>
      <c r="G752" s="36" t="n">
        <v>5.266999999999999</v>
      </c>
      <c r="H752" s="36" t="n">
        <v>33</v>
      </c>
      <c r="I752" s="37" t="n">
        <v>0.3473684210526316</v>
      </c>
      <c r="J752" s="36" t="n">
        <v>20</v>
      </c>
      <c r="K752" s="37" t="n">
        <v>0.5128205128205128</v>
      </c>
      <c r="L752" s="36" t="n">
        <v>13</v>
      </c>
      <c r="M752" s="37" t="n">
        <v>0.2321428571428572</v>
      </c>
      <c r="N752" s="36" t="n">
        <v>18</v>
      </c>
      <c r="O752" s="37" t="n">
        <v>0.9</v>
      </c>
      <c r="P752" s="36" t="n">
        <v>18</v>
      </c>
      <c r="Q752" s="37" t="n">
        <v>0.9</v>
      </c>
      <c r="R752" s="36" t="n">
        <v>93</v>
      </c>
      <c r="S752" s="37" t="n">
        <v>0.9789473684210527</v>
      </c>
      <c r="T752" s="36" t="n">
        <v>26</v>
      </c>
      <c r="U752" s="37" t="n">
        <v>0.2736842105263158</v>
      </c>
      <c r="V752" s="38" t="n">
        <v>0</v>
      </c>
      <c r="W752" s="38" t="n">
        <v>3.874</v>
      </c>
      <c r="X752" s="38" t="n">
        <v>18.597</v>
      </c>
      <c r="Y752" s="38" t="n">
        <v>0</v>
      </c>
      <c r="Z752" s="38" t="n">
        <v>0</v>
      </c>
      <c r="AA752" s="36" t="n">
        <v>26</v>
      </c>
      <c r="AB752" s="37" t="n">
        <v>0.3611111111111111</v>
      </c>
      <c r="AC752" s="36" t="n">
        <v>7</v>
      </c>
      <c r="AD752" s="37" t="n">
        <v>0.3043478260869565</v>
      </c>
      <c r="AE752" s="36" t="n">
        <v>19</v>
      </c>
      <c r="AF752" s="37" t="n">
        <v>0.475</v>
      </c>
      <c r="AG752" s="36" t="n">
        <v>7</v>
      </c>
      <c r="AH752" s="37" t="n">
        <v>1</v>
      </c>
    </row>
    <row r="753">
      <c r="A753" s="53" t="n">
        <v>45770</v>
      </c>
      <c r="B753" t="inlineStr">
        <is>
          <t>R01_Sumbagut</t>
        </is>
      </c>
      <c r="C753" t="inlineStr">
        <is>
          <t>NOP PADANG SIDEMPUAN</t>
        </is>
      </c>
      <c r="D753" s="38" t="n">
        <v>0</v>
      </c>
      <c r="E753" s="38" t="n">
        <v>1.622</v>
      </c>
      <c r="F753" s="36" t="n">
        <v>1.14</v>
      </c>
      <c r="G753" s="36" t="n">
        <v>5.384000000000006</v>
      </c>
      <c r="H753" s="36" t="n">
        <v>7</v>
      </c>
      <c r="I753" s="37" t="n">
        <v>0.1627906976744186</v>
      </c>
      <c r="J753" s="36" t="n">
        <v>2</v>
      </c>
      <c r="K753" s="37" t="n">
        <v>0.2857142857142857</v>
      </c>
      <c r="L753" s="36" t="n">
        <v>5</v>
      </c>
      <c r="M753" s="37" t="n">
        <v>0.1388888888888889</v>
      </c>
      <c r="N753" s="36" t="n">
        <v>1</v>
      </c>
      <c r="O753" s="37" t="n">
        <v>0.5</v>
      </c>
      <c r="P753" s="36" t="n">
        <v>1</v>
      </c>
      <c r="Q753" s="37" t="n">
        <v>0.5</v>
      </c>
      <c r="R753" s="36" t="n">
        <v>43</v>
      </c>
      <c r="S753" s="37" t="n">
        <v>1</v>
      </c>
      <c r="T753" s="36" t="n">
        <v>4</v>
      </c>
      <c r="U753" s="37" t="n">
        <v>0.09302325581395349</v>
      </c>
      <c r="V753" s="38" t="n">
        <v>0.01</v>
      </c>
      <c r="W753" s="38" t="n">
        <v>2.365</v>
      </c>
      <c r="X753" s="38" t="n">
        <v>11.402</v>
      </c>
      <c r="Y753" s="38" t="n">
        <v>118.41</v>
      </c>
      <c r="Z753" s="38" t="n">
        <v>0</v>
      </c>
      <c r="AA753" s="36" t="n">
        <v>121</v>
      </c>
      <c r="AB753" s="37" t="n">
        <v>0.4087837837837838</v>
      </c>
      <c r="AC753" s="36" t="n">
        <v>28</v>
      </c>
      <c r="AD753" s="37" t="n">
        <v>0.4444444444444444</v>
      </c>
      <c r="AE753" s="36" t="n">
        <v>92</v>
      </c>
      <c r="AF753" s="37" t="n">
        <v>0.4052863436123348</v>
      </c>
      <c r="AG753" s="36" t="n">
        <v>15</v>
      </c>
      <c r="AH753" s="37" t="n">
        <v>0.5357142857142857</v>
      </c>
    </row>
    <row r="754">
      <c r="A754" s="53" t="n">
        <v>45770</v>
      </c>
      <c r="B754" t="inlineStr">
        <is>
          <t>R01_Sumbagut</t>
        </is>
      </c>
      <c r="C754" t="inlineStr">
        <is>
          <t>NOP PEMATANG SIANTAR</t>
        </is>
      </c>
      <c r="D754" s="38" t="n">
        <v>6.87</v>
      </c>
      <c r="E754" s="38" t="n">
        <v>2.268000000000002</v>
      </c>
      <c r="F754" s="36" t="n">
        <v>5.77</v>
      </c>
      <c r="G754" s="36" t="n">
        <v>5.558000000000001</v>
      </c>
      <c r="H754" s="36" t="n">
        <v>59</v>
      </c>
      <c r="I754" s="37" t="n">
        <v>0.3986486486486486</v>
      </c>
      <c r="J754" s="36" t="n">
        <v>18</v>
      </c>
      <c r="K754" s="37" t="n">
        <v>0.4736842105263158</v>
      </c>
      <c r="L754" s="36" t="n">
        <v>41</v>
      </c>
      <c r="M754" s="37" t="n">
        <v>0.3727272727272727</v>
      </c>
      <c r="N754" s="36" t="n">
        <v>13</v>
      </c>
      <c r="O754" s="37" t="n">
        <v>0.7222222222222222</v>
      </c>
      <c r="P754" s="36" t="n">
        <v>13</v>
      </c>
      <c r="Q754" s="37" t="n">
        <v>0.7222222222222222</v>
      </c>
      <c r="R754" s="36" t="n">
        <v>144</v>
      </c>
      <c r="S754" s="37" t="n">
        <v>0.972972972972973</v>
      </c>
      <c r="T754" s="36" t="n">
        <v>39</v>
      </c>
      <c r="U754" s="37" t="n">
        <v>0.2635135135135135</v>
      </c>
      <c r="V754" s="38" t="n">
        <v>0</v>
      </c>
      <c r="W754" s="38" t="n">
        <v>3.147000000000001</v>
      </c>
      <c r="X754" s="38" t="n">
        <v>92.89800000000001</v>
      </c>
      <c r="Y754" s="38" t="n">
        <v>106.11</v>
      </c>
      <c r="Z754" s="38" t="n">
        <v>0</v>
      </c>
      <c r="AA754" s="36" t="n">
        <v>65</v>
      </c>
      <c r="AB754" s="37" t="n">
        <v>0.1321138211382114</v>
      </c>
      <c r="AC754" s="36" t="n">
        <v>15</v>
      </c>
      <c r="AD754" s="37" t="n">
        <v>0.3</v>
      </c>
      <c r="AE754" s="36" t="n">
        <v>48</v>
      </c>
      <c r="AF754" s="37" t="n">
        <v>0.1100917431192661</v>
      </c>
      <c r="AG754" s="36" t="n">
        <v>14</v>
      </c>
      <c r="AH754" s="37" t="n">
        <v>0.9333333333333333</v>
      </c>
    </row>
    <row r="755">
      <c r="A755" s="53" t="n">
        <v>45770</v>
      </c>
      <c r="B755" t="inlineStr">
        <is>
          <t>R01_Sumbagut</t>
        </is>
      </c>
      <c r="C755" t="inlineStr">
        <is>
          <t>NOP RANTAU PRAPAT</t>
        </is>
      </c>
      <c r="D755" s="38" t="n">
        <v>13.136</v>
      </c>
      <c r="E755" s="38" t="n">
        <v>13.21</v>
      </c>
      <c r="F755" s="36" t="n">
        <v>3.2</v>
      </c>
      <c r="G755" s="36" t="n">
        <v>8.074000000000007</v>
      </c>
      <c r="H755" s="36" t="n">
        <v>59</v>
      </c>
      <c r="I755" s="37" t="n">
        <v>0.3575757575757576</v>
      </c>
      <c r="J755" s="36" t="n">
        <v>9</v>
      </c>
      <c r="K755" s="37" t="n">
        <v>0.4090909090909091</v>
      </c>
      <c r="L755" s="36" t="n">
        <v>50</v>
      </c>
      <c r="M755" s="37" t="n">
        <v>0.3496503496503496</v>
      </c>
      <c r="N755" s="36" t="n">
        <v>6</v>
      </c>
      <c r="O755" s="37" t="n">
        <v>0.6666666666666666</v>
      </c>
      <c r="P755" s="36" t="n">
        <v>6</v>
      </c>
      <c r="Q755" s="37" t="n">
        <v>0.6666666666666666</v>
      </c>
      <c r="R755" s="36" t="n">
        <v>161</v>
      </c>
      <c r="S755" s="37" t="n">
        <v>0.9757575757575757</v>
      </c>
      <c r="T755" s="36" t="n">
        <v>30</v>
      </c>
      <c r="U755" s="37" t="n">
        <v>0.1818181818181818</v>
      </c>
      <c r="V755" s="38" t="n">
        <v>0</v>
      </c>
      <c r="W755" s="38" t="n">
        <v>2.026</v>
      </c>
      <c r="X755" s="38" t="n">
        <v>19.708</v>
      </c>
      <c r="Y755" s="38" t="n">
        <v>98.79000000000001</v>
      </c>
      <c r="Z755" s="38" t="n">
        <v>0</v>
      </c>
      <c r="AA755" s="36" t="n">
        <v>26</v>
      </c>
      <c r="AB755" s="37" t="n">
        <v>0.07365439093484419</v>
      </c>
      <c r="AC755" s="36" t="n">
        <v>8</v>
      </c>
      <c r="AD755" s="37" t="n">
        <v>0.2051282051282051</v>
      </c>
      <c r="AE755" s="36" t="n">
        <v>16</v>
      </c>
      <c r="AF755" s="37" t="n">
        <v>0.05369127516778523</v>
      </c>
      <c r="AG755" s="36" t="n">
        <v>6</v>
      </c>
      <c r="AH755" s="37" t="n">
        <v>0.75</v>
      </c>
    </row>
    <row r="756">
      <c r="A756" s="53" t="n">
        <v>45770</v>
      </c>
      <c r="B756" t="inlineStr">
        <is>
          <t>R10_Sumbagteng</t>
        </is>
      </c>
      <c r="C756" t="inlineStr">
        <is>
          <t>NOP BATAM</t>
        </is>
      </c>
      <c r="D756" s="38" t="n">
        <v>1.9</v>
      </c>
      <c r="E756" s="38" t="n">
        <v>4.76</v>
      </c>
      <c r="F756" s="36" t="n">
        <v>5.468000000000001</v>
      </c>
      <c r="G756" s="36" t="n">
        <v>9.820000000000004</v>
      </c>
      <c r="H756" s="36" t="n">
        <v>28</v>
      </c>
      <c r="I756" s="37" t="n">
        <v>0.1931034482758621</v>
      </c>
      <c r="J756" s="36" t="n">
        <v>6</v>
      </c>
      <c r="K756" s="37" t="n">
        <v>0.2727272727272727</v>
      </c>
      <c r="L756" s="36" t="n">
        <v>22</v>
      </c>
      <c r="M756" s="37" t="n">
        <v>0.1788617886178862</v>
      </c>
      <c r="N756" s="36" t="n">
        <v>4</v>
      </c>
      <c r="O756" s="37" t="n">
        <v>0.6666666666666666</v>
      </c>
      <c r="P756" s="36" t="n">
        <v>4</v>
      </c>
      <c r="Q756" s="37" t="n">
        <v>0.6666666666666666</v>
      </c>
      <c r="R756" s="36" t="n">
        <v>145</v>
      </c>
      <c r="S756" s="37" t="n">
        <v>1</v>
      </c>
      <c r="T756" s="36" t="n">
        <v>19</v>
      </c>
      <c r="U756" s="37" t="n">
        <v>0.1310344827586207</v>
      </c>
      <c r="V756" s="38" t="n">
        <v>0</v>
      </c>
      <c r="W756" s="38" t="n">
        <v>4.383999999999999</v>
      </c>
      <c r="X756" s="38" t="n">
        <v>27.38799999999997</v>
      </c>
      <c r="Y756" s="38" t="n">
        <v>55.00199999999997</v>
      </c>
      <c r="Z756" s="38" t="n">
        <v>0</v>
      </c>
      <c r="AA756" s="36" t="n">
        <v>54</v>
      </c>
      <c r="AB756" s="37" t="n">
        <v>0.1666666666666667</v>
      </c>
      <c r="AC756" s="36" t="n">
        <v>15</v>
      </c>
      <c r="AD756" s="37" t="n">
        <v>0.2419354838709677</v>
      </c>
      <c r="AE756" s="36" t="n">
        <v>38</v>
      </c>
      <c r="AF756" s="37" t="n">
        <v>0.150197628458498</v>
      </c>
      <c r="AG756" s="36" t="n">
        <v>14</v>
      </c>
      <c r="AH756" s="37" t="n">
        <v>0.9333333333333333</v>
      </c>
    </row>
    <row r="757">
      <c r="A757" s="53" t="n">
        <v>45770</v>
      </c>
      <c r="B757" t="inlineStr">
        <is>
          <t>R10_Sumbagteng</t>
        </is>
      </c>
      <c r="C757" t="inlineStr">
        <is>
          <t>NOP BUKITTINGGI</t>
        </is>
      </c>
      <c r="D757" s="38" t="n">
        <v>0.385</v>
      </c>
      <c r="E757" s="38" t="n">
        <v>15.11200000000001</v>
      </c>
      <c r="F757" s="36" t="n">
        <v>6.920000000000002</v>
      </c>
      <c r="G757" s="36" t="n">
        <v>3.96</v>
      </c>
      <c r="H757" s="36" t="n">
        <v>29</v>
      </c>
      <c r="I757" s="37" t="n">
        <v>0.5471698113207547</v>
      </c>
      <c r="J757" s="36" t="n">
        <v>7</v>
      </c>
      <c r="K757" s="37" t="n">
        <v>0.7777777777777778</v>
      </c>
      <c r="L757" s="36" t="n">
        <v>22</v>
      </c>
      <c r="M757" s="37" t="n">
        <v>0.5</v>
      </c>
      <c r="N757" s="36" t="n">
        <v>5</v>
      </c>
      <c r="O757" s="37" t="n">
        <v>0.7142857142857143</v>
      </c>
      <c r="P757" s="36" t="n">
        <v>5</v>
      </c>
      <c r="Q757" s="37" t="n">
        <v>0.7142857142857143</v>
      </c>
      <c r="R757" s="36" t="n">
        <v>53</v>
      </c>
      <c r="S757" s="37" t="n">
        <v>1</v>
      </c>
      <c r="T757" s="36" t="n">
        <v>18</v>
      </c>
      <c r="U757" s="37" t="n">
        <v>0.3396226415094339</v>
      </c>
      <c r="V757" s="38" t="n">
        <v>0</v>
      </c>
      <c r="W757" s="38" t="n">
        <v>2.375</v>
      </c>
      <c r="X757" s="38" t="n">
        <v>8</v>
      </c>
      <c r="Y757" s="38" t="n">
        <v>71.152</v>
      </c>
      <c r="Z757" s="38" t="n">
        <v>0</v>
      </c>
      <c r="AA757" s="36" t="n">
        <v>59</v>
      </c>
      <c r="AB757" s="37" t="n">
        <v>0.2645739910313901</v>
      </c>
      <c r="AC757" s="36" t="n">
        <v>14</v>
      </c>
      <c r="AD757" s="37" t="n">
        <v>0.875</v>
      </c>
      <c r="AE757" s="36" t="n">
        <v>45</v>
      </c>
      <c r="AF757" s="37" t="n">
        <v>0.2227722772277228</v>
      </c>
      <c r="AG757" s="36" t="n">
        <v>9</v>
      </c>
      <c r="AH757" s="37" t="n">
        <v>0.6428571428571429</v>
      </c>
    </row>
    <row r="758">
      <c r="A758" s="53" t="n">
        <v>45770</v>
      </c>
      <c r="B758" t="inlineStr">
        <is>
          <t>R10_Sumbagteng</t>
        </is>
      </c>
      <c r="C758" t="inlineStr">
        <is>
          <t>NOP DUMAI</t>
        </is>
      </c>
      <c r="D758" s="38" t="n">
        <v>3.13</v>
      </c>
      <c r="E758" s="38" t="n">
        <v>5.27</v>
      </c>
      <c r="F758" s="36" t="n">
        <v>3.886</v>
      </c>
      <c r="G758" s="36" t="n">
        <v>10.412</v>
      </c>
      <c r="H758" s="36" t="n">
        <v>80</v>
      </c>
      <c r="I758" s="37" t="n">
        <v>0.4878048780487805</v>
      </c>
      <c r="J758" s="36" t="n">
        <v>38</v>
      </c>
      <c r="K758" s="37" t="n">
        <v>0.5588235294117647</v>
      </c>
      <c r="L758" s="36" t="n">
        <v>42</v>
      </c>
      <c r="M758" s="37" t="n">
        <v>0.4375</v>
      </c>
      <c r="N758" s="36" t="n">
        <v>28</v>
      </c>
      <c r="O758" s="37" t="n">
        <v>0.7368421052631579</v>
      </c>
      <c r="P758" s="36" t="n">
        <v>26</v>
      </c>
      <c r="Q758" s="37" t="n">
        <v>0.7222222222222222</v>
      </c>
      <c r="R758" s="36" t="n">
        <v>163</v>
      </c>
      <c r="S758" s="37" t="n">
        <v>0.9939024390243902</v>
      </c>
      <c r="T758" s="36" t="n">
        <v>48</v>
      </c>
      <c r="U758" s="37" t="n">
        <v>0.2926829268292683</v>
      </c>
      <c r="V758" s="38" t="n">
        <v>0.01</v>
      </c>
      <c r="W758" s="38" t="n">
        <v>4.140000000000001</v>
      </c>
      <c r="X758" s="38" t="n">
        <v>71.086</v>
      </c>
      <c r="Y758" s="38" t="n">
        <v>117.386</v>
      </c>
      <c r="Z758" s="38" t="n">
        <v>0</v>
      </c>
      <c r="AA758" s="36" t="n">
        <v>74</v>
      </c>
      <c r="AB758" s="37" t="n">
        <v>0.2483221476510067</v>
      </c>
      <c r="AC758" s="36" t="n">
        <v>17</v>
      </c>
      <c r="AD758" s="37" t="n">
        <v>0.34</v>
      </c>
      <c r="AE758" s="36" t="n">
        <v>57</v>
      </c>
      <c r="AF758" s="37" t="n">
        <v>0.2435897435897436</v>
      </c>
      <c r="AG758" s="36" t="n">
        <v>17</v>
      </c>
      <c r="AH758" s="37" t="n">
        <v>1</v>
      </c>
    </row>
    <row r="759">
      <c r="A759" s="53" t="n">
        <v>45770</v>
      </c>
      <c r="B759" t="inlineStr">
        <is>
          <t>R10_Sumbagteng</t>
        </is>
      </c>
      <c r="C759" t="inlineStr">
        <is>
          <t>NOP PADANG</t>
        </is>
      </c>
      <c r="D759" s="38" t="n">
        <v>0.96</v>
      </c>
      <c r="E759" s="38" t="n">
        <v>2.28</v>
      </c>
      <c r="F759" s="36" t="n">
        <v>2.98</v>
      </c>
      <c r="G759" s="36" t="n">
        <v>2.307999999999999</v>
      </c>
      <c r="H759" s="36" t="n">
        <v>82</v>
      </c>
      <c r="I759" s="37" t="n">
        <v>0.7192982456140351</v>
      </c>
      <c r="J759" s="36" t="n">
        <v>7</v>
      </c>
      <c r="K759" s="37" t="n">
        <v>0.5833333333333334</v>
      </c>
      <c r="L759" s="36" t="n">
        <v>75</v>
      </c>
      <c r="M759" s="37" t="n">
        <v>0.7352941176470589</v>
      </c>
      <c r="N759" s="36" t="n">
        <v>3</v>
      </c>
      <c r="O759" s="37" t="n">
        <v>0.4285714285714285</v>
      </c>
      <c r="P759" s="36" t="n">
        <v>3</v>
      </c>
      <c r="Q759" s="37" t="n">
        <v>0.4285714285714285</v>
      </c>
      <c r="R759" s="36" t="n">
        <v>112</v>
      </c>
      <c r="S759" s="37" t="n">
        <v>0.9824561403508771</v>
      </c>
      <c r="T759" s="36" t="n">
        <v>19</v>
      </c>
      <c r="U759" s="37" t="n">
        <v>0.1666666666666667</v>
      </c>
      <c r="V759" s="38" t="n">
        <v>0</v>
      </c>
      <c r="W759" s="38" t="n">
        <v>4.244000000000002</v>
      </c>
      <c r="X759" s="38" t="n">
        <v>157.94</v>
      </c>
      <c r="Y759" s="38" t="n">
        <v>102.764</v>
      </c>
      <c r="Z759" s="38" t="n">
        <v>0</v>
      </c>
      <c r="AA759" s="36" t="n">
        <v>153</v>
      </c>
      <c r="AB759" s="37" t="n">
        <v>0.8315217391304348</v>
      </c>
      <c r="AC759" s="36" t="n">
        <v>27</v>
      </c>
      <c r="AD759" s="37" t="n">
        <v>0.675</v>
      </c>
      <c r="AE759" s="36" t="n">
        <v>123</v>
      </c>
      <c r="AF759" s="37" t="n">
        <v>0.8848920863309353</v>
      </c>
      <c r="AG759" s="36" t="n">
        <v>11</v>
      </c>
      <c r="AH759" s="37" t="n">
        <v>0.4074074074074074</v>
      </c>
    </row>
    <row r="760">
      <c r="A760" s="53" t="n">
        <v>45770</v>
      </c>
      <c r="B760" t="inlineStr">
        <is>
          <t>R10_Sumbagteng</t>
        </is>
      </c>
      <c r="C760" t="inlineStr">
        <is>
          <t>NOP PEKANBARU</t>
        </is>
      </c>
      <c r="D760" s="38" t="n">
        <v>2.770000000000001</v>
      </c>
      <c r="E760" s="38" t="n">
        <v>5.817</v>
      </c>
      <c r="F760" s="36" t="n">
        <v>5.24</v>
      </c>
      <c r="G760" s="36" t="n">
        <v>4.982000000000005</v>
      </c>
      <c r="H760" s="36" t="n">
        <v>62</v>
      </c>
      <c r="I760" s="37" t="n">
        <v>0.4052287581699346</v>
      </c>
      <c r="J760" s="36" t="n">
        <v>18</v>
      </c>
      <c r="K760" s="37" t="n">
        <v>0.72</v>
      </c>
      <c r="L760" s="36" t="n">
        <v>44</v>
      </c>
      <c r="M760" s="37" t="n">
        <v>0.34375</v>
      </c>
      <c r="N760" s="36" t="n">
        <v>13</v>
      </c>
      <c r="O760" s="37" t="n">
        <v>0.7222222222222222</v>
      </c>
      <c r="P760" s="36" t="n">
        <v>13</v>
      </c>
      <c r="Q760" s="37" t="n">
        <v>0.7222222222222222</v>
      </c>
      <c r="R760" s="36" t="n">
        <v>151</v>
      </c>
      <c r="S760" s="37" t="n">
        <v>0.9869281045751634</v>
      </c>
      <c r="T760" s="36" t="n">
        <v>42</v>
      </c>
      <c r="U760" s="37" t="n">
        <v>0.2745098039215687</v>
      </c>
      <c r="V760" s="38" t="n">
        <v>0</v>
      </c>
      <c r="W760" s="38" t="n">
        <v>2.155</v>
      </c>
      <c r="X760" s="38" t="n">
        <v>64.52</v>
      </c>
      <c r="Y760" s="38" t="n">
        <v>121.9430000000001</v>
      </c>
      <c r="Z760" s="38" t="n">
        <v>0</v>
      </c>
      <c r="AA760" s="36" t="n">
        <v>94</v>
      </c>
      <c r="AB760" s="37" t="n">
        <v>0.3983050847457627</v>
      </c>
      <c r="AC760" s="36" t="n">
        <v>27</v>
      </c>
      <c r="AD760" s="37" t="n">
        <v>0.3970588235294117</v>
      </c>
      <c r="AE760" s="36" t="n">
        <v>67</v>
      </c>
      <c r="AF760" s="37" t="n">
        <v>0.4161490683229814</v>
      </c>
      <c r="AG760" s="36" t="n">
        <v>20</v>
      </c>
      <c r="AH760" s="37" t="n">
        <v>0.7407407407407407</v>
      </c>
    </row>
    <row r="761">
      <c r="A761" s="53" t="n">
        <v>45770</v>
      </c>
      <c r="B761" t="inlineStr">
        <is>
          <t>R02_Sumbagsel</t>
        </is>
      </c>
      <c r="C761" t="inlineStr">
        <is>
          <t>NOP BENGKULU</t>
        </is>
      </c>
      <c r="D761" s="38" t="n">
        <v>0.9</v>
      </c>
      <c r="E761" s="38" t="n">
        <v>3.54</v>
      </c>
      <c r="F761" s="36" t="n">
        <v>4.51</v>
      </c>
      <c r="G761" s="36" t="n">
        <v>4.595000000000001</v>
      </c>
      <c r="H761" s="36" t="n">
        <v>39</v>
      </c>
      <c r="I761" s="37" t="n">
        <v>0.291044776119403</v>
      </c>
      <c r="J761" s="36" t="n">
        <v>12</v>
      </c>
      <c r="K761" s="37" t="n">
        <v>0.3243243243243243</v>
      </c>
      <c r="L761" s="36" t="n">
        <v>27</v>
      </c>
      <c r="M761" s="37" t="n">
        <v>0.2783505154639175</v>
      </c>
      <c r="N761" s="36" t="n">
        <v>6</v>
      </c>
      <c r="O761" s="37" t="n">
        <v>0.5</v>
      </c>
      <c r="P761" s="36" t="n">
        <v>6</v>
      </c>
      <c r="Q761" s="37" t="n">
        <v>0.5</v>
      </c>
      <c r="R761" s="36" t="n">
        <v>134</v>
      </c>
      <c r="S761" s="37" t="n">
        <v>1</v>
      </c>
      <c r="T761" s="36" t="n">
        <v>20</v>
      </c>
      <c r="U761" s="37" t="n">
        <v>0.1492537313432836</v>
      </c>
      <c r="V761" s="38" t="n">
        <v>0</v>
      </c>
      <c r="W761" s="38" t="n">
        <v>5.301</v>
      </c>
      <c r="X761" s="38" t="n">
        <v>6.276999999999999</v>
      </c>
      <c r="Y761" s="38" t="n">
        <v>7.912999999999998</v>
      </c>
      <c r="Z761" s="38" t="n">
        <v>0</v>
      </c>
      <c r="AA761" s="36" t="n">
        <v>112</v>
      </c>
      <c r="AB761" s="37" t="n">
        <v>0.4258555133079848</v>
      </c>
      <c r="AC761" s="36" t="n">
        <v>52</v>
      </c>
      <c r="AD761" s="37" t="n">
        <v>0.3170731707317073</v>
      </c>
      <c r="AE761" s="36" t="n">
        <v>50</v>
      </c>
      <c r="AF761" s="37" t="n">
        <v>0.5952380952380952</v>
      </c>
      <c r="AG761" s="36" t="n">
        <v>40</v>
      </c>
      <c r="AH761" s="37" t="n">
        <v>0.7692307692307693</v>
      </c>
    </row>
    <row r="762">
      <c r="A762" s="53" t="n">
        <v>45770</v>
      </c>
      <c r="B762" t="inlineStr">
        <is>
          <t>R02_Sumbagsel</t>
        </is>
      </c>
      <c r="C762" t="inlineStr">
        <is>
          <t>NOP JAMBI</t>
        </is>
      </c>
      <c r="D762" s="38" t="n">
        <v>1.87</v>
      </c>
      <c r="E762" s="38" t="n">
        <v>2.69</v>
      </c>
      <c r="F762" s="36" t="n">
        <v>7.738</v>
      </c>
      <c r="G762" s="36" t="n">
        <v>8.09</v>
      </c>
      <c r="H762" s="36" t="n">
        <v>64</v>
      </c>
      <c r="I762" s="37" t="n">
        <v>0.4266666666666667</v>
      </c>
      <c r="J762" s="36" t="n">
        <v>9</v>
      </c>
      <c r="K762" s="37" t="n">
        <v>0.3333333333333333</v>
      </c>
      <c r="L762" s="36" t="n">
        <v>55</v>
      </c>
      <c r="M762" s="37" t="n">
        <v>0.4471544715447154</v>
      </c>
      <c r="N762" s="36" t="n">
        <v>7</v>
      </c>
      <c r="O762" s="37" t="n">
        <v>0.7777777777777778</v>
      </c>
      <c r="P762" s="36" t="n">
        <v>7</v>
      </c>
      <c r="Q762" s="37" t="n">
        <v>0.7777777777777778</v>
      </c>
      <c r="R762" s="36" t="n">
        <v>150</v>
      </c>
      <c r="S762" s="37" t="n">
        <v>1</v>
      </c>
      <c r="T762" s="36" t="n">
        <v>27</v>
      </c>
      <c r="U762" s="37" t="n">
        <v>0.18</v>
      </c>
      <c r="V762" s="38" t="n">
        <v>0</v>
      </c>
      <c r="W762" s="38" t="n">
        <v>4.758000000000003</v>
      </c>
      <c r="X762" s="38" t="n">
        <v>9.881000000000007</v>
      </c>
      <c r="Y762" s="38" t="n">
        <v>15.485</v>
      </c>
      <c r="Z762" s="38" t="n">
        <v>0</v>
      </c>
      <c r="AA762" s="36" t="n">
        <v>131</v>
      </c>
      <c r="AB762" s="37" t="n">
        <v>0.6616161616161617</v>
      </c>
      <c r="AC762" s="36" t="n">
        <v>56</v>
      </c>
      <c r="AD762" s="37" t="n">
        <v>0.6086956521739131</v>
      </c>
      <c r="AE762" s="36" t="n">
        <v>65</v>
      </c>
      <c r="AF762" s="37" t="n">
        <v>0.7222222222222222</v>
      </c>
      <c r="AG762" s="36" t="n">
        <v>44</v>
      </c>
      <c r="AH762" s="37" t="n">
        <v>0.7857142857142857</v>
      </c>
    </row>
    <row r="763">
      <c r="A763" s="53" t="n">
        <v>45770</v>
      </c>
      <c r="B763" t="inlineStr">
        <is>
          <t>R02_Sumbagsel</t>
        </is>
      </c>
      <c r="C763" t="inlineStr">
        <is>
          <t>NOP LAMPUNG</t>
        </is>
      </c>
      <c r="D763" s="38" t="n">
        <v>2.68</v>
      </c>
      <c r="E763" s="38" t="n">
        <v>24.97700000000001</v>
      </c>
      <c r="F763" s="36" t="n">
        <v>3.06</v>
      </c>
      <c r="G763" s="36" t="n">
        <v>3.517</v>
      </c>
      <c r="H763" s="36" t="n">
        <v>43</v>
      </c>
      <c r="I763" s="37" t="n">
        <v>0.4343434343434344</v>
      </c>
      <c r="J763" s="36" t="n">
        <v>11</v>
      </c>
      <c r="K763" s="37" t="n">
        <v>0.7857142857142857</v>
      </c>
      <c r="L763" s="36" t="n">
        <v>32</v>
      </c>
      <c r="M763" s="37" t="n">
        <v>0.3764705882352941</v>
      </c>
      <c r="N763" s="36" t="n">
        <v>10</v>
      </c>
      <c r="O763" s="37" t="n">
        <v>0.9090909090909091</v>
      </c>
      <c r="P763" s="36" t="n">
        <v>10</v>
      </c>
      <c r="Q763" s="37" t="n">
        <v>0.9090909090909091</v>
      </c>
      <c r="R763" s="36" t="n">
        <v>97</v>
      </c>
      <c r="S763" s="37" t="n">
        <v>0.9797979797979798</v>
      </c>
      <c r="T763" s="36" t="n">
        <v>27</v>
      </c>
      <c r="U763" s="37" t="n">
        <v>0.2727272727272727</v>
      </c>
      <c r="V763" s="38" t="n">
        <v>0</v>
      </c>
      <c r="W763" s="38" t="n">
        <v>5.075000000000002</v>
      </c>
      <c r="X763" s="38" t="n">
        <v>4.968000000000005</v>
      </c>
      <c r="Y763" s="38" t="n">
        <v>23.45</v>
      </c>
      <c r="Z763" s="38" t="n">
        <v>0</v>
      </c>
      <c r="AA763" s="36" t="n">
        <v>163</v>
      </c>
      <c r="AB763" s="37" t="n">
        <v>0.9005524861878453</v>
      </c>
      <c r="AC763" s="36" t="n">
        <v>38</v>
      </c>
      <c r="AD763" s="37" t="n">
        <v>0.76</v>
      </c>
      <c r="AE763" s="36" t="n">
        <v>120</v>
      </c>
      <c r="AF763" s="37" t="n">
        <v>0.96</v>
      </c>
      <c r="AG763" s="36" t="n">
        <v>29</v>
      </c>
      <c r="AH763" s="37" t="n">
        <v>0.7631578947368421</v>
      </c>
    </row>
    <row r="764">
      <c r="A764" s="53" t="n">
        <v>45770</v>
      </c>
      <c r="B764" t="inlineStr">
        <is>
          <t>R02_Sumbagsel</t>
        </is>
      </c>
      <c r="C764" t="inlineStr">
        <is>
          <t>NOP MUARA ENIM</t>
        </is>
      </c>
      <c r="D764" s="38" t="n">
        <v>1.248</v>
      </c>
      <c r="E764" s="38" t="n">
        <v>3.51</v>
      </c>
      <c r="F764" s="36" t="n">
        <v>4.06</v>
      </c>
      <c r="G764" s="36" t="n">
        <v>4.290000000000002</v>
      </c>
      <c r="H764" s="36" t="n">
        <v>61</v>
      </c>
      <c r="I764" s="37" t="n">
        <v>0.3505747126436782</v>
      </c>
      <c r="J764" s="36" t="n">
        <v>11</v>
      </c>
      <c r="K764" s="37" t="n">
        <v>0.25</v>
      </c>
      <c r="L764" s="36" t="n">
        <v>50</v>
      </c>
      <c r="M764" s="37" t="n">
        <v>0.3846153846153846</v>
      </c>
      <c r="N764" s="36" t="n">
        <v>5</v>
      </c>
      <c r="O764" s="37" t="n">
        <v>0.4545454545454545</v>
      </c>
      <c r="P764" s="36" t="n">
        <v>5</v>
      </c>
      <c r="Q764" s="37" t="n">
        <v>0.4545454545454545</v>
      </c>
      <c r="R764" s="36" t="n">
        <v>169</v>
      </c>
      <c r="S764" s="37" t="n">
        <v>0.9712643678160919</v>
      </c>
      <c r="T764" s="36" t="n">
        <v>30</v>
      </c>
      <c r="U764" s="37" t="n">
        <v>0.1724137931034483</v>
      </c>
      <c r="V764" s="38" t="n">
        <v>0</v>
      </c>
      <c r="W764" s="38" t="n">
        <v>3.315</v>
      </c>
      <c r="X764" s="38" t="n">
        <v>5.596000000000001</v>
      </c>
      <c r="Y764" s="38" t="n">
        <v>6.96</v>
      </c>
      <c r="Z764" s="38" t="n">
        <v>0</v>
      </c>
      <c r="AA764" s="36" t="n">
        <v>102</v>
      </c>
      <c r="AB764" s="37" t="n">
        <v>0.3938223938223938</v>
      </c>
      <c r="AC764" s="36" t="n">
        <v>41</v>
      </c>
      <c r="AD764" s="37" t="n">
        <v>0.4270833333333333</v>
      </c>
      <c r="AE764" s="36" t="n">
        <v>58</v>
      </c>
      <c r="AF764" s="37" t="n">
        <v>0.5132743362831859</v>
      </c>
      <c r="AG764" s="36" t="n">
        <v>38</v>
      </c>
      <c r="AH764" s="37" t="n">
        <v>0.926829268292683</v>
      </c>
    </row>
    <row r="765">
      <c r="A765" s="53" t="n">
        <v>45770</v>
      </c>
      <c r="B765" t="inlineStr">
        <is>
          <t>R02_Sumbagsel</t>
        </is>
      </c>
      <c r="C765" t="inlineStr">
        <is>
          <t>NOP PALEMBANG</t>
        </is>
      </c>
      <c r="D765" s="38" t="n">
        <v>1.84</v>
      </c>
      <c r="E765" s="38" t="n">
        <v>2.52</v>
      </c>
      <c r="F765" s="36" t="n">
        <v>18.64400000000002</v>
      </c>
      <c r="G765" s="36" t="n">
        <v>10.99</v>
      </c>
      <c r="H765" s="36" t="n">
        <v>36</v>
      </c>
      <c r="I765" s="37" t="n">
        <v>0.1722488038277512</v>
      </c>
      <c r="J765" s="36" t="n">
        <v>1</v>
      </c>
      <c r="K765" s="37" t="n">
        <v>0.04347826086956522</v>
      </c>
      <c r="L765" s="36" t="n">
        <v>35</v>
      </c>
      <c r="M765" s="37" t="n">
        <v>0.1881720430107527</v>
      </c>
      <c r="N765" s="36" t="n">
        <v>1</v>
      </c>
      <c r="O765" s="37" t="n">
        <v>1</v>
      </c>
      <c r="P765" s="36" t="n">
        <v>1</v>
      </c>
      <c r="Q765" s="37" t="n">
        <v>1</v>
      </c>
      <c r="R765" s="36" t="n">
        <v>207</v>
      </c>
      <c r="S765" s="37" t="n">
        <v>0.9904306220095693</v>
      </c>
      <c r="T765" s="36" t="n">
        <v>15</v>
      </c>
      <c r="U765" s="37" t="n">
        <v>0.07177033492822966</v>
      </c>
      <c r="V765" s="38" t="n">
        <v>0</v>
      </c>
      <c r="W765" s="38" t="n">
        <v>7.085</v>
      </c>
      <c r="X765" s="38" t="n">
        <v>17.01599999999999</v>
      </c>
      <c r="Y765" s="38" t="n">
        <v>0</v>
      </c>
      <c r="Z765" s="38" t="n">
        <v>0</v>
      </c>
      <c r="AA765" s="36" t="n">
        <v>84</v>
      </c>
      <c r="AB765" s="37" t="n">
        <v>0.28</v>
      </c>
      <c r="AC765" s="36" t="n">
        <v>24</v>
      </c>
      <c r="AD765" s="37" t="n">
        <v>0.1904761904761905</v>
      </c>
      <c r="AE765" s="36" t="n">
        <v>60</v>
      </c>
      <c r="AF765" s="37" t="n">
        <v>0.4316546762589928</v>
      </c>
      <c r="AG765" s="36" t="n">
        <v>14</v>
      </c>
      <c r="AH765" s="37" t="n">
        <v>0.5833333333333334</v>
      </c>
    </row>
    <row r="766">
      <c r="A766" s="53" t="n">
        <v>45770</v>
      </c>
      <c r="B766" t="inlineStr">
        <is>
          <t>R02_Sumbagsel</t>
        </is>
      </c>
      <c r="C766" t="inlineStr">
        <is>
          <t>NOP PANGKAL PINANG</t>
        </is>
      </c>
      <c r="D766" s="38" t="n">
        <v>0</v>
      </c>
      <c r="E766" s="38" t="n">
        <v>4.978</v>
      </c>
      <c r="F766" s="36" t="n">
        <v>5.77</v>
      </c>
      <c r="G766" s="36" t="n">
        <v>7.522</v>
      </c>
      <c r="H766" s="36" t="n">
        <v>39</v>
      </c>
      <c r="I766" s="37" t="n">
        <v>0.6842105263157895</v>
      </c>
      <c r="J766" s="36" t="n">
        <v>3</v>
      </c>
      <c r="K766" s="37" t="n">
        <v>1</v>
      </c>
      <c r="L766" s="36" t="n">
        <v>36</v>
      </c>
      <c r="M766" s="37" t="n">
        <v>0.6666666666666666</v>
      </c>
      <c r="N766" s="36" t="n">
        <v>1</v>
      </c>
      <c r="O766" s="37" t="n">
        <v>0.3333333333333333</v>
      </c>
      <c r="P766" s="36" t="n">
        <v>1</v>
      </c>
      <c r="Q766" s="37" t="n">
        <v>0.3333333333333333</v>
      </c>
      <c r="R766" s="36" t="n">
        <v>57</v>
      </c>
      <c r="S766" s="37" t="n">
        <v>1</v>
      </c>
      <c r="T766" s="36" t="n">
        <v>15</v>
      </c>
      <c r="U766" s="37" t="n">
        <v>0.2631578947368421</v>
      </c>
      <c r="V766" s="38" t="n">
        <v>0</v>
      </c>
      <c r="W766" s="38" t="n">
        <v>161.1630000000002</v>
      </c>
      <c r="X766" s="38" t="n">
        <v>6.331000000000003</v>
      </c>
      <c r="Y766" s="38" t="n">
        <v>11.73</v>
      </c>
      <c r="Z766" s="38" t="n">
        <v>0</v>
      </c>
      <c r="AA766" s="36" t="n">
        <v>39</v>
      </c>
      <c r="AB766" s="37" t="n">
        <v>0.8297872340425532</v>
      </c>
      <c r="AC766" s="36" t="n">
        <v>13</v>
      </c>
      <c r="AD766" s="37" t="n">
        <v>0.9285714285714286</v>
      </c>
      <c r="AE766" s="36" t="n">
        <v>24</v>
      </c>
      <c r="AF766" s="37" t="n">
        <v>0.8275862068965517</v>
      </c>
      <c r="AG766" s="36" t="n">
        <v>10</v>
      </c>
      <c r="AH766" s="37" t="n">
        <v>0.7692307692307693</v>
      </c>
    </row>
    <row r="767">
      <c r="A767" s="53" t="n">
        <v>45770</v>
      </c>
      <c r="B767" t="inlineStr">
        <is>
          <t>R05_Jawa Tengah DIY</t>
        </is>
      </c>
      <c r="C767" t="inlineStr">
        <is>
          <t>NOP MAGELANG</t>
        </is>
      </c>
      <c r="D767" s="38" t="n">
        <v>2.342</v>
      </c>
      <c r="E767" s="38" t="n">
        <v>0</v>
      </c>
      <c r="F767" s="36" t="n">
        <v>2.115000000000001</v>
      </c>
      <c r="G767" s="36" t="n">
        <v>5.143000000000001</v>
      </c>
      <c r="H767" s="36" t="n">
        <v>22</v>
      </c>
      <c r="I767" s="37" t="n">
        <v>0.8148148148148148</v>
      </c>
      <c r="J767" s="36" t="n">
        <v>5</v>
      </c>
      <c r="K767" s="37" t="n">
        <v>1</v>
      </c>
      <c r="L767" s="36" t="n">
        <v>17</v>
      </c>
      <c r="M767" s="37" t="n">
        <v>0.7727272727272727</v>
      </c>
      <c r="N767" s="36" t="n">
        <v>2</v>
      </c>
      <c r="O767" s="37" t="n">
        <v>0.4</v>
      </c>
      <c r="P767" s="36" t="n">
        <v>2</v>
      </c>
      <c r="Q767" s="37" t="n">
        <v>0.4</v>
      </c>
      <c r="R767" s="36" t="n">
        <v>27</v>
      </c>
      <c r="S767" s="37" t="n">
        <v>1</v>
      </c>
      <c r="T767" s="36" t="n">
        <v>20</v>
      </c>
      <c r="U767" s="37" t="n">
        <v>0.7407407407407407</v>
      </c>
      <c r="V767" s="38" t="n">
        <v>0</v>
      </c>
      <c r="W767" s="38" t="n">
        <v>4.050000000000002</v>
      </c>
      <c r="X767" s="38" t="n">
        <v>4.215000000000002</v>
      </c>
      <c r="Y767" s="38" t="n">
        <v>11.46</v>
      </c>
      <c r="Z767" s="38" t="n">
        <v>0</v>
      </c>
      <c r="AA767" s="36" t="n">
        <v>50</v>
      </c>
      <c r="AB767" s="37" t="n">
        <v>1</v>
      </c>
      <c r="AC767" s="36" t="n">
        <v>13</v>
      </c>
      <c r="AD767" s="37" t="n">
        <v>1</v>
      </c>
      <c r="AE767" s="36" t="n">
        <v>37</v>
      </c>
      <c r="AF767" s="37" t="n">
        <v>1</v>
      </c>
      <c r="AG767" s="36" t="n">
        <v>13</v>
      </c>
      <c r="AH767" s="37" t="n">
        <v>1</v>
      </c>
    </row>
    <row r="768">
      <c r="A768" s="53" t="n">
        <v>45770</v>
      </c>
      <c r="B768" t="inlineStr">
        <is>
          <t>R05_Jawa Tengah DIY</t>
        </is>
      </c>
      <c r="C768" t="inlineStr">
        <is>
          <t>NOP PEKALONGAN</t>
        </is>
      </c>
      <c r="D768" s="38" t="n">
        <v>0.57</v>
      </c>
      <c r="E768" s="38" t="n">
        <v>0</v>
      </c>
      <c r="F768" s="36" t="n">
        <v>3.203</v>
      </c>
      <c r="G768" s="36" t="n">
        <v>1.051</v>
      </c>
      <c r="H768" s="36" t="n">
        <v>10</v>
      </c>
      <c r="I768" s="37" t="n">
        <v>0.5882352941176471</v>
      </c>
      <c r="J768" s="36" t="n">
        <v>1</v>
      </c>
      <c r="K768" s="37" t="n">
        <v>1</v>
      </c>
      <c r="L768" s="36" t="n">
        <v>9</v>
      </c>
      <c r="M768" s="37" t="n">
        <v>0.5625</v>
      </c>
      <c r="N768" s="36" t="n">
        <v>1</v>
      </c>
      <c r="O768" s="37" t="n">
        <v>1</v>
      </c>
      <c r="P768" s="36" t="n">
        <v>1</v>
      </c>
      <c r="Q768" s="37" t="n">
        <v>1</v>
      </c>
      <c r="R768" s="36" t="n">
        <v>17</v>
      </c>
      <c r="S768" s="37" t="n">
        <v>1</v>
      </c>
      <c r="T768" s="36" t="n">
        <v>11</v>
      </c>
      <c r="U768" s="37" t="n">
        <v>0.6470588235294118</v>
      </c>
      <c r="V768" s="38" t="n">
        <v>0</v>
      </c>
      <c r="W768" s="38" t="n">
        <v>1.952999999999999</v>
      </c>
      <c r="X768" s="38" t="n">
        <v>3.595</v>
      </c>
      <c r="Y768" s="38" t="n">
        <v>39.122</v>
      </c>
      <c r="Z768" s="38" t="n">
        <v>0</v>
      </c>
      <c r="AA768" s="36" t="n">
        <v>26</v>
      </c>
      <c r="AB768" s="37" t="n">
        <v>0.8387096774193549</v>
      </c>
      <c r="AC768" s="36" t="n">
        <v>10</v>
      </c>
      <c r="AD768" s="37" t="n">
        <v>1</v>
      </c>
      <c r="AE768" s="36" t="n">
        <v>16</v>
      </c>
      <c r="AF768" s="37" t="n">
        <v>0.7619047619047619</v>
      </c>
      <c r="AG768" s="36" t="n">
        <v>6</v>
      </c>
      <c r="AH768" s="37" t="n">
        <v>0.6</v>
      </c>
    </row>
    <row r="769">
      <c r="A769" s="53" t="n">
        <v>45770</v>
      </c>
      <c r="B769" t="inlineStr">
        <is>
          <t>R05_Jawa Tengah DIY</t>
        </is>
      </c>
      <c r="C769" t="inlineStr">
        <is>
          <t>NOP PURWOKERTO</t>
        </is>
      </c>
      <c r="D769" s="38" t="n">
        <v>3.084</v>
      </c>
      <c r="E769" s="38" t="n">
        <v>0</v>
      </c>
      <c r="F769" s="36" t="n">
        <v>2.098</v>
      </c>
      <c r="G769" s="36" t="n">
        <v>2.9</v>
      </c>
      <c r="H769" s="36" t="n">
        <v>15</v>
      </c>
      <c r="I769" s="37" t="n">
        <v>0.7142857142857143</v>
      </c>
      <c r="J769" s="36" t="n">
        <v>3</v>
      </c>
      <c r="K769" s="37" t="n">
        <v>1</v>
      </c>
      <c r="L769" s="36" t="n">
        <v>12</v>
      </c>
      <c r="M769" s="37" t="n">
        <v>0.6666666666666666</v>
      </c>
      <c r="N769" s="36" t="n">
        <v>3</v>
      </c>
      <c r="O769" s="37" t="n">
        <v>1</v>
      </c>
      <c r="P769" s="36" t="n">
        <v>3</v>
      </c>
      <c r="Q769" s="37" t="n">
        <v>1</v>
      </c>
      <c r="R769" s="36" t="n">
        <v>21</v>
      </c>
      <c r="S769" s="37" t="n">
        <v>1</v>
      </c>
      <c r="T769" s="36" t="n">
        <v>12</v>
      </c>
      <c r="U769" s="37" t="n">
        <v>0.5714285714285714</v>
      </c>
      <c r="V769" s="38" t="n">
        <v>0</v>
      </c>
      <c r="W769" s="38" t="n">
        <v>2.82</v>
      </c>
      <c r="X769" s="38" t="n">
        <v>7.973999999999998</v>
      </c>
      <c r="Y769" s="38" t="n">
        <v>27.874</v>
      </c>
      <c r="Z769" s="38" t="n">
        <v>0</v>
      </c>
      <c r="AA769" s="36" t="n">
        <v>29</v>
      </c>
      <c r="AB769" s="37" t="n">
        <v>0.90625</v>
      </c>
      <c r="AC769" s="36" t="n">
        <v>6</v>
      </c>
      <c r="AD769" s="37" t="n">
        <v>0.8571428571428571</v>
      </c>
      <c r="AE769" s="36" t="n">
        <v>23</v>
      </c>
      <c r="AF769" s="37" t="n">
        <v>0.92</v>
      </c>
      <c r="AG769" s="36" t="n">
        <v>5</v>
      </c>
      <c r="AH769" s="37" t="n">
        <v>0.8333333333333334</v>
      </c>
    </row>
    <row r="770">
      <c r="A770" s="53" t="n">
        <v>45770</v>
      </c>
      <c r="B770" t="inlineStr">
        <is>
          <t>R05_Jawa Tengah DIY</t>
        </is>
      </c>
      <c r="C770" t="inlineStr">
        <is>
          <t>NOP SEMARANG</t>
        </is>
      </c>
      <c r="D770" s="38" t="n">
        <v>2.578000000000001</v>
      </c>
      <c r="E770" s="38" t="n">
        <v>1.48</v>
      </c>
      <c r="F770" s="36" t="n">
        <v>2.3</v>
      </c>
      <c r="G770" s="36" t="n">
        <v>4.802</v>
      </c>
      <c r="H770" s="36" t="n">
        <v>12</v>
      </c>
      <c r="I770" s="37" t="n">
        <v>0.2727272727272727</v>
      </c>
      <c r="J770" s="36" t="n">
        <v>1</v>
      </c>
      <c r="K770" s="37" t="n">
        <v>0.125</v>
      </c>
      <c r="L770" s="36" t="n">
        <v>11</v>
      </c>
      <c r="M770" s="37" t="n">
        <v>0.3055555555555556</v>
      </c>
      <c r="N770" s="36" t="n">
        <v>1</v>
      </c>
      <c r="O770" s="37" t="n">
        <v>1</v>
      </c>
      <c r="P770" s="36" t="n">
        <v>1</v>
      </c>
      <c r="Q770" s="37" t="n">
        <v>1</v>
      </c>
      <c r="R770" s="36" t="n">
        <v>38</v>
      </c>
      <c r="S770" s="37" t="n">
        <v>0.8636363636363636</v>
      </c>
      <c r="T770" s="36" t="n">
        <v>9</v>
      </c>
      <c r="U770" s="37" t="n">
        <v>0.2045454545454546</v>
      </c>
      <c r="V770" s="38" t="n">
        <v>0</v>
      </c>
      <c r="W770" s="38" t="n">
        <v>6.640000000000001</v>
      </c>
      <c r="X770" s="38" t="n">
        <v>12.85600000000001</v>
      </c>
      <c r="Y770" s="38" t="n">
        <v>29.2</v>
      </c>
      <c r="Z770" s="38" t="n">
        <v>0</v>
      </c>
      <c r="AA770" s="36" t="n">
        <v>42</v>
      </c>
      <c r="AB770" s="37" t="n">
        <v>0.84</v>
      </c>
      <c r="AC770" s="36" t="n">
        <v>5</v>
      </c>
      <c r="AD770" s="37" t="n">
        <v>0.8333333333333334</v>
      </c>
      <c r="AE770" s="36" t="n">
        <v>37</v>
      </c>
      <c r="AF770" s="37" t="n">
        <v>0.8409090909090909</v>
      </c>
      <c r="AG770" s="36" t="n">
        <v>5</v>
      </c>
      <c r="AH770" s="37" t="n">
        <v>1</v>
      </c>
    </row>
    <row r="771">
      <c r="A771" s="53" t="n">
        <v>45770</v>
      </c>
      <c r="B771" t="inlineStr">
        <is>
          <t>R05_Jawa Tengah DIY</t>
        </is>
      </c>
      <c r="C771" t="inlineStr">
        <is>
          <t>NOP SURAKARTA</t>
        </is>
      </c>
      <c r="D771" s="38" t="n">
        <v>3.66</v>
      </c>
      <c r="E771" s="38" t="n">
        <v>0</v>
      </c>
      <c r="F771" s="36" t="n">
        <v>4.03</v>
      </c>
      <c r="G771" s="36" t="n">
        <v>3.994</v>
      </c>
      <c r="H771" s="36" t="n">
        <v>34</v>
      </c>
      <c r="I771" s="37" t="n">
        <v>0.8717948717948718</v>
      </c>
      <c r="J771" s="36" t="n">
        <v>5</v>
      </c>
      <c r="K771" s="37" t="n">
        <v>1</v>
      </c>
      <c r="L771" s="36" t="n">
        <v>29</v>
      </c>
      <c r="M771" s="37" t="n">
        <v>0.8529411764705882</v>
      </c>
      <c r="N771" s="36" t="n">
        <v>5</v>
      </c>
      <c r="O771" s="37" t="n">
        <v>1</v>
      </c>
      <c r="P771" s="36" t="n">
        <v>5</v>
      </c>
      <c r="Q771" s="37" t="n">
        <v>1</v>
      </c>
      <c r="R771" s="36" t="n">
        <v>38</v>
      </c>
      <c r="S771" s="37" t="n">
        <v>0.9743589743589743</v>
      </c>
      <c r="T771" s="36" t="n">
        <v>23</v>
      </c>
      <c r="U771" s="37" t="n">
        <v>0.5897435897435898</v>
      </c>
      <c r="V771" s="38" t="n">
        <v>0</v>
      </c>
      <c r="W771" s="38" t="n">
        <v>73.58000000000007</v>
      </c>
      <c r="X771" s="38" t="n">
        <v>5.626000000000001</v>
      </c>
      <c r="Y771" s="38" t="n">
        <v>25.91399999999999</v>
      </c>
      <c r="Z771" s="38" t="n">
        <v>0</v>
      </c>
      <c r="AA771" s="36" t="n">
        <v>39</v>
      </c>
      <c r="AB771" s="37" t="n">
        <v>0.8666666666666667</v>
      </c>
      <c r="AC771" s="36" t="n">
        <v>5</v>
      </c>
      <c r="AD771" s="37" t="n">
        <v>0.7142857142857143</v>
      </c>
      <c r="AE771" s="36" t="n">
        <v>34</v>
      </c>
      <c r="AF771" s="37" t="n">
        <v>0.8947368421052632</v>
      </c>
      <c r="AG771" s="36" t="n">
        <v>5</v>
      </c>
      <c r="AH771" s="37" t="n">
        <v>1</v>
      </c>
    </row>
    <row r="772">
      <c r="A772" s="53" t="n">
        <v>45770</v>
      </c>
      <c r="B772" t="inlineStr">
        <is>
          <t>R05_Jawa Tengah DIY</t>
        </is>
      </c>
      <c r="C772" t="inlineStr">
        <is>
          <t>NOP YOGYAKARTA</t>
        </is>
      </c>
      <c r="D772" s="38" t="n">
        <v>0.831</v>
      </c>
      <c r="E772" s="38" t="n">
        <v>0</v>
      </c>
      <c r="F772" s="36" t="n">
        <v>2.63</v>
      </c>
      <c r="G772" s="36" t="n">
        <v>1.674</v>
      </c>
      <c r="H772" s="36" t="n">
        <v>15</v>
      </c>
      <c r="I772" s="37" t="n">
        <v>0.6</v>
      </c>
      <c r="J772" s="36" t="n">
        <v>3</v>
      </c>
      <c r="K772" s="37" t="n">
        <v>0.75</v>
      </c>
      <c r="L772" s="36" t="n">
        <v>12</v>
      </c>
      <c r="M772" s="37" t="n">
        <v>0.5714285714285714</v>
      </c>
      <c r="N772" s="36" t="n">
        <v>3</v>
      </c>
      <c r="O772" s="37" t="n">
        <v>1</v>
      </c>
      <c r="P772" s="36" t="n">
        <v>3</v>
      </c>
      <c r="Q772" s="37" t="n">
        <v>1</v>
      </c>
      <c r="R772" s="36" t="n">
        <v>24</v>
      </c>
      <c r="S772" s="37" t="n">
        <v>0.96</v>
      </c>
      <c r="T772" s="36" t="n">
        <v>12</v>
      </c>
      <c r="U772" s="37" t="n">
        <v>0.48</v>
      </c>
      <c r="V772" s="38" t="n">
        <v>0</v>
      </c>
      <c r="W772" s="38" t="n">
        <v>3.808</v>
      </c>
      <c r="X772" s="38" t="n">
        <v>13.27500000000001</v>
      </c>
      <c r="Y772" s="38" t="n">
        <v>41.776</v>
      </c>
      <c r="Z772" s="38" t="n">
        <v>0</v>
      </c>
      <c r="AA772" s="36" t="n">
        <v>40</v>
      </c>
      <c r="AB772" s="37" t="n">
        <v>0.9302325581395349</v>
      </c>
      <c r="AC772" s="36" t="n">
        <v>4</v>
      </c>
      <c r="AD772" s="37" t="n">
        <v>1</v>
      </c>
      <c r="AE772" s="36" t="n">
        <v>36</v>
      </c>
      <c r="AF772" s="37" t="n">
        <v>0.9230769230769231</v>
      </c>
      <c r="AG772" s="36" t="n">
        <v>4</v>
      </c>
      <c r="AH772" s="37" t="n">
        <v>1</v>
      </c>
    </row>
    <row r="773">
      <c r="A773" s="53" t="n">
        <v>45770</v>
      </c>
      <c r="B773" t="inlineStr">
        <is>
          <t>R06_Jawa Timur</t>
        </is>
      </c>
      <c r="C773" t="inlineStr">
        <is>
          <t>NOP JEMBER</t>
        </is>
      </c>
      <c r="D773" s="38" t="n">
        <v>2.153</v>
      </c>
      <c r="E773" s="38" t="n">
        <v>0</v>
      </c>
      <c r="F773" s="36" t="n">
        <v>1.436</v>
      </c>
      <c r="G773" s="36" t="n">
        <v>14.92600000000001</v>
      </c>
      <c r="H773" s="36" t="n">
        <v>12</v>
      </c>
      <c r="I773" s="37" t="n">
        <v>0.8571428571428571</v>
      </c>
      <c r="J773" s="36" t="n">
        <v>1</v>
      </c>
      <c r="K773" s="37" t="n">
        <v>0.5</v>
      </c>
      <c r="L773" s="36" t="n">
        <v>11</v>
      </c>
      <c r="M773" s="37" t="n">
        <v>0.9166666666666666</v>
      </c>
      <c r="N773" s="36" t="n">
        <v>0</v>
      </c>
      <c r="O773" s="37" t="n">
        <v>0</v>
      </c>
      <c r="P773" s="36" t="n">
        <v>0</v>
      </c>
      <c r="Q773" s="37" t="n">
        <v>0</v>
      </c>
      <c r="R773" s="36" t="n">
        <v>14</v>
      </c>
      <c r="S773" s="37" t="n">
        <v>1</v>
      </c>
      <c r="T773" s="36" t="n">
        <v>12</v>
      </c>
      <c r="U773" s="37" t="n">
        <v>0.8571428571428571</v>
      </c>
      <c r="V773" s="38" t="n">
        <v>0</v>
      </c>
      <c r="W773" s="38" t="n">
        <v>21.372</v>
      </c>
      <c r="X773" s="38" t="n">
        <v>4.4</v>
      </c>
      <c r="Y773" s="38" t="n">
        <v>1</v>
      </c>
      <c r="Z773" s="38" t="n">
        <v>0</v>
      </c>
      <c r="AA773" s="36" t="n">
        <v>13</v>
      </c>
      <c r="AB773" s="37" t="n">
        <v>0.8666666666666667</v>
      </c>
      <c r="AC773" s="36" t="n">
        <v>3</v>
      </c>
      <c r="AD773" s="37" t="n">
        <v>1</v>
      </c>
      <c r="AE773" s="36" t="n">
        <v>10</v>
      </c>
      <c r="AF773" s="37" t="n">
        <v>0.8333333333333334</v>
      </c>
      <c r="AG773" s="36" t="n">
        <v>1</v>
      </c>
      <c r="AH773" s="37" t="n">
        <v>0.3333333333333333</v>
      </c>
    </row>
    <row r="774">
      <c r="A774" s="53" t="n">
        <v>45770</v>
      </c>
      <c r="B774" t="inlineStr">
        <is>
          <t>R06_Jawa Timur</t>
        </is>
      </c>
      <c r="C774" t="inlineStr">
        <is>
          <t>NOP KEDIRI</t>
        </is>
      </c>
      <c r="D774" s="38" t="n">
        <v>0</v>
      </c>
      <c r="E774" s="38" t="n">
        <v>0</v>
      </c>
      <c r="F774" s="36" t="n">
        <v>1.946</v>
      </c>
      <c r="G774" s="36" t="n">
        <v>3.34</v>
      </c>
      <c r="H774" s="36" t="n">
        <v>5</v>
      </c>
      <c r="I774" s="37" t="n">
        <v>1</v>
      </c>
      <c r="J774" s="36" t="n">
        <v>0</v>
      </c>
      <c r="K774" s="37" t="n">
        <v>0</v>
      </c>
      <c r="L774" s="36" t="n">
        <v>5</v>
      </c>
      <c r="M774" s="37" t="n">
        <v>1</v>
      </c>
      <c r="N774" s="36" t="n">
        <v>0</v>
      </c>
      <c r="O774" s="37" t="n">
        <v>0</v>
      </c>
      <c r="P774" s="36" t="n">
        <v>0</v>
      </c>
      <c r="Q774" s="37" t="n">
        <v>0</v>
      </c>
      <c r="R774" s="36" t="n">
        <v>5</v>
      </c>
      <c r="S774" s="37" t="n">
        <v>1</v>
      </c>
      <c r="T774" s="36" t="n">
        <v>4</v>
      </c>
      <c r="U774" s="37" t="n">
        <v>0.8</v>
      </c>
      <c r="V774" s="38" t="n">
        <v>0</v>
      </c>
      <c r="W774" s="38" t="n">
        <v>0.246</v>
      </c>
      <c r="X774" s="38" t="n">
        <v>3.336</v>
      </c>
      <c r="Y774" s="38" t="n">
        <v>0</v>
      </c>
      <c r="Z774" s="38" t="n">
        <v>0</v>
      </c>
      <c r="AA774" s="36" t="n">
        <v>15</v>
      </c>
      <c r="AB774" s="37" t="n">
        <v>0.9375</v>
      </c>
      <c r="AC774" s="36" t="n">
        <v>2</v>
      </c>
      <c r="AD774" s="37" t="n">
        <v>1</v>
      </c>
      <c r="AE774" s="36" t="n">
        <v>13</v>
      </c>
      <c r="AF774" s="37" t="n">
        <v>0.9285714285714286</v>
      </c>
      <c r="AG774" s="36" t="n">
        <v>1</v>
      </c>
      <c r="AH774" s="37" t="n">
        <v>0.5</v>
      </c>
    </row>
    <row r="775">
      <c r="A775" s="53" t="n">
        <v>45770</v>
      </c>
      <c r="B775" t="inlineStr">
        <is>
          <t>R06_Jawa Timur</t>
        </is>
      </c>
      <c r="C775" t="inlineStr">
        <is>
          <t>NOP LAMONGAN</t>
        </is>
      </c>
      <c r="D775" s="38" t="n">
        <v>0</v>
      </c>
      <c r="E775" s="38" t="n">
        <v>1.55</v>
      </c>
      <c r="F775" s="36" t="n">
        <v>2.58</v>
      </c>
      <c r="G775" s="36" t="n">
        <v>1.315</v>
      </c>
      <c r="H775" s="36" t="n">
        <v>11</v>
      </c>
      <c r="I775" s="37" t="n">
        <v>1</v>
      </c>
      <c r="J775" s="36" t="n">
        <v>2</v>
      </c>
      <c r="K775" s="37" t="n">
        <v>1</v>
      </c>
      <c r="L775" s="36" t="n">
        <v>9</v>
      </c>
      <c r="M775" s="37" t="n">
        <v>1</v>
      </c>
      <c r="N775" s="36" t="n">
        <v>2</v>
      </c>
      <c r="O775" s="37" t="n">
        <v>1</v>
      </c>
      <c r="P775" s="36" t="n">
        <v>2</v>
      </c>
      <c r="Q775" s="37" t="n">
        <v>1</v>
      </c>
      <c r="R775" s="36" t="n">
        <v>11</v>
      </c>
      <c r="S775" s="37" t="n">
        <v>1</v>
      </c>
      <c r="T775" s="36" t="n">
        <v>8</v>
      </c>
      <c r="U775" s="37" t="n">
        <v>0.7272727272727273</v>
      </c>
      <c r="V775" s="38" t="n">
        <v>0</v>
      </c>
      <c r="W775" s="38" t="n">
        <v>0.722</v>
      </c>
      <c r="X775" s="38" t="n">
        <v>5.873999999999998</v>
      </c>
      <c r="Y775" s="38" t="n">
        <v>0</v>
      </c>
      <c r="Z775" s="38" t="n">
        <v>0</v>
      </c>
      <c r="AA775" s="36" t="n">
        <v>8</v>
      </c>
      <c r="AB775" s="37" t="n">
        <v>0.6153846153846154</v>
      </c>
      <c r="AC775" s="36" t="n">
        <v>2</v>
      </c>
      <c r="AD775" s="37" t="n">
        <v>0.4</v>
      </c>
      <c r="AE775" s="36" t="n">
        <v>6</v>
      </c>
      <c r="AF775" s="37" t="n">
        <v>0.75</v>
      </c>
      <c r="AG775" s="36" t="n">
        <v>2</v>
      </c>
      <c r="AH775" s="37" t="n">
        <v>1</v>
      </c>
    </row>
    <row r="776">
      <c r="A776" s="53" t="n">
        <v>45770</v>
      </c>
      <c r="B776" t="inlineStr">
        <is>
          <t>R06_Jawa Timur</t>
        </is>
      </c>
      <c r="C776" t="inlineStr">
        <is>
          <t>NOP MADIUN</t>
        </is>
      </c>
      <c r="D776" s="38" t="n">
        <v>0.38</v>
      </c>
      <c r="E776" s="38" t="n">
        <v>0</v>
      </c>
      <c r="F776" s="36" t="n">
        <v>0.696</v>
      </c>
      <c r="G776" s="36" t="n">
        <v>2.715</v>
      </c>
      <c r="H776" s="36" t="n">
        <v>4</v>
      </c>
      <c r="I776" s="37" t="n">
        <v>0.4</v>
      </c>
      <c r="J776" s="36" t="n">
        <v>1</v>
      </c>
      <c r="K776" s="37" t="n">
        <v>1</v>
      </c>
      <c r="L776" s="36" t="n">
        <v>3</v>
      </c>
      <c r="M776" s="37" t="n">
        <v>0.3333333333333333</v>
      </c>
      <c r="N776" s="36" t="n">
        <v>0</v>
      </c>
      <c r="O776" s="37" t="n">
        <v>0</v>
      </c>
      <c r="P776" s="36" t="n">
        <v>0</v>
      </c>
      <c r="Q776" s="37" t="n">
        <v>0</v>
      </c>
      <c r="R776" s="36" t="n">
        <v>10</v>
      </c>
      <c r="S776" s="37" t="n">
        <v>1</v>
      </c>
      <c r="T776" s="36" t="n">
        <v>3</v>
      </c>
      <c r="U776" s="37" t="n">
        <v>0.3</v>
      </c>
      <c r="V776" s="38" t="n">
        <v>0</v>
      </c>
      <c r="W776" s="38" t="n">
        <v>1.328</v>
      </c>
      <c r="X776" s="38" t="n">
        <v>5.782</v>
      </c>
      <c r="Y776" s="38" t="n">
        <v>18.763</v>
      </c>
      <c r="Z776" s="38" t="n">
        <v>0</v>
      </c>
      <c r="AA776" s="36" t="n">
        <v>23</v>
      </c>
      <c r="AB776" s="37" t="n">
        <v>0.8214285714285714</v>
      </c>
      <c r="AC776" s="36" t="n">
        <v>6</v>
      </c>
      <c r="AD776" s="37" t="n">
        <v>0.75</v>
      </c>
      <c r="AE776" s="36" t="n">
        <v>17</v>
      </c>
      <c r="AF776" s="37" t="n">
        <v>0.85</v>
      </c>
      <c r="AG776" s="36" t="n">
        <v>6</v>
      </c>
      <c r="AH776" s="37" t="n">
        <v>1</v>
      </c>
    </row>
    <row r="777">
      <c r="A777" s="53" t="n">
        <v>45770</v>
      </c>
      <c r="B777" t="inlineStr">
        <is>
          <t>R06_Jawa Timur</t>
        </is>
      </c>
      <c r="C777" t="inlineStr">
        <is>
          <t>NOP MALANG</t>
        </is>
      </c>
      <c r="D777" s="38" t="n">
        <v>0</v>
      </c>
      <c r="E777" s="38" t="n">
        <v>0</v>
      </c>
      <c r="F777" s="36" t="n">
        <v>3.894000000000002</v>
      </c>
      <c r="G777" s="36" t="n">
        <v>0.6479999999999999</v>
      </c>
      <c r="H777" s="36" t="n">
        <v>8</v>
      </c>
      <c r="I777" s="37" t="n">
        <v>0.8</v>
      </c>
      <c r="J777" s="36" t="n">
        <v>0</v>
      </c>
      <c r="K777" s="37" t="n">
        <v>0</v>
      </c>
      <c r="L777" s="36" t="n">
        <v>8</v>
      </c>
      <c r="M777" s="37" t="n">
        <v>0.8</v>
      </c>
      <c r="N777" s="36" t="n">
        <v>0</v>
      </c>
      <c r="O777" s="37" t="n">
        <v>0</v>
      </c>
      <c r="P777" s="36" t="n">
        <v>0</v>
      </c>
      <c r="Q777" s="37" t="n">
        <v>0</v>
      </c>
      <c r="R777" s="36" t="n">
        <v>10</v>
      </c>
      <c r="S777" s="37" t="n">
        <v>1</v>
      </c>
      <c r="T777" s="36" t="n">
        <v>9</v>
      </c>
      <c r="U777" s="37" t="n">
        <v>0.9</v>
      </c>
      <c r="V777" s="38" t="n">
        <v>0</v>
      </c>
      <c r="W777" s="38" t="n">
        <v>2.09</v>
      </c>
      <c r="X777" s="38" t="n">
        <v>2.237</v>
      </c>
      <c r="Y777" s="38" t="n">
        <v>35.27200000000001</v>
      </c>
      <c r="Z777" s="38" t="n">
        <v>0</v>
      </c>
      <c r="AA777" s="36" t="n">
        <v>18</v>
      </c>
      <c r="AB777" s="37" t="n">
        <v>1</v>
      </c>
      <c r="AC777" s="36" t="n">
        <v>7</v>
      </c>
      <c r="AD777" s="37" t="n">
        <v>1</v>
      </c>
      <c r="AE777" s="36" t="n">
        <v>11</v>
      </c>
      <c r="AF777" s="37" t="n">
        <v>1</v>
      </c>
      <c r="AG777" s="36" t="n">
        <v>7</v>
      </c>
      <c r="AH777" s="37" t="n">
        <v>1</v>
      </c>
    </row>
    <row r="778">
      <c r="A778" s="53" t="n">
        <v>45770</v>
      </c>
      <c r="B778" t="inlineStr">
        <is>
          <t>R06_Jawa Timur</t>
        </is>
      </c>
      <c r="C778" t="inlineStr">
        <is>
          <t>NOP SIDOARJO</t>
        </is>
      </c>
      <c r="D778" s="38" t="n">
        <v>1.556</v>
      </c>
      <c r="E778" s="38" t="n">
        <v>0</v>
      </c>
      <c r="F778" s="36" t="n">
        <v>1.95</v>
      </c>
      <c r="G778" s="36" t="n">
        <v>2.39</v>
      </c>
      <c r="H778" s="36" t="n">
        <v>10</v>
      </c>
      <c r="I778" s="37" t="n">
        <v>0.6666666666666666</v>
      </c>
      <c r="J778" s="36" t="n">
        <v>3</v>
      </c>
      <c r="K778" s="37" t="n">
        <v>1</v>
      </c>
      <c r="L778" s="36" t="n">
        <v>7</v>
      </c>
      <c r="M778" s="37" t="n">
        <v>0.5833333333333334</v>
      </c>
      <c r="N778" s="36" t="n">
        <v>2</v>
      </c>
      <c r="O778" s="37" t="n">
        <v>0.6666666666666666</v>
      </c>
      <c r="P778" s="36" t="n">
        <v>2</v>
      </c>
      <c r="Q778" s="37" t="n">
        <v>0.6666666666666666</v>
      </c>
      <c r="R778" s="36" t="n">
        <v>15</v>
      </c>
      <c r="S778" s="37" t="n">
        <v>1</v>
      </c>
      <c r="T778" s="36" t="n">
        <v>5</v>
      </c>
      <c r="U778" s="37" t="n">
        <v>0.3333333333333333</v>
      </c>
      <c r="V778" s="38" t="n">
        <v>0</v>
      </c>
      <c r="W778" s="38" t="n">
        <v>2.924</v>
      </c>
      <c r="X778" s="38" t="n">
        <v>12.18</v>
      </c>
      <c r="Y778" s="38" t="n">
        <v>7.405</v>
      </c>
      <c r="Z778" s="38" t="n">
        <v>0</v>
      </c>
      <c r="AA778" s="36" t="n">
        <v>26</v>
      </c>
      <c r="AB778" s="37" t="n">
        <v>0.8125</v>
      </c>
      <c r="AC778" s="36" t="n">
        <v>4</v>
      </c>
      <c r="AD778" s="37" t="n">
        <v>0.4444444444444444</v>
      </c>
      <c r="AE778" s="36" t="n">
        <v>22</v>
      </c>
      <c r="AF778" s="37" t="n">
        <v>0.9565217391304348</v>
      </c>
      <c r="AG778" s="36" t="n">
        <v>4</v>
      </c>
      <c r="AH778" s="37" t="n">
        <v>1</v>
      </c>
    </row>
    <row r="779">
      <c r="A779" s="53" t="n">
        <v>45770</v>
      </c>
      <c r="B779" t="inlineStr">
        <is>
          <t>R06_Jawa Timur</t>
        </is>
      </c>
      <c r="C779" t="inlineStr">
        <is>
          <t>NOP SURABAYA</t>
        </is>
      </c>
      <c r="D779" s="38" t="n">
        <v>1.069</v>
      </c>
      <c r="E779" s="38" t="n">
        <v>0</v>
      </c>
      <c r="F779" s="36" t="n">
        <v>3.1</v>
      </c>
      <c r="G779" s="36" t="n">
        <v>6.245</v>
      </c>
      <c r="H779" s="36" t="n">
        <v>9</v>
      </c>
      <c r="I779" s="37" t="n">
        <v>0.6</v>
      </c>
      <c r="J779" s="36" t="n">
        <v>2</v>
      </c>
      <c r="K779" s="37" t="n">
        <v>1</v>
      </c>
      <c r="L779" s="36" t="n">
        <v>7</v>
      </c>
      <c r="M779" s="37" t="n">
        <v>0.5384615384615384</v>
      </c>
      <c r="N779" s="36" t="n">
        <v>2</v>
      </c>
      <c r="O779" s="37" t="n">
        <v>1</v>
      </c>
      <c r="P779" s="36" t="n">
        <v>2</v>
      </c>
      <c r="Q779" s="37" t="n">
        <v>1</v>
      </c>
      <c r="R779" s="36" t="n">
        <v>14</v>
      </c>
      <c r="S779" s="37" t="n">
        <v>0.9333333333333333</v>
      </c>
      <c r="T779" s="36" t="n">
        <v>5</v>
      </c>
      <c r="U779" s="37" t="n">
        <v>0.3333333333333333</v>
      </c>
      <c r="V779" s="38" t="n">
        <v>0</v>
      </c>
      <c r="W779" s="38" t="n">
        <v>2.828</v>
      </c>
      <c r="X779" s="38" t="n">
        <v>5.69</v>
      </c>
      <c r="Y779" s="38" t="n">
        <v>28.056</v>
      </c>
      <c r="Z779" s="38" t="n">
        <v>0</v>
      </c>
      <c r="AA779" s="36" t="n">
        <v>29</v>
      </c>
      <c r="AB779" s="37" t="n">
        <v>0.5918367346938775</v>
      </c>
      <c r="AC779" s="36" t="n">
        <v>2</v>
      </c>
      <c r="AD779" s="37" t="n">
        <v>0.4</v>
      </c>
      <c r="AE779" s="36" t="n">
        <v>27</v>
      </c>
      <c r="AF779" s="37" t="n">
        <v>0.6136363636363636</v>
      </c>
      <c r="AG779" s="36" t="n">
        <v>2</v>
      </c>
      <c r="AH779" s="37" t="n">
        <v>1</v>
      </c>
    </row>
    <row r="780">
      <c r="A780" s="53" t="n">
        <v>45770</v>
      </c>
      <c r="B780" t="inlineStr">
        <is>
          <t>R07_Bali Nusra</t>
        </is>
      </c>
      <c r="C780" t="inlineStr">
        <is>
          <t>NOP DENPASAR</t>
        </is>
      </c>
      <c r="D780" s="38" t="n">
        <v>3.73</v>
      </c>
      <c r="E780" s="38" t="n">
        <v>0</v>
      </c>
      <c r="F780" s="36" t="n">
        <v>0</v>
      </c>
      <c r="G780" s="36" t="n">
        <v>2.328</v>
      </c>
      <c r="H780" s="36" t="n">
        <v>6</v>
      </c>
      <c r="I780" s="37" t="n">
        <v>1</v>
      </c>
      <c r="J780" s="36" t="n">
        <v>1</v>
      </c>
      <c r="K780" s="37" t="n">
        <v>1</v>
      </c>
      <c r="L780" s="36" t="n">
        <v>5</v>
      </c>
      <c r="M780" s="37" t="n">
        <v>1</v>
      </c>
      <c r="N780" s="36" t="n">
        <v>1</v>
      </c>
      <c r="O780" s="37" t="n">
        <v>1</v>
      </c>
      <c r="P780" s="36" t="n">
        <v>1</v>
      </c>
      <c r="Q780" s="37" t="n">
        <v>1</v>
      </c>
      <c r="R780" s="36" t="n">
        <v>6</v>
      </c>
      <c r="S780" s="37" t="n">
        <v>1</v>
      </c>
      <c r="T780" s="36" t="n">
        <v>5</v>
      </c>
      <c r="U780" s="37" t="n">
        <v>0.8333333333333334</v>
      </c>
      <c r="V780" s="38" t="n">
        <v>0</v>
      </c>
      <c r="W780" s="38" t="n">
        <v>137.908</v>
      </c>
      <c r="X780" s="38" t="n">
        <v>6.701999999999996</v>
      </c>
      <c r="Y780" s="38" t="n">
        <v>8.5</v>
      </c>
      <c r="Z780" s="38" t="n">
        <v>0</v>
      </c>
      <c r="AA780" s="36" t="n">
        <v>15</v>
      </c>
      <c r="AB780" s="37" t="n">
        <v>0.9375</v>
      </c>
      <c r="AC780" s="36" t="n">
        <v>5</v>
      </c>
      <c r="AD780" s="37" t="n">
        <v>1</v>
      </c>
      <c r="AE780" s="36" t="n">
        <v>10</v>
      </c>
      <c r="AF780" s="37" t="n">
        <v>0.9090909090909091</v>
      </c>
      <c r="AG780" s="36" t="n">
        <v>3</v>
      </c>
      <c r="AH780" s="37" t="n">
        <v>0.6</v>
      </c>
    </row>
    <row r="781">
      <c r="A781" s="53" t="n">
        <v>45770</v>
      </c>
      <c r="B781" t="inlineStr">
        <is>
          <t>R07_Bali Nusra</t>
        </is>
      </c>
      <c r="C781" t="inlineStr">
        <is>
          <t>NOP FLORES</t>
        </is>
      </c>
      <c r="D781" s="38" t="n">
        <v>0.63</v>
      </c>
      <c r="E781" s="38" t="n">
        <v>3.427999999999999</v>
      </c>
      <c r="F781" s="36" t="n">
        <v>10.554</v>
      </c>
      <c r="G781" s="36" t="n">
        <v>12.1</v>
      </c>
      <c r="H781" s="36" t="n">
        <v>114</v>
      </c>
      <c r="I781" s="37" t="n">
        <v>0.7916666666666666</v>
      </c>
      <c r="J781" s="36" t="n">
        <v>29</v>
      </c>
      <c r="K781" s="37" t="n">
        <v>0.9354838709677419</v>
      </c>
      <c r="L781" s="36" t="n">
        <v>85</v>
      </c>
      <c r="M781" s="37" t="n">
        <v>0.7522123893805309</v>
      </c>
      <c r="N781" s="36" t="n">
        <v>21</v>
      </c>
      <c r="O781" s="37" t="n">
        <v>0.7241379310344828</v>
      </c>
      <c r="P781" s="36" t="n">
        <v>21</v>
      </c>
      <c r="Q781" s="37" t="n">
        <v>0.7241379310344828</v>
      </c>
      <c r="R781" s="36" t="n">
        <v>144</v>
      </c>
      <c r="S781" s="37" t="n">
        <v>1</v>
      </c>
      <c r="T781" s="36" t="n">
        <v>93</v>
      </c>
      <c r="U781" s="37" t="n">
        <v>0.6458333333333334</v>
      </c>
      <c r="V781" s="38" t="n">
        <v>0</v>
      </c>
      <c r="W781" s="38" t="n">
        <v>7.104000000000004</v>
      </c>
      <c r="X781" s="38" t="n">
        <v>6.269000000000003</v>
      </c>
      <c r="Y781" s="38" t="n">
        <v>175.3700000000001</v>
      </c>
      <c r="Z781" s="38" t="n">
        <v>0</v>
      </c>
      <c r="AA781" s="36" t="n">
        <v>134</v>
      </c>
      <c r="AB781" s="37" t="n">
        <v>0.7745664739884393</v>
      </c>
      <c r="AC781" s="36" t="n">
        <v>91</v>
      </c>
      <c r="AD781" s="37" t="n">
        <v>0.8125</v>
      </c>
      <c r="AE781" s="36" t="n">
        <v>43</v>
      </c>
      <c r="AF781" s="37" t="n">
        <v>0.7049180327868853</v>
      </c>
      <c r="AG781" s="36" t="n">
        <v>63</v>
      </c>
      <c r="AH781" s="37" t="n">
        <v>0.6923076923076923</v>
      </c>
    </row>
    <row r="782">
      <c r="A782" s="53" t="n">
        <v>45770</v>
      </c>
      <c r="B782" t="inlineStr">
        <is>
          <t>R07_Bali Nusra</t>
        </is>
      </c>
      <c r="C782" t="inlineStr">
        <is>
          <t>NOP KUPANG</t>
        </is>
      </c>
      <c r="D782" s="38" t="n">
        <v>0</v>
      </c>
      <c r="E782" s="38" t="n">
        <v>9.802000000000003</v>
      </c>
      <c r="F782" s="36" t="n">
        <v>21.52</v>
      </c>
      <c r="G782" s="36" t="n">
        <v>7.763999999999999</v>
      </c>
      <c r="H782" s="36" t="n">
        <v>57</v>
      </c>
      <c r="I782" s="37" t="n">
        <v>0.8028169014084507</v>
      </c>
      <c r="J782" s="36" t="n">
        <v>4</v>
      </c>
      <c r="K782" s="37" t="n">
        <v>0.5714285714285714</v>
      </c>
      <c r="L782" s="36" t="n">
        <v>53</v>
      </c>
      <c r="M782" s="37" t="n">
        <v>0.828125</v>
      </c>
      <c r="N782" s="36" t="n">
        <v>2</v>
      </c>
      <c r="O782" s="37" t="n">
        <v>0.5</v>
      </c>
      <c r="P782" s="36" t="n">
        <v>2</v>
      </c>
      <c r="Q782" s="37" t="n">
        <v>0.5</v>
      </c>
      <c r="R782" s="36" t="n">
        <v>71</v>
      </c>
      <c r="S782" s="37" t="n">
        <v>1</v>
      </c>
      <c r="T782" s="36" t="n">
        <v>6</v>
      </c>
      <c r="U782" s="37" t="n">
        <v>0.08450704225352113</v>
      </c>
      <c r="V782" s="38" t="n">
        <v>0</v>
      </c>
      <c r="W782" s="38" t="n">
        <v>5.202000000000007</v>
      </c>
      <c r="X782" s="38" t="n">
        <v>41.86000000000002</v>
      </c>
      <c r="Y782" s="38" t="n">
        <v>68.12199999999996</v>
      </c>
      <c r="Z782" s="38" t="n">
        <v>0</v>
      </c>
      <c r="AA782" s="36" t="n">
        <v>70</v>
      </c>
      <c r="AB782" s="37" t="n">
        <v>0.7692307692307693</v>
      </c>
      <c r="AC782" s="36" t="n">
        <v>50</v>
      </c>
      <c r="AD782" s="37" t="n">
        <v>0.78125</v>
      </c>
      <c r="AE782" s="36" t="n">
        <v>20</v>
      </c>
      <c r="AF782" s="37" t="n">
        <v>0.7407407407407407</v>
      </c>
      <c r="AG782" s="36" t="n">
        <v>44</v>
      </c>
      <c r="AH782" s="37" t="n">
        <v>0.88</v>
      </c>
    </row>
    <row r="783">
      <c r="A783" s="53" t="n">
        <v>45770</v>
      </c>
      <c r="B783" t="inlineStr">
        <is>
          <t>R07_Bali Nusra</t>
        </is>
      </c>
      <c r="C783" t="inlineStr">
        <is>
          <t>NOP MATARAM</t>
        </is>
      </c>
      <c r="D783" s="38" t="n">
        <v>0</v>
      </c>
      <c r="E783" s="38" t="n">
        <v>3.755</v>
      </c>
      <c r="F783" s="36" t="n">
        <v>6.102</v>
      </c>
      <c r="G783" s="36" t="n">
        <v>2.24</v>
      </c>
      <c r="H783" s="36" t="n">
        <v>31</v>
      </c>
      <c r="I783" s="37" t="n">
        <v>0.6595744680851063</v>
      </c>
      <c r="J783" s="36" t="n">
        <v>3</v>
      </c>
      <c r="K783" s="37" t="n">
        <v>0.5</v>
      </c>
      <c r="L783" s="36" t="n">
        <v>28</v>
      </c>
      <c r="M783" s="37" t="n">
        <v>0.6829268292682927</v>
      </c>
      <c r="N783" s="36" t="n">
        <v>3</v>
      </c>
      <c r="O783" s="37" t="n">
        <v>1</v>
      </c>
      <c r="P783" s="36" t="n">
        <v>3</v>
      </c>
      <c r="Q783" s="37" t="n">
        <v>1</v>
      </c>
      <c r="R783" s="36" t="n">
        <v>47</v>
      </c>
      <c r="S783" s="37" t="n">
        <v>1</v>
      </c>
      <c r="T783" s="36" t="n">
        <v>18</v>
      </c>
      <c r="U783" s="37" t="n">
        <v>0.3829787234042553</v>
      </c>
      <c r="V783" s="38" t="n">
        <v>0</v>
      </c>
      <c r="W783" s="38" t="n">
        <v>9.411000000000008</v>
      </c>
      <c r="X783" s="38" t="n">
        <v>14.495</v>
      </c>
      <c r="Y783" s="38" t="n">
        <v>16.99</v>
      </c>
      <c r="Z783" s="38" t="n">
        <v>0</v>
      </c>
      <c r="AA783" s="36" t="n">
        <v>37</v>
      </c>
      <c r="AB783" s="37" t="n">
        <v>0.5522388059701493</v>
      </c>
      <c r="AC783" s="36" t="n">
        <v>27</v>
      </c>
      <c r="AD783" s="37" t="n">
        <v>0.5625</v>
      </c>
      <c r="AE783" s="36" t="n">
        <v>10</v>
      </c>
      <c r="AF783" s="37" t="n">
        <v>0.5263157894736842</v>
      </c>
      <c r="AG783" s="36" t="n">
        <v>16</v>
      </c>
      <c r="AH783" s="37" t="n">
        <v>0.5925925925925926</v>
      </c>
    </row>
    <row r="784">
      <c r="A784" s="53" t="n">
        <v>45771</v>
      </c>
      <c r="B784" t="inlineStr">
        <is>
          <t>R01_Sumbagut</t>
        </is>
      </c>
      <c r="C784" t="inlineStr">
        <is>
          <t>NOP ACEH</t>
        </is>
      </c>
      <c r="D784" s="38" t="n">
        <v>0.4</v>
      </c>
      <c r="E784" s="38" t="n">
        <v>5.050000000000003</v>
      </c>
      <c r="F784" s="36" t="n">
        <v>6.45</v>
      </c>
      <c r="G784" s="36" t="n">
        <v>5.608000000000004</v>
      </c>
      <c r="H784" s="36" t="n">
        <v>78</v>
      </c>
      <c r="I784" s="37" t="n">
        <v>0.7959183673469388</v>
      </c>
      <c r="J784" s="36" t="n">
        <v>14</v>
      </c>
      <c r="K784" s="37" t="n">
        <v>0.6086956521739131</v>
      </c>
      <c r="L784" s="36" t="n">
        <v>64</v>
      </c>
      <c r="M784" s="37" t="n">
        <v>0.8533333333333334</v>
      </c>
      <c r="N784" s="36" t="n">
        <v>7</v>
      </c>
      <c r="O784" s="37" t="n">
        <v>0.5</v>
      </c>
      <c r="P784" s="36" t="n">
        <v>7</v>
      </c>
      <c r="Q784" s="37" t="n">
        <v>0.5</v>
      </c>
      <c r="R784" s="36" t="n">
        <v>98</v>
      </c>
      <c r="S784" s="37" t="n">
        <v>1</v>
      </c>
      <c r="T784" s="36" t="n">
        <v>31</v>
      </c>
      <c r="U784" s="37" t="n">
        <v>0.3163265306122449</v>
      </c>
      <c r="V784" s="38" t="n">
        <v>0</v>
      </c>
      <c r="W784" s="38" t="n">
        <v>5.76</v>
      </c>
      <c r="X784" s="38" t="n">
        <v>50.52800000000001</v>
      </c>
      <c r="Y784" s="38" t="n">
        <v>179.0160000000001</v>
      </c>
      <c r="Z784" s="38" t="n">
        <v>0</v>
      </c>
      <c r="AA784" s="36" t="n">
        <v>280</v>
      </c>
      <c r="AB784" s="37" t="n">
        <v>0.8383233532934131</v>
      </c>
      <c r="AC784" s="36" t="n">
        <v>24</v>
      </c>
      <c r="AD784" s="37" t="n">
        <v>0.5853658536585366</v>
      </c>
      <c r="AE784" s="36" t="n">
        <v>253</v>
      </c>
      <c r="AF784" s="37" t="n">
        <v>0.8754325259515571</v>
      </c>
      <c r="AG784" s="36" t="n">
        <v>4</v>
      </c>
      <c r="AH784" s="37" t="n">
        <v>0.1666666666666667</v>
      </c>
    </row>
    <row r="785">
      <c r="A785" s="53" t="n">
        <v>45771</v>
      </c>
      <c r="B785" t="inlineStr">
        <is>
          <t>R01_Sumbagut</t>
        </is>
      </c>
      <c r="C785" t="inlineStr">
        <is>
          <t>NOP BINJAI</t>
        </is>
      </c>
      <c r="D785" s="38" t="n">
        <v>0</v>
      </c>
      <c r="E785" s="38" t="n">
        <v>3.691999999999998</v>
      </c>
      <c r="F785" s="36" t="n">
        <v>1.057999999999999</v>
      </c>
      <c r="G785" s="36" t="n">
        <v>3.11</v>
      </c>
      <c r="H785" s="36" t="n">
        <v>30</v>
      </c>
      <c r="I785" s="37" t="n">
        <v>0.625</v>
      </c>
      <c r="J785" s="36" t="n">
        <v>10</v>
      </c>
      <c r="K785" s="37" t="n">
        <v>1</v>
      </c>
      <c r="L785" s="36" t="n">
        <v>20</v>
      </c>
      <c r="M785" s="37" t="n">
        <v>0.5263157894736842</v>
      </c>
      <c r="N785" s="36" t="n">
        <v>9</v>
      </c>
      <c r="O785" s="37" t="n">
        <v>0.9</v>
      </c>
      <c r="P785" s="36" t="n">
        <v>9</v>
      </c>
      <c r="Q785" s="37" t="n">
        <v>0.9</v>
      </c>
      <c r="R785" s="36" t="n">
        <v>48</v>
      </c>
      <c r="S785" s="37" t="n">
        <v>1</v>
      </c>
      <c r="T785" s="36" t="n">
        <v>17</v>
      </c>
      <c r="U785" s="37" t="n">
        <v>0.3541666666666667</v>
      </c>
      <c r="V785" s="38" t="n">
        <v>0</v>
      </c>
      <c r="W785" s="38" t="n">
        <v>2.188000000000001</v>
      </c>
      <c r="X785" s="38" t="n">
        <v>16.488</v>
      </c>
      <c r="Y785" s="38" t="n">
        <v>199.9659999999999</v>
      </c>
      <c r="Z785" s="38" t="n">
        <v>0</v>
      </c>
      <c r="AA785" s="36" t="n">
        <v>75</v>
      </c>
      <c r="AB785" s="37" t="n">
        <v>0.7978723404255319</v>
      </c>
      <c r="AC785" s="36" t="n">
        <v>23</v>
      </c>
      <c r="AD785" s="37" t="n">
        <v>0.6052631578947368</v>
      </c>
      <c r="AE785" s="36" t="n">
        <v>50</v>
      </c>
      <c r="AF785" s="37" t="n">
        <v>0.9615384615384616</v>
      </c>
      <c r="AG785" s="36" t="n">
        <v>16</v>
      </c>
      <c r="AH785" s="37" t="n">
        <v>0.6956521739130435</v>
      </c>
    </row>
    <row r="786">
      <c r="A786" s="53" t="n">
        <v>45771</v>
      </c>
      <c r="B786" t="inlineStr">
        <is>
          <t>R01_Sumbagut</t>
        </is>
      </c>
      <c r="C786" t="inlineStr">
        <is>
          <t>NOP MEDAN</t>
        </is>
      </c>
      <c r="D786" s="38" t="n">
        <v>1.35</v>
      </c>
      <c r="E786" s="38" t="n">
        <v>4.73</v>
      </c>
      <c r="F786" s="36" t="n">
        <v>5.35</v>
      </c>
      <c r="G786" s="36" t="n">
        <v>8.258000000000001</v>
      </c>
      <c r="H786" s="36" t="n">
        <v>29</v>
      </c>
      <c r="I786" s="37" t="n">
        <v>0.5</v>
      </c>
      <c r="J786" s="36" t="n">
        <v>14</v>
      </c>
      <c r="K786" s="37" t="n">
        <v>0.7</v>
      </c>
      <c r="L786" s="36" t="n">
        <v>15</v>
      </c>
      <c r="M786" s="37" t="n">
        <v>0.3947368421052632</v>
      </c>
      <c r="N786" s="36" t="n">
        <v>10</v>
      </c>
      <c r="O786" s="37" t="n">
        <v>0.7142857142857143</v>
      </c>
      <c r="P786" s="36" t="n">
        <v>10</v>
      </c>
      <c r="Q786" s="37" t="n">
        <v>0.7142857142857143</v>
      </c>
      <c r="R786" s="36" t="n">
        <v>58</v>
      </c>
      <c r="S786" s="37" t="n">
        <v>1</v>
      </c>
      <c r="T786" s="36" t="n">
        <v>20</v>
      </c>
      <c r="U786" s="37" t="n">
        <v>0.3448275862068966</v>
      </c>
      <c r="V786" s="38" t="n">
        <v>0</v>
      </c>
      <c r="W786" s="38" t="n">
        <v>6.608000000000004</v>
      </c>
      <c r="X786" s="38" t="n">
        <v>185.405</v>
      </c>
      <c r="Y786" s="38" t="n">
        <v>7.740000000000003</v>
      </c>
      <c r="Z786" s="38" t="n">
        <v>0</v>
      </c>
      <c r="AA786" s="36" t="n">
        <v>15</v>
      </c>
      <c r="AB786" s="37" t="n">
        <v>0.2941176470588235</v>
      </c>
      <c r="AC786" s="36" t="n">
        <v>1</v>
      </c>
      <c r="AD786" s="37" t="n">
        <v>0.05</v>
      </c>
      <c r="AE786" s="36" t="n">
        <v>13</v>
      </c>
      <c r="AF786" s="37" t="n">
        <v>0.4642857142857143</v>
      </c>
      <c r="AG786" s="36" t="n">
        <v>0</v>
      </c>
      <c r="AH786" s="37" t="n">
        <v>0</v>
      </c>
    </row>
    <row r="787">
      <c r="A787" s="53" t="n">
        <v>45771</v>
      </c>
      <c r="B787" t="inlineStr">
        <is>
          <t>R01_Sumbagut</t>
        </is>
      </c>
      <c r="C787" t="inlineStr">
        <is>
          <t>NOP PADANG SIDEMPUAN</t>
        </is>
      </c>
      <c r="D787" s="38" t="n">
        <v>0</v>
      </c>
      <c r="E787" s="38" t="n">
        <v>3.6</v>
      </c>
      <c r="F787" s="36" t="n">
        <v>4.731999999999998</v>
      </c>
      <c r="G787" s="36" t="n">
        <v>13.32</v>
      </c>
      <c r="H787" s="36" t="n">
        <v>20</v>
      </c>
      <c r="I787" s="37" t="n">
        <v>0.2631578947368421</v>
      </c>
      <c r="J787" s="36" t="n">
        <v>6</v>
      </c>
      <c r="K787" s="37" t="n">
        <v>0.375</v>
      </c>
      <c r="L787" s="36" t="n">
        <v>14</v>
      </c>
      <c r="M787" s="37" t="n">
        <v>0.2333333333333333</v>
      </c>
      <c r="N787" s="36" t="n">
        <v>3</v>
      </c>
      <c r="O787" s="37" t="n">
        <v>0.5</v>
      </c>
      <c r="P787" s="36" t="n">
        <v>3</v>
      </c>
      <c r="Q787" s="37" t="n">
        <v>0.5</v>
      </c>
      <c r="R787" s="36" t="n">
        <v>76</v>
      </c>
      <c r="S787" s="37" t="n">
        <v>1</v>
      </c>
      <c r="T787" s="36" t="n">
        <v>10</v>
      </c>
      <c r="U787" s="37" t="n">
        <v>0.131578947368421</v>
      </c>
      <c r="V787" s="38" t="n">
        <v>0.01</v>
      </c>
      <c r="W787" s="38" t="n">
        <v>2.819000000000001</v>
      </c>
      <c r="X787" s="38" t="n">
        <v>13.9</v>
      </c>
      <c r="Y787" s="38" t="n">
        <v>70.39200000000008</v>
      </c>
      <c r="Z787" s="38" t="n">
        <v>0</v>
      </c>
      <c r="AA787" s="36" t="n">
        <v>83</v>
      </c>
      <c r="AB787" s="37" t="n">
        <v>0.2766666666666667</v>
      </c>
      <c r="AC787" s="36" t="n">
        <v>29</v>
      </c>
      <c r="AD787" s="37" t="n">
        <v>0.3493975903614458</v>
      </c>
      <c r="AE787" s="36" t="n">
        <v>53</v>
      </c>
      <c r="AF787" s="37" t="n">
        <v>0.2488262910798122</v>
      </c>
      <c r="AG787" s="36" t="n">
        <v>20</v>
      </c>
      <c r="AH787" s="37" t="n">
        <v>0.6896551724137931</v>
      </c>
    </row>
    <row r="788">
      <c r="A788" s="53" t="n">
        <v>45771</v>
      </c>
      <c r="B788" t="inlineStr">
        <is>
          <t>R01_Sumbagut</t>
        </is>
      </c>
      <c r="C788" t="inlineStr">
        <is>
          <t>NOP PEMATANG SIANTAR</t>
        </is>
      </c>
      <c r="D788" s="38" t="n">
        <v>0.47</v>
      </c>
      <c r="E788" s="38" t="n">
        <v>3.588000000000001</v>
      </c>
      <c r="F788" s="36" t="n">
        <v>6.81</v>
      </c>
      <c r="G788" s="36" t="n">
        <v>4.29</v>
      </c>
      <c r="H788" s="36" t="n">
        <v>46</v>
      </c>
      <c r="I788" s="37" t="n">
        <v>0.3833333333333334</v>
      </c>
      <c r="J788" s="36" t="n">
        <v>16</v>
      </c>
      <c r="K788" s="37" t="n">
        <v>0.4705882352941176</v>
      </c>
      <c r="L788" s="36" t="n">
        <v>30</v>
      </c>
      <c r="M788" s="37" t="n">
        <v>0.3488372093023256</v>
      </c>
      <c r="N788" s="36" t="n">
        <v>14</v>
      </c>
      <c r="O788" s="37" t="n">
        <v>0.875</v>
      </c>
      <c r="P788" s="36" t="n">
        <v>14</v>
      </c>
      <c r="Q788" s="37" t="n">
        <v>0.875</v>
      </c>
      <c r="R788" s="36" t="n">
        <v>120</v>
      </c>
      <c r="S788" s="37" t="n">
        <v>1</v>
      </c>
      <c r="T788" s="36" t="n">
        <v>25</v>
      </c>
      <c r="U788" s="37" t="n">
        <v>0.2083333333333333</v>
      </c>
      <c r="V788" s="38" t="n">
        <v>0.03</v>
      </c>
      <c r="W788" s="38" t="n">
        <v>4.384999999999999</v>
      </c>
      <c r="X788" s="38" t="n">
        <v>126.282</v>
      </c>
      <c r="Y788" s="38" t="n">
        <v>89.72000000000001</v>
      </c>
      <c r="Z788" s="38" t="n">
        <v>0</v>
      </c>
      <c r="AA788" s="36" t="n">
        <v>66</v>
      </c>
      <c r="AB788" s="37" t="n">
        <v>0.1168141592920354</v>
      </c>
      <c r="AC788" s="36" t="n">
        <v>19</v>
      </c>
      <c r="AD788" s="37" t="n">
        <v>0.4418604651162791</v>
      </c>
      <c r="AE788" s="36" t="n">
        <v>42</v>
      </c>
      <c r="AF788" s="37" t="n">
        <v>0.08155339805825243</v>
      </c>
      <c r="AG788" s="36" t="n">
        <v>16</v>
      </c>
      <c r="AH788" s="37" t="n">
        <v>0.8421052631578947</v>
      </c>
    </row>
    <row r="789">
      <c r="A789" s="53" t="n">
        <v>45771</v>
      </c>
      <c r="B789" t="inlineStr">
        <is>
          <t>R01_Sumbagut</t>
        </is>
      </c>
      <c r="C789" t="inlineStr">
        <is>
          <t>NOP RANTAU PRAPAT</t>
        </is>
      </c>
      <c r="D789" s="38" t="n">
        <v>0</v>
      </c>
      <c r="E789" s="38" t="n">
        <v>3.132</v>
      </c>
      <c r="F789" s="36" t="n">
        <v>2.350000000000002</v>
      </c>
      <c r="G789" s="36" t="n">
        <v>2.94</v>
      </c>
      <c r="H789" s="36" t="n">
        <v>43</v>
      </c>
      <c r="I789" s="37" t="n">
        <v>0.3981481481481481</v>
      </c>
      <c r="J789" s="36" t="n">
        <v>4</v>
      </c>
      <c r="K789" s="37" t="n">
        <v>0.3333333333333333</v>
      </c>
      <c r="L789" s="36" t="n">
        <v>39</v>
      </c>
      <c r="M789" s="37" t="n">
        <v>0.40625</v>
      </c>
      <c r="N789" s="36" t="n">
        <v>1</v>
      </c>
      <c r="O789" s="37" t="n">
        <v>0.25</v>
      </c>
      <c r="P789" s="36" t="n">
        <v>1</v>
      </c>
      <c r="Q789" s="37" t="n">
        <v>0.25</v>
      </c>
      <c r="R789" s="36" t="n">
        <v>108</v>
      </c>
      <c r="S789" s="37" t="n">
        <v>1</v>
      </c>
      <c r="T789" s="36" t="n">
        <v>25</v>
      </c>
      <c r="U789" s="37" t="n">
        <v>0.2314814814814815</v>
      </c>
      <c r="V789" s="38" t="n">
        <v>0</v>
      </c>
      <c r="W789" s="38" t="n">
        <v>6.206000000000008</v>
      </c>
      <c r="X789" s="38" t="n">
        <v>45.769</v>
      </c>
      <c r="Y789" s="38" t="n">
        <v>52.495</v>
      </c>
      <c r="Z789" s="38" t="n">
        <v>0</v>
      </c>
      <c r="AA789" s="36" t="n">
        <v>15</v>
      </c>
      <c r="AB789" s="37" t="n">
        <v>0.06097560975609756</v>
      </c>
      <c r="AC789" s="36" t="n">
        <v>4</v>
      </c>
      <c r="AD789" s="37" t="n">
        <v>0.16</v>
      </c>
      <c r="AE789" s="36" t="n">
        <v>9</v>
      </c>
      <c r="AF789" s="37" t="n">
        <v>0.04411764705882353</v>
      </c>
      <c r="AG789" s="36" t="n">
        <v>4</v>
      </c>
      <c r="AH789" s="37" t="n">
        <v>1</v>
      </c>
    </row>
    <row r="790">
      <c r="A790" s="53" t="n">
        <v>45771</v>
      </c>
      <c r="B790" t="inlineStr">
        <is>
          <t>R10_Sumbagteng</t>
        </is>
      </c>
      <c r="C790" t="inlineStr">
        <is>
          <t>NOP BATAM</t>
        </is>
      </c>
      <c r="D790" s="38" t="n">
        <v>1.038</v>
      </c>
      <c r="E790" s="38" t="n">
        <v>9.445999999999993</v>
      </c>
      <c r="F790" s="36" t="n">
        <v>5.677000000000001</v>
      </c>
      <c r="G790" s="36" t="n">
        <v>7.482</v>
      </c>
      <c r="H790" s="36" t="n">
        <v>51</v>
      </c>
      <c r="I790" s="37" t="n">
        <v>0.3805970149253731</v>
      </c>
      <c r="J790" s="36" t="n">
        <v>20</v>
      </c>
      <c r="K790" s="37" t="n">
        <v>0.5882352941176471</v>
      </c>
      <c r="L790" s="36" t="n">
        <v>31</v>
      </c>
      <c r="M790" s="37" t="n">
        <v>0.31</v>
      </c>
      <c r="N790" s="36" t="n">
        <v>6</v>
      </c>
      <c r="O790" s="37" t="n">
        <v>0.3</v>
      </c>
      <c r="P790" s="36" t="n">
        <v>6</v>
      </c>
      <c r="Q790" s="37" t="n">
        <v>0.4</v>
      </c>
      <c r="R790" s="36" t="n">
        <v>133</v>
      </c>
      <c r="S790" s="37" t="n">
        <v>0.9925373134328358</v>
      </c>
      <c r="T790" s="36" t="n">
        <v>38</v>
      </c>
      <c r="U790" s="37" t="n">
        <v>0.2835820895522388</v>
      </c>
      <c r="V790" s="38" t="n">
        <v>0</v>
      </c>
      <c r="W790" s="38" t="n">
        <v>4.45</v>
      </c>
      <c r="X790" s="38" t="n">
        <v>180.6659999999999</v>
      </c>
      <c r="Y790" s="38" t="n">
        <v>266.62</v>
      </c>
      <c r="Z790" s="38" t="n">
        <v>0</v>
      </c>
      <c r="AA790" s="36" t="n">
        <v>26</v>
      </c>
      <c r="AB790" s="37" t="n">
        <v>0.07103825136612021</v>
      </c>
      <c r="AC790" s="36" t="n">
        <v>14</v>
      </c>
      <c r="AD790" s="37" t="n">
        <v>0.2153846153846154</v>
      </c>
      <c r="AE790" s="36" t="n">
        <v>12</v>
      </c>
      <c r="AF790" s="37" t="n">
        <v>0.04081632653061224</v>
      </c>
      <c r="AG790" s="36" t="n">
        <v>13</v>
      </c>
      <c r="AH790" s="37" t="n">
        <v>0.9285714285714286</v>
      </c>
    </row>
    <row r="791">
      <c r="A791" s="53" t="n">
        <v>45771</v>
      </c>
      <c r="B791" t="inlineStr">
        <is>
          <t>R10_Sumbagteng</t>
        </is>
      </c>
      <c r="C791" t="inlineStr">
        <is>
          <t>NOP BUKITTINGGI</t>
        </is>
      </c>
      <c r="D791" s="38" t="n">
        <v>0</v>
      </c>
      <c r="E791" s="38" t="n">
        <v>3.997</v>
      </c>
      <c r="F791" s="36" t="n">
        <v>8.42</v>
      </c>
      <c r="G791" s="36" t="n">
        <v>4.140000000000001</v>
      </c>
      <c r="H791" s="36" t="n">
        <v>38</v>
      </c>
      <c r="I791" s="37" t="n">
        <v>0.7450980392156863</v>
      </c>
      <c r="J791" s="36" t="n">
        <v>10</v>
      </c>
      <c r="K791" s="37" t="n">
        <v>0.8333333333333334</v>
      </c>
      <c r="L791" s="36" t="n">
        <v>28</v>
      </c>
      <c r="M791" s="37" t="n">
        <v>0.717948717948718</v>
      </c>
      <c r="N791" s="36" t="n">
        <v>9</v>
      </c>
      <c r="O791" s="37" t="n">
        <v>0.9</v>
      </c>
      <c r="P791" s="36" t="n">
        <v>9</v>
      </c>
      <c r="Q791" s="37" t="n">
        <v>0.9</v>
      </c>
      <c r="R791" s="36" t="n">
        <v>51</v>
      </c>
      <c r="S791" s="37" t="n">
        <v>1</v>
      </c>
      <c r="T791" s="36" t="n">
        <v>25</v>
      </c>
      <c r="U791" s="37" t="n">
        <v>0.4901960784313725</v>
      </c>
      <c r="V791" s="38" t="n">
        <v>0</v>
      </c>
      <c r="W791" s="38" t="n">
        <v>3.945</v>
      </c>
      <c r="X791" s="38" t="n">
        <v>143.6680000000001</v>
      </c>
      <c r="Y791" s="38" t="n">
        <v>41.72</v>
      </c>
      <c r="Z791" s="38" t="n">
        <v>0</v>
      </c>
      <c r="AA791" s="36" t="n">
        <v>78</v>
      </c>
      <c r="AB791" s="37" t="n">
        <v>0.3058823529411765</v>
      </c>
      <c r="AC791" s="36" t="n">
        <v>21</v>
      </c>
      <c r="AD791" s="37" t="n">
        <v>0.8076923076923077</v>
      </c>
      <c r="AE791" s="36" t="n">
        <v>56</v>
      </c>
      <c r="AF791" s="37" t="n">
        <v>0.2511210762331839</v>
      </c>
      <c r="AG791" s="36" t="n">
        <v>12</v>
      </c>
      <c r="AH791" s="37" t="n">
        <v>0.5714285714285714</v>
      </c>
    </row>
    <row r="792">
      <c r="A792" s="53" t="n">
        <v>45771</v>
      </c>
      <c r="B792" t="inlineStr">
        <is>
          <t>R10_Sumbagteng</t>
        </is>
      </c>
      <c r="C792" t="inlineStr">
        <is>
          <t>NOP DUMAI</t>
        </is>
      </c>
      <c r="D792" s="38" t="n">
        <v>2.6</v>
      </c>
      <c r="E792" s="38" t="n">
        <v>9.945</v>
      </c>
      <c r="F792" s="36" t="n">
        <v>2.68</v>
      </c>
      <c r="G792" s="36" t="n">
        <v>2.978</v>
      </c>
      <c r="H792" s="36" t="n">
        <v>57</v>
      </c>
      <c r="I792" s="37" t="n">
        <v>0.4418604651162791</v>
      </c>
      <c r="J792" s="36" t="n">
        <v>10</v>
      </c>
      <c r="K792" s="37" t="n">
        <v>0.4761904761904762</v>
      </c>
      <c r="L792" s="36" t="n">
        <v>47</v>
      </c>
      <c r="M792" s="37" t="n">
        <v>0.4351851851851852</v>
      </c>
      <c r="N792" s="36" t="n">
        <v>10</v>
      </c>
      <c r="O792" s="37" t="n">
        <v>1</v>
      </c>
      <c r="P792" s="36" t="n">
        <v>10</v>
      </c>
      <c r="Q792" s="37" t="n">
        <v>1</v>
      </c>
      <c r="R792" s="36" t="n">
        <v>129</v>
      </c>
      <c r="S792" s="37" t="n">
        <v>1</v>
      </c>
      <c r="T792" s="36" t="n">
        <v>39</v>
      </c>
      <c r="U792" s="37" t="n">
        <v>0.3023255813953488</v>
      </c>
      <c r="V792" s="38" t="n">
        <v>0</v>
      </c>
      <c r="W792" s="38" t="n">
        <v>3.87</v>
      </c>
      <c r="X792" s="38" t="n">
        <v>35.42300000000001</v>
      </c>
      <c r="Y792" s="38" t="n">
        <v>114.98</v>
      </c>
      <c r="Z792" s="38" t="n">
        <v>0</v>
      </c>
      <c r="AA792" s="36" t="n">
        <v>94</v>
      </c>
      <c r="AB792" s="37" t="n">
        <v>0.3154362416107382</v>
      </c>
      <c r="AC792" s="36" t="n">
        <v>28</v>
      </c>
      <c r="AD792" s="37" t="n">
        <v>0.3888888888888889</v>
      </c>
      <c r="AE792" s="36" t="n">
        <v>64</v>
      </c>
      <c r="AF792" s="37" t="n">
        <v>0.3232323232323233</v>
      </c>
      <c r="AG792" s="36" t="n">
        <v>26</v>
      </c>
      <c r="AH792" s="37" t="n">
        <v>0.9285714285714286</v>
      </c>
    </row>
    <row r="793">
      <c r="A793" s="53" t="n">
        <v>45771</v>
      </c>
      <c r="B793" t="inlineStr">
        <is>
          <t>R10_Sumbagteng</t>
        </is>
      </c>
      <c r="C793" t="inlineStr">
        <is>
          <t>NOP PADANG</t>
        </is>
      </c>
      <c r="D793" s="38" t="n">
        <v>0</v>
      </c>
      <c r="E793" s="38" t="n">
        <v>3.827999999999999</v>
      </c>
      <c r="F793" s="36" t="n">
        <v>3.925999999999999</v>
      </c>
      <c r="G793" s="36" t="n">
        <v>2.86</v>
      </c>
      <c r="H793" s="36" t="n">
        <v>49</v>
      </c>
      <c r="I793" s="37" t="n">
        <v>0.6125</v>
      </c>
      <c r="J793" s="36" t="n">
        <v>13</v>
      </c>
      <c r="K793" s="37" t="n">
        <v>0.8666666666666667</v>
      </c>
      <c r="L793" s="36" t="n">
        <v>36</v>
      </c>
      <c r="M793" s="37" t="n">
        <v>0.5538461538461539</v>
      </c>
      <c r="N793" s="36" t="n">
        <v>5</v>
      </c>
      <c r="O793" s="37" t="n">
        <v>0.3846153846153846</v>
      </c>
      <c r="P793" s="36" t="n">
        <v>5</v>
      </c>
      <c r="Q793" s="37" t="n">
        <v>0.3846153846153846</v>
      </c>
      <c r="R793" s="36" t="n">
        <v>77</v>
      </c>
      <c r="S793" s="37" t="n">
        <v>0.9625</v>
      </c>
      <c r="T793" s="36" t="n">
        <v>21</v>
      </c>
      <c r="U793" s="37" t="n">
        <v>0.2625</v>
      </c>
      <c r="V793" s="38" t="n">
        <v>0</v>
      </c>
      <c r="W793" s="38" t="n">
        <v>4.76</v>
      </c>
      <c r="X793" s="38" t="n">
        <v>11.02399999999998</v>
      </c>
      <c r="Y793" s="38" t="n">
        <v>63.672</v>
      </c>
      <c r="Z793" s="38" t="n">
        <v>0</v>
      </c>
      <c r="AA793" s="36" t="n">
        <v>226</v>
      </c>
      <c r="AB793" s="37" t="n">
        <v>0.773972602739726</v>
      </c>
      <c r="AC793" s="36" t="n">
        <v>31</v>
      </c>
      <c r="AD793" s="37" t="n">
        <v>0.6595744680851063</v>
      </c>
      <c r="AE793" s="36" t="n">
        <v>194</v>
      </c>
      <c r="AF793" s="37" t="n">
        <v>0.7983539094650206</v>
      </c>
      <c r="AG793" s="36" t="n">
        <v>20</v>
      </c>
      <c r="AH793" s="37" t="n">
        <v>0.6451612903225806</v>
      </c>
    </row>
    <row r="794">
      <c r="A794" s="53" t="n">
        <v>45771</v>
      </c>
      <c r="B794" t="inlineStr">
        <is>
          <t>R10_Sumbagteng</t>
        </is>
      </c>
      <c r="C794" t="inlineStr">
        <is>
          <t>NOP PEKANBARU</t>
        </is>
      </c>
      <c r="D794" s="38" t="n">
        <v>0.7770000000000001</v>
      </c>
      <c r="E794" s="38" t="n">
        <v>5.385999999999999</v>
      </c>
      <c r="F794" s="36" t="n">
        <v>6.670000000000009</v>
      </c>
      <c r="G794" s="36" t="n">
        <v>2.72</v>
      </c>
      <c r="H794" s="36" t="n">
        <v>48</v>
      </c>
      <c r="I794" s="37" t="n">
        <v>0.3265306122448979</v>
      </c>
      <c r="J794" s="36" t="n">
        <v>8</v>
      </c>
      <c r="K794" s="37" t="n">
        <v>0.2857142857142857</v>
      </c>
      <c r="L794" s="36" t="n">
        <v>40</v>
      </c>
      <c r="M794" s="37" t="n">
        <v>0.3361344537815126</v>
      </c>
      <c r="N794" s="36" t="n">
        <v>8</v>
      </c>
      <c r="O794" s="37" t="n">
        <v>1</v>
      </c>
      <c r="P794" s="36" t="n">
        <v>8</v>
      </c>
      <c r="Q794" s="37" t="n">
        <v>1</v>
      </c>
      <c r="R794" s="36" t="n">
        <v>145</v>
      </c>
      <c r="S794" s="37" t="n">
        <v>0.9863945578231292</v>
      </c>
      <c r="T794" s="36" t="n">
        <v>27</v>
      </c>
      <c r="U794" s="37" t="n">
        <v>0.1836734693877551</v>
      </c>
      <c r="V794" s="38" t="n">
        <v>0</v>
      </c>
      <c r="W794" s="38" t="n">
        <v>5.015000000000001</v>
      </c>
      <c r="X794" s="38" t="n">
        <v>34.38</v>
      </c>
      <c r="Y794" s="38" t="n">
        <v>38.81700000000001</v>
      </c>
      <c r="Z794" s="38" t="n">
        <v>0</v>
      </c>
      <c r="AA794" s="36" t="n">
        <v>89</v>
      </c>
      <c r="AB794" s="37" t="n">
        <v>0.2825396825396825</v>
      </c>
      <c r="AC794" s="36" t="n">
        <v>21</v>
      </c>
      <c r="AD794" s="37" t="n">
        <v>0.2625</v>
      </c>
      <c r="AE794" s="36" t="n">
        <v>68</v>
      </c>
      <c r="AF794" s="37" t="n">
        <v>0.3192488262910798</v>
      </c>
      <c r="AG794" s="36" t="n">
        <v>17</v>
      </c>
      <c r="AH794" s="37" t="n">
        <v>0.8095238095238095</v>
      </c>
    </row>
    <row r="795">
      <c r="A795" s="53" t="n">
        <v>45771</v>
      </c>
      <c r="B795" t="inlineStr">
        <is>
          <t>R02_Sumbagsel</t>
        </is>
      </c>
      <c r="C795" t="inlineStr">
        <is>
          <t>NOP BENGKULU</t>
        </is>
      </c>
      <c r="D795" s="38" t="n">
        <v>3.63</v>
      </c>
      <c r="E795" s="38" t="n">
        <v>3.038</v>
      </c>
      <c r="F795" s="36" t="n">
        <v>3.666</v>
      </c>
      <c r="G795" s="36" t="n">
        <v>8.039999999999999</v>
      </c>
      <c r="H795" s="36" t="n">
        <v>39</v>
      </c>
      <c r="I795" s="37" t="n">
        <v>0.3644859813084112</v>
      </c>
      <c r="J795" s="36" t="n">
        <v>14</v>
      </c>
      <c r="K795" s="37" t="n">
        <v>0.4827586206896552</v>
      </c>
      <c r="L795" s="36" t="n">
        <v>25</v>
      </c>
      <c r="M795" s="37" t="n">
        <v>0.3205128205128205</v>
      </c>
      <c r="N795" s="36" t="n">
        <v>9</v>
      </c>
      <c r="O795" s="37" t="n">
        <v>0.6428571428571429</v>
      </c>
      <c r="P795" s="36" t="n">
        <v>9</v>
      </c>
      <c r="Q795" s="37" t="n">
        <v>0.6428571428571429</v>
      </c>
      <c r="R795" s="36" t="n">
        <v>107</v>
      </c>
      <c r="S795" s="37" t="n">
        <v>1</v>
      </c>
      <c r="T795" s="36" t="n">
        <v>21</v>
      </c>
      <c r="U795" s="37" t="n">
        <v>0.1962616822429906</v>
      </c>
      <c r="V795" s="38" t="n">
        <v>0</v>
      </c>
      <c r="W795" s="38" t="n">
        <v>6.343</v>
      </c>
      <c r="X795" s="38" t="n">
        <v>6.434</v>
      </c>
      <c r="Y795" s="38" t="n">
        <v>7.425</v>
      </c>
      <c r="Z795" s="38" t="n">
        <v>0</v>
      </c>
      <c r="AA795" s="36" t="n">
        <v>89</v>
      </c>
      <c r="AB795" s="37" t="n">
        <v>0.5028248587570622</v>
      </c>
      <c r="AC795" s="36" t="n">
        <v>43</v>
      </c>
      <c r="AD795" s="37" t="n">
        <v>0.3981481481481481</v>
      </c>
      <c r="AE795" s="36" t="n">
        <v>34</v>
      </c>
      <c r="AF795" s="37" t="n">
        <v>0.6938775510204082</v>
      </c>
      <c r="AG795" s="36" t="n">
        <v>38</v>
      </c>
      <c r="AH795" s="37" t="n">
        <v>0.8837209302325582</v>
      </c>
    </row>
    <row r="796">
      <c r="A796" s="53" t="n">
        <v>45771</v>
      </c>
      <c r="B796" t="inlineStr">
        <is>
          <t>R02_Sumbagsel</t>
        </is>
      </c>
      <c r="C796" t="inlineStr">
        <is>
          <t>NOP JAMBI</t>
        </is>
      </c>
      <c r="D796" s="38" t="n">
        <v>2.8</v>
      </c>
      <c r="E796" s="38" t="n">
        <v>2.641</v>
      </c>
      <c r="F796" s="36" t="n">
        <v>2.834</v>
      </c>
      <c r="G796" s="36" t="n">
        <v>6.326</v>
      </c>
      <c r="H796" s="36" t="n">
        <v>33</v>
      </c>
      <c r="I796" s="37" t="n">
        <v>0.4925373134328358</v>
      </c>
      <c r="J796" s="36" t="n">
        <v>13</v>
      </c>
      <c r="K796" s="37" t="n">
        <v>0.8666666666666667</v>
      </c>
      <c r="L796" s="36" t="n">
        <v>20</v>
      </c>
      <c r="M796" s="37" t="n">
        <v>0.3846153846153846</v>
      </c>
      <c r="N796" s="36" t="n">
        <v>12</v>
      </c>
      <c r="O796" s="37" t="n">
        <v>0.9230769230769231</v>
      </c>
      <c r="P796" s="36" t="n">
        <v>12</v>
      </c>
      <c r="Q796" s="37" t="n">
        <v>0.9230769230769231</v>
      </c>
      <c r="R796" s="36" t="n">
        <v>67</v>
      </c>
      <c r="S796" s="37" t="n">
        <v>1</v>
      </c>
      <c r="T796" s="36" t="n">
        <v>22</v>
      </c>
      <c r="U796" s="37" t="n">
        <v>0.3283582089552239</v>
      </c>
      <c r="V796" s="38" t="n">
        <v>0</v>
      </c>
      <c r="W796" s="38" t="n">
        <v>3.805</v>
      </c>
      <c r="X796" s="38" t="n">
        <v>24.28</v>
      </c>
      <c r="Y796" s="38" t="n">
        <v>18.6</v>
      </c>
      <c r="Z796" s="38" t="n">
        <v>0</v>
      </c>
      <c r="AA796" s="36" t="n">
        <v>115</v>
      </c>
      <c r="AB796" s="37" t="n">
        <v>0.7098765432098766</v>
      </c>
      <c r="AC796" s="36" t="n">
        <v>39</v>
      </c>
      <c r="AD796" s="37" t="n">
        <v>0.609375</v>
      </c>
      <c r="AE796" s="36" t="n">
        <v>65</v>
      </c>
      <c r="AF796" s="37" t="n">
        <v>0.7926829268292683</v>
      </c>
      <c r="AG796" s="36" t="n">
        <v>24</v>
      </c>
      <c r="AH796" s="37" t="n">
        <v>0.6153846153846154</v>
      </c>
    </row>
    <row r="797">
      <c r="A797" s="53" t="n">
        <v>45771</v>
      </c>
      <c r="B797" t="inlineStr">
        <is>
          <t>R02_Sumbagsel</t>
        </is>
      </c>
      <c r="C797" t="inlineStr">
        <is>
          <t>NOP LAMPUNG</t>
        </is>
      </c>
      <c r="D797" s="38" t="n">
        <v>0</v>
      </c>
      <c r="E797" s="38" t="n">
        <v>1.25</v>
      </c>
      <c r="F797" s="36" t="n">
        <v>3.536000000000002</v>
      </c>
      <c r="G797" s="36" t="n">
        <v>3.12</v>
      </c>
      <c r="H797" s="36" t="n">
        <v>50</v>
      </c>
      <c r="I797" s="37" t="n">
        <v>0.625</v>
      </c>
      <c r="J797" s="36" t="n">
        <v>11</v>
      </c>
      <c r="K797" s="37" t="n">
        <v>0.7333333333333333</v>
      </c>
      <c r="L797" s="36" t="n">
        <v>39</v>
      </c>
      <c r="M797" s="37" t="n">
        <v>0.6</v>
      </c>
      <c r="N797" s="36" t="n">
        <v>8</v>
      </c>
      <c r="O797" s="37" t="n">
        <v>0.7272727272727273</v>
      </c>
      <c r="P797" s="36" t="n">
        <v>6</v>
      </c>
      <c r="Q797" s="37" t="n">
        <v>0.6666666666666666</v>
      </c>
      <c r="R797" s="36" t="n">
        <v>80</v>
      </c>
      <c r="S797" s="37" t="n">
        <v>1</v>
      </c>
      <c r="T797" s="36" t="n">
        <v>34</v>
      </c>
      <c r="U797" s="37" t="n">
        <v>0.425</v>
      </c>
      <c r="V797" s="38" t="n">
        <v>0</v>
      </c>
      <c r="W797" s="38" t="n">
        <v>4.594000000000007</v>
      </c>
      <c r="X797" s="38" t="n">
        <v>4.14</v>
      </c>
      <c r="Y797" s="38" t="n">
        <v>13.974</v>
      </c>
      <c r="Z797" s="38" t="n">
        <v>0</v>
      </c>
      <c r="AA797" s="36" t="n">
        <v>140</v>
      </c>
      <c r="AB797" s="37" t="n">
        <v>0.875</v>
      </c>
      <c r="AC797" s="36" t="n">
        <v>34</v>
      </c>
      <c r="AD797" s="37" t="n">
        <v>0.8717948717948718</v>
      </c>
      <c r="AE797" s="36" t="n">
        <v>103</v>
      </c>
      <c r="AF797" s="37" t="n">
        <v>0.9035087719298246</v>
      </c>
      <c r="AG797" s="36" t="n">
        <v>30</v>
      </c>
      <c r="AH797" s="37" t="n">
        <v>0.8823529411764706</v>
      </c>
    </row>
    <row r="798">
      <c r="A798" s="53" t="n">
        <v>45771</v>
      </c>
      <c r="B798" t="inlineStr">
        <is>
          <t>R02_Sumbagsel</t>
        </is>
      </c>
      <c r="C798" t="inlineStr">
        <is>
          <t>NOP MUARA ENIM</t>
        </is>
      </c>
      <c r="D798" s="38" t="n">
        <v>3.08</v>
      </c>
      <c r="E798" s="38" t="n">
        <v>4.337999999999999</v>
      </c>
      <c r="F798" s="36" t="n">
        <v>6.362000000000001</v>
      </c>
      <c r="G798" s="36" t="n">
        <v>4.192</v>
      </c>
      <c r="H798" s="36" t="n">
        <v>51</v>
      </c>
      <c r="I798" s="37" t="n">
        <v>0.4214876033057851</v>
      </c>
      <c r="J798" s="36" t="n">
        <v>8</v>
      </c>
      <c r="K798" s="37" t="n">
        <v>0.32</v>
      </c>
      <c r="L798" s="36" t="n">
        <v>43</v>
      </c>
      <c r="M798" s="37" t="n">
        <v>0.4479166666666667</v>
      </c>
      <c r="N798" s="36" t="n">
        <v>5</v>
      </c>
      <c r="O798" s="37" t="n">
        <v>0.625</v>
      </c>
      <c r="P798" s="36" t="n">
        <v>5</v>
      </c>
      <c r="Q798" s="37" t="n">
        <v>0.625</v>
      </c>
      <c r="R798" s="36" t="n">
        <v>118</v>
      </c>
      <c r="S798" s="37" t="n">
        <v>0.9752066115702479</v>
      </c>
      <c r="T798" s="36" t="n">
        <v>25</v>
      </c>
      <c r="U798" s="37" t="n">
        <v>0.2066115702479339</v>
      </c>
      <c r="V798" s="38" t="n">
        <v>0</v>
      </c>
      <c r="W798" s="38" t="n">
        <v>3.765000000000009</v>
      </c>
      <c r="X798" s="38" t="n">
        <v>5.1</v>
      </c>
      <c r="Y798" s="38" t="n">
        <v>9.341000000000012</v>
      </c>
      <c r="Z798" s="38" t="n">
        <v>0</v>
      </c>
      <c r="AA798" s="36" t="n">
        <v>93</v>
      </c>
      <c r="AB798" s="37" t="n">
        <v>0.4558823529411765</v>
      </c>
      <c r="AC798" s="36" t="n">
        <v>38</v>
      </c>
      <c r="AD798" s="37" t="n">
        <v>0.4222222222222222</v>
      </c>
      <c r="AE798" s="36" t="n">
        <v>50</v>
      </c>
      <c r="AF798" s="37" t="n">
        <v>0.5494505494505495</v>
      </c>
      <c r="AG798" s="36" t="n">
        <v>30</v>
      </c>
      <c r="AH798" s="37" t="n">
        <v>0.7894736842105263</v>
      </c>
    </row>
    <row r="799">
      <c r="A799" s="53" t="n">
        <v>45771</v>
      </c>
      <c r="B799" t="inlineStr">
        <is>
          <t>R02_Sumbagsel</t>
        </is>
      </c>
      <c r="C799" t="inlineStr">
        <is>
          <t>NOP PALEMBANG</t>
        </is>
      </c>
      <c r="D799" s="38" t="n">
        <v>1.912</v>
      </c>
      <c r="E799" s="38" t="n">
        <v>4.074000000000002</v>
      </c>
      <c r="F799" s="36" t="n">
        <v>11.87</v>
      </c>
      <c r="G799" s="36" t="n">
        <v>6.720000000000001</v>
      </c>
      <c r="H799" s="36" t="n">
        <v>13</v>
      </c>
      <c r="I799" s="37" t="n">
        <v>0.0783132530120482</v>
      </c>
      <c r="J799" s="36" t="n">
        <v>0</v>
      </c>
      <c r="K799" s="37" t="n">
        <v>0</v>
      </c>
      <c r="L799" s="36" t="n">
        <v>13</v>
      </c>
      <c r="M799" s="37" t="n">
        <v>0.08552631578947369</v>
      </c>
      <c r="N799" s="36" t="n">
        <v>0</v>
      </c>
      <c r="O799" s="37" t="n">
        <v>0</v>
      </c>
      <c r="P799" s="36" t="n">
        <v>0</v>
      </c>
      <c r="Q799" s="37" t="n">
        <v>0</v>
      </c>
      <c r="R799" s="36" t="n">
        <v>166</v>
      </c>
      <c r="S799" s="37" t="n">
        <v>1</v>
      </c>
      <c r="T799" s="36" t="n">
        <v>11</v>
      </c>
      <c r="U799" s="37" t="n">
        <v>0.06626506024096386</v>
      </c>
      <c r="V799" s="38" t="n">
        <v>0</v>
      </c>
      <c r="W799" s="38" t="n">
        <v>3.824</v>
      </c>
      <c r="X799" s="38" t="n">
        <v>10.87600000000001</v>
      </c>
      <c r="Y799" s="38" t="n">
        <v>4.299999999999997</v>
      </c>
      <c r="Z799" s="38" t="n">
        <v>0</v>
      </c>
      <c r="AA799" s="36" t="n">
        <v>75</v>
      </c>
      <c r="AB799" s="37" t="n">
        <v>0.29296875</v>
      </c>
      <c r="AC799" s="36" t="n">
        <v>15</v>
      </c>
      <c r="AD799" s="37" t="n">
        <v>0.154639175257732</v>
      </c>
      <c r="AE799" s="36" t="n">
        <v>60</v>
      </c>
      <c r="AF799" s="37" t="n">
        <v>0.4511278195488722</v>
      </c>
      <c r="AG799" s="36" t="n">
        <v>5</v>
      </c>
      <c r="AH799" s="37" t="n">
        <v>0.3333333333333333</v>
      </c>
    </row>
    <row r="800">
      <c r="A800" s="53" t="n">
        <v>45771</v>
      </c>
      <c r="B800" t="inlineStr">
        <is>
          <t>R02_Sumbagsel</t>
        </is>
      </c>
      <c r="C800" t="inlineStr">
        <is>
          <t>NOP PANGKAL PINANG</t>
        </is>
      </c>
      <c r="D800" s="38" t="n">
        <v>0</v>
      </c>
      <c r="E800" s="38" t="n">
        <v>2.12</v>
      </c>
      <c r="F800" s="36" t="n">
        <v>9.779999999999999</v>
      </c>
      <c r="G800" s="36" t="n">
        <v>4.996000000000002</v>
      </c>
      <c r="H800" s="36" t="n">
        <v>17</v>
      </c>
      <c r="I800" s="37" t="n">
        <v>0.5666666666666667</v>
      </c>
      <c r="J800" s="36" t="n">
        <v>1</v>
      </c>
      <c r="K800" s="37" t="n">
        <v>0.3333333333333333</v>
      </c>
      <c r="L800" s="36" t="n">
        <v>16</v>
      </c>
      <c r="M800" s="37" t="n">
        <v>0.5925925925925926</v>
      </c>
      <c r="N800" s="36" t="n">
        <v>1</v>
      </c>
      <c r="O800" s="37" t="n">
        <v>1</v>
      </c>
      <c r="P800" s="36" t="n">
        <v>1</v>
      </c>
      <c r="Q800" s="37" t="n">
        <v>1</v>
      </c>
      <c r="R800" s="36" t="n">
        <v>30</v>
      </c>
      <c r="S800" s="37" t="n">
        <v>1</v>
      </c>
      <c r="T800" s="36" t="n">
        <v>10</v>
      </c>
      <c r="U800" s="37" t="n">
        <v>0.3333333333333333</v>
      </c>
      <c r="V800" s="38" t="n">
        <v>0</v>
      </c>
      <c r="W800" s="38" t="n">
        <v>3.073999999999999</v>
      </c>
      <c r="X800" s="38" t="n">
        <v>3.9</v>
      </c>
      <c r="Y800" s="38" t="n">
        <v>1.502</v>
      </c>
      <c r="Z800" s="38" t="n">
        <v>0</v>
      </c>
      <c r="AA800" s="36" t="n">
        <v>39</v>
      </c>
      <c r="AB800" s="37" t="n">
        <v>0.7222222222222222</v>
      </c>
      <c r="AC800" s="36" t="n">
        <v>16</v>
      </c>
      <c r="AD800" s="37" t="n">
        <v>0.6666666666666666</v>
      </c>
      <c r="AE800" s="36" t="n">
        <v>23</v>
      </c>
      <c r="AF800" s="37" t="n">
        <v>0.8214285714285714</v>
      </c>
      <c r="AG800" s="36" t="n">
        <v>10</v>
      </c>
      <c r="AH800" s="37" t="n">
        <v>0.625</v>
      </c>
    </row>
    <row r="801">
      <c r="A801" s="53" t="n">
        <v>45771</v>
      </c>
      <c r="B801" t="inlineStr">
        <is>
          <t>R05_Jawa Tengah DIY</t>
        </is>
      </c>
      <c r="C801" t="inlineStr">
        <is>
          <t>NOP MAGELANG</t>
        </is>
      </c>
      <c r="D801" s="38" t="n">
        <v>1.882</v>
      </c>
      <c r="E801" s="38" t="n">
        <v>0</v>
      </c>
      <c r="F801" s="36" t="n">
        <v>3.85</v>
      </c>
      <c r="G801" s="36" t="n">
        <v>6.125</v>
      </c>
      <c r="H801" s="36" t="n">
        <v>34</v>
      </c>
      <c r="I801" s="37" t="n">
        <v>0.9444444444444444</v>
      </c>
      <c r="J801" s="36" t="n">
        <v>9</v>
      </c>
      <c r="K801" s="37" t="n">
        <v>1</v>
      </c>
      <c r="L801" s="36" t="n">
        <v>25</v>
      </c>
      <c r="M801" s="37" t="n">
        <v>0.9259259259259259</v>
      </c>
      <c r="N801" s="36" t="n">
        <v>9</v>
      </c>
      <c r="O801" s="37" t="n">
        <v>1</v>
      </c>
      <c r="P801" s="36" t="n">
        <v>9</v>
      </c>
      <c r="Q801" s="37" t="n">
        <v>1</v>
      </c>
      <c r="R801" s="36" t="n">
        <v>36</v>
      </c>
      <c r="S801" s="37" t="n">
        <v>1</v>
      </c>
      <c r="T801" s="36" t="n">
        <v>30</v>
      </c>
      <c r="U801" s="37" t="n">
        <v>0.8333333333333334</v>
      </c>
      <c r="V801" s="38" t="n">
        <v>0</v>
      </c>
      <c r="W801" s="38" t="n">
        <v>2.666</v>
      </c>
      <c r="X801" s="38" t="n">
        <v>11.27</v>
      </c>
      <c r="Y801" s="38" t="n">
        <v>14.17</v>
      </c>
      <c r="Z801" s="38" t="n">
        <v>0</v>
      </c>
      <c r="AA801" s="36" t="n">
        <v>45</v>
      </c>
      <c r="AB801" s="37" t="n">
        <v>1</v>
      </c>
      <c r="AC801" s="36" t="n">
        <v>4</v>
      </c>
      <c r="AD801" s="37" t="n">
        <v>1</v>
      </c>
      <c r="AE801" s="36" t="n">
        <v>41</v>
      </c>
      <c r="AF801" s="37" t="n">
        <v>1</v>
      </c>
      <c r="AG801" s="36" t="n">
        <v>4</v>
      </c>
      <c r="AH801" s="37" t="n">
        <v>1</v>
      </c>
    </row>
    <row r="802">
      <c r="A802" s="53" t="n">
        <v>45771</v>
      </c>
      <c r="B802" t="inlineStr">
        <is>
          <t>R05_Jawa Tengah DIY</t>
        </is>
      </c>
      <c r="C802" t="inlineStr">
        <is>
          <t>NOP PEKALONGAN</t>
        </is>
      </c>
      <c r="D802" s="38" t="n">
        <v>2.472</v>
      </c>
      <c r="E802" s="38" t="n">
        <v>0</v>
      </c>
      <c r="F802" s="36" t="n">
        <v>2.86</v>
      </c>
      <c r="G802" s="36" t="n">
        <v>3.411999999999999</v>
      </c>
      <c r="H802" s="36" t="n">
        <v>32</v>
      </c>
      <c r="I802" s="37" t="n">
        <v>0.7272727272727273</v>
      </c>
      <c r="J802" s="36" t="n">
        <v>3</v>
      </c>
      <c r="K802" s="37" t="n">
        <v>0.6</v>
      </c>
      <c r="L802" s="36" t="n">
        <v>29</v>
      </c>
      <c r="M802" s="37" t="n">
        <v>0.7435897435897436</v>
      </c>
      <c r="N802" s="36" t="n">
        <v>3</v>
      </c>
      <c r="O802" s="37" t="n">
        <v>1</v>
      </c>
      <c r="P802" s="36" t="n">
        <v>3</v>
      </c>
      <c r="Q802" s="37" t="n">
        <v>1</v>
      </c>
      <c r="R802" s="36" t="n">
        <v>42</v>
      </c>
      <c r="S802" s="37" t="n">
        <v>0.9545454545454546</v>
      </c>
      <c r="T802" s="36" t="n">
        <v>13</v>
      </c>
      <c r="U802" s="37" t="n">
        <v>0.2954545454545455</v>
      </c>
      <c r="V802" s="38" t="n">
        <v>0</v>
      </c>
      <c r="W802" s="38" t="n">
        <v>3.446000000000001</v>
      </c>
      <c r="X802" s="38" t="n">
        <v>5.115</v>
      </c>
      <c r="Y802" s="38" t="n">
        <v>41.441</v>
      </c>
      <c r="Z802" s="38" t="n">
        <v>0</v>
      </c>
      <c r="AA802" s="36" t="n">
        <v>28</v>
      </c>
      <c r="AB802" s="37" t="n">
        <v>0.7368421052631579</v>
      </c>
      <c r="AC802" s="36" t="n">
        <v>12</v>
      </c>
      <c r="AD802" s="37" t="n">
        <v>0.8571428571428571</v>
      </c>
      <c r="AE802" s="36" t="n">
        <v>16</v>
      </c>
      <c r="AF802" s="37" t="n">
        <v>0.6666666666666666</v>
      </c>
      <c r="AG802" s="36" t="n">
        <v>6</v>
      </c>
      <c r="AH802" s="37" t="n">
        <v>0.5</v>
      </c>
    </row>
    <row r="803">
      <c r="A803" s="53" t="n">
        <v>45771</v>
      </c>
      <c r="B803" t="inlineStr">
        <is>
          <t>R05_Jawa Tengah DIY</t>
        </is>
      </c>
      <c r="C803" t="inlineStr">
        <is>
          <t>NOP PURWOKERTO</t>
        </is>
      </c>
      <c r="D803" s="38" t="n">
        <v>1</v>
      </c>
      <c r="E803" s="38" t="n">
        <v>0</v>
      </c>
      <c r="F803" s="36" t="n">
        <v>4.496</v>
      </c>
      <c r="G803" s="36" t="n">
        <v>4.474</v>
      </c>
      <c r="H803" s="36" t="n">
        <v>20</v>
      </c>
      <c r="I803" s="37" t="n">
        <v>0.8</v>
      </c>
      <c r="J803" s="36" t="n">
        <v>1</v>
      </c>
      <c r="K803" s="37" t="n">
        <v>1</v>
      </c>
      <c r="L803" s="36" t="n">
        <v>19</v>
      </c>
      <c r="M803" s="37" t="n">
        <v>0.7916666666666666</v>
      </c>
      <c r="N803" s="36" t="n">
        <v>1</v>
      </c>
      <c r="O803" s="37" t="n">
        <v>1</v>
      </c>
      <c r="P803" s="36" t="n">
        <v>1</v>
      </c>
      <c r="Q803" s="37" t="n">
        <v>1</v>
      </c>
      <c r="R803" s="36" t="n">
        <v>25</v>
      </c>
      <c r="S803" s="37" t="n">
        <v>1</v>
      </c>
      <c r="T803" s="36" t="n">
        <v>15</v>
      </c>
      <c r="U803" s="37" t="n">
        <v>0.6</v>
      </c>
      <c r="V803" s="38" t="n">
        <v>0</v>
      </c>
      <c r="W803" s="38" t="n">
        <v>3.14</v>
      </c>
      <c r="X803" s="38" t="n">
        <v>5.796</v>
      </c>
      <c r="Y803" s="38" t="n">
        <v>11.031</v>
      </c>
      <c r="Z803" s="38" t="n">
        <v>0</v>
      </c>
      <c r="AA803" s="36" t="n">
        <v>25</v>
      </c>
      <c r="AB803" s="37" t="n">
        <v>0.78125</v>
      </c>
      <c r="AC803" s="36" t="n">
        <v>4</v>
      </c>
      <c r="AD803" s="37" t="n">
        <v>0.6666666666666666</v>
      </c>
      <c r="AE803" s="36" t="n">
        <v>21</v>
      </c>
      <c r="AF803" s="37" t="n">
        <v>0.8076923076923077</v>
      </c>
      <c r="AG803" s="36" t="n">
        <v>4</v>
      </c>
      <c r="AH803" s="37" t="n">
        <v>1</v>
      </c>
    </row>
    <row r="804">
      <c r="A804" s="53" t="n">
        <v>45771</v>
      </c>
      <c r="B804" t="inlineStr">
        <is>
          <t>R05_Jawa Tengah DIY</t>
        </is>
      </c>
      <c r="C804" t="inlineStr">
        <is>
          <t>NOP SEMARANG</t>
        </is>
      </c>
      <c r="D804" s="38" t="n">
        <v>1.75</v>
      </c>
      <c r="E804" s="38" t="n">
        <v>0</v>
      </c>
      <c r="F804" s="36" t="n">
        <v>2.524</v>
      </c>
      <c r="G804" s="36" t="n">
        <v>6.262</v>
      </c>
      <c r="H804" s="36" t="n">
        <v>26</v>
      </c>
      <c r="I804" s="37" t="n">
        <v>0.5777777777777777</v>
      </c>
      <c r="J804" s="36" t="n">
        <v>4</v>
      </c>
      <c r="K804" s="37" t="n">
        <v>0.8</v>
      </c>
      <c r="L804" s="36" t="n">
        <v>22</v>
      </c>
      <c r="M804" s="37" t="n">
        <v>0.55</v>
      </c>
      <c r="N804" s="36" t="n">
        <v>4</v>
      </c>
      <c r="O804" s="37" t="n">
        <v>1</v>
      </c>
      <c r="P804" s="36" t="n">
        <v>4</v>
      </c>
      <c r="Q804" s="37" t="n">
        <v>1</v>
      </c>
      <c r="R804" s="36" t="n">
        <v>44</v>
      </c>
      <c r="S804" s="37" t="n">
        <v>0.9777777777777777</v>
      </c>
      <c r="T804" s="36" t="n">
        <v>16</v>
      </c>
      <c r="U804" s="37" t="n">
        <v>0.3555555555555556</v>
      </c>
      <c r="V804" s="38" t="n">
        <v>0</v>
      </c>
      <c r="W804" s="38" t="n">
        <v>7.67</v>
      </c>
      <c r="X804" s="38" t="n">
        <v>9.401000000000007</v>
      </c>
      <c r="Y804" s="38" t="n">
        <v>57.21</v>
      </c>
      <c r="Z804" s="38" t="n">
        <v>0</v>
      </c>
      <c r="AA804" s="36" t="n">
        <v>41</v>
      </c>
      <c r="AB804" s="37" t="n">
        <v>0.8913043478260869</v>
      </c>
      <c r="AC804" s="36" t="n">
        <v>11</v>
      </c>
      <c r="AD804" s="37" t="n">
        <v>1</v>
      </c>
      <c r="AE804" s="36" t="n">
        <v>30</v>
      </c>
      <c r="AF804" s="37" t="n">
        <v>0.8571428571428571</v>
      </c>
      <c r="AG804" s="36" t="n">
        <v>10</v>
      </c>
      <c r="AH804" s="37" t="n">
        <v>0.9090909090909091</v>
      </c>
    </row>
    <row r="805">
      <c r="A805" s="53" t="n">
        <v>45771</v>
      </c>
      <c r="B805" t="inlineStr">
        <is>
          <t>R05_Jawa Tengah DIY</t>
        </is>
      </c>
      <c r="C805" t="inlineStr">
        <is>
          <t>NOP SURAKARTA</t>
        </is>
      </c>
      <c r="D805" s="38" t="n">
        <v>1.134</v>
      </c>
      <c r="E805" s="38" t="n">
        <v>0</v>
      </c>
      <c r="F805" s="36" t="n">
        <v>4.19</v>
      </c>
      <c r="G805" s="36" t="n">
        <v>3.083000000000002</v>
      </c>
      <c r="H805" s="36" t="n">
        <v>63</v>
      </c>
      <c r="I805" s="37" t="n">
        <v>0.8289473684210527</v>
      </c>
      <c r="J805" s="36" t="n">
        <v>4</v>
      </c>
      <c r="K805" s="37" t="n">
        <v>1</v>
      </c>
      <c r="L805" s="36" t="n">
        <v>59</v>
      </c>
      <c r="M805" s="37" t="n">
        <v>0.8194444444444444</v>
      </c>
      <c r="N805" s="36" t="n">
        <v>4</v>
      </c>
      <c r="O805" s="37" t="n">
        <v>1</v>
      </c>
      <c r="P805" s="36" t="n">
        <v>4</v>
      </c>
      <c r="Q805" s="37" t="n">
        <v>1</v>
      </c>
      <c r="R805" s="36" t="n">
        <v>71</v>
      </c>
      <c r="S805" s="37" t="n">
        <v>0.9342105263157895</v>
      </c>
      <c r="T805" s="36" t="n">
        <v>45</v>
      </c>
      <c r="U805" s="37" t="n">
        <v>0.5921052631578947</v>
      </c>
      <c r="V805" s="38" t="n">
        <v>0</v>
      </c>
      <c r="W805" s="38" t="n">
        <v>2.57</v>
      </c>
      <c r="X805" s="38" t="n">
        <v>4.538</v>
      </c>
      <c r="Y805" s="38" t="n">
        <v>4.52</v>
      </c>
      <c r="Z805" s="38" t="n">
        <v>0</v>
      </c>
      <c r="AA805" s="36" t="n">
        <v>54</v>
      </c>
      <c r="AB805" s="37" t="n">
        <v>0.8852459016393442</v>
      </c>
      <c r="AC805" s="36" t="n">
        <v>13</v>
      </c>
      <c r="AD805" s="37" t="n">
        <v>0.7647058823529411</v>
      </c>
      <c r="AE805" s="36" t="n">
        <v>41</v>
      </c>
      <c r="AF805" s="37" t="n">
        <v>0.9318181818181818</v>
      </c>
      <c r="AG805" s="36" t="n">
        <v>9</v>
      </c>
      <c r="AH805" s="37" t="n">
        <v>0.6923076923076923</v>
      </c>
    </row>
    <row r="806">
      <c r="A806" s="53" t="n">
        <v>45771</v>
      </c>
      <c r="B806" t="inlineStr">
        <is>
          <t>R05_Jawa Tengah DIY</t>
        </is>
      </c>
      <c r="C806" t="inlineStr">
        <is>
          <t>NOP YOGYAKARTA</t>
        </is>
      </c>
      <c r="D806" s="38" t="n">
        <v>2.22</v>
      </c>
      <c r="E806" s="38" t="n">
        <v>0</v>
      </c>
      <c r="F806" s="36" t="n">
        <v>2.129</v>
      </c>
      <c r="G806" s="36" t="n">
        <v>0.72</v>
      </c>
      <c r="H806" s="36" t="n">
        <v>10</v>
      </c>
      <c r="I806" s="37" t="n">
        <v>0.5882352941176471</v>
      </c>
      <c r="J806" s="36" t="n">
        <v>1</v>
      </c>
      <c r="K806" s="37" t="n">
        <v>1</v>
      </c>
      <c r="L806" s="36" t="n">
        <v>9</v>
      </c>
      <c r="M806" s="37" t="n">
        <v>0.5625</v>
      </c>
      <c r="N806" s="36" t="n">
        <v>1</v>
      </c>
      <c r="O806" s="37" t="n">
        <v>1</v>
      </c>
      <c r="P806" s="36" t="n">
        <v>1</v>
      </c>
      <c r="Q806" s="37" t="n">
        <v>1</v>
      </c>
      <c r="R806" s="36" t="n">
        <v>17</v>
      </c>
      <c r="S806" s="37" t="n">
        <v>1</v>
      </c>
      <c r="T806" s="36" t="n">
        <v>7</v>
      </c>
      <c r="U806" s="37" t="n">
        <v>0.4117647058823529</v>
      </c>
      <c r="V806" s="38" t="n">
        <v>0</v>
      </c>
      <c r="W806" s="38" t="n">
        <v>0.766</v>
      </c>
      <c r="X806" s="38" t="n">
        <v>11.06</v>
      </c>
      <c r="Y806" s="38" t="n">
        <v>42.004</v>
      </c>
      <c r="Z806" s="38" t="n">
        <v>0</v>
      </c>
      <c r="AA806" s="36" t="n">
        <v>33</v>
      </c>
      <c r="AB806" s="37" t="n">
        <v>0.9428571428571428</v>
      </c>
      <c r="AC806" s="36" t="n">
        <v>7</v>
      </c>
      <c r="AD806" s="37" t="n">
        <v>0.7777777777777778</v>
      </c>
      <c r="AE806" s="36" t="n">
        <v>26</v>
      </c>
      <c r="AF806" s="37" t="n">
        <v>1</v>
      </c>
      <c r="AG806" s="36" t="n">
        <v>7</v>
      </c>
      <c r="AH806" s="37" t="n">
        <v>1</v>
      </c>
    </row>
    <row r="807">
      <c r="A807" s="53" t="n">
        <v>45771</v>
      </c>
      <c r="B807" t="inlineStr">
        <is>
          <t>R06_Jawa Timur</t>
        </is>
      </c>
      <c r="C807" t="inlineStr">
        <is>
          <t>NOP JEMBER</t>
        </is>
      </c>
      <c r="D807" s="38" t="n">
        <v>1.62</v>
      </c>
      <c r="E807" s="38" t="n">
        <v>1.38</v>
      </c>
      <c r="F807" s="36" t="n">
        <v>1.19</v>
      </c>
      <c r="G807" s="36" t="n">
        <v>1.466</v>
      </c>
      <c r="H807" s="36" t="n">
        <v>11</v>
      </c>
      <c r="I807" s="37" t="n">
        <v>0.3793103448275862</v>
      </c>
      <c r="J807" s="36" t="n">
        <v>4</v>
      </c>
      <c r="K807" s="37" t="n">
        <v>0.5</v>
      </c>
      <c r="L807" s="36" t="n">
        <v>7</v>
      </c>
      <c r="M807" s="37" t="n">
        <v>0.3333333333333333</v>
      </c>
      <c r="N807" s="36" t="n">
        <v>4</v>
      </c>
      <c r="O807" s="37" t="n">
        <v>1</v>
      </c>
      <c r="P807" s="36" t="n">
        <v>4</v>
      </c>
      <c r="Q807" s="37" t="n">
        <v>1</v>
      </c>
      <c r="R807" s="36" t="n">
        <v>28</v>
      </c>
      <c r="S807" s="37" t="n">
        <v>0.9655172413793104</v>
      </c>
      <c r="T807" s="36" t="n">
        <v>9</v>
      </c>
      <c r="U807" s="37" t="n">
        <v>0.3103448275862069</v>
      </c>
      <c r="V807" s="38" t="n">
        <v>0</v>
      </c>
      <c r="W807" s="38" t="n">
        <v>34.17400000000001</v>
      </c>
      <c r="X807" s="38" t="n">
        <v>5.017000000000004</v>
      </c>
      <c r="Y807" s="38" t="n">
        <v>5</v>
      </c>
      <c r="Z807" s="38" t="n">
        <v>0</v>
      </c>
      <c r="AA807" s="36" t="n">
        <v>17</v>
      </c>
      <c r="AB807" s="37" t="n">
        <v>0.6296296296296297</v>
      </c>
      <c r="AC807" s="36" t="n">
        <v>4</v>
      </c>
      <c r="AD807" s="37" t="n">
        <v>0.8</v>
      </c>
      <c r="AE807" s="36" t="n">
        <v>13</v>
      </c>
      <c r="AF807" s="37" t="n">
        <v>0.5909090909090909</v>
      </c>
      <c r="AG807" s="36" t="n">
        <v>4</v>
      </c>
      <c r="AH807" s="37" t="n">
        <v>1</v>
      </c>
    </row>
    <row r="808">
      <c r="A808" s="53" t="n">
        <v>45771</v>
      </c>
      <c r="B808" t="inlineStr">
        <is>
          <t>R06_Jawa Timur</t>
        </is>
      </c>
      <c r="C808" t="inlineStr">
        <is>
          <t>NOP KEDIRI</t>
        </is>
      </c>
      <c r="D808" s="38" t="n">
        <v>0</v>
      </c>
      <c r="E808" s="38" t="n">
        <v>0</v>
      </c>
      <c r="F808" s="36" t="n">
        <v>6.83</v>
      </c>
      <c r="G808" s="36" t="n">
        <v>5.384</v>
      </c>
      <c r="H808" s="36" t="n">
        <v>23</v>
      </c>
      <c r="I808" s="37" t="n">
        <v>0.9583333333333334</v>
      </c>
      <c r="J808" s="36" t="n">
        <v>0</v>
      </c>
      <c r="K808" s="37" t="n">
        <v>0</v>
      </c>
      <c r="L808" s="36" t="n">
        <v>23</v>
      </c>
      <c r="M808" s="37" t="n">
        <v>0.9583333333333334</v>
      </c>
      <c r="N808" s="36" t="n">
        <v>0</v>
      </c>
      <c r="O808" s="37" t="n">
        <v>0</v>
      </c>
      <c r="P808" s="36" t="n">
        <v>0</v>
      </c>
      <c r="Q808" s="37" t="n">
        <v>0</v>
      </c>
      <c r="R808" s="36" t="n">
        <v>24</v>
      </c>
      <c r="S808" s="37" t="n">
        <v>1</v>
      </c>
      <c r="T808" s="36" t="n">
        <v>19</v>
      </c>
      <c r="U808" s="37" t="n">
        <v>0.7916666666666666</v>
      </c>
      <c r="V808" s="38" t="n">
        <v>0</v>
      </c>
      <c r="W808" s="38" t="n">
        <v>0.912</v>
      </c>
      <c r="X808" s="38" t="n">
        <v>3.420000000000001</v>
      </c>
      <c r="Y808" s="38" t="n">
        <v>0</v>
      </c>
      <c r="Z808" s="38" t="n">
        <v>0</v>
      </c>
      <c r="AA808" s="36" t="n">
        <v>11</v>
      </c>
      <c r="AB808" s="37" t="n">
        <v>0.9166666666666666</v>
      </c>
      <c r="AC808" s="36" t="n">
        <v>5</v>
      </c>
      <c r="AD808" s="37" t="n">
        <v>1</v>
      </c>
      <c r="AE808" s="36" t="n">
        <v>6</v>
      </c>
      <c r="AF808" s="37" t="n">
        <v>0.8571428571428571</v>
      </c>
      <c r="AG808" s="36" t="n">
        <v>5</v>
      </c>
      <c r="AH808" s="37" t="n">
        <v>1</v>
      </c>
    </row>
    <row r="809">
      <c r="A809" s="53" t="n">
        <v>45771</v>
      </c>
      <c r="B809" t="inlineStr">
        <is>
          <t>R06_Jawa Timur</t>
        </is>
      </c>
      <c r="C809" t="inlineStr">
        <is>
          <t>NOP LAMONGAN</t>
        </is>
      </c>
      <c r="D809" s="38" t="n">
        <v>1.228</v>
      </c>
      <c r="E809" s="38" t="n">
        <v>0</v>
      </c>
      <c r="F809" s="36" t="n">
        <v>5.59</v>
      </c>
      <c r="G809" s="36" t="n">
        <v>3.9</v>
      </c>
      <c r="H809" s="36" t="n">
        <v>28</v>
      </c>
      <c r="I809" s="37" t="n">
        <v>1</v>
      </c>
      <c r="J809" s="36" t="n">
        <v>4</v>
      </c>
      <c r="K809" s="37" t="n">
        <v>1</v>
      </c>
      <c r="L809" s="36" t="n">
        <v>24</v>
      </c>
      <c r="M809" s="37" t="n">
        <v>1</v>
      </c>
      <c r="N809" s="36" t="n">
        <v>4</v>
      </c>
      <c r="O809" s="37" t="n">
        <v>1</v>
      </c>
      <c r="P809" s="36" t="n">
        <v>4</v>
      </c>
      <c r="Q809" s="37" t="n">
        <v>1</v>
      </c>
      <c r="R809" s="36" t="n">
        <v>28</v>
      </c>
      <c r="S809" s="37" t="n">
        <v>1</v>
      </c>
      <c r="T809" s="36" t="n">
        <v>25</v>
      </c>
      <c r="U809" s="37" t="n">
        <v>0.8928571428571429</v>
      </c>
      <c r="V809" s="38" t="n">
        <v>0</v>
      </c>
      <c r="W809" s="38" t="n">
        <v>2.901000000000002</v>
      </c>
      <c r="X809" s="38" t="n">
        <v>8.538000000000002</v>
      </c>
      <c r="Y809" s="38" t="n">
        <v>19.591</v>
      </c>
      <c r="Z809" s="38" t="n">
        <v>0</v>
      </c>
      <c r="AA809" s="36" t="n">
        <v>26</v>
      </c>
      <c r="AB809" s="37" t="n">
        <v>0.896551724137931</v>
      </c>
      <c r="AC809" s="36" t="n">
        <v>13</v>
      </c>
      <c r="AD809" s="37" t="n">
        <v>0.9285714285714286</v>
      </c>
      <c r="AE809" s="36" t="n">
        <v>13</v>
      </c>
      <c r="AF809" s="37" t="n">
        <v>0.8666666666666667</v>
      </c>
      <c r="AG809" s="36" t="n">
        <v>12</v>
      </c>
      <c r="AH809" s="37" t="n">
        <v>0.9230769230769231</v>
      </c>
    </row>
    <row r="810">
      <c r="A810" s="53" t="n">
        <v>45771</v>
      </c>
      <c r="B810" t="inlineStr">
        <is>
          <t>R06_Jawa Timur</t>
        </is>
      </c>
      <c r="C810" t="inlineStr">
        <is>
          <t>NOP MADIUN</t>
        </is>
      </c>
      <c r="D810" s="38" t="n">
        <v>0</v>
      </c>
      <c r="E810" s="38" t="n">
        <v>0</v>
      </c>
      <c r="F810" s="36" t="n">
        <v>7.498</v>
      </c>
      <c r="G810" s="36" t="n">
        <v>4.64</v>
      </c>
      <c r="H810" s="36" t="n">
        <v>16</v>
      </c>
      <c r="I810" s="37" t="n">
        <v>0.4705882352941176</v>
      </c>
      <c r="J810" s="36" t="n">
        <v>0</v>
      </c>
      <c r="K810" s="37" t="n">
        <v>0</v>
      </c>
      <c r="L810" s="36" t="n">
        <v>16</v>
      </c>
      <c r="M810" s="37" t="n">
        <v>0.4705882352941176</v>
      </c>
      <c r="N810" s="36" t="n">
        <v>0</v>
      </c>
      <c r="O810" s="37" t="n">
        <v>0</v>
      </c>
      <c r="P810" s="36" t="n">
        <v>0</v>
      </c>
      <c r="Q810" s="37" t="n">
        <v>0</v>
      </c>
      <c r="R810" s="36" t="n">
        <v>34</v>
      </c>
      <c r="S810" s="37" t="n">
        <v>1</v>
      </c>
      <c r="T810" s="36" t="n">
        <v>8</v>
      </c>
      <c r="U810" s="37" t="n">
        <v>0.2352941176470588</v>
      </c>
      <c r="V810" s="38" t="n">
        <v>0</v>
      </c>
      <c r="W810" s="38" t="n">
        <v>4.94</v>
      </c>
      <c r="X810" s="38" t="n">
        <v>7.054</v>
      </c>
      <c r="Y810" s="38" t="n">
        <v>68.37</v>
      </c>
      <c r="Z810" s="38" t="n">
        <v>0</v>
      </c>
      <c r="AA810" s="36" t="n">
        <v>29</v>
      </c>
      <c r="AB810" s="37" t="n">
        <v>0.8285714285714286</v>
      </c>
      <c r="AC810" s="36" t="n">
        <v>9</v>
      </c>
      <c r="AD810" s="37" t="n">
        <v>0.8181818181818182</v>
      </c>
      <c r="AE810" s="36" t="n">
        <v>20</v>
      </c>
      <c r="AF810" s="37" t="n">
        <v>0.8333333333333334</v>
      </c>
      <c r="AG810" s="36" t="n">
        <v>9</v>
      </c>
      <c r="AH810" s="37" t="n">
        <v>1</v>
      </c>
    </row>
    <row r="811">
      <c r="A811" s="53" t="n">
        <v>45771</v>
      </c>
      <c r="B811" t="inlineStr">
        <is>
          <t>R06_Jawa Timur</t>
        </is>
      </c>
      <c r="C811" t="inlineStr">
        <is>
          <t>NOP MALANG</t>
        </is>
      </c>
      <c r="D811" s="38" t="n">
        <v>0.74</v>
      </c>
      <c r="E811" s="38" t="n">
        <v>0</v>
      </c>
      <c r="F811" s="36" t="n">
        <v>3.17</v>
      </c>
      <c r="G811" s="36" t="n">
        <v>2.712</v>
      </c>
      <c r="H811" s="36" t="n">
        <v>19</v>
      </c>
      <c r="I811" s="37" t="n">
        <v>0.9047619047619048</v>
      </c>
      <c r="J811" s="36" t="n">
        <v>1</v>
      </c>
      <c r="K811" s="37" t="n">
        <v>1</v>
      </c>
      <c r="L811" s="36" t="n">
        <v>18</v>
      </c>
      <c r="M811" s="37" t="n">
        <v>0.9</v>
      </c>
      <c r="N811" s="36" t="n">
        <v>1</v>
      </c>
      <c r="O811" s="37" t="n">
        <v>1</v>
      </c>
      <c r="P811" s="36" t="n">
        <v>1</v>
      </c>
      <c r="Q811" s="37" t="n">
        <v>1</v>
      </c>
      <c r="R811" s="36" t="n">
        <v>21</v>
      </c>
      <c r="S811" s="37" t="n">
        <v>1</v>
      </c>
      <c r="T811" s="36" t="n">
        <v>18</v>
      </c>
      <c r="U811" s="37" t="n">
        <v>0.8571428571428571</v>
      </c>
      <c r="V811" s="38" t="n">
        <v>0</v>
      </c>
      <c r="W811" s="38" t="n">
        <v>2.2</v>
      </c>
      <c r="X811" s="38" t="n">
        <v>2.718</v>
      </c>
      <c r="Y811" s="38" t="n">
        <v>15</v>
      </c>
      <c r="Z811" s="38" t="n">
        <v>0</v>
      </c>
      <c r="AA811" s="36" t="n">
        <v>30</v>
      </c>
      <c r="AB811" s="37" t="n">
        <v>1</v>
      </c>
      <c r="AC811" s="36" t="n">
        <v>6</v>
      </c>
      <c r="AD811" s="37" t="n">
        <v>1</v>
      </c>
      <c r="AE811" s="36" t="n">
        <v>24</v>
      </c>
      <c r="AF811" s="37" t="n">
        <v>1</v>
      </c>
      <c r="AG811" s="36" t="n">
        <v>3</v>
      </c>
      <c r="AH811" s="37" t="n">
        <v>0.5</v>
      </c>
    </row>
    <row r="812">
      <c r="A812" s="53" t="n">
        <v>45771</v>
      </c>
      <c r="B812" t="inlineStr">
        <is>
          <t>R06_Jawa Timur</t>
        </is>
      </c>
      <c r="C812" t="inlineStr">
        <is>
          <t>NOP SIDOARJO</t>
        </is>
      </c>
      <c r="D812" s="38" t="n">
        <v>1.711</v>
      </c>
      <c r="E812" s="38" t="n">
        <v>0</v>
      </c>
      <c r="F812" s="36" t="n">
        <v>1.665</v>
      </c>
      <c r="G812" s="36" t="n">
        <v>5.665</v>
      </c>
      <c r="H812" s="36" t="n">
        <v>12</v>
      </c>
      <c r="I812" s="37" t="n">
        <v>0.75</v>
      </c>
      <c r="J812" s="36" t="n">
        <v>3</v>
      </c>
      <c r="K812" s="37" t="n">
        <v>0.75</v>
      </c>
      <c r="L812" s="36" t="n">
        <v>9</v>
      </c>
      <c r="M812" s="37" t="n">
        <v>0.75</v>
      </c>
      <c r="N812" s="36" t="n">
        <v>2</v>
      </c>
      <c r="O812" s="37" t="n">
        <v>0.6666666666666666</v>
      </c>
      <c r="P812" s="36" t="n">
        <v>2</v>
      </c>
      <c r="Q812" s="37" t="n">
        <v>0.6666666666666666</v>
      </c>
      <c r="R812" s="36" t="n">
        <v>15</v>
      </c>
      <c r="S812" s="37" t="n">
        <v>0.9375</v>
      </c>
      <c r="T812" s="36" t="n">
        <v>9</v>
      </c>
      <c r="U812" s="37" t="n">
        <v>0.5625</v>
      </c>
      <c r="V812" s="38" t="n">
        <v>0</v>
      </c>
      <c r="W812" s="38" t="n">
        <v>2.998</v>
      </c>
      <c r="X812" s="38" t="n">
        <v>10.831</v>
      </c>
      <c r="Y812" s="38" t="n">
        <v>7.13</v>
      </c>
      <c r="Z812" s="38" t="n">
        <v>0</v>
      </c>
      <c r="AA812" s="36" t="n">
        <v>16</v>
      </c>
      <c r="AB812" s="37" t="n">
        <v>0.6666666666666666</v>
      </c>
      <c r="AC812" s="36" t="n">
        <v>7</v>
      </c>
      <c r="AD812" s="37" t="n">
        <v>0.5384615384615384</v>
      </c>
      <c r="AE812" s="36" t="n">
        <v>9</v>
      </c>
      <c r="AF812" s="37" t="n">
        <v>0.8181818181818182</v>
      </c>
      <c r="AG812" s="36" t="n">
        <v>3</v>
      </c>
      <c r="AH812" s="37" t="n">
        <v>0.4285714285714285</v>
      </c>
    </row>
    <row r="813">
      <c r="A813" s="53" t="n">
        <v>45771</v>
      </c>
      <c r="B813" t="inlineStr">
        <is>
          <t>R06_Jawa Timur</t>
        </is>
      </c>
      <c r="C813" t="inlineStr">
        <is>
          <t>NOP SURABAYA</t>
        </is>
      </c>
      <c r="D813" s="38" t="n">
        <v>0.728</v>
      </c>
      <c r="E813" s="38" t="n">
        <v>0</v>
      </c>
      <c r="F813" s="36" t="n">
        <v>2.236</v>
      </c>
      <c r="G813" s="36" t="n">
        <v>1.65</v>
      </c>
      <c r="H813" s="36" t="n">
        <v>12</v>
      </c>
      <c r="I813" s="37" t="n">
        <v>0.631578947368421</v>
      </c>
      <c r="J813" s="36" t="n">
        <v>1</v>
      </c>
      <c r="K813" s="37" t="n">
        <v>0.3333333333333333</v>
      </c>
      <c r="L813" s="36" t="n">
        <v>11</v>
      </c>
      <c r="M813" s="37" t="n">
        <v>0.6875</v>
      </c>
      <c r="N813" s="36" t="n">
        <v>1</v>
      </c>
      <c r="O813" s="37" t="n">
        <v>1</v>
      </c>
      <c r="P813" s="36" t="n">
        <v>1</v>
      </c>
      <c r="Q813" s="37" t="n">
        <v>1</v>
      </c>
      <c r="R813" s="36" t="n">
        <v>16</v>
      </c>
      <c r="S813" s="37" t="n">
        <v>0.8421052631578947</v>
      </c>
      <c r="T813" s="36" t="n">
        <v>11</v>
      </c>
      <c r="U813" s="37" t="n">
        <v>0.5789473684210527</v>
      </c>
      <c r="V813" s="38" t="n">
        <v>1.72</v>
      </c>
      <c r="W813" s="38" t="n">
        <v>3.925</v>
      </c>
      <c r="X813" s="38" t="n">
        <v>4.657999999999999</v>
      </c>
      <c r="Y813" s="38" t="n">
        <v>52.374</v>
      </c>
      <c r="Z813" s="38" t="n">
        <v>0</v>
      </c>
      <c r="AA813" s="36" t="n">
        <v>19</v>
      </c>
      <c r="AB813" s="37" t="n">
        <v>0.5</v>
      </c>
      <c r="AC813" s="36" t="n">
        <v>3</v>
      </c>
      <c r="AD813" s="37" t="n">
        <v>0.4285714285714285</v>
      </c>
      <c r="AE813" s="36" t="n">
        <v>16</v>
      </c>
      <c r="AF813" s="37" t="n">
        <v>0.5161290322580645</v>
      </c>
      <c r="AG813" s="36" t="n">
        <v>3</v>
      </c>
      <c r="AH813" s="37" t="n">
        <v>1</v>
      </c>
    </row>
    <row r="814">
      <c r="A814" s="53" t="n">
        <v>45771</v>
      </c>
      <c r="B814" t="inlineStr">
        <is>
          <t>R07_Bali Nusra</t>
        </is>
      </c>
      <c r="C814" t="inlineStr">
        <is>
          <t>NOP DENPASAR</t>
        </is>
      </c>
      <c r="D814" s="38" t="n">
        <v>0</v>
      </c>
      <c r="E814" s="38" t="n">
        <v>0</v>
      </c>
      <c r="F814" s="36" t="n">
        <v>0.46</v>
      </c>
      <c r="G814" s="36" t="n">
        <v>1.76</v>
      </c>
      <c r="H814" s="36" t="n">
        <v>7</v>
      </c>
      <c r="I814" s="37" t="n">
        <v>1</v>
      </c>
      <c r="J814" s="36" t="n">
        <v>0</v>
      </c>
      <c r="K814" s="37" t="n">
        <v>0</v>
      </c>
      <c r="L814" s="36" t="n">
        <v>7</v>
      </c>
      <c r="M814" s="37" t="n">
        <v>1</v>
      </c>
      <c r="N814" s="36" t="n">
        <v>0</v>
      </c>
      <c r="O814" s="37" t="n">
        <v>0</v>
      </c>
      <c r="P814" s="36" t="n">
        <v>0</v>
      </c>
      <c r="Q814" s="37" t="n">
        <v>0</v>
      </c>
      <c r="R814" s="36" t="n">
        <v>7</v>
      </c>
      <c r="S814" s="37" t="n">
        <v>1</v>
      </c>
      <c r="T814" s="36" t="n">
        <v>6</v>
      </c>
      <c r="U814" s="37" t="n">
        <v>0.8571428571428571</v>
      </c>
      <c r="V814" s="38" t="n">
        <v>0</v>
      </c>
      <c r="W814" s="38" t="n">
        <v>159.716</v>
      </c>
      <c r="X814" s="38" t="n">
        <v>7.921</v>
      </c>
      <c r="Y814" s="38" t="n">
        <v>20.57</v>
      </c>
      <c r="Z814" s="38" t="n">
        <v>0</v>
      </c>
      <c r="AA814" s="36" t="n">
        <v>16</v>
      </c>
      <c r="AB814" s="37" t="n">
        <v>0.8888888888888888</v>
      </c>
      <c r="AC814" s="36" t="n">
        <v>3</v>
      </c>
      <c r="AD814" s="37" t="n">
        <v>1</v>
      </c>
      <c r="AE814" s="36" t="n">
        <v>13</v>
      </c>
      <c r="AF814" s="37" t="n">
        <v>0.8666666666666667</v>
      </c>
      <c r="AG814" s="36" t="n">
        <v>2</v>
      </c>
      <c r="AH814" s="37" t="n">
        <v>0.6666666666666666</v>
      </c>
    </row>
    <row r="815">
      <c r="A815" s="53" t="n">
        <v>45771</v>
      </c>
      <c r="B815" t="inlineStr">
        <is>
          <t>R07_Bali Nusra</t>
        </is>
      </c>
      <c r="C815" t="inlineStr">
        <is>
          <t>NOP FLORES</t>
        </is>
      </c>
      <c r="D815" s="38" t="n">
        <v>0.65</v>
      </c>
      <c r="E815" s="38" t="n">
        <v>1.963</v>
      </c>
      <c r="F815" s="36" t="n">
        <v>4.85</v>
      </c>
      <c r="G815" s="36" t="n">
        <v>7.988000000000001</v>
      </c>
      <c r="H815" s="36" t="n">
        <v>74</v>
      </c>
      <c r="I815" s="37" t="n">
        <v>0.8043478260869565</v>
      </c>
      <c r="J815" s="36" t="n">
        <v>20</v>
      </c>
      <c r="K815" s="37" t="n">
        <v>0.8695652173913043</v>
      </c>
      <c r="L815" s="36" t="n">
        <v>54</v>
      </c>
      <c r="M815" s="37" t="n">
        <v>0.7826086956521739</v>
      </c>
      <c r="N815" s="36" t="n">
        <v>12</v>
      </c>
      <c r="O815" s="37" t="n">
        <v>0.6</v>
      </c>
      <c r="P815" s="36" t="n">
        <v>12</v>
      </c>
      <c r="Q815" s="37" t="n">
        <v>0.6</v>
      </c>
      <c r="R815" s="36" t="n">
        <v>92</v>
      </c>
      <c r="S815" s="37" t="n">
        <v>1</v>
      </c>
      <c r="T815" s="36" t="n">
        <v>38</v>
      </c>
      <c r="U815" s="37" t="n">
        <v>0.4130434782608696</v>
      </c>
      <c r="V815" s="38" t="n">
        <v>0</v>
      </c>
      <c r="W815" s="38" t="n">
        <v>6.005000000000001</v>
      </c>
      <c r="X815" s="38" t="n">
        <v>6.341000000000012</v>
      </c>
      <c r="Y815" s="38" t="n">
        <v>20.305</v>
      </c>
      <c r="Z815" s="38" t="n">
        <v>0</v>
      </c>
      <c r="AA815" s="36" t="n">
        <v>106</v>
      </c>
      <c r="AB815" s="37" t="n">
        <v>0.7571428571428571</v>
      </c>
      <c r="AC815" s="36" t="n">
        <v>76</v>
      </c>
      <c r="AD815" s="37" t="n">
        <v>0.8085106382978723</v>
      </c>
      <c r="AE815" s="36" t="n">
        <v>30</v>
      </c>
      <c r="AF815" s="37" t="n">
        <v>0.6521739130434783</v>
      </c>
      <c r="AG815" s="36" t="n">
        <v>58</v>
      </c>
      <c r="AH815" s="37" t="n">
        <v>0.7631578947368421</v>
      </c>
    </row>
    <row r="816">
      <c r="A816" s="53" t="n">
        <v>45771</v>
      </c>
      <c r="B816" t="inlineStr">
        <is>
          <t>R07_Bali Nusra</t>
        </is>
      </c>
      <c r="C816" t="inlineStr">
        <is>
          <t>NOP KUPANG</t>
        </is>
      </c>
      <c r="D816" s="38" t="n">
        <v>4.5</v>
      </c>
      <c r="E816" s="38" t="n">
        <v>5.500000000000001</v>
      </c>
      <c r="F816" s="36" t="n">
        <v>78.49400000000016</v>
      </c>
      <c r="G816" s="36" t="n">
        <v>3.275</v>
      </c>
      <c r="H816" s="36" t="n">
        <v>36</v>
      </c>
      <c r="I816" s="37" t="n">
        <v>0.5714285714285714</v>
      </c>
      <c r="J816" s="36" t="n">
        <v>12</v>
      </c>
      <c r="K816" s="37" t="n">
        <v>0.7058823529411765</v>
      </c>
      <c r="L816" s="36" t="n">
        <v>24</v>
      </c>
      <c r="M816" s="37" t="n">
        <v>0.5217391304347826</v>
      </c>
      <c r="N816" s="36" t="n">
        <v>8</v>
      </c>
      <c r="O816" s="37" t="n">
        <v>0.6666666666666666</v>
      </c>
      <c r="P816" s="36" t="n">
        <v>8</v>
      </c>
      <c r="Q816" s="37" t="n">
        <v>0.6666666666666666</v>
      </c>
      <c r="R816" s="36" t="n">
        <v>60</v>
      </c>
      <c r="S816" s="37" t="n">
        <v>0.9523809523809523</v>
      </c>
      <c r="T816" s="36" t="n">
        <v>17</v>
      </c>
      <c r="U816" s="37" t="n">
        <v>0.2698412698412698</v>
      </c>
      <c r="V816" s="38" t="n">
        <v>0</v>
      </c>
      <c r="W816" s="38" t="n">
        <v>5.25</v>
      </c>
      <c r="X816" s="38" t="n">
        <v>5.472</v>
      </c>
      <c r="Y816" s="38" t="n">
        <v>242.624</v>
      </c>
      <c r="Z816" s="38" t="n">
        <v>0</v>
      </c>
      <c r="AA816" s="36" t="n">
        <v>83</v>
      </c>
      <c r="AB816" s="37" t="n">
        <v>0.8556701030927835</v>
      </c>
      <c r="AC816" s="36" t="n">
        <v>54</v>
      </c>
      <c r="AD816" s="37" t="n">
        <v>0.9473684210526315</v>
      </c>
      <c r="AE816" s="36" t="n">
        <v>29</v>
      </c>
      <c r="AF816" s="37" t="n">
        <v>0.725</v>
      </c>
      <c r="AG816" s="36" t="n">
        <v>51</v>
      </c>
      <c r="AH816" s="37" t="n">
        <v>0.9444444444444444</v>
      </c>
    </row>
    <row r="817">
      <c r="A817" s="53" t="n">
        <v>45771</v>
      </c>
      <c r="B817" t="inlineStr">
        <is>
          <t>R07_Bali Nusra</t>
        </is>
      </c>
      <c r="C817" t="inlineStr">
        <is>
          <t>NOP MATARAM</t>
        </is>
      </c>
      <c r="D817" s="38" t="n">
        <v>0</v>
      </c>
      <c r="E817" s="38" t="n">
        <v>0</v>
      </c>
      <c r="F817" s="36" t="n">
        <v>4.72</v>
      </c>
      <c r="G817" s="36" t="n">
        <v>4.792000000000002</v>
      </c>
      <c r="H817" s="36" t="n">
        <v>24</v>
      </c>
      <c r="I817" s="37" t="n">
        <v>0.7272727272727273</v>
      </c>
      <c r="J817" s="36" t="n">
        <v>0</v>
      </c>
      <c r="K817" s="37" t="n">
        <v>0</v>
      </c>
      <c r="L817" s="36" t="n">
        <v>24</v>
      </c>
      <c r="M817" s="37" t="n">
        <v>0.7272727272727273</v>
      </c>
      <c r="N817" s="36" t="n">
        <v>0</v>
      </c>
      <c r="O817" s="37" t="n">
        <v>0</v>
      </c>
      <c r="P817" s="36" t="n">
        <v>0</v>
      </c>
      <c r="Q817" s="37" t="n">
        <v>0</v>
      </c>
      <c r="R817" s="36" t="n">
        <v>32</v>
      </c>
      <c r="S817" s="37" t="n">
        <v>0.9696969696969697</v>
      </c>
      <c r="T817" s="36" t="n">
        <v>18</v>
      </c>
      <c r="U817" s="37" t="n">
        <v>0.5454545454545454</v>
      </c>
      <c r="V817" s="38" t="n">
        <v>0</v>
      </c>
      <c r="W817" s="38" t="n">
        <v>10.251</v>
      </c>
      <c r="X817" s="38" t="n">
        <v>6.629999999999985</v>
      </c>
      <c r="Y817" s="38" t="n">
        <v>386.2840000000001</v>
      </c>
      <c r="Z817" s="38" t="n">
        <v>0</v>
      </c>
      <c r="AA817" s="36" t="n">
        <v>25</v>
      </c>
      <c r="AB817" s="37" t="n">
        <v>0.4716981132075472</v>
      </c>
      <c r="AC817" s="36" t="n">
        <v>14</v>
      </c>
      <c r="AD817" s="37" t="n">
        <v>0.4666666666666667</v>
      </c>
      <c r="AE817" s="36" t="n">
        <v>11</v>
      </c>
      <c r="AF817" s="37" t="n">
        <v>0.4782608695652174</v>
      </c>
      <c r="AG817" s="36" t="n">
        <v>8</v>
      </c>
      <c r="AH817" s="37" t="n">
        <v>0.5714285714285714</v>
      </c>
    </row>
    <row r="818">
      <c r="A818" s="53" t="n">
        <v>45772</v>
      </c>
      <c r="B818" t="inlineStr">
        <is>
          <t>R01_Sumbagut</t>
        </is>
      </c>
      <c r="C818" t="inlineStr">
        <is>
          <t>NOP ACEH</t>
        </is>
      </c>
      <c r="D818" s="38" t="n">
        <v>0.68</v>
      </c>
      <c r="E818" s="38" t="n">
        <v>5.362</v>
      </c>
      <c r="F818" s="36" t="n">
        <v>1.38</v>
      </c>
      <c r="G818" s="36" t="n">
        <v>15.59300000000002</v>
      </c>
      <c r="H818" s="36" t="n">
        <v>39</v>
      </c>
      <c r="I818" s="37" t="n">
        <v>0.7222222222222222</v>
      </c>
      <c r="J818" s="36" t="n">
        <v>9</v>
      </c>
      <c r="K818" s="37" t="n">
        <v>0.4736842105263158</v>
      </c>
      <c r="L818" s="36" t="n">
        <v>30</v>
      </c>
      <c r="M818" s="37" t="n">
        <v>0.8571428571428571</v>
      </c>
      <c r="N818" s="36" t="n">
        <v>4</v>
      </c>
      <c r="O818" s="37" t="n">
        <v>0.4444444444444444</v>
      </c>
      <c r="P818" s="36" t="n">
        <v>4</v>
      </c>
      <c r="Q818" s="37" t="n">
        <v>0.4444444444444444</v>
      </c>
      <c r="R818" s="36" t="n">
        <v>54</v>
      </c>
      <c r="S818" s="37" t="n">
        <v>1</v>
      </c>
      <c r="T818" s="36" t="n">
        <v>11</v>
      </c>
      <c r="U818" s="37" t="n">
        <v>0.2037037037037037</v>
      </c>
      <c r="V818" s="38" t="n">
        <v>0.019</v>
      </c>
      <c r="W818" s="38" t="n">
        <v>4</v>
      </c>
      <c r="X818" s="38" t="n">
        <v>51.08</v>
      </c>
      <c r="Y818" s="38" t="n">
        <v>121.76</v>
      </c>
      <c r="Z818" s="38" t="n">
        <v>0</v>
      </c>
      <c r="AA818" s="36" t="n">
        <v>289</v>
      </c>
      <c r="AB818" s="37" t="n">
        <v>0.9233226837060703</v>
      </c>
      <c r="AC818" s="36" t="n">
        <v>45</v>
      </c>
      <c r="AD818" s="37" t="n">
        <v>0.703125</v>
      </c>
      <c r="AE818" s="36" t="n">
        <v>239</v>
      </c>
      <c r="AF818" s="37" t="n">
        <v>0.9795081967213115</v>
      </c>
      <c r="AG818" s="36" t="n">
        <v>4</v>
      </c>
      <c r="AH818" s="37" t="n">
        <v>0.08888888888888889</v>
      </c>
    </row>
    <row r="819">
      <c r="A819" s="53" t="n">
        <v>45772</v>
      </c>
      <c r="B819" t="inlineStr">
        <is>
          <t>R01_Sumbagut</t>
        </is>
      </c>
      <c r="C819" t="inlineStr">
        <is>
          <t>NOP BINJAI</t>
        </is>
      </c>
      <c r="D819" s="38" t="n">
        <v>0</v>
      </c>
      <c r="E819" s="38" t="n">
        <v>3.607</v>
      </c>
      <c r="F819" s="36" t="n">
        <v>4.28</v>
      </c>
      <c r="G819" s="36" t="n">
        <v>6.195</v>
      </c>
      <c r="H819" s="36" t="n">
        <v>40</v>
      </c>
      <c r="I819" s="37" t="n">
        <v>0.8333333333333334</v>
      </c>
      <c r="J819" s="36" t="n">
        <v>17</v>
      </c>
      <c r="K819" s="37" t="n">
        <v>0.9444444444444444</v>
      </c>
      <c r="L819" s="36" t="n">
        <v>23</v>
      </c>
      <c r="M819" s="37" t="n">
        <v>0.7666666666666667</v>
      </c>
      <c r="N819" s="36" t="n">
        <v>5</v>
      </c>
      <c r="O819" s="37" t="n">
        <v>0.2941176470588235</v>
      </c>
      <c r="P819" s="36" t="n">
        <v>5</v>
      </c>
      <c r="Q819" s="37" t="n">
        <v>0.2941176470588235</v>
      </c>
      <c r="R819" s="36" t="n">
        <v>48</v>
      </c>
      <c r="S819" s="37" t="n">
        <v>1</v>
      </c>
      <c r="T819" s="36" t="n">
        <v>21</v>
      </c>
      <c r="U819" s="37" t="n">
        <v>0.4375</v>
      </c>
      <c r="V819" s="38" t="n">
        <v>0.02</v>
      </c>
      <c r="W819" s="38" t="n">
        <v>4.656</v>
      </c>
      <c r="X819" s="38" t="n">
        <v>9.058</v>
      </c>
      <c r="Y819" s="38" t="n">
        <v>263.7070000000001</v>
      </c>
      <c r="Z819" s="38" t="n">
        <v>0</v>
      </c>
      <c r="AA819" s="36" t="n">
        <v>73</v>
      </c>
      <c r="AB819" s="37" t="n">
        <v>0.8021978021978022</v>
      </c>
      <c r="AC819" s="36" t="n">
        <v>17</v>
      </c>
      <c r="AD819" s="37" t="n">
        <v>0.5666666666666667</v>
      </c>
      <c r="AE819" s="36" t="n">
        <v>53</v>
      </c>
      <c r="AF819" s="37" t="n">
        <v>0.9298245614035088</v>
      </c>
      <c r="AG819" s="36" t="n">
        <v>12</v>
      </c>
      <c r="AH819" s="37" t="n">
        <v>0.7058823529411765</v>
      </c>
    </row>
    <row r="820">
      <c r="A820" s="53" t="n">
        <v>45772</v>
      </c>
      <c r="B820" t="inlineStr">
        <is>
          <t>R01_Sumbagut</t>
        </is>
      </c>
      <c r="C820" t="inlineStr">
        <is>
          <t>NOP MEDAN</t>
        </is>
      </c>
      <c r="D820" s="38" t="n">
        <v>1.11</v>
      </c>
      <c r="E820" s="38" t="n">
        <v>4.91</v>
      </c>
      <c r="F820" s="36" t="n">
        <v>2.01</v>
      </c>
      <c r="G820" s="36" t="n">
        <v>6.049000000000017</v>
      </c>
      <c r="H820" s="36" t="n">
        <v>34</v>
      </c>
      <c r="I820" s="37" t="n">
        <v>0.4</v>
      </c>
      <c r="J820" s="36" t="n">
        <v>11</v>
      </c>
      <c r="K820" s="37" t="n">
        <v>0.55</v>
      </c>
      <c r="L820" s="36" t="n">
        <v>23</v>
      </c>
      <c r="M820" s="37" t="n">
        <v>0.3538461538461539</v>
      </c>
      <c r="N820" s="36" t="n">
        <v>9</v>
      </c>
      <c r="O820" s="37" t="n">
        <v>0.8181818181818182</v>
      </c>
      <c r="P820" s="36" t="n">
        <v>9</v>
      </c>
      <c r="Q820" s="37" t="n">
        <v>0.8181818181818182</v>
      </c>
      <c r="R820" s="36" t="n">
        <v>85</v>
      </c>
      <c r="S820" s="37" t="n">
        <v>1</v>
      </c>
      <c r="T820" s="36" t="n">
        <v>18</v>
      </c>
      <c r="U820" s="37" t="n">
        <v>0.2117647058823529</v>
      </c>
      <c r="V820" s="38" t="n">
        <v>0</v>
      </c>
      <c r="W820" s="38" t="n">
        <v>141.5080000000002</v>
      </c>
      <c r="X820" s="38" t="n">
        <v>20.40300000000001</v>
      </c>
      <c r="Y820" s="38" t="n">
        <v>13.89999999999995</v>
      </c>
      <c r="Z820" s="38" t="n">
        <v>0</v>
      </c>
      <c r="AA820" s="36" t="n">
        <v>22</v>
      </c>
      <c r="AB820" s="37" t="n">
        <v>0.3859649122807017</v>
      </c>
      <c r="AC820" s="36" t="n">
        <v>6</v>
      </c>
      <c r="AD820" s="37" t="n">
        <v>0.4285714285714285</v>
      </c>
      <c r="AE820" s="36" t="n">
        <v>16</v>
      </c>
      <c r="AF820" s="37" t="n">
        <v>0.4102564102564102</v>
      </c>
      <c r="AG820" s="36" t="n">
        <v>5</v>
      </c>
      <c r="AH820" s="37" t="n">
        <v>0.8333333333333334</v>
      </c>
    </row>
    <row r="821">
      <c r="A821" s="53" t="n">
        <v>45772</v>
      </c>
      <c r="B821" t="inlineStr">
        <is>
          <t>R01_Sumbagut</t>
        </is>
      </c>
      <c r="C821" t="inlineStr">
        <is>
          <t>NOP PADANG SIDEMPUAN</t>
        </is>
      </c>
      <c r="D821" s="38" t="n">
        <v>0</v>
      </c>
      <c r="E821" s="38" t="n">
        <v>1.935</v>
      </c>
      <c r="F821" s="36" t="n">
        <v>1.315</v>
      </c>
      <c r="G821" s="36" t="n">
        <v>4.15</v>
      </c>
      <c r="H821" s="36" t="n">
        <v>12</v>
      </c>
      <c r="I821" s="37" t="n">
        <v>0.2264150943396226</v>
      </c>
      <c r="J821" s="36" t="n">
        <v>1</v>
      </c>
      <c r="K821" s="37" t="n">
        <v>0.1666666666666667</v>
      </c>
      <c r="L821" s="36" t="n">
        <v>11</v>
      </c>
      <c r="M821" s="37" t="n">
        <v>0.2340425531914894</v>
      </c>
      <c r="N821" s="36" t="n">
        <v>1</v>
      </c>
      <c r="O821" s="37" t="n">
        <v>1</v>
      </c>
      <c r="P821" s="36" t="n">
        <v>1</v>
      </c>
      <c r="Q821" s="37" t="n">
        <v>1</v>
      </c>
      <c r="R821" s="36" t="n">
        <v>53</v>
      </c>
      <c r="S821" s="37" t="n">
        <v>1</v>
      </c>
      <c r="T821" s="36" t="n">
        <v>6</v>
      </c>
      <c r="U821" s="37" t="n">
        <v>0.1132075471698113</v>
      </c>
      <c r="V821" s="38" t="n">
        <v>0.01</v>
      </c>
      <c r="W821" s="38" t="n">
        <v>1.894</v>
      </c>
      <c r="X821" s="38" t="n">
        <v>10.02</v>
      </c>
      <c r="Y821" s="38" t="n">
        <v>47.02800000000007</v>
      </c>
      <c r="Z821" s="38" t="n">
        <v>0</v>
      </c>
      <c r="AA821" s="36" t="n">
        <v>56</v>
      </c>
      <c r="AB821" s="37" t="n">
        <v>0.2121212121212121</v>
      </c>
      <c r="AC821" s="36" t="n">
        <v>19</v>
      </c>
      <c r="AD821" s="37" t="n">
        <v>0.3518518518518519</v>
      </c>
      <c r="AE821" s="36" t="n">
        <v>37</v>
      </c>
      <c r="AF821" s="37" t="n">
        <v>0.1770334928229665</v>
      </c>
      <c r="AG821" s="36" t="n">
        <v>13</v>
      </c>
      <c r="AH821" s="37" t="n">
        <v>0.6842105263157895</v>
      </c>
    </row>
    <row r="822">
      <c r="A822" s="53" t="n">
        <v>45772</v>
      </c>
      <c r="B822" t="inlineStr">
        <is>
          <t>R01_Sumbagut</t>
        </is>
      </c>
      <c r="C822" t="inlineStr">
        <is>
          <t>NOP PEMATANG SIANTAR</t>
        </is>
      </c>
      <c r="D822" s="38" t="n">
        <v>1.942</v>
      </c>
      <c r="E822" s="38" t="n">
        <v>2.838</v>
      </c>
      <c r="F822" s="36" t="n">
        <v>1.268</v>
      </c>
      <c r="G822" s="36" t="n">
        <v>2.01</v>
      </c>
      <c r="H822" s="36" t="n">
        <v>17</v>
      </c>
      <c r="I822" s="37" t="n">
        <v>0.293103448275862</v>
      </c>
      <c r="J822" s="36" t="n">
        <v>7</v>
      </c>
      <c r="K822" s="37" t="n">
        <v>0.5</v>
      </c>
      <c r="L822" s="36" t="n">
        <v>10</v>
      </c>
      <c r="M822" s="37" t="n">
        <v>0.2272727272727273</v>
      </c>
      <c r="N822" s="36" t="n">
        <v>2</v>
      </c>
      <c r="O822" s="37" t="n">
        <v>0.2857142857142857</v>
      </c>
      <c r="P822" s="36" t="n">
        <v>2</v>
      </c>
      <c r="Q822" s="37" t="n">
        <v>0.2857142857142857</v>
      </c>
      <c r="R822" s="36" t="n">
        <v>58</v>
      </c>
      <c r="S822" s="37" t="n">
        <v>1</v>
      </c>
      <c r="T822" s="36" t="n">
        <v>10</v>
      </c>
      <c r="U822" s="37" t="n">
        <v>0.1724137931034483</v>
      </c>
      <c r="V822" s="38" t="n">
        <v>0.03</v>
      </c>
      <c r="W822" s="38" t="n">
        <v>2.2</v>
      </c>
      <c r="X822" s="38" t="n">
        <v>198.6260000000003</v>
      </c>
      <c r="Y822" s="38" t="n">
        <v>58.304</v>
      </c>
      <c r="Z822" s="38" t="n">
        <v>0</v>
      </c>
      <c r="AA822" s="36" t="n">
        <v>30</v>
      </c>
      <c r="AB822" s="37" t="n">
        <v>0.09146341463414634</v>
      </c>
      <c r="AC822" s="36" t="n">
        <v>9</v>
      </c>
      <c r="AD822" s="37" t="n">
        <v>0.28125</v>
      </c>
      <c r="AE822" s="36" t="n">
        <v>19</v>
      </c>
      <c r="AF822" s="37" t="n">
        <v>0.06462585034013606</v>
      </c>
      <c r="AG822" s="36" t="n">
        <v>8</v>
      </c>
      <c r="AH822" s="37" t="n">
        <v>0.8888888888888888</v>
      </c>
    </row>
    <row r="823">
      <c r="A823" s="53" t="n">
        <v>45772</v>
      </c>
      <c r="B823" t="inlineStr">
        <is>
          <t>R01_Sumbagut</t>
        </is>
      </c>
      <c r="C823" t="inlineStr">
        <is>
          <t>NOP RANTAU PRAPAT</t>
        </is>
      </c>
      <c r="D823" s="38" t="n">
        <v>2.86</v>
      </c>
      <c r="E823" s="38" t="n">
        <v>1.866</v>
      </c>
      <c r="F823" s="36" t="n">
        <v>3.19</v>
      </c>
      <c r="G823" s="36" t="n">
        <v>4.160000000000004</v>
      </c>
      <c r="H823" s="36" t="n">
        <v>45</v>
      </c>
      <c r="I823" s="37" t="n">
        <v>0.2571428571428571</v>
      </c>
      <c r="J823" s="36" t="n">
        <v>12</v>
      </c>
      <c r="K823" s="37" t="n">
        <v>0.3243243243243243</v>
      </c>
      <c r="L823" s="36" t="n">
        <v>33</v>
      </c>
      <c r="M823" s="37" t="n">
        <v>0.2391304347826087</v>
      </c>
      <c r="N823" s="36" t="n">
        <v>6</v>
      </c>
      <c r="O823" s="37" t="n">
        <v>0.5</v>
      </c>
      <c r="P823" s="36" t="n">
        <v>6</v>
      </c>
      <c r="Q823" s="37" t="n">
        <v>0.5</v>
      </c>
      <c r="R823" s="36" t="n">
        <v>175</v>
      </c>
      <c r="S823" s="37" t="n">
        <v>1</v>
      </c>
      <c r="T823" s="36" t="n">
        <v>25</v>
      </c>
      <c r="U823" s="37" t="n">
        <v>0.1428571428571428</v>
      </c>
      <c r="V823" s="38" t="n">
        <v>0</v>
      </c>
      <c r="W823" s="38" t="n">
        <v>2.794</v>
      </c>
      <c r="X823" s="38" t="n">
        <v>22.423</v>
      </c>
      <c r="Y823" s="38" t="n">
        <v>32.986</v>
      </c>
      <c r="Z823" s="38" t="n">
        <v>0</v>
      </c>
      <c r="AA823" s="36" t="n">
        <v>27</v>
      </c>
      <c r="AB823" s="37" t="n">
        <v>0.08307692307692308</v>
      </c>
      <c r="AC823" s="36" t="n">
        <v>8</v>
      </c>
      <c r="AD823" s="37" t="n">
        <v>0.1818181818181818</v>
      </c>
      <c r="AE823" s="36" t="n">
        <v>15</v>
      </c>
      <c r="AF823" s="37" t="n">
        <v>0.05535055350553506</v>
      </c>
      <c r="AG823" s="36" t="n">
        <v>6</v>
      </c>
      <c r="AH823" s="37" t="n">
        <v>0.75</v>
      </c>
    </row>
    <row r="824">
      <c r="A824" s="53" t="n">
        <v>45772</v>
      </c>
      <c r="B824" t="inlineStr">
        <is>
          <t>R10_Sumbagteng</t>
        </is>
      </c>
      <c r="C824" t="inlineStr">
        <is>
          <t>NOP BATAM</t>
        </is>
      </c>
      <c r="D824" s="38" t="n">
        <v>0.6499999999999999</v>
      </c>
      <c r="E824" s="38" t="n">
        <v>6.93</v>
      </c>
      <c r="F824" s="36" t="n">
        <v>5.582000000000001</v>
      </c>
      <c r="G824" s="36" t="n">
        <v>8.050000000000001</v>
      </c>
      <c r="H824" s="36" t="n">
        <v>12</v>
      </c>
      <c r="I824" s="37" t="n">
        <v>0.09302325581395349</v>
      </c>
      <c r="J824" s="36" t="n">
        <v>0</v>
      </c>
      <c r="K824" s="37" t="n">
        <v>0</v>
      </c>
      <c r="L824" s="36" t="n">
        <v>12</v>
      </c>
      <c r="M824" s="37" t="n">
        <v>0.1132075471698113</v>
      </c>
      <c r="N824" s="36" t="n">
        <v>0</v>
      </c>
      <c r="O824" s="37" t="n">
        <v>0</v>
      </c>
      <c r="P824" s="36" t="n">
        <v>0</v>
      </c>
      <c r="Q824" s="37" t="n">
        <v>0</v>
      </c>
      <c r="R824" s="36" t="n">
        <v>128</v>
      </c>
      <c r="S824" s="37" t="n">
        <v>0.9922480620155039</v>
      </c>
      <c r="T824" s="36" t="n">
        <v>15</v>
      </c>
      <c r="U824" s="37" t="n">
        <v>0.1162790697674419</v>
      </c>
      <c r="V824" s="38" t="n">
        <v>0.029</v>
      </c>
      <c r="W824" s="38" t="n">
        <v>3.116000000000001</v>
      </c>
      <c r="X824" s="38" t="n">
        <v>34.95200000000003</v>
      </c>
      <c r="Y824" s="38" t="n">
        <v>57.47899999999995</v>
      </c>
      <c r="Z824" s="38" t="n">
        <v>0</v>
      </c>
      <c r="AA824" s="36" t="n">
        <v>27</v>
      </c>
      <c r="AB824" s="37" t="n">
        <v>0.07736389684813753</v>
      </c>
      <c r="AC824" s="36" t="n">
        <v>18</v>
      </c>
      <c r="AD824" s="37" t="n">
        <v>0.2903225806451613</v>
      </c>
      <c r="AE824" s="36" t="n">
        <v>9</v>
      </c>
      <c r="AF824" s="37" t="n">
        <v>0.0313588850174216</v>
      </c>
      <c r="AG824" s="36" t="n">
        <v>18</v>
      </c>
      <c r="AH824" s="37" t="n">
        <v>1</v>
      </c>
    </row>
    <row r="825">
      <c r="A825" s="53" t="n">
        <v>45772</v>
      </c>
      <c r="B825" t="inlineStr">
        <is>
          <t>R10_Sumbagteng</t>
        </is>
      </c>
      <c r="C825" t="inlineStr">
        <is>
          <t>NOP BUKITTINGGI</t>
        </is>
      </c>
      <c r="D825" s="38" t="n">
        <v>0.93</v>
      </c>
      <c r="E825" s="38" t="n">
        <v>5.27</v>
      </c>
      <c r="F825" s="36" t="n">
        <v>2.804</v>
      </c>
      <c r="G825" s="36" t="n">
        <v>9.970000000000001</v>
      </c>
      <c r="H825" s="36" t="n">
        <v>43</v>
      </c>
      <c r="I825" s="37" t="n">
        <v>0.7543859649122807</v>
      </c>
      <c r="J825" s="36" t="n">
        <v>11</v>
      </c>
      <c r="K825" s="37" t="n">
        <v>0.8461538461538461</v>
      </c>
      <c r="L825" s="36" t="n">
        <v>32</v>
      </c>
      <c r="M825" s="37" t="n">
        <v>0.7272727272727273</v>
      </c>
      <c r="N825" s="36" t="n">
        <v>11</v>
      </c>
      <c r="O825" s="37" t="n">
        <v>1</v>
      </c>
      <c r="P825" s="36" t="n">
        <v>11</v>
      </c>
      <c r="Q825" s="37" t="n">
        <v>1</v>
      </c>
      <c r="R825" s="36" t="n">
        <v>57</v>
      </c>
      <c r="S825" s="37" t="n">
        <v>1</v>
      </c>
      <c r="T825" s="36" t="n">
        <v>27</v>
      </c>
      <c r="U825" s="37" t="n">
        <v>0.4736842105263158</v>
      </c>
      <c r="V825" s="38" t="n">
        <v>0</v>
      </c>
      <c r="W825" s="38" t="n">
        <v>2</v>
      </c>
      <c r="X825" s="38" t="n">
        <v>15.7</v>
      </c>
      <c r="Y825" s="38" t="n">
        <v>87.93800000000002</v>
      </c>
      <c r="Z825" s="38" t="n">
        <v>0</v>
      </c>
      <c r="AA825" s="36" t="n">
        <v>243</v>
      </c>
      <c r="AB825" s="37" t="n">
        <v>0.2515527950310559</v>
      </c>
      <c r="AC825" s="36" t="n">
        <v>43</v>
      </c>
      <c r="AD825" s="37" t="n">
        <v>0.8269230769230769</v>
      </c>
      <c r="AE825" s="36" t="n">
        <v>200</v>
      </c>
      <c r="AF825" s="37" t="n">
        <v>0.2195389681668496</v>
      </c>
      <c r="AG825" s="36" t="n">
        <v>10</v>
      </c>
      <c r="AH825" s="37" t="n">
        <v>0.2325581395348837</v>
      </c>
    </row>
    <row r="826">
      <c r="A826" s="53" t="n">
        <v>45772</v>
      </c>
      <c r="B826" t="inlineStr">
        <is>
          <t>R10_Sumbagteng</t>
        </is>
      </c>
      <c r="C826" t="inlineStr">
        <is>
          <t>NOP DUMAI</t>
        </is>
      </c>
      <c r="D826" s="38" t="n">
        <v>0</v>
      </c>
      <c r="E826" s="38" t="n">
        <v>4.87</v>
      </c>
      <c r="F826" s="36" t="n">
        <v>4.788000000000001</v>
      </c>
      <c r="G826" s="36" t="n">
        <v>6.898000000000004</v>
      </c>
      <c r="H826" s="36" t="n">
        <v>50</v>
      </c>
      <c r="I826" s="37" t="n">
        <v>0.3448275862068966</v>
      </c>
      <c r="J826" s="36" t="n">
        <v>14</v>
      </c>
      <c r="K826" s="37" t="n">
        <v>0.3043478260869565</v>
      </c>
      <c r="L826" s="36" t="n">
        <v>36</v>
      </c>
      <c r="M826" s="37" t="n">
        <v>0.3636363636363636</v>
      </c>
      <c r="N826" s="36" t="n">
        <v>13</v>
      </c>
      <c r="O826" s="37" t="n">
        <v>0.9285714285714286</v>
      </c>
      <c r="P826" s="36" t="n">
        <v>13</v>
      </c>
      <c r="Q826" s="37" t="n">
        <v>0.9285714285714286</v>
      </c>
      <c r="R826" s="36" t="n">
        <v>145</v>
      </c>
      <c r="S826" s="37" t="n">
        <v>1</v>
      </c>
      <c r="T826" s="36" t="n">
        <v>34</v>
      </c>
      <c r="U826" s="37" t="n">
        <v>0.2344827586206897</v>
      </c>
      <c r="V826" s="38" t="n">
        <v>0.01</v>
      </c>
      <c r="W826" s="38" t="n">
        <v>4.025</v>
      </c>
      <c r="X826" s="38" t="n">
        <v>63.39</v>
      </c>
      <c r="Y826" s="38" t="n">
        <v>149.95</v>
      </c>
      <c r="Z826" s="38" t="n">
        <v>0</v>
      </c>
      <c r="AA826" s="36" t="n">
        <v>106</v>
      </c>
      <c r="AB826" s="37" t="n">
        <v>0.2960893854748604</v>
      </c>
      <c r="AC826" s="36" t="n">
        <v>28</v>
      </c>
      <c r="AD826" s="37" t="n">
        <v>0.3111111111111111</v>
      </c>
      <c r="AE826" s="36" t="n">
        <v>77</v>
      </c>
      <c r="AF826" s="37" t="n">
        <v>0.2938931297709924</v>
      </c>
      <c r="AG826" s="36" t="n">
        <v>27</v>
      </c>
      <c r="AH826" s="37" t="n">
        <v>0.9642857142857143</v>
      </c>
    </row>
    <row r="827">
      <c r="A827" s="53" t="n">
        <v>45772</v>
      </c>
      <c r="B827" t="inlineStr">
        <is>
          <t>R10_Sumbagteng</t>
        </is>
      </c>
      <c r="C827" t="inlineStr">
        <is>
          <t>NOP PADANG</t>
        </is>
      </c>
      <c r="D827" s="38" t="n">
        <v>0.9399999999999999</v>
      </c>
      <c r="E827" s="38" t="n">
        <v>2.89</v>
      </c>
      <c r="F827" s="36" t="n">
        <v>7.46</v>
      </c>
      <c r="G827" s="36" t="n">
        <v>6.74</v>
      </c>
      <c r="H827" s="36" t="n">
        <v>33</v>
      </c>
      <c r="I827" s="37" t="n">
        <v>0.673469387755102</v>
      </c>
      <c r="J827" s="36" t="n">
        <v>3</v>
      </c>
      <c r="K827" s="37" t="n">
        <v>0.4285714285714285</v>
      </c>
      <c r="L827" s="36" t="n">
        <v>30</v>
      </c>
      <c r="M827" s="37" t="n">
        <v>0.7142857142857143</v>
      </c>
      <c r="N827" s="36" t="n">
        <v>2</v>
      </c>
      <c r="O827" s="37" t="n">
        <v>0.6666666666666666</v>
      </c>
      <c r="P827" s="36" t="n">
        <v>2</v>
      </c>
      <c r="Q827" s="37" t="n">
        <v>0.6666666666666666</v>
      </c>
      <c r="R827" s="36" t="n">
        <v>48</v>
      </c>
      <c r="S827" s="37" t="n">
        <v>0.9795918367346939</v>
      </c>
      <c r="T827" s="36" t="n">
        <v>16</v>
      </c>
      <c r="U827" s="37" t="n">
        <v>0.3265306122448979</v>
      </c>
      <c r="V827" s="38" t="n">
        <v>0</v>
      </c>
      <c r="W827" s="38" t="n">
        <v>3.152</v>
      </c>
      <c r="X827" s="38" t="n">
        <v>15.7</v>
      </c>
      <c r="Y827" s="38" t="n">
        <v>78.57599999999999</v>
      </c>
      <c r="Z827" s="38" t="n">
        <v>0</v>
      </c>
      <c r="AA827" s="36" t="n">
        <v>745</v>
      </c>
      <c r="AB827" s="37" t="n">
        <v>0.8543577981651376</v>
      </c>
      <c r="AC827" s="36" t="n">
        <v>36</v>
      </c>
      <c r="AD827" s="37" t="n">
        <v>0.6923076923076923</v>
      </c>
      <c r="AE827" s="36" t="n">
        <v>709</v>
      </c>
      <c r="AF827" s="37" t="n">
        <v>0.8646341463414634</v>
      </c>
      <c r="AG827" s="36" t="n">
        <v>33</v>
      </c>
      <c r="AH827" s="37" t="n">
        <v>0.9166666666666666</v>
      </c>
    </row>
    <row r="828">
      <c r="A828" s="53" t="n">
        <v>45772</v>
      </c>
      <c r="B828" t="inlineStr">
        <is>
          <t>R10_Sumbagteng</t>
        </is>
      </c>
      <c r="C828" t="inlineStr">
        <is>
          <t>NOP PEKANBARU</t>
        </is>
      </c>
      <c r="D828" s="38" t="n">
        <v>2.64</v>
      </c>
      <c r="E828" s="38" t="n">
        <v>9.085000000000001</v>
      </c>
      <c r="F828" s="36" t="n">
        <v>2.065</v>
      </c>
      <c r="G828" s="36" t="n">
        <v>10.444</v>
      </c>
      <c r="H828" s="36" t="n">
        <v>34</v>
      </c>
      <c r="I828" s="37" t="n">
        <v>0.3736263736263736</v>
      </c>
      <c r="J828" s="36" t="n">
        <v>16</v>
      </c>
      <c r="K828" s="37" t="n">
        <v>0.8</v>
      </c>
      <c r="L828" s="36" t="n">
        <v>18</v>
      </c>
      <c r="M828" s="37" t="n">
        <v>0.2535211267605634</v>
      </c>
      <c r="N828" s="36" t="n">
        <v>11</v>
      </c>
      <c r="O828" s="37" t="n">
        <v>0.6875</v>
      </c>
      <c r="P828" s="36" t="n">
        <v>11</v>
      </c>
      <c r="Q828" s="37" t="n">
        <v>0.6875</v>
      </c>
      <c r="R828" s="36" t="n">
        <v>89</v>
      </c>
      <c r="S828" s="37" t="n">
        <v>0.978021978021978</v>
      </c>
      <c r="T828" s="36" t="n">
        <v>18</v>
      </c>
      <c r="U828" s="37" t="n">
        <v>0.1978021978021978</v>
      </c>
      <c r="V828" s="38" t="n">
        <v>0</v>
      </c>
      <c r="W828" s="38" t="n">
        <v>2.843999999999999</v>
      </c>
      <c r="X828" s="38" t="n">
        <v>45.38</v>
      </c>
      <c r="Y828" s="38" t="n">
        <v>50.44800000000006</v>
      </c>
      <c r="Z828" s="38" t="n">
        <v>0</v>
      </c>
      <c r="AA828" s="36" t="n">
        <v>91</v>
      </c>
      <c r="AB828" s="37" t="n">
        <v>0.3382899628252788</v>
      </c>
      <c r="AC828" s="36" t="n">
        <v>25</v>
      </c>
      <c r="AD828" s="37" t="n">
        <v>0.3424657534246575</v>
      </c>
      <c r="AE828" s="36" t="n">
        <v>66</v>
      </c>
      <c r="AF828" s="37" t="n">
        <v>0.3402061855670103</v>
      </c>
      <c r="AG828" s="36" t="n">
        <v>19</v>
      </c>
      <c r="AH828" s="37" t="n">
        <v>0.76</v>
      </c>
    </row>
    <row r="829">
      <c r="A829" s="53" t="n">
        <v>45772</v>
      </c>
      <c r="B829" t="inlineStr">
        <is>
          <t>R02_Sumbagsel</t>
        </is>
      </c>
      <c r="C829" t="inlineStr">
        <is>
          <t>NOP BENGKULU</t>
        </is>
      </c>
      <c r="D829" s="38" t="n">
        <v>1.91</v>
      </c>
      <c r="E829" s="38" t="n">
        <v>4.868000000000006</v>
      </c>
      <c r="F829" s="36" t="n">
        <v>4.396</v>
      </c>
      <c r="G829" s="36" t="n">
        <v>6.956</v>
      </c>
      <c r="H829" s="36" t="n">
        <v>41</v>
      </c>
      <c r="I829" s="37" t="n">
        <v>0.3082706766917293</v>
      </c>
      <c r="J829" s="36" t="n">
        <v>14</v>
      </c>
      <c r="K829" s="37" t="n">
        <v>0.3414634146341464</v>
      </c>
      <c r="L829" s="36" t="n">
        <v>27</v>
      </c>
      <c r="M829" s="37" t="n">
        <v>0.2934782608695652</v>
      </c>
      <c r="N829" s="36" t="n">
        <v>9</v>
      </c>
      <c r="O829" s="37" t="n">
        <v>0.6428571428571429</v>
      </c>
      <c r="P829" s="36" t="n">
        <v>9</v>
      </c>
      <c r="Q829" s="37" t="n">
        <v>0.6428571428571429</v>
      </c>
      <c r="R829" s="36" t="n">
        <v>132</v>
      </c>
      <c r="S829" s="37" t="n">
        <v>0.9924812030075187</v>
      </c>
      <c r="T829" s="36" t="n">
        <v>24</v>
      </c>
      <c r="U829" s="37" t="n">
        <v>0.1804511278195489</v>
      </c>
      <c r="V829" s="38" t="n">
        <v>0</v>
      </c>
      <c r="W829" s="38" t="n">
        <v>6.778</v>
      </c>
      <c r="X829" s="38" t="n">
        <v>8.209000000000001</v>
      </c>
      <c r="Y829" s="38" t="n">
        <v>2.488</v>
      </c>
      <c r="Z829" s="38" t="n">
        <v>0</v>
      </c>
      <c r="AA829" s="36" t="n">
        <v>110</v>
      </c>
      <c r="AB829" s="37" t="n">
        <v>0.502283105022831</v>
      </c>
      <c r="AC829" s="36" t="n">
        <v>59</v>
      </c>
      <c r="AD829" s="37" t="n">
        <v>0.4244604316546763</v>
      </c>
      <c r="AE829" s="36" t="n">
        <v>51</v>
      </c>
      <c r="AF829" s="37" t="n">
        <v>0.6986301369863014</v>
      </c>
      <c r="AG829" s="36" t="n">
        <v>46</v>
      </c>
      <c r="AH829" s="37" t="n">
        <v>0.7796610169491526</v>
      </c>
    </row>
    <row r="830">
      <c r="A830" s="53" t="n">
        <v>45772</v>
      </c>
      <c r="B830" t="inlineStr">
        <is>
          <t>R02_Sumbagsel</t>
        </is>
      </c>
      <c r="C830" t="inlineStr">
        <is>
          <t>NOP JAMBI</t>
        </is>
      </c>
      <c r="D830" s="38" t="n">
        <v>1.35</v>
      </c>
      <c r="E830" s="38" t="n">
        <v>4.591</v>
      </c>
      <c r="F830" s="36" t="n">
        <v>4.89800000000001</v>
      </c>
      <c r="G830" s="36" t="n">
        <v>8.4</v>
      </c>
      <c r="H830" s="36" t="n">
        <v>85</v>
      </c>
      <c r="I830" s="37" t="n">
        <v>0.5379746835443038</v>
      </c>
      <c r="J830" s="36" t="n">
        <v>27</v>
      </c>
      <c r="K830" s="37" t="n">
        <v>0.6</v>
      </c>
      <c r="L830" s="36" t="n">
        <v>58</v>
      </c>
      <c r="M830" s="37" t="n">
        <v>0.5132743362831859</v>
      </c>
      <c r="N830" s="36" t="n">
        <v>16</v>
      </c>
      <c r="O830" s="37" t="n">
        <v>0.5925925925925926</v>
      </c>
      <c r="P830" s="36" t="n">
        <v>16</v>
      </c>
      <c r="Q830" s="37" t="n">
        <v>0.5925925925925926</v>
      </c>
      <c r="R830" s="36" t="n">
        <v>158</v>
      </c>
      <c r="S830" s="37" t="n">
        <v>1</v>
      </c>
      <c r="T830" s="36" t="n">
        <v>51</v>
      </c>
      <c r="U830" s="37" t="n">
        <v>0.3227848101265823</v>
      </c>
      <c r="V830" s="38" t="n">
        <v>0</v>
      </c>
      <c r="W830" s="38" t="n">
        <v>7.452000000000004</v>
      </c>
      <c r="X830" s="38" t="n">
        <v>6.218</v>
      </c>
      <c r="Y830" s="38" t="n">
        <v>16.825</v>
      </c>
      <c r="Z830" s="38" t="n">
        <v>0</v>
      </c>
      <c r="AA830" s="36" t="n">
        <v>113</v>
      </c>
      <c r="AB830" s="37" t="n">
        <v>0.5794871794871795</v>
      </c>
      <c r="AC830" s="36" t="n">
        <v>59</v>
      </c>
      <c r="AD830" s="37" t="n">
        <v>0.5412844036697247</v>
      </c>
      <c r="AE830" s="36" t="n">
        <v>42</v>
      </c>
      <c r="AF830" s="37" t="n">
        <v>0.6461538461538462</v>
      </c>
      <c r="AG830" s="36" t="n">
        <v>45</v>
      </c>
      <c r="AH830" s="37" t="n">
        <v>0.7627118644067796</v>
      </c>
    </row>
    <row r="831">
      <c r="A831" s="53" t="n">
        <v>45772</v>
      </c>
      <c r="B831" t="inlineStr">
        <is>
          <t>R02_Sumbagsel</t>
        </is>
      </c>
      <c r="C831" t="inlineStr">
        <is>
          <t>NOP LAMPUNG</t>
        </is>
      </c>
      <c r="D831" s="38" t="n">
        <v>1.27</v>
      </c>
      <c r="E831" s="38" t="n">
        <v>2.496999999999999</v>
      </c>
      <c r="F831" s="36" t="n">
        <v>1.39</v>
      </c>
      <c r="G831" s="36" t="n">
        <v>4.601000000000012</v>
      </c>
      <c r="H831" s="36" t="n">
        <v>20</v>
      </c>
      <c r="I831" s="37" t="n">
        <v>0.5263157894736842</v>
      </c>
      <c r="J831" s="36" t="n">
        <v>8</v>
      </c>
      <c r="K831" s="37" t="n">
        <v>0.7272727272727273</v>
      </c>
      <c r="L831" s="36" t="n">
        <v>12</v>
      </c>
      <c r="M831" s="37" t="n">
        <v>0.4444444444444444</v>
      </c>
      <c r="N831" s="36" t="n">
        <v>7</v>
      </c>
      <c r="O831" s="37" t="n">
        <v>0.875</v>
      </c>
      <c r="P831" s="36" t="n">
        <v>7</v>
      </c>
      <c r="Q831" s="37" t="n">
        <v>0.875</v>
      </c>
      <c r="R831" s="36" t="n">
        <v>37</v>
      </c>
      <c r="S831" s="37" t="n">
        <v>0.9736842105263158</v>
      </c>
      <c r="T831" s="36" t="n">
        <v>15</v>
      </c>
      <c r="U831" s="37" t="n">
        <v>0.3947368421052632</v>
      </c>
      <c r="V831" s="38" t="n">
        <v>0</v>
      </c>
      <c r="W831" s="38" t="n">
        <v>5.559000000000006</v>
      </c>
      <c r="X831" s="38" t="n">
        <v>5.830000000000002</v>
      </c>
      <c r="Y831" s="38" t="n">
        <v>38.074</v>
      </c>
      <c r="Z831" s="38" t="n">
        <v>0</v>
      </c>
      <c r="AA831" s="36" t="n">
        <v>137</v>
      </c>
      <c r="AB831" s="37" t="n">
        <v>0.8954248366013072</v>
      </c>
      <c r="AC831" s="36" t="n">
        <v>19</v>
      </c>
      <c r="AD831" s="37" t="n">
        <v>0.6333333333333333</v>
      </c>
      <c r="AE831" s="36" t="n">
        <v>116</v>
      </c>
      <c r="AF831" s="37" t="n">
        <v>0.9747899159663865</v>
      </c>
      <c r="AG831" s="36" t="n">
        <v>18</v>
      </c>
      <c r="AH831" s="37" t="n">
        <v>0.9473684210526315</v>
      </c>
    </row>
    <row r="832">
      <c r="A832" s="53" t="n">
        <v>45772</v>
      </c>
      <c r="B832" t="inlineStr">
        <is>
          <t>R02_Sumbagsel</t>
        </is>
      </c>
      <c r="C832" t="inlineStr">
        <is>
          <t>NOP MUARA ENIM</t>
        </is>
      </c>
      <c r="D832" s="38" t="n">
        <v>1.6</v>
      </c>
      <c r="E832" s="38" t="n">
        <v>1.952</v>
      </c>
      <c r="F832" s="36" t="n">
        <v>7.431</v>
      </c>
      <c r="G832" s="36" t="n">
        <v>4.392</v>
      </c>
      <c r="H832" s="36" t="n">
        <v>41</v>
      </c>
      <c r="I832" s="37" t="n">
        <v>0.4315789473684211</v>
      </c>
      <c r="J832" s="36" t="n">
        <v>3</v>
      </c>
      <c r="K832" s="37" t="n">
        <v>0.1764705882352941</v>
      </c>
      <c r="L832" s="36" t="n">
        <v>38</v>
      </c>
      <c r="M832" s="37" t="n">
        <v>0.4871794871794872</v>
      </c>
      <c r="N832" s="36" t="n">
        <v>2</v>
      </c>
      <c r="O832" s="37" t="n">
        <v>0.6666666666666666</v>
      </c>
      <c r="P832" s="36" t="n">
        <v>2</v>
      </c>
      <c r="Q832" s="37" t="n">
        <v>0.6666666666666666</v>
      </c>
      <c r="R832" s="36" t="n">
        <v>93</v>
      </c>
      <c r="S832" s="37" t="n">
        <v>0.9789473684210527</v>
      </c>
      <c r="T832" s="36" t="n">
        <v>16</v>
      </c>
      <c r="U832" s="37" t="n">
        <v>0.1684210526315789</v>
      </c>
      <c r="V832" s="38" t="n">
        <v>0</v>
      </c>
      <c r="W832" s="38" t="n">
        <v>3.492000000000002</v>
      </c>
      <c r="X832" s="38" t="n">
        <v>3.808000000000001</v>
      </c>
      <c r="Y832" s="38" t="n">
        <v>6.734</v>
      </c>
      <c r="Z832" s="38" t="n">
        <v>0</v>
      </c>
      <c r="AA832" s="36" t="n">
        <v>87</v>
      </c>
      <c r="AB832" s="37" t="n">
        <v>0.46524064171123</v>
      </c>
      <c r="AC832" s="36" t="n">
        <v>34</v>
      </c>
      <c r="AD832" s="37" t="n">
        <v>0.4533333333333333</v>
      </c>
      <c r="AE832" s="36" t="n">
        <v>49</v>
      </c>
      <c r="AF832" s="37" t="n">
        <v>0.5212765957446809</v>
      </c>
      <c r="AG832" s="36" t="n">
        <v>27</v>
      </c>
      <c r="AH832" s="37" t="n">
        <v>0.7941176470588235</v>
      </c>
    </row>
    <row r="833">
      <c r="A833" s="53" t="n">
        <v>45772</v>
      </c>
      <c r="B833" t="inlineStr">
        <is>
          <t>R02_Sumbagsel</t>
        </is>
      </c>
      <c r="C833" t="inlineStr">
        <is>
          <t>NOP PALEMBANG</t>
        </is>
      </c>
      <c r="D833" s="38" t="n">
        <v>1.102</v>
      </c>
      <c r="E833" s="38" t="n">
        <v>4.756000000000004</v>
      </c>
      <c r="F833" s="36" t="n">
        <v>3.558000000000001</v>
      </c>
      <c r="G833" s="36" t="n">
        <v>5.964999999999999</v>
      </c>
      <c r="H833" s="36" t="n">
        <v>22</v>
      </c>
      <c r="I833" s="37" t="n">
        <v>0.1401273885350318</v>
      </c>
      <c r="J833" s="36" t="n">
        <v>3</v>
      </c>
      <c r="K833" s="37" t="n">
        <v>0.1875</v>
      </c>
      <c r="L833" s="36" t="n">
        <v>19</v>
      </c>
      <c r="M833" s="37" t="n">
        <v>0.1347517730496454</v>
      </c>
      <c r="N833" s="36" t="n">
        <v>1</v>
      </c>
      <c r="O833" s="37" t="n">
        <v>0.3333333333333333</v>
      </c>
      <c r="P833" s="36" t="n">
        <v>1</v>
      </c>
      <c r="Q833" s="37" t="n">
        <v>0.3333333333333333</v>
      </c>
      <c r="R833" s="36" t="n">
        <v>157</v>
      </c>
      <c r="S833" s="37" t="n">
        <v>1</v>
      </c>
      <c r="T833" s="36" t="n">
        <v>12</v>
      </c>
      <c r="U833" s="37" t="n">
        <v>0.07643312101910828</v>
      </c>
      <c r="V833" s="38" t="n">
        <v>0</v>
      </c>
      <c r="W833" s="38" t="n">
        <v>12.35800000000002</v>
      </c>
      <c r="X833" s="38" t="n">
        <v>28.4</v>
      </c>
      <c r="Y833" s="38" t="n">
        <v>1.384000000000001</v>
      </c>
      <c r="Z833" s="38" t="n">
        <v>0</v>
      </c>
      <c r="AA833" s="36" t="n">
        <v>66</v>
      </c>
      <c r="AB833" s="37" t="n">
        <v>0.351063829787234</v>
      </c>
      <c r="AC833" s="36" t="n">
        <v>15</v>
      </c>
      <c r="AD833" s="37" t="n">
        <v>0.1875</v>
      </c>
      <c r="AE833" s="36" t="n">
        <v>51</v>
      </c>
      <c r="AF833" s="37" t="n">
        <v>0.5425531914893617</v>
      </c>
      <c r="AG833" s="36" t="n">
        <v>9</v>
      </c>
      <c r="AH833" s="37" t="n">
        <v>0.6</v>
      </c>
    </row>
    <row r="834">
      <c r="A834" s="53" t="n">
        <v>45772</v>
      </c>
      <c r="B834" t="inlineStr">
        <is>
          <t>R02_Sumbagsel</t>
        </is>
      </c>
      <c r="C834" t="inlineStr">
        <is>
          <t>NOP PANGKAL PINANG</t>
        </is>
      </c>
      <c r="D834" s="38" t="n">
        <v>0</v>
      </c>
      <c r="E834" s="38" t="n">
        <v>0</v>
      </c>
      <c r="F834" s="36" t="n">
        <v>10.19</v>
      </c>
      <c r="G834" s="36" t="n">
        <v>3.525999999999999</v>
      </c>
      <c r="H834" s="36" t="n">
        <v>10</v>
      </c>
      <c r="I834" s="37" t="n">
        <v>0.4761904761904762</v>
      </c>
      <c r="J834" s="36" t="n">
        <v>0</v>
      </c>
      <c r="K834" s="37" t="n">
        <v>0</v>
      </c>
      <c r="L834" s="36" t="n">
        <v>10</v>
      </c>
      <c r="M834" s="37" t="n">
        <v>0.4761904761904762</v>
      </c>
      <c r="N834" s="36" t="n">
        <v>0</v>
      </c>
      <c r="O834" s="37" t="n">
        <v>0</v>
      </c>
      <c r="P834" s="36" t="n">
        <v>0</v>
      </c>
      <c r="Q834" s="37" t="n">
        <v>0</v>
      </c>
      <c r="R834" s="36" t="n">
        <v>21</v>
      </c>
      <c r="S834" s="37" t="n">
        <v>1</v>
      </c>
      <c r="T834" s="36" t="n">
        <v>8</v>
      </c>
      <c r="U834" s="37" t="n">
        <v>0.3809523809523809</v>
      </c>
      <c r="V834" s="38" t="n">
        <v>0</v>
      </c>
      <c r="W834" s="38" t="n">
        <v>16.72400000000001</v>
      </c>
      <c r="X834" s="38" t="n">
        <v>9.188000000000015</v>
      </c>
      <c r="Y834" s="38" t="n">
        <v>12.453</v>
      </c>
      <c r="Z834" s="38" t="n">
        <v>0</v>
      </c>
      <c r="AA834" s="36" t="n">
        <v>47</v>
      </c>
      <c r="AB834" s="37" t="n">
        <v>0.734375</v>
      </c>
      <c r="AC834" s="36" t="n">
        <v>12</v>
      </c>
      <c r="AD834" s="37" t="n">
        <v>0.9230769230769231</v>
      </c>
      <c r="AE834" s="36" t="n">
        <v>34</v>
      </c>
      <c r="AF834" s="37" t="n">
        <v>0.723404255319149</v>
      </c>
      <c r="AG834" s="36" t="n">
        <v>6</v>
      </c>
      <c r="AH834" s="37" t="n">
        <v>0.5</v>
      </c>
    </row>
    <row r="835">
      <c r="A835" s="53" t="n">
        <v>45772</v>
      </c>
      <c r="B835" t="inlineStr">
        <is>
          <t>R05_Jawa Tengah DIY</t>
        </is>
      </c>
      <c r="C835" t="inlineStr">
        <is>
          <t>NOP MAGELANG</t>
        </is>
      </c>
      <c r="D835" s="38" t="n">
        <v>0.47</v>
      </c>
      <c r="E835" s="38" t="n">
        <v>0</v>
      </c>
      <c r="F835" s="36" t="n">
        <v>3.289999999999999</v>
      </c>
      <c r="G835" s="36" t="n">
        <v>6.09</v>
      </c>
      <c r="H835" s="36" t="n">
        <v>20</v>
      </c>
      <c r="I835" s="37" t="n">
        <v>0.8</v>
      </c>
      <c r="J835" s="36" t="n">
        <v>1</v>
      </c>
      <c r="K835" s="37" t="n">
        <v>1</v>
      </c>
      <c r="L835" s="36" t="n">
        <v>19</v>
      </c>
      <c r="M835" s="37" t="n">
        <v>0.7916666666666666</v>
      </c>
      <c r="N835" s="36" t="n">
        <v>1</v>
      </c>
      <c r="O835" s="37" t="n">
        <v>1</v>
      </c>
      <c r="P835" s="36" t="n">
        <v>1</v>
      </c>
      <c r="Q835" s="37" t="n">
        <v>1</v>
      </c>
      <c r="R835" s="36" t="n">
        <v>25</v>
      </c>
      <c r="S835" s="37" t="n">
        <v>1</v>
      </c>
      <c r="T835" s="36" t="n">
        <v>19</v>
      </c>
      <c r="U835" s="37" t="n">
        <v>0.76</v>
      </c>
      <c r="V835" s="38" t="n">
        <v>0</v>
      </c>
      <c r="W835" s="38" t="n">
        <v>2.565</v>
      </c>
      <c r="X835" s="38" t="n">
        <v>6.703999999999999</v>
      </c>
      <c r="Y835" s="38" t="n">
        <v>15.888</v>
      </c>
      <c r="Z835" s="38" t="n">
        <v>0</v>
      </c>
      <c r="AA835" s="36" t="n">
        <v>38</v>
      </c>
      <c r="AB835" s="37" t="n">
        <v>0.926829268292683</v>
      </c>
      <c r="AC835" s="36" t="n">
        <v>7</v>
      </c>
      <c r="AD835" s="37" t="n">
        <v>1</v>
      </c>
      <c r="AE835" s="36" t="n">
        <v>31</v>
      </c>
      <c r="AF835" s="37" t="n">
        <v>0.9117647058823529</v>
      </c>
      <c r="AG835" s="36" t="n">
        <v>5</v>
      </c>
      <c r="AH835" s="37" t="n">
        <v>0.7142857142857143</v>
      </c>
    </row>
    <row r="836">
      <c r="A836" s="53" t="n">
        <v>45772</v>
      </c>
      <c r="B836" t="inlineStr">
        <is>
          <t>R05_Jawa Tengah DIY</t>
        </is>
      </c>
      <c r="C836" t="inlineStr">
        <is>
          <t>NOP PEKALONGAN</t>
        </is>
      </c>
      <c r="D836" s="38" t="n">
        <v>0</v>
      </c>
      <c r="E836" s="38" t="n">
        <v>0</v>
      </c>
      <c r="F836" s="36" t="n">
        <v>0.76</v>
      </c>
      <c r="G836" s="36" t="n">
        <v>1.52</v>
      </c>
      <c r="H836" s="36" t="n">
        <v>2</v>
      </c>
      <c r="I836" s="37" t="n">
        <v>1</v>
      </c>
      <c r="J836" s="36" t="n">
        <v>0</v>
      </c>
      <c r="K836" s="37" t="n">
        <v>0</v>
      </c>
      <c r="L836" s="36" t="n">
        <v>2</v>
      </c>
      <c r="M836" s="37" t="n">
        <v>1</v>
      </c>
      <c r="N836" s="36" t="n">
        <v>0</v>
      </c>
      <c r="O836" s="37" t="n">
        <v>0</v>
      </c>
      <c r="P836" s="36" t="n">
        <v>0</v>
      </c>
      <c r="Q836" s="37" t="n">
        <v>0</v>
      </c>
      <c r="R836" s="36" t="n">
        <v>2</v>
      </c>
      <c r="S836" s="37" t="n">
        <v>1</v>
      </c>
      <c r="T836" s="36" t="n">
        <v>2</v>
      </c>
      <c r="U836" s="37" t="n">
        <v>1</v>
      </c>
      <c r="V836" s="38" t="n">
        <v>0</v>
      </c>
      <c r="W836" s="38" t="n">
        <v>3.938</v>
      </c>
      <c r="X836" s="38" t="n">
        <v>9.296999999999997</v>
      </c>
      <c r="Y836" s="38" t="n">
        <v>27.76600000000001</v>
      </c>
      <c r="Z836" s="38" t="n">
        <v>0</v>
      </c>
      <c r="AA836" s="36" t="n">
        <v>12</v>
      </c>
      <c r="AB836" s="37" t="n">
        <v>0.6666666666666666</v>
      </c>
      <c r="AC836" s="36" t="n">
        <v>3</v>
      </c>
      <c r="AD836" s="37" t="n">
        <v>1</v>
      </c>
      <c r="AE836" s="36" t="n">
        <v>9</v>
      </c>
      <c r="AF836" s="37" t="n">
        <v>0.6</v>
      </c>
      <c r="AG836" s="36" t="n">
        <v>2</v>
      </c>
      <c r="AH836" s="37" t="n">
        <v>0.6666666666666666</v>
      </c>
    </row>
    <row r="837">
      <c r="A837" s="53" t="n">
        <v>45772</v>
      </c>
      <c r="B837" t="inlineStr">
        <is>
          <t>R05_Jawa Tengah DIY</t>
        </is>
      </c>
      <c r="C837" t="inlineStr">
        <is>
          <t>NOP PURWOKERTO</t>
        </is>
      </c>
      <c r="D837" s="38" t="n">
        <v>0.95</v>
      </c>
      <c r="E837" s="38" t="n">
        <v>0</v>
      </c>
      <c r="F837" s="36" t="n">
        <v>1.826</v>
      </c>
      <c r="G837" s="36" t="n">
        <v>3.714</v>
      </c>
      <c r="H837" s="36" t="n">
        <v>14</v>
      </c>
      <c r="I837" s="37" t="n">
        <v>0.7777777777777778</v>
      </c>
      <c r="J837" s="36" t="n">
        <v>1</v>
      </c>
      <c r="K837" s="37" t="n">
        <v>1</v>
      </c>
      <c r="L837" s="36" t="n">
        <v>13</v>
      </c>
      <c r="M837" s="37" t="n">
        <v>0.7647058823529411</v>
      </c>
      <c r="N837" s="36" t="n">
        <v>1</v>
      </c>
      <c r="O837" s="37" t="n">
        <v>1</v>
      </c>
      <c r="P837" s="36" t="n">
        <v>1</v>
      </c>
      <c r="Q837" s="37" t="n">
        <v>1</v>
      </c>
      <c r="R837" s="36" t="n">
        <v>18</v>
      </c>
      <c r="S837" s="37" t="n">
        <v>1</v>
      </c>
      <c r="T837" s="36" t="n">
        <v>7</v>
      </c>
      <c r="U837" s="37" t="n">
        <v>0.3888888888888889</v>
      </c>
      <c r="V837" s="38" t="n">
        <v>0</v>
      </c>
      <c r="W837" s="38" t="n">
        <v>1.78</v>
      </c>
      <c r="X837" s="38" t="n">
        <v>6.346</v>
      </c>
      <c r="Y837" s="38" t="n">
        <v>24.715</v>
      </c>
      <c r="Z837" s="38" t="n">
        <v>0</v>
      </c>
      <c r="AA837" s="36" t="n">
        <v>15</v>
      </c>
      <c r="AB837" s="37" t="n">
        <v>0.8823529411764706</v>
      </c>
      <c r="AC837" s="36" t="n">
        <v>2</v>
      </c>
      <c r="AD837" s="37" t="n">
        <v>1</v>
      </c>
      <c r="AE837" s="36" t="n">
        <v>13</v>
      </c>
      <c r="AF837" s="37" t="n">
        <v>0.8666666666666667</v>
      </c>
      <c r="AG837" s="36" t="n">
        <v>0</v>
      </c>
      <c r="AH837" s="37" t="n">
        <v>0</v>
      </c>
    </row>
    <row r="838">
      <c r="A838" s="53" t="n">
        <v>45772</v>
      </c>
      <c r="B838" t="inlineStr">
        <is>
          <t>R05_Jawa Tengah DIY</t>
        </is>
      </c>
      <c r="C838" t="inlineStr">
        <is>
          <t>NOP SEMARANG</t>
        </is>
      </c>
      <c r="D838" s="38" t="n">
        <v>1.066</v>
      </c>
      <c r="E838" s="38" t="n">
        <v>0</v>
      </c>
      <c r="F838" s="36" t="n">
        <v>2.821000000000001</v>
      </c>
      <c r="G838" s="36" t="n">
        <v>1.714</v>
      </c>
      <c r="H838" s="36" t="n">
        <v>10</v>
      </c>
      <c r="I838" s="37" t="n">
        <v>0.3333333333333333</v>
      </c>
      <c r="J838" s="36" t="n">
        <v>0</v>
      </c>
      <c r="K838" s="37" t="n">
        <v>0</v>
      </c>
      <c r="L838" s="36" t="n">
        <v>10</v>
      </c>
      <c r="M838" s="37" t="n">
        <v>0.3703703703703703</v>
      </c>
      <c r="N838" s="36" t="n">
        <v>0</v>
      </c>
      <c r="O838" s="37" t="n">
        <v>0</v>
      </c>
      <c r="P838" s="36" t="n">
        <v>0</v>
      </c>
      <c r="Q838" s="37" t="n">
        <v>0</v>
      </c>
      <c r="R838" s="36" t="n">
        <v>27</v>
      </c>
      <c r="S838" s="37" t="n">
        <v>0.9</v>
      </c>
      <c r="T838" s="36" t="n">
        <v>7</v>
      </c>
      <c r="U838" s="37" t="n">
        <v>0.2333333333333333</v>
      </c>
      <c r="V838" s="38" t="n">
        <v>0.05</v>
      </c>
      <c r="W838" s="38" t="n">
        <v>5.221000000000005</v>
      </c>
      <c r="X838" s="38" t="n">
        <v>6.37</v>
      </c>
      <c r="Y838" s="38" t="n">
        <v>70.81</v>
      </c>
      <c r="Z838" s="38" t="n">
        <v>0</v>
      </c>
      <c r="AA838" s="36" t="n">
        <v>42</v>
      </c>
      <c r="AB838" s="37" t="n">
        <v>0.8571428571428571</v>
      </c>
      <c r="AC838" s="36" t="n">
        <v>12</v>
      </c>
      <c r="AD838" s="37" t="n">
        <v>0.7058823529411765</v>
      </c>
      <c r="AE838" s="36" t="n">
        <v>30</v>
      </c>
      <c r="AF838" s="37" t="n">
        <v>0.9375</v>
      </c>
      <c r="AG838" s="36" t="n">
        <v>9</v>
      </c>
      <c r="AH838" s="37" t="n">
        <v>0.75</v>
      </c>
    </row>
    <row r="839">
      <c r="A839" s="53" t="n">
        <v>45772</v>
      </c>
      <c r="B839" t="inlineStr">
        <is>
          <t>R05_Jawa Tengah DIY</t>
        </is>
      </c>
      <c r="C839" t="inlineStr">
        <is>
          <t>NOP SURAKARTA</t>
        </is>
      </c>
      <c r="D839" s="38" t="n">
        <v>0.35</v>
      </c>
      <c r="E839" s="38" t="n">
        <v>0</v>
      </c>
      <c r="F839" s="36" t="n">
        <v>2.491</v>
      </c>
      <c r="G839" s="36" t="n">
        <v>0.449</v>
      </c>
      <c r="H839" s="36" t="n">
        <v>7</v>
      </c>
      <c r="I839" s="37" t="n">
        <v>0.5384615384615384</v>
      </c>
      <c r="J839" s="36" t="n">
        <v>0</v>
      </c>
      <c r="K839" s="37" t="n">
        <v>0</v>
      </c>
      <c r="L839" s="36" t="n">
        <v>7</v>
      </c>
      <c r="M839" s="37" t="n">
        <v>0.5833333333333334</v>
      </c>
      <c r="N839" s="36" t="n">
        <v>0</v>
      </c>
      <c r="O839" s="37" t="n">
        <v>0</v>
      </c>
      <c r="P839" s="36" t="n">
        <v>0</v>
      </c>
      <c r="Q839" s="37" t="n">
        <v>0</v>
      </c>
      <c r="R839" s="36" t="n">
        <v>12</v>
      </c>
      <c r="S839" s="37" t="n">
        <v>0.9230769230769231</v>
      </c>
      <c r="T839" s="36" t="n">
        <v>7</v>
      </c>
      <c r="U839" s="37" t="n">
        <v>0.5384615384615384</v>
      </c>
      <c r="V839" s="38" t="n">
        <v>0.13</v>
      </c>
      <c r="W839" s="38" t="n">
        <v>4.32</v>
      </c>
      <c r="X839" s="38" t="n">
        <v>5.380999999999998</v>
      </c>
      <c r="Y839" s="38" t="n">
        <v>30.65499999999999</v>
      </c>
      <c r="Z839" s="38" t="n">
        <v>0</v>
      </c>
      <c r="AA839" s="36" t="n">
        <v>17</v>
      </c>
      <c r="AB839" s="37" t="n">
        <v>0.9444444444444444</v>
      </c>
      <c r="AC839" s="36" t="n">
        <v>2</v>
      </c>
      <c r="AD839" s="37" t="n">
        <v>1</v>
      </c>
      <c r="AE839" s="36" t="n">
        <v>15</v>
      </c>
      <c r="AF839" s="37" t="n">
        <v>0.9375</v>
      </c>
      <c r="AG839" s="36" t="n">
        <v>2</v>
      </c>
      <c r="AH839" s="37" t="n">
        <v>1</v>
      </c>
    </row>
    <row r="840">
      <c r="A840" s="53" t="n">
        <v>45772</v>
      </c>
      <c r="B840" t="inlineStr">
        <is>
          <t>R05_Jawa Tengah DIY</t>
        </is>
      </c>
      <c r="C840" t="inlineStr">
        <is>
          <t>NOP YOGYAKARTA</t>
        </is>
      </c>
      <c r="D840" s="38" t="n">
        <v>1.908</v>
      </c>
      <c r="E840" s="38" t="n">
        <v>0</v>
      </c>
      <c r="F840" s="36" t="n">
        <v>2.282999999999999</v>
      </c>
      <c r="G840" s="36" t="n">
        <v>1.95</v>
      </c>
      <c r="H840" s="36" t="n">
        <v>6</v>
      </c>
      <c r="I840" s="37" t="n">
        <v>0.375</v>
      </c>
      <c r="J840" s="36" t="n">
        <v>2</v>
      </c>
      <c r="K840" s="37" t="n">
        <v>0.6666666666666666</v>
      </c>
      <c r="L840" s="36" t="n">
        <v>4</v>
      </c>
      <c r="M840" s="37" t="n">
        <v>0.3076923076923077</v>
      </c>
      <c r="N840" s="36" t="n">
        <v>2</v>
      </c>
      <c r="O840" s="37" t="n">
        <v>1</v>
      </c>
      <c r="P840" s="36" t="n">
        <v>2</v>
      </c>
      <c r="Q840" s="37" t="n">
        <v>1</v>
      </c>
      <c r="R840" s="36" t="n">
        <v>15</v>
      </c>
      <c r="S840" s="37" t="n">
        <v>0.9375</v>
      </c>
      <c r="T840" s="36" t="n">
        <v>5</v>
      </c>
      <c r="U840" s="37" t="n">
        <v>0.3125</v>
      </c>
      <c r="V840" s="38" t="n">
        <v>0</v>
      </c>
      <c r="W840" s="38" t="n">
        <v>3.284</v>
      </c>
      <c r="X840" s="38" t="n">
        <v>17.528</v>
      </c>
      <c r="Y840" s="38" t="n">
        <v>47.005</v>
      </c>
      <c r="Z840" s="38" t="n">
        <v>0</v>
      </c>
      <c r="AA840" s="36" t="n">
        <v>28</v>
      </c>
      <c r="AB840" s="37" t="n">
        <v>1</v>
      </c>
      <c r="AC840" s="36" t="n">
        <v>7</v>
      </c>
      <c r="AD840" s="37" t="n">
        <v>1</v>
      </c>
      <c r="AE840" s="36" t="n">
        <v>21</v>
      </c>
      <c r="AF840" s="37" t="n">
        <v>1</v>
      </c>
      <c r="AG840" s="36" t="n">
        <v>7</v>
      </c>
      <c r="AH840" s="37" t="n">
        <v>1</v>
      </c>
    </row>
    <row r="841">
      <c r="A841" s="53" t="n">
        <v>45772</v>
      </c>
      <c r="B841" t="inlineStr">
        <is>
          <t>R06_Jawa Timur</t>
        </is>
      </c>
      <c r="C841" t="inlineStr">
        <is>
          <t>NOP JEMBER</t>
        </is>
      </c>
      <c r="D841" s="38" t="n">
        <v>0</v>
      </c>
      <c r="E841" s="38" t="n">
        <v>0</v>
      </c>
      <c r="F841" s="36" t="n">
        <v>2.335</v>
      </c>
      <c r="G841" s="36" t="n">
        <v>1.047</v>
      </c>
      <c r="H841" s="36" t="n">
        <v>8</v>
      </c>
      <c r="I841" s="37" t="n">
        <v>0.8</v>
      </c>
      <c r="J841" s="36" t="n">
        <v>0</v>
      </c>
      <c r="K841" s="37" t="n">
        <v>0</v>
      </c>
      <c r="L841" s="36" t="n">
        <v>8</v>
      </c>
      <c r="M841" s="37" t="n">
        <v>0.8</v>
      </c>
      <c r="N841" s="36" t="n">
        <v>0</v>
      </c>
      <c r="O841" s="37" t="n">
        <v>0</v>
      </c>
      <c r="P841" s="36" t="n">
        <v>0</v>
      </c>
      <c r="Q841" s="37" t="n">
        <v>0</v>
      </c>
      <c r="R841" s="36" t="n">
        <v>9</v>
      </c>
      <c r="S841" s="37" t="n">
        <v>0.9</v>
      </c>
      <c r="T841" s="36" t="n">
        <v>5</v>
      </c>
      <c r="U841" s="37" t="n">
        <v>0.5</v>
      </c>
      <c r="V841" s="38" t="n">
        <v>0</v>
      </c>
      <c r="W841" s="38" t="n">
        <v>1.46</v>
      </c>
      <c r="X841" s="38" t="n">
        <v>2.821999999999999</v>
      </c>
      <c r="Y841" s="38" t="n">
        <v>102.768</v>
      </c>
      <c r="Z841" s="38" t="n">
        <v>0</v>
      </c>
      <c r="AA841" s="36" t="n">
        <v>27</v>
      </c>
      <c r="AB841" s="37" t="n">
        <v>0.9310344827586207</v>
      </c>
      <c r="AC841" s="36" t="n">
        <v>10</v>
      </c>
      <c r="AD841" s="37" t="n">
        <v>0.9090909090909091</v>
      </c>
      <c r="AE841" s="36" t="n">
        <v>17</v>
      </c>
      <c r="AF841" s="37" t="n">
        <v>0.9444444444444444</v>
      </c>
      <c r="AG841" s="36" t="n">
        <v>8</v>
      </c>
      <c r="AH841" s="37" t="n">
        <v>0.8</v>
      </c>
    </row>
    <row r="842">
      <c r="A842" s="53" t="n">
        <v>45772</v>
      </c>
      <c r="B842" t="inlineStr">
        <is>
          <t>R06_Jawa Timur</t>
        </is>
      </c>
      <c r="C842" t="inlineStr">
        <is>
          <t>NOP KEDIRI</t>
        </is>
      </c>
      <c r="D842" s="38" t="n">
        <v>0</v>
      </c>
      <c r="E842" s="38" t="n">
        <v>0</v>
      </c>
      <c r="F842" s="36" t="n">
        <v>1.59</v>
      </c>
      <c r="G842" s="36" t="n">
        <v>0.8200000000000001</v>
      </c>
      <c r="H842" s="36" t="n">
        <v>8</v>
      </c>
      <c r="I842" s="37" t="n">
        <v>0.6666666666666666</v>
      </c>
      <c r="J842" s="36" t="n">
        <v>0</v>
      </c>
      <c r="K842" s="37" t="n">
        <v>0</v>
      </c>
      <c r="L842" s="36" t="n">
        <v>8</v>
      </c>
      <c r="M842" s="37" t="n">
        <v>0.6666666666666666</v>
      </c>
      <c r="N842" s="36" t="n">
        <v>0</v>
      </c>
      <c r="O842" s="37" t="n">
        <v>0</v>
      </c>
      <c r="P842" s="36" t="n">
        <v>0</v>
      </c>
      <c r="Q842" s="37" t="n">
        <v>0</v>
      </c>
      <c r="R842" s="36" t="n">
        <v>12</v>
      </c>
      <c r="S842" s="37" t="n">
        <v>1</v>
      </c>
      <c r="T842" s="36" t="n">
        <v>3</v>
      </c>
      <c r="U842" s="37" t="n">
        <v>0.25</v>
      </c>
      <c r="V842" s="38" t="n">
        <v>0</v>
      </c>
      <c r="W842" s="38" t="n">
        <v>2.248</v>
      </c>
      <c r="X842" s="38" t="n">
        <v>4.856000000000002</v>
      </c>
      <c r="Y842" s="38" t="n">
        <v>21.74</v>
      </c>
      <c r="Z842" s="38" t="n">
        <v>0</v>
      </c>
      <c r="AA842" s="36" t="n">
        <v>19</v>
      </c>
      <c r="AB842" s="37" t="n">
        <v>1</v>
      </c>
      <c r="AC842" s="36" t="n">
        <v>4</v>
      </c>
      <c r="AD842" s="37" t="n">
        <v>1</v>
      </c>
      <c r="AE842" s="36" t="n">
        <v>15</v>
      </c>
      <c r="AF842" s="37" t="n">
        <v>1</v>
      </c>
      <c r="AG842" s="36" t="n">
        <v>4</v>
      </c>
      <c r="AH842" s="37" t="n">
        <v>1</v>
      </c>
    </row>
    <row r="843">
      <c r="A843" s="53" t="n">
        <v>45772</v>
      </c>
      <c r="B843" t="inlineStr">
        <is>
          <t>R06_Jawa Timur</t>
        </is>
      </c>
      <c r="C843" t="inlineStr">
        <is>
          <t>NOP LAMONGAN</t>
        </is>
      </c>
      <c r="D843" s="38" t="n">
        <v>0</v>
      </c>
      <c r="E843" s="38" t="n">
        <v>0</v>
      </c>
      <c r="F843" s="36" t="n">
        <v>1.92</v>
      </c>
      <c r="G843" s="36" t="n">
        <v>1.758</v>
      </c>
      <c r="H843" s="36" t="n">
        <v>15</v>
      </c>
      <c r="I843" s="37" t="n">
        <v>1</v>
      </c>
      <c r="J843" s="36" t="n">
        <v>0</v>
      </c>
      <c r="K843" s="37" t="n">
        <v>0</v>
      </c>
      <c r="L843" s="36" t="n">
        <v>15</v>
      </c>
      <c r="M843" s="37" t="n">
        <v>1</v>
      </c>
      <c r="N843" s="36" t="n">
        <v>0</v>
      </c>
      <c r="O843" s="37" t="n">
        <v>0</v>
      </c>
      <c r="P843" s="36" t="n">
        <v>0</v>
      </c>
      <c r="Q843" s="37" t="n">
        <v>0</v>
      </c>
      <c r="R843" s="36" t="n">
        <v>15</v>
      </c>
      <c r="S843" s="37" t="n">
        <v>1</v>
      </c>
      <c r="T843" s="36" t="n">
        <v>13</v>
      </c>
      <c r="U843" s="37" t="n">
        <v>0.8666666666666667</v>
      </c>
      <c r="V843" s="38" t="n">
        <v>0</v>
      </c>
      <c r="W843" s="38" t="n">
        <v>2.19</v>
      </c>
      <c r="X843" s="38" t="n">
        <v>5.34</v>
      </c>
      <c r="Y843" s="38" t="n">
        <v>29</v>
      </c>
      <c r="Z843" s="38" t="n">
        <v>0</v>
      </c>
      <c r="AA843" s="36" t="n">
        <v>7</v>
      </c>
      <c r="AB843" s="37" t="n">
        <v>0.875</v>
      </c>
      <c r="AC843" s="36" t="n">
        <v>5</v>
      </c>
      <c r="AD843" s="37" t="n">
        <v>0.8333333333333334</v>
      </c>
      <c r="AE843" s="36" t="n">
        <v>2</v>
      </c>
      <c r="AF843" s="37" t="n">
        <v>1</v>
      </c>
      <c r="AG843" s="36" t="n">
        <v>5</v>
      </c>
      <c r="AH843" s="37" t="n">
        <v>1</v>
      </c>
    </row>
    <row r="844">
      <c r="A844" s="53" t="n">
        <v>45772</v>
      </c>
      <c r="B844" t="inlineStr">
        <is>
          <t>R06_Jawa Timur</t>
        </is>
      </c>
      <c r="C844" t="inlineStr">
        <is>
          <t>NOP MADIUN</t>
        </is>
      </c>
      <c r="D844" s="38" t="n">
        <v>0</v>
      </c>
      <c r="E844" s="38" t="n">
        <v>0</v>
      </c>
      <c r="F844" s="36" t="n">
        <v>1.268</v>
      </c>
      <c r="G844" s="36" t="n">
        <v>2.398</v>
      </c>
      <c r="H844" s="36" t="n">
        <v>4</v>
      </c>
      <c r="I844" s="37" t="n">
        <v>0.5714285714285714</v>
      </c>
      <c r="J844" s="36" t="n">
        <v>0</v>
      </c>
      <c r="K844" s="37" t="n">
        <v>0</v>
      </c>
      <c r="L844" s="36" t="n">
        <v>4</v>
      </c>
      <c r="M844" s="37" t="n">
        <v>0.5714285714285714</v>
      </c>
      <c r="N844" s="36" t="n">
        <v>0</v>
      </c>
      <c r="O844" s="37" t="n">
        <v>0</v>
      </c>
      <c r="P844" s="36" t="n">
        <v>0</v>
      </c>
      <c r="Q844" s="37" t="n">
        <v>0</v>
      </c>
      <c r="R844" s="36" t="n">
        <v>6</v>
      </c>
      <c r="S844" s="37" t="n">
        <v>0.8571428571428571</v>
      </c>
      <c r="T844" s="36" t="n">
        <v>2</v>
      </c>
      <c r="U844" s="37" t="n">
        <v>0.2857142857142857</v>
      </c>
      <c r="V844" s="38" t="n">
        <v>0</v>
      </c>
      <c r="W844" s="38" t="n">
        <v>2.404</v>
      </c>
      <c r="X844" s="38" t="n">
        <v>3.783999999999995</v>
      </c>
      <c r="Y844" s="38" t="n">
        <v>0</v>
      </c>
      <c r="Z844" s="38" t="n">
        <v>0</v>
      </c>
      <c r="AA844" s="36" t="n">
        <v>14</v>
      </c>
      <c r="AB844" s="37" t="n">
        <v>0.9333333333333333</v>
      </c>
      <c r="AC844" s="36" t="n">
        <v>5</v>
      </c>
      <c r="AD844" s="37" t="n">
        <v>1</v>
      </c>
      <c r="AE844" s="36" t="n">
        <v>9</v>
      </c>
      <c r="AF844" s="37" t="n">
        <v>0.9</v>
      </c>
      <c r="AG844" s="36" t="n">
        <v>5</v>
      </c>
      <c r="AH844" s="37" t="n">
        <v>1</v>
      </c>
    </row>
    <row r="845">
      <c r="A845" s="53" t="n">
        <v>45772</v>
      </c>
      <c r="B845" t="inlineStr">
        <is>
          <t>R06_Jawa Timur</t>
        </is>
      </c>
      <c r="C845" t="inlineStr">
        <is>
          <t>NOP MALANG</t>
        </is>
      </c>
      <c r="D845" s="38" t="n">
        <v>0.35</v>
      </c>
      <c r="E845" s="38" t="n">
        <v>0</v>
      </c>
      <c r="F845" s="36" t="n">
        <v>1.28</v>
      </c>
      <c r="G845" s="36" t="n">
        <v>1.665</v>
      </c>
      <c r="H845" s="36" t="n">
        <v>7</v>
      </c>
      <c r="I845" s="37" t="n">
        <v>0.2692307692307692</v>
      </c>
      <c r="J845" s="36" t="n">
        <v>0</v>
      </c>
      <c r="K845" s="37" t="n">
        <v>0</v>
      </c>
      <c r="L845" s="36" t="n">
        <v>7</v>
      </c>
      <c r="M845" s="37" t="n">
        <v>0.28</v>
      </c>
      <c r="N845" s="36" t="n">
        <v>0</v>
      </c>
      <c r="O845" s="37" t="n">
        <v>0</v>
      </c>
      <c r="P845" s="36" t="n">
        <v>0</v>
      </c>
      <c r="Q845" s="37" t="n">
        <v>0</v>
      </c>
      <c r="R845" s="36" t="n">
        <v>26</v>
      </c>
      <c r="S845" s="37" t="n">
        <v>1</v>
      </c>
      <c r="T845" s="36" t="n">
        <v>7</v>
      </c>
      <c r="U845" s="37" t="n">
        <v>0.2692307692307692</v>
      </c>
      <c r="V845" s="38" t="n">
        <v>0</v>
      </c>
      <c r="W845" s="38" t="n">
        <v>1.582</v>
      </c>
      <c r="X845" s="38" t="n">
        <v>1.408</v>
      </c>
      <c r="Y845" s="38" t="n">
        <v>0</v>
      </c>
      <c r="Z845" s="38" t="n">
        <v>0</v>
      </c>
      <c r="AA845" s="36" t="n">
        <v>3</v>
      </c>
      <c r="AB845" s="37" t="n">
        <v>0.6</v>
      </c>
      <c r="AC845" s="36" t="n">
        <v>1</v>
      </c>
      <c r="AD845" s="37" t="n">
        <v>0.3333333333333333</v>
      </c>
      <c r="AE845" s="36" t="n">
        <v>2</v>
      </c>
      <c r="AF845" s="37" t="n">
        <v>1</v>
      </c>
      <c r="AG845" s="36" t="n">
        <v>1</v>
      </c>
      <c r="AH845" s="37" t="n">
        <v>1</v>
      </c>
    </row>
    <row r="846">
      <c r="A846" s="53" t="n">
        <v>45772</v>
      </c>
      <c r="B846" t="inlineStr">
        <is>
          <t>R06_Jawa Timur</t>
        </is>
      </c>
      <c r="C846" t="inlineStr">
        <is>
          <t>NOP SIDOARJO</t>
        </is>
      </c>
      <c r="D846" s="38" t="n">
        <v>1.36</v>
      </c>
      <c r="E846" s="38" t="n">
        <v>0</v>
      </c>
      <c r="F846" s="36" t="n">
        <v>2.483</v>
      </c>
      <c r="G846" s="36" t="n">
        <v>7.382000000000001</v>
      </c>
      <c r="H846" s="36" t="n">
        <v>5</v>
      </c>
      <c r="I846" s="37" t="n">
        <v>0.625</v>
      </c>
      <c r="J846" s="36" t="n">
        <v>1</v>
      </c>
      <c r="K846" s="37" t="n">
        <v>1</v>
      </c>
      <c r="L846" s="36" t="n">
        <v>4</v>
      </c>
      <c r="M846" s="37" t="n">
        <v>0.5714285714285714</v>
      </c>
      <c r="N846" s="36" t="n">
        <v>1</v>
      </c>
      <c r="O846" s="37" t="n">
        <v>1</v>
      </c>
      <c r="P846" s="36" t="n">
        <v>1</v>
      </c>
      <c r="Q846" s="37" t="n">
        <v>1</v>
      </c>
      <c r="R846" s="36" t="n">
        <v>8</v>
      </c>
      <c r="S846" s="37" t="n">
        <v>1</v>
      </c>
      <c r="T846" s="36" t="n">
        <v>5</v>
      </c>
      <c r="U846" s="37" t="n">
        <v>0.625</v>
      </c>
      <c r="V846" s="38" t="n">
        <v>0</v>
      </c>
      <c r="W846" s="38" t="n">
        <v>3.45</v>
      </c>
      <c r="X846" s="38" t="n">
        <v>11.442</v>
      </c>
      <c r="Y846" s="38" t="n">
        <v>15.003</v>
      </c>
      <c r="Z846" s="38" t="n">
        <v>0</v>
      </c>
      <c r="AA846" s="36" t="n">
        <v>14</v>
      </c>
      <c r="AB846" s="37" t="n">
        <v>0.8235294117647058</v>
      </c>
      <c r="AC846" s="36" t="n">
        <v>3</v>
      </c>
      <c r="AD846" s="37" t="n">
        <v>0.5</v>
      </c>
      <c r="AE846" s="36" t="n">
        <v>11</v>
      </c>
      <c r="AF846" s="37" t="n">
        <v>1</v>
      </c>
      <c r="AG846" s="36" t="n">
        <v>1</v>
      </c>
      <c r="AH846" s="37" t="n">
        <v>0.3333333333333333</v>
      </c>
    </row>
    <row r="847">
      <c r="A847" s="53" t="n">
        <v>45772</v>
      </c>
      <c r="B847" t="inlineStr">
        <is>
          <t>R06_Jawa Timur</t>
        </is>
      </c>
      <c r="C847" t="inlineStr">
        <is>
          <t>NOP SURABAYA</t>
        </is>
      </c>
      <c r="D847" s="38" t="n">
        <v>0.52</v>
      </c>
      <c r="E847" s="38" t="n">
        <v>0</v>
      </c>
      <c r="F847" s="36" t="n">
        <v>2.28</v>
      </c>
      <c r="G847" s="36" t="n">
        <v>2.509</v>
      </c>
      <c r="H847" s="36" t="n">
        <v>10</v>
      </c>
      <c r="I847" s="37" t="n">
        <v>0.5882352941176471</v>
      </c>
      <c r="J847" s="36" t="n">
        <v>3</v>
      </c>
      <c r="K847" s="37" t="n">
        <v>1</v>
      </c>
      <c r="L847" s="36" t="n">
        <v>7</v>
      </c>
      <c r="M847" s="37" t="n">
        <v>0.5</v>
      </c>
      <c r="N847" s="36" t="n">
        <v>2</v>
      </c>
      <c r="O847" s="37" t="n">
        <v>0.6666666666666666</v>
      </c>
      <c r="P847" s="36" t="n">
        <v>2</v>
      </c>
      <c r="Q847" s="37" t="n">
        <v>0.6666666666666666</v>
      </c>
      <c r="R847" s="36" t="n">
        <v>17</v>
      </c>
      <c r="S847" s="37" t="n">
        <v>1</v>
      </c>
      <c r="T847" s="36" t="n">
        <v>7</v>
      </c>
      <c r="U847" s="37" t="n">
        <v>0.4117647058823529</v>
      </c>
      <c r="V847" s="38" t="n">
        <v>0</v>
      </c>
      <c r="W847" s="38" t="n">
        <v>15.628</v>
      </c>
      <c r="X847" s="38" t="n">
        <v>9.204000000000001</v>
      </c>
      <c r="Y847" s="38" t="n">
        <v>23.907</v>
      </c>
      <c r="Z847" s="38" t="n">
        <v>0</v>
      </c>
      <c r="AA847" s="36" t="n">
        <v>16</v>
      </c>
      <c r="AB847" s="37" t="n">
        <v>0.5161290322580645</v>
      </c>
      <c r="AC847" s="36" t="n">
        <v>3</v>
      </c>
      <c r="AD847" s="37" t="n">
        <v>0.6</v>
      </c>
      <c r="AE847" s="36" t="n">
        <v>13</v>
      </c>
      <c r="AF847" s="37" t="n">
        <v>0.5</v>
      </c>
      <c r="AG847" s="36" t="n">
        <v>3</v>
      </c>
      <c r="AH847" s="37" t="n">
        <v>1</v>
      </c>
    </row>
    <row r="848">
      <c r="A848" s="53" t="n">
        <v>45772</v>
      </c>
      <c r="B848" t="inlineStr">
        <is>
          <t>R07_Bali Nusra</t>
        </is>
      </c>
      <c r="C848" t="inlineStr">
        <is>
          <t>NOP DENPASAR</t>
        </is>
      </c>
      <c r="D848" s="38" t="n">
        <v>1.34</v>
      </c>
      <c r="E848" s="38" t="n">
        <v>0</v>
      </c>
      <c r="F848" s="36" t="n">
        <v>1.22</v>
      </c>
      <c r="G848" s="36" t="n">
        <v>3.69</v>
      </c>
      <c r="H848" s="36" t="n">
        <v>20</v>
      </c>
      <c r="I848" s="37" t="n">
        <v>0.9523809523809523</v>
      </c>
      <c r="J848" s="36" t="n">
        <v>3</v>
      </c>
      <c r="K848" s="37" t="n">
        <v>1</v>
      </c>
      <c r="L848" s="36" t="n">
        <v>17</v>
      </c>
      <c r="M848" s="37" t="n">
        <v>0.9444444444444444</v>
      </c>
      <c r="N848" s="36" t="n">
        <v>3</v>
      </c>
      <c r="O848" s="37" t="n">
        <v>1</v>
      </c>
      <c r="P848" s="36" t="n">
        <v>3</v>
      </c>
      <c r="Q848" s="37" t="n">
        <v>1</v>
      </c>
      <c r="R848" s="36" t="n">
        <v>21</v>
      </c>
      <c r="S848" s="37" t="n">
        <v>1</v>
      </c>
      <c r="T848" s="36" t="n">
        <v>21</v>
      </c>
      <c r="U848" s="37" t="n">
        <v>1</v>
      </c>
      <c r="V848" s="38" t="n">
        <v>0</v>
      </c>
      <c r="W848" s="38" t="n">
        <v>2.31</v>
      </c>
      <c r="X848" s="38" t="n">
        <v>9.943000000000001</v>
      </c>
      <c r="Y848" s="38" t="n">
        <v>85.65000000000001</v>
      </c>
      <c r="Z848" s="38" t="n">
        <v>0</v>
      </c>
      <c r="AA848" s="36" t="n">
        <v>23</v>
      </c>
      <c r="AB848" s="37" t="n">
        <v>0.92</v>
      </c>
      <c r="AC848" s="36" t="n">
        <v>10</v>
      </c>
      <c r="AD848" s="37" t="n">
        <v>0.9090909090909091</v>
      </c>
      <c r="AE848" s="36" t="n">
        <v>13</v>
      </c>
      <c r="AF848" s="37" t="n">
        <v>0.9285714285714286</v>
      </c>
      <c r="AG848" s="36" t="n">
        <v>8</v>
      </c>
      <c r="AH848" s="37" t="n">
        <v>0.8</v>
      </c>
    </row>
    <row r="849">
      <c r="A849" s="53" t="n">
        <v>45772</v>
      </c>
      <c r="B849" t="inlineStr">
        <is>
          <t>R07_Bali Nusra</t>
        </is>
      </c>
      <c r="C849" t="inlineStr">
        <is>
          <t>NOP FLORES</t>
        </is>
      </c>
      <c r="D849" s="38" t="n">
        <v>3.67</v>
      </c>
      <c r="E849" s="38" t="n">
        <v>8.164999999999999</v>
      </c>
      <c r="F849" s="36" t="n">
        <v>6.1</v>
      </c>
      <c r="G849" s="36" t="n">
        <v>8.074000000000002</v>
      </c>
      <c r="H849" s="36" t="n">
        <v>102</v>
      </c>
      <c r="I849" s="37" t="n">
        <v>0.7611940298507462</v>
      </c>
      <c r="J849" s="36" t="n">
        <v>24</v>
      </c>
      <c r="K849" s="37" t="n">
        <v>0.8888888888888888</v>
      </c>
      <c r="L849" s="36" t="n">
        <v>78</v>
      </c>
      <c r="M849" s="37" t="n">
        <v>0.7289719626168224</v>
      </c>
      <c r="N849" s="36" t="n">
        <v>18</v>
      </c>
      <c r="O849" s="37" t="n">
        <v>0.75</v>
      </c>
      <c r="P849" s="36" t="n">
        <v>18</v>
      </c>
      <c r="Q849" s="37" t="n">
        <v>0.75</v>
      </c>
      <c r="R849" s="36" t="n">
        <v>134</v>
      </c>
      <c r="S849" s="37" t="n">
        <v>1</v>
      </c>
      <c r="T849" s="36" t="n">
        <v>79</v>
      </c>
      <c r="U849" s="37" t="n">
        <v>0.5895522388059702</v>
      </c>
      <c r="V849" s="38" t="n">
        <v>0</v>
      </c>
      <c r="W849" s="38" t="n">
        <v>6.012</v>
      </c>
      <c r="X849" s="38" t="n">
        <v>5.297999999999998</v>
      </c>
      <c r="Y849" s="38" t="n">
        <v>33.08200000000001</v>
      </c>
      <c r="Z849" s="38" t="n">
        <v>0</v>
      </c>
      <c r="AA849" s="36" t="n">
        <v>119</v>
      </c>
      <c r="AB849" s="37" t="n">
        <v>0.601010101010101</v>
      </c>
      <c r="AC849" s="36" t="n">
        <v>102</v>
      </c>
      <c r="AD849" s="37" t="n">
        <v>0.6496815286624203</v>
      </c>
      <c r="AE849" s="36" t="n">
        <v>17</v>
      </c>
      <c r="AF849" s="37" t="n">
        <v>0.4146341463414634</v>
      </c>
      <c r="AG849" s="36" t="n">
        <v>75</v>
      </c>
      <c r="AH849" s="37" t="n">
        <v>0.7352941176470589</v>
      </c>
    </row>
    <row r="850">
      <c r="A850" s="53" t="n">
        <v>45772</v>
      </c>
      <c r="B850" t="inlineStr">
        <is>
          <t>R07_Bali Nusra</t>
        </is>
      </c>
      <c r="C850" t="inlineStr">
        <is>
          <t>NOP KUPANG</t>
        </is>
      </c>
      <c r="D850" s="38" t="n">
        <v>0.55</v>
      </c>
      <c r="E850" s="38" t="n">
        <v>2.39</v>
      </c>
      <c r="F850" s="36" t="n">
        <v>5.04</v>
      </c>
      <c r="G850" s="36" t="n">
        <v>4.012</v>
      </c>
      <c r="H850" s="36" t="n">
        <v>34</v>
      </c>
      <c r="I850" s="37" t="n">
        <v>0.5964912280701754</v>
      </c>
      <c r="J850" s="36" t="n">
        <v>11</v>
      </c>
      <c r="K850" s="37" t="n">
        <v>0.7333333333333333</v>
      </c>
      <c r="L850" s="36" t="n">
        <v>23</v>
      </c>
      <c r="M850" s="37" t="n">
        <v>0.5476190476190477</v>
      </c>
      <c r="N850" s="36" t="n">
        <v>11</v>
      </c>
      <c r="O850" s="37" t="n">
        <v>1</v>
      </c>
      <c r="P850" s="36" t="n">
        <v>11</v>
      </c>
      <c r="Q850" s="37" t="n">
        <v>1</v>
      </c>
      <c r="R850" s="36" t="n">
        <v>57</v>
      </c>
      <c r="S850" s="37" t="n">
        <v>1</v>
      </c>
      <c r="T850" s="36" t="n">
        <v>17</v>
      </c>
      <c r="U850" s="37" t="n">
        <v>0.2982456140350877</v>
      </c>
      <c r="V850" s="38" t="n">
        <v>0</v>
      </c>
      <c r="W850" s="38" t="n">
        <v>5.73</v>
      </c>
      <c r="X850" s="38" t="n">
        <v>14.23199999999998</v>
      </c>
      <c r="Y850" s="38" t="n">
        <v>43.91</v>
      </c>
      <c r="Z850" s="38" t="n">
        <v>0</v>
      </c>
      <c r="AA850" s="36" t="n">
        <v>35</v>
      </c>
      <c r="AB850" s="37" t="n">
        <v>0.4929577464788732</v>
      </c>
      <c r="AC850" s="36" t="n">
        <v>16</v>
      </c>
      <c r="AD850" s="37" t="n">
        <v>0.4444444444444444</v>
      </c>
      <c r="AE850" s="36" t="n">
        <v>19</v>
      </c>
      <c r="AF850" s="37" t="n">
        <v>0.5428571428571428</v>
      </c>
      <c r="AG850" s="36" t="n">
        <v>11</v>
      </c>
      <c r="AH850" s="37" t="n">
        <v>0.6875</v>
      </c>
    </row>
    <row r="851">
      <c r="A851" s="53" t="n">
        <v>45772</v>
      </c>
      <c r="B851" t="inlineStr">
        <is>
          <t>R07_Bali Nusra</t>
        </is>
      </c>
      <c r="C851" t="inlineStr">
        <is>
          <t>NOP MATARAM</t>
        </is>
      </c>
      <c r="D851" s="38" t="n">
        <v>0</v>
      </c>
      <c r="E851" s="38" t="n">
        <v>1.598</v>
      </c>
      <c r="F851" s="36" t="n">
        <v>6.411000000000001</v>
      </c>
      <c r="G851" s="36" t="n">
        <v>2.58</v>
      </c>
      <c r="H851" s="36" t="n">
        <v>16</v>
      </c>
      <c r="I851" s="37" t="n">
        <v>0.5</v>
      </c>
      <c r="J851" s="36" t="n">
        <v>2</v>
      </c>
      <c r="K851" s="37" t="n">
        <v>0.6666666666666666</v>
      </c>
      <c r="L851" s="36" t="n">
        <v>14</v>
      </c>
      <c r="M851" s="37" t="n">
        <v>0.4827586206896552</v>
      </c>
      <c r="N851" s="36" t="n">
        <v>0</v>
      </c>
      <c r="O851" s="37" t="n">
        <v>0</v>
      </c>
      <c r="P851" s="36" t="n">
        <v>0</v>
      </c>
      <c r="Q851" s="37" t="n">
        <v>0</v>
      </c>
      <c r="R851" s="36" t="n">
        <v>32</v>
      </c>
      <c r="S851" s="37" t="n">
        <v>1</v>
      </c>
      <c r="T851" s="36" t="n">
        <v>8</v>
      </c>
      <c r="U851" s="37" t="n">
        <v>0.25</v>
      </c>
      <c r="V851" s="38" t="n">
        <v>0.196</v>
      </c>
      <c r="W851" s="38" t="n">
        <v>13.44800000000002</v>
      </c>
      <c r="X851" s="38" t="n">
        <v>17.05600000000001</v>
      </c>
      <c r="Y851" s="38" t="n">
        <v>318.72</v>
      </c>
      <c r="Z851" s="38" t="n">
        <v>0</v>
      </c>
      <c r="AA851" s="36" t="n">
        <v>25</v>
      </c>
      <c r="AB851" s="37" t="n">
        <v>0.4166666666666667</v>
      </c>
      <c r="AC851" s="36" t="n">
        <v>21</v>
      </c>
      <c r="AD851" s="37" t="n">
        <v>0.4666666666666667</v>
      </c>
      <c r="AE851" s="36" t="n">
        <v>4</v>
      </c>
      <c r="AF851" s="37" t="n">
        <v>0.2666666666666667</v>
      </c>
      <c r="AG851" s="36" t="n">
        <v>17</v>
      </c>
      <c r="AH851" s="37" t="n">
        <v>0.8095238095238095</v>
      </c>
    </row>
    <row r="852">
      <c r="A852" s="53" t="n">
        <v>45773</v>
      </c>
      <c r="B852" t="inlineStr">
        <is>
          <t>R01_Sumbagut</t>
        </is>
      </c>
      <c r="C852" t="inlineStr">
        <is>
          <t>NOP ACEH</t>
        </is>
      </c>
      <c r="D852" s="38" t="n">
        <v>3.13</v>
      </c>
      <c r="E852" s="38" t="n">
        <v>7.329</v>
      </c>
      <c r="F852" s="36" t="n">
        <v>12.57400000000001</v>
      </c>
      <c r="G852" s="36" t="n">
        <v>6.870000000000007</v>
      </c>
      <c r="H852" s="36" t="n">
        <v>56</v>
      </c>
      <c r="I852" s="37" t="n">
        <v>0.9032258064516129</v>
      </c>
      <c r="J852" s="36" t="n">
        <v>17</v>
      </c>
      <c r="K852" s="37" t="n">
        <v>0.9444444444444444</v>
      </c>
      <c r="L852" s="36" t="n">
        <v>39</v>
      </c>
      <c r="M852" s="37" t="n">
        <v>0.8863636363636364</v>
      </c>
      <c r="N852" s="36" t="n">
        <v>12</v>
      </c>
      <c r="O852" s="37" t="n">
        <v>0.7058823529411765</v>
      </c>
      <c r="P852" s="36" t="n">
        <v>12</v>
      </c>
      <c r="Q852" s="37" t="n">
        <v>0.75</v>
      </c>
      <c r="R852" s="36" t="n">
        <v>62</v>
      </c>
      <c r="S852" s="37" t="n">
        <v>1</v>
      </c>
      <c r="T852" s="36" t="n">
        <v>29</v>
      </c>
      <c r="U852" s="37" t="n">
        <v>0.4677419354838709</v>
      </c>
      <c r="V852" s="38" t="n">
        <v>0</v>
      </c>
      <c r="W852" s="38" t="n">
        <v>2.721000000000001</v>
      </c>
      <c r="X852" s="38" t="n">
        <v>144.86</v>
      </c>
      <c r="Y852" s="38" t="n">
        <v>246.065</v>
      </c>
      <c r="Z852" s="38" t="n">
        <v>0</v>
      </c>
      <c r="AA852" s="36" t="n">
        <v>312</v>
      </c>
      <c r="AB852" s="37" t="n">
        <v>0.9096209912536443</v>
      </c>
      <c r="AC852" s="36" t="n">
        <v>31</v>
      </c>
      <c r="AD852" s="37" t="n">
        <v>0.6458333333333334</v>
      </c>
      <c r="AE852" s="36" t="n">
        <v>278</v>
      </c>
      <c r="AF852" s="37" t="n">
        <v>0.952054794520548</v>
      </c>
      <c r="AG852" s="36" t="n">
        <v>11</v>
      </c>
      <c r="AH852" s="37" t="n">
        <v>0.3548387096774194</v>
      </c>
    </row>
    <row r="853">
      <c r="A853" s="53" t="n">
        <v>45773</v>
      </c>
      <c r="B853" t="inlineStr">
        <is>
          <t>R01_Sumbagut</t>
        </is>
      </c>
      <c r="C853" t="inlineStr">
        <is>
          <t>NOP BINJAI</t>
        </is>
      </c>
      <c r="D853" s="38" t="n">
        <v>2.42</v>
      </c>
      <c r="E853" s="38" t="n">
        <v>2.096</v>
      </c>
      <c r="F853" s="36" t="n">
        <v>5.530000000000003</v>
      </c>
      <c r="G853" s="36" t="n">
        <v>4.789000000000001</v>
      </c>
      <c r="H853" s="36" t="n">
        <v>40</v>
      </c>
      <c r="I853" s="37" t="n">
        <v>0.7142857142857143</v>
      </c>
      <c r="J853" s="36" t="n">
        <v>14</v>
      </c>
      <c r="K853" s="37" t="n">
        <v>0.9333333333333333</v>
      </c>
      <c r="L853" s="36" t="n">
        <v>26</v>
      </c>
      <c r="M853" s="37" t="n">
        <v>0.6341463414634146</v>
      </c>
      <c r="N853" s="36" t="n">
        <v>10</v>
      </c>
      <c r="O853" s="37" t="n">
        <v>0.7142857142857143</v>
      </c>
      <c r="P853" s="36" t="n">
        <v>10</v>
      </c>
      <c r="Q853" s="37" t="n">
        <v>0.7142857142857143</v>
      </c>
      <c r="R853" s="36" t="n">
        <v>56</v>
      </c>
      <c r="S853" s="37" t="n">
        <v>1</v>
      </c>
      <c r="T853" s="36" t="n">
        <v>29</v>
      </c>
      <c r="U853" s="37" t="n">
        <v>0.5178571428571429</v>
      </c>
      <c r="V853" s="38" t="n">
        <v>0</v>
      </c>
      <c r="W853" s="38" t="n">
        <v>1.927999999999999</v>
      </c>
      <c r="X853" s="38" t="n">
        <v>22.42000000000001</v>
      </c>
      <c r="Y853" s="38" t="n">
        <v>93.36000000000016</v>
      </c>
      <c r="Z853" s="38" t="n">
        <v>0</v>
      </c>
      <c r="AA853" s="36" t="n">
        <v>54</v>
      </c>
      <c r="AB853" s="37" t="n">
        <v>0.7012987012987013</v>
      </c>
      <c r="AC853" s="36" t="n">
        <v>13</v>
      </c>
      <c r="AD853" s="37" t="n">
        <v>0.5416666666666666</v>
      </c>
      <c r="AE853" s="36" t="n">
        <v>38</v>
      </c>
      <c r="AF853" s="37" t="n">
        <v>0.76</v>
      </c>
      <c r="AG853" s="36" t="n">
        <v>10</v>
      </c>
      <c r="AH853" s="37" t="n">
        <v>0.7692307692307693</v>
      </c>
    </row>
    <row r="854">
      <c r="A854" s="53" t="n">
        <v>45773</v>
      </c>
      <c r="B854" t="inlineStr">
        <is>
          <t>R01_Sumbagut</t>
        </is>
      </c>
      <c r="C854" t="inlineStr">
        <is>
          <t>NOP MEDAN</t>
        </is>
      </c>
      <c r="D854" s="38" t="n">
        <v>0</v>
      </c>
      <c r="E854" s="38" t="n">
        <v>3.766000000000002</v>
      </c>
      <c r="F854" s="36" t="n">
        <v>4.93</v>
      </c>
      <c r="G854" s="36" t="n">
        <v>10.81100000000001</v>
      </c>
      <c r="H854" s="36" t="n">
        <v>11</v>
      </c>
      <c r="I854" s="37" t="n">
        <v>0.2444444444444444</v>
      </c>
      <c r="J854" s="36" t="n">
        <v>2</v>
      </c>
      <c r="K854" s="37" t="n">
        <v>0.1538461538461539</v>
      </c>
      <c r="L854" s="36" t="n">
        <v>9</v>
      </c>
      <c r="M854" s="37" t="n">
        <v>0.28125</v>
      </c>
      <c r="N854" s="36" t="n">
        <v>2</v>
      </c>
      <c r="O854" s="37" t="n">
        <v>1</v>
      </c>
      <c r="P854" s="36" t="n">
        <v>2</v>
      </c>
      <c r="Q854" s="37" t="n">
        <v>1</v>
      </c>
      <c r="R854" s="36" t="n">
        <v>45</v>
      </c>
      <c r="S854" s="37" t="n">
        <v>1</v>
      </c>
      <c r="T854" s="36" t="n">
        <v>5</v>
      </c>
      <c r="U854" s="37" t="n">
        <v>0.1111111111111111</v>
      </c>
      <c r="V854" s="38" t="n">
        <v>0</v>
      </c>
      <c r="W854" s="38" t="n">
        <v>215.7320000000001</v>
      </c>
      <c r="X854" s="38" t="n">
        <v>19.36200000000001</v>
      </c>
      <c r="Y854" s="38" t="n">
        <v>162.096</v>
      </c>
      <c r="Z854" s="38" t="n">
        <v>0</v>
      </c>
      <c r="AA854" s="36" t="n">
        <v>11</v>
      </c>
      <c r="AB854" s="37" t="n">
        <v>0.2972972972972973</v>
      </c>
      <c r="AC854" s="36" t="n">
        <v>1</v>
      </c>
      <c r="AD854" s="37" t="n">
        <v>0.1111111111111111</v>
      </c>
      <c r="AE854" s="36" t="n">
        <v>10</v>
      </c>
      <c r="AF854" s="37" t="n">
        <v>0.3703703703703703</v>
      </c>
      <c r="AG854" s="36" t="n">
        <v>1</v>
      </c>
      <c r="AH854" s="37" t="n">
        <v>1</v>
      </c>
    </row>
    <row r="855">
      <c r="A855" s="53" t="n">
        <v>45773</v>
      </c>
      <c r="B855" t="inlineStr">
        <is>
          <t>R01_Sumbagut</t>
        </is>
      </c>
      <c r="C855" t="inlineStr">
        <is>
          <t>NOP PADANG SIDEMPUAN</t>
        </is>
      </c>
      <c r="D855" s="38" t="n">
        <v>0</v>
      </c>
      <c r="E855" s="38" t="n">
        <v>5.074</v>
      </c>
      <c r="F855" s="36" t="n">
        <v>6.489</v>
      </c>
      <c r="G855" s="36" t="n">
        <v>6.619</v>
      </c>
      <c r="H855" s="36" t="n">
        <v>34</v>
      </c>
      <c r="I855" s="37" t="n">
        <v>0.2344827586206897</v>
      </c>
      <c r="J855" s="36" t="n">
        <v>5</v>
      </c>
      <c r="K855" s="37" t="n">
        <v>0.2</v>
      </c>
      <c r="L855" s="36" t="n">
        <v>29</v>
      </c>
      <c r="M855" s="37" t="n">
        <v>0.2416666666666667</v>
      </c>
      <c r="N855" s="36" t="n">
        <v>3</v>
      </c>
      <c r="O855" s="37" t="n">
        <v>0.6</v>
      </c>
      <c r="P855" s="36" t="n">
        <v>3</v>
      </c>
      <c r="Q855" s="37" t="n">
        <v>0.6</v>
      </c>
      <c r="R855" s="36" t="n">
        <v>145</v>
      </c>
      <c r="S855" s="37" t="n">
        <v>1</v>
      </c>
      <c r="T855" s="36" t="n">
        <v>10</v>
      </c>
      <c r="U855" s="37" t="n">
        <v>0.06896551724137931</v>
      </c>
      <c r="V855" s="38" t="n">
        <v>0</v>
      </c>
      <c r="W855" s="38" t="n">
        <v>6.886</v>
      </c>
      <c r="X855" s="38" t="n">
        <v>11.22000000000001</v>
      </c>
      <c r="Y855" s="38" t="n">
        <v>70.616</v>
      </c>
      <c r="Z855" s="38" t="n">
        <v>0</v>
      </c>
      <c r="AA855" s="36" t="n">
        <v>91</v>
      </c>
      <c r="AB855" s="37" t="n">
        <v>0.2861635220125786</v>
      </c>
      <c r="AC855" s="36" t="n">
        <v>40</v>
      </c>
      <c r="AD855" s="37" t="n">
        <v>0.4</v>
      </c>
      <c r="AE855" s="36" t="n">
        <v>50</v>
      </c>
      <c r="AF855" s="37" t="n">
        <v>0.2314814814814815</v>
      </c>
      <c r="AG855" s="36" t="n">
        <v>18</v>
      </c>
      <c r="AH855" s="37" t="n">
        <v>0.45</v>
      </c>
    </row>
    <row r="856">
      <c r="A856" s="53" t="n">
        <v>45773</v>
      </c>
      <c r="B856" t="inlineStr">
        <is>
          <t>R01_Sumbagut</t>
        </is>
      </c>
      <c r="C856" t="inlineStr">
        <is>
          <t>NOP PEMATANG SIANTAR</t>
        </is>
      </c>
      <c r="D856" s="38" t="n">
        <v>1.902</v>
      </c>
      <c r="E856" s="38" t="n">
        <v>5.812000000000001</v>
      </c>
      <c r="F856" s="36" t="n">
        <v>4.38</v>
      </c>
      <c r="G856" s="36" t="n">
        <v>3.630000000000002</v>
      </c>
      <c r="H856" s="36" t="n">
        <v>24</v>
      </c>
      <c r="I856" s="37" t="n">
        <v>0.3116883116883117</v>
      </c>
      <c r="J856" s="36" t="n">
        <v>6</v>
      </c>
      <c r="K856" s="37" t="n">
        <v>0.3157894736842105</v>
      </c>
      <c r="L856" s="36" t="n">
        <v>18</v>
      </c>
      <c r="M856" s="37" t="n">
        <v>0.3103448275862069</v>
      </c>
      <c r="N856" s="36" t="n">
        <v>5</v>
      </c>
      <c r="O856" s="37" t="n">
        <v>0.8333333333333334</v>
      </c>
      <c r="P856" s="36" t="n">
        <v>5</v>
      </c>
      <c r="Q856" s="37" t="n">
        <v>0.8333333333333334</v>
      </c>
      <c r="R856" s="36" t="n">
        <v>76</v>
      </c>
      <c r="S856" s="37" t="n">
        <v>0.987012987012987</v>
      </c>
      <c r="T856" s="36" t="n">
        <v>19</v>
      </c>
      <c r="U856" s="37" t="n">
        <v>0.2467532467532468</v>
      </c>
      <c r="V856" s="38" t="n">
        <v>0</v>
      </c>
      <c r="W856" s="38" t="n">
        <v>8.01</v>
      </c>
      <c r="X856" s="38" t="n">
        <v>50.83800000000005</v>
      </c>
      <c r="Y856" s="38" t="n">
        <v>59.94</v>
      </c>
      <c r="Z856" s="38" t="n">
        <v>0</v>
      </c>
      <c r="AA856" s="36" t="n">
        <v>47</v>
      </c>
      <c r="AB856" s="37" t="n">
        <v>0.1263440860215054</v>
      </c>
      <c r="AC856" s="36" t="n">
        <v>12</v>
      </c>
      <c r="AD856" s="37" t="n">
        <v>0.3333333333333333</v>
      </c>
      <c r="AE856" s="36" t="n">
        <v>33</v>
      </c>
      <c r="AF856" s="37" t="n">
        <v>0.09880239520958084</v>
      </c>
      <c r="AG856" s="36" t="n">
        <v>9</v>
      </c>
      <c r="AH856" s="37" t="n">
        <v>0.75</v>
      </c>
    </row>
    <row r="857">
      <c r="A857" s="53" t="n">
        <v>45773</v>
      </c>
      <c r="B857" t="inlineStr">
        <is>
          <t>R01_Sumbagut</t>
        </is>
      </c>
      <c r="C857" t="inlineStr">
        <is>
          <t>NOP RANTAU PRAPAT</t>
        </is>
      </c>
      <c r="D857" s="38" t="n">
        <v>2.948</v>
      </c>
      <c r="E857" s="38" t="n">
        <v>3.39</v>
      </c>
      <c r="F857" s="36" t="n">
        <v>3.287999999999998</v>
      </c>
      <c r="G857" s="36" t="n">
        <v>1.638000000000001</v>
      </c>
      <c r="H857" s="36" t="n">
        <v>49</v>
      </c>
      <c r="I857" s="37" t="n">
        <v>0.2355769230769231</v>
      </c>
      <c r="J857" s="36" t="n">
        <v>8</v>
      </c>
      <c r="K857" s="37" t="n">
        <v>0.3076923076923077</v>
      </c>
      <c r="L857" s="36" t="n">
        <v>41</v>
      </c>
      <c r="M857" s="37" t="n">
        <v>0.2252747252747253</v>
      </c>
      <c r="N857" s="36" t="n">
        <v>7</v>
      </c>
      <c r="O857" s="37" t="n">
        <v>0.875</v>
      </c>
      <c r="P857" s="36" t="n">
        <v>7</v>
      </c>
      <c r="Q857" s="37" t="n">
        <v>0.875</v>
      </c>
      <c r="R857" s="36" t="n">
        <v>206</v>
      </c>
      <c r="S857" s="37" t="n">
        <v>0.9903846153846154</v>
      </c>
      <c r="T857" s="36" t="n">
        <v>33</v>
      </c>
      <c r="U857" s="37" t="n">
        <v>0.1586538461538461</v>
      </c>
      <c r="V857" s="38" t="n">
        <v>0</v>
      </c>
      <c r="W857" s="38" t="n">
        <v>6.165</v>
      </c>
      <c r="X857" s="38" t="n">
        <v>51.87900000000001</v>
      </c>
      <c r="Y857" s="38" t="n">
        <v>50.514</v>
      </c>
      <c r="Z857" s="38" t="n">
        <v>0</v>
      </c>
      <c r="AA857" s="36" t="n">
        <v>24</v>
      </c>
      <c r="AB857" s="37" t="n">
        <v>0.0802675585284281</v>
      </c>
      <c r="AC857" s="36" t="n">
        <v>4</v>
      </c>
      <c r="AD857" s="37" t="n">
        <v>0.1111111111111111</v>
      </c>
      <c r="AE857" s="36" t="n">
        <v>17</v>
      </c>
      <c r="AF857" s="37" t="n">
        <v>0.06719367588932806</v>
      </c>
      <c r="AG857" s="36" t="n">
        <v>4</v>
      </c>
      <c r="AH857" s="37" t="n">
        <v>1</v>
      </c>
    </row>
    <row r="858">
      <c r="A858" s="53" t="n">
        <v>45773</v>
      </c>
      <c r="B858" t="inlineStr">
        <is>
          <t>R10_Sumbagteng</t>
        </is>
      </c>
      <c r="C858" t="inlineStr">
        <is>
          <t>NOP BATAM</t>
        </is>
      </c>
      <c r="D858" s="38" t="n">
        <v>4.552</v>
      </c>
      <c r="E858" s="38" t="n">
        <v>21.508</v>
      </c>
      <c r="F858" s="36" t="n">
        <v>22.25400000000002</v>
      </c>
      <c r="G858" s="36" t="n">
        <v>6.268000000000001</v>
      </c>
      <c r="H858" s="36" t="n">
        <v>21</v>
      </c>
      <c r="I858" s="37" t="n">
        <v>0.1555555555555556</v>
      </c>
      <c r="J858" s="36" t="n">
        <v>2</v>
      </c>
      <c r="K858" s="37" t="n">
        <v>0.09090909090909091</v>
      </c>
      <c r="L858" s="36" t="n">
        <v>19</v>
      </c>
      <c r="M858" s="37" t="n">
        <v>0.168141592920354</v>
      </c>
      <c r="N858" s="36" t="n">
        <v>1</v>
      </c>
      <c r="O858" s="37" t="n">
        <v>0.5</v>
      </c>
      <c r="P858" s="36" t="n">
        <v>1</v>
      </c>
      <c r="Q858" s="37" t="n">
        <v>0.5</v>
      </c>
      <c r="R858" s="36" t="n">
        <v>133</v>
      </c>
      <c r="S858" s="37" t="n">
        <v>0.9851851851851852</v>
      </c>
      <c r="T858" s="36" t="n">
        <v>13</v>
      </c>
      <c r="U858" s="37" t="n">
        <v>0.0962962962962963</v>
      </c>
      <c r="V858" s="38" t="n">
        <v>0</v>
      </c>
      <c r="W858" s="38" t="n">
        <v>7.994000000000005</v>
      </c>
      <c r="X858" s="38" t="n">
        <v>97.23800000000001</v>
      </c>
      <c r="Y858" s="38" t="n">
        <v>97.26400000000004</v>
      </c>
      <c r="Z858" s="38" t="n">
        <v>0</v>
      </c>
      <c r="AA858" s="36" t="n">
        <v>18</v>
      </c>
      <c r="AB858" s="37" t="n">
        <v>0.05844155844155844</v>
      </c>
      <c r="AC858" s="36" t="n">
        <v>12</v>
      </c>
      <c r="AD858" s="37" t="n">
        <v>0.2448979591836735</v>
      </c>
      <c r="AE858" s="36" t="n">
        <v>6</v>
      </c>
      <c r="AF858" s="37" t="n">
        <v>0.02362204724409449</v>
      </c>
      <c r="AG858" s="36" t="n">
        <v>10</v>
      </c>
      <c r="AH858" s="37" t="n">
        <v>0.8333333333333334</v>
      </c>
    </row>
    <row r="859">
      <c r="A859" s="53" t="n">
        <v>45773</v>
      </c>
      <c r="B859" t="inlineStr">
        <is>
          <t>R10_Sumbagteng</t>
        </is>
      </c>
      <c r="C859" t="inlineStr">
        <is>
          <t>NOP BUKITTINGGI</t>
        </is>
      </c>
      <c r="D859" s="38" t="n">
        <v>0</v>
      </c>
      <c r="E859" s="38" t="n">
        <v>3.17</v>
      </c>
      <c r="F859" s="36" t="n">
        <v>2.896000000000002</v>
      </c>
      <c r="G859" s="36" t="n">
        <v>6.890000000000001</v>
      </c>
      <c r="H859" s="36" t="n">
        <v>13</v>
      </c>
      <c r="I859" s="37" t="n">
        <v>0.5416666666666666</v>
      </c>
      <c r="J859" s="36" t="n">
        <v>3</v>
      </c>
      <c r="K859" s="37" t="n">
        <v>0.75</v>
      </c>
      <c r="L859" s="36" t="n">
        <v>10</v>
      </c>
      <c r="M859" s="37" t="n">
        <v>0.5</v>
      </c>
      <c r="N859" s="36" t="n">
        <v>3</v>
      </c>
      <c r="O859" s="37" t="n">
        <v>1</v>
      </c>
      <c r="P859" s="36" t="n">
        <v>3</v>
      </c>
      <c r="Q859" s="37" t="n">
        <v>1</v>
      </c>
      <c r="R859" s="36" t="n">
        <v>24</v>
      </c>
      <c r="S859" s="37" t="n">
        <v>1</v>
      </c>
      <c r="T859" s="36" t="n">
        <v>10</v>
      </c>
      <c r="U859" s="37" t="n">
        <v>0.4166666666666667</v>
      </c>
      <c r="V859" s="38" t="n">
        <v>0</v>
      </c>
      <c r="W859" s="38" t="n">
        <v>2.715</v>
      </c>
      <c r="X859" s="38" t="n">
        <v>7.23</v>
      </c>
      <c r="Y859" s="38" t="n">
        <v>69.06899999999999</v>
      </c>
      <c r="Z859" s="38" t="n">
        <v>0</v>
      </c>
      <c r="AA859" s="36" t="n">
        <v>52</v>
      </c>
      <c r="AB859" s="37" t="n">
        <v>0.40625</v>
      </c>
      <c r="AC859" s="36" t="n">
        <v>15</v>
      </c>
      <c r="AD859" s="37" t="n">
        <v>0.9375</v>
      </c>
      <c r="AE859" s="36" t="n">
        <v>35</v>
      </c>
      <c r="AF859" s="37" t="n">
        <v>0.3211009174311927</v>
      </c>
      <c r="AG859" s="36" t="n">
        <v>8</v>
      </c>
      <c r="AH859" s="37" t="n">
        <v>0.5333333333333333</v>
      </c>
    </row>
    <row r="860">
      <c r="A860" s="53" t="n">
        <v>45773</v>
      </c>
      <c r="B860" t="inlineStr">
        <is>
          <t>R10_Sumbagteng</t>
        </is>
      </c>
      <c r="C860" t="inlineStr">
        <is>
          <t>NOP DUMAI</t>
        </is>
      </c>
      <c r="D860" s="38" t="n">
        <v>5.42</v>
      </c>
      <c r="E860" s="38" t="n">
        <v>7.142000000000004</v>
      </c>
      <c r="F860" s="36" t="n">
        <v>5.71</v>
      </c>
      <c r="G860" s="36" t="n">
        <v>11.973</v>
      </c>
      <c r="H860" s="36" t="n">
        <v>86</v>
      </c>
      <c r="I860" s="37" t="n">
        <v>0.4971098265895953</v>
      </c>
      <c r="J860" s="36" t="n">
        <v>30</v>
      </c>
      <c r="K860" s="37" t="n">
        <v>0.4918032786885246</v>
      </c>
      <c r="L860" s="36" t="n">
        <v>56</v>
      </c>
      <c r="M860" s="37" t="n">
        <v>0.5</v>
      </c>
      <c r="N860" s="36" t="n">
        <v>23</v>
      </c>
      <c r="O860" s="37" t="n">
        <v>0.7666666666666667</v>
      </c>
      <c r="P860" s="36" t="n">
        <v>20</v>
      </c>
      <c r="Q860" s="37" t="n">
        <v>0.7692307692307693</v>
      </c>
      <c r="R860" s="36" t="n">
        <v>171</v>
      </c>
      <c r="S860" s="37" t="n">
        <v>0.9884393063583815</v>
      </c>
      <c r="T860" s="36" t="n">
        <v>54</v>
      </c>
      <c r="U860" s="37" t="n">
        <v>0.3121387283236994</v>
      </c>
      <c r="V860" s="38" t="n">
        <v>0.01</v>
      </c>
      <c r="W860" s="38" t="n">
        <v>5.285000000000002</v>
      </c>
      <c r="X860" s="38" t="n">
        <v>81.60400000000004</v>
      </c>
      <c r="Y860" s="38" t="n">
        <v>110.744</v>
      </c>
      <c r="Z860" s="38" t="n">
        <v>0</v>
      </c>
      <c r="AA860" s="36" t="n">
        <v>85</v>
      </c>
      <c r="AB860" s="37" t="n">
        <v>0.2733118971061093</v>
      </c>
      <c r="AC860" s="36" t="n">
        <v>17</v>
      </c>
      <c r="AD860" s="37" t="n">
        <v>0.288135593220339</v>
      </c>
      <c r="AE860" s="36" t="n">
        <v>68</v>
      </c>
      <c r="AF860" s="37" t="n">
        <v>0.2786885245901639</v>
      </c>
      <c r="AG860" s="36" t="n">
        <v>14</v>
      </c>
      <c r="AH860" s="37" t="n">
        <v>0.8235294117647058</v>
      </c>
    </row>
    <row r="861">
      <c r="A861" s="53" t="n">
        <v>45773</v>
      </c>
      <c r="B861" t="inlineStr">
        <is>
          <t>R10_Sumbagteng</t>
        </is>
      </c>
      <c r="C861" t="inlineStr">
        <is>
          <t>NOP PADANG</t>
        </is>
      </c>
      <c r="D861" s="38" t="n">
        <v>0</v>
      </c>
      <c r="E861" s="38" t="n">
        <v>1.546</v>
      </c>
      <c r="F861" s="36" t="n">
        <v>5.62</v>
      </c>
      <c r="G861" s="36" t="n">
        <v>4.695</v>
      </c>
      <c r="H861" s="36" t="n">
        <v>23</v>
      </c>
      <c r="I861" s="37" t="n">
        <v>0.6216216216216216</v>
      </c>
      <c r="J861" s="36" t="n">
        <v>1</v>
      </c>
      <c r="K861" s="37" t="n">
        <v>0.25</v>
      </c>
      <c r="L861" s="36" t="n">
        <v>22</v>
      </c>
      <c r="M861" s="37" t="n">
        <v>0.6666666666666666</v>
      </c>
      <c r="N861" s="36" t="n">
        <v>1</v>
      </c>
      <c r="O861" s="37" t="n">
        <v>1</v>
      </c>
      <c r="P861" s="36" t="n">
        <v>1</v>
      </c>
      <c r="Q861" s="37" t="n">
        <v>1</v>
      </c>
      <c r="R861" s="36" t="n">
        <v>36</v>
      </c>
      <c r="S861" s="37" t="n">
        <v>0.972972972972973</v>
      </c>
      <c r="T861" s="36" t="n">
        <v>8</v>
      </c>
      <c r="U861" s="37" t="n">
        <v>0.2162162162162162</v>
      </c>
      <c r="V861" s="38" t="n">
        <v>0</v>
      </c>
      <c r="W861" s="38" t="n">
        <v>4.736</v>
      </c>
      <c r="X861" s="38" t="n">
        <v>63.66799999999994</v>
      </c>
      <c r="Y861" s="38" t="n">
        <v>15.85</v>
      </c>
      <c r="Z861" s="38" t="n">
        <v>0</v>
      </c>
      <c r="AA861" s="36" t="n">
        <v>385</v>
      </c>
      <c r="AB861" s="37" t="n">
        <v>0.6503378378378378</v>
      </c>
      <c r="AC861" s="36" t="n">
        <v>20</v>
      </c>
      <c r="AD861" s="37" t="n">
        <v>0.8333333333333334</v>
      </c>
      <c r="AE861" s="36" t="n">
        <v>365</v>
      </c>
      <c r="AF861" s="37" t="n">
        <v>0.6437389770723104</v>
      </c>
      <c r="AG861" s="36" t="n">
        <v>10</v>
      </c>
      <c r="AH861" s="37" t="n">
        <v>0.5</v>
      </c>
    </row>
    <row r="862">
      <c r="A862" s="53" t="n">
        <v>45773</v>
      </c>
      <c r="B862" t="inlineStr">
        <is>
          <t>R10_Sumbagteng</t>
        </is>
      </c>
      <c r="C862" t="inlineStr">
        <is>
          <t>NOP PEKANBARU</t>
        </is>
      </c>
      <c r="D862" s="38" t="n">
        <v>3.32</v>
      </c>
      <c r="E862" s="38" t="n">
        <v>2.322000000000001</v>
      </c>
      <c r="F862" s="36" t="n">
        <v>4.111000000000002</v>
      </c>
      <c r="G862" s="36" t="n">
        <v>4.544</v>
      </c>
      <c r="H862" s="36" t="n">
        <v>89</v>
      </c>
      <c r="I862" s="37" t="n">
        <v>0.461139896373057</v>
      </c>
      <c r="J862" s="36" t="n">
        <v>18</v>
      </c>
      <c r="K862" s="37" t="n">
        <v>0.5294117647058824</v>
      </c>
      <c r="L862" s="36" t="n">
        <v>71</v>
      </c>
      <c r="M862" s="37" t="n">
        <v>0.4465408805031447</v>
      </c>
      <c r="N862" s="36" t="n">
        <v>12</v>
      </c>
      <c r="O862" s="37" t="n">
        <v>0.6666666666666666</v>
      </c>
      <c r="P862" s="36" t="n">
        <v>12</v>
      </c>
      <c r="Q862" s="37" t="n">
        <v>0.6666666666666666</v>
      </c>
      <c r="R862" s="36" t="n">
        <v>193</v>
      </c>
      <c r="S862" s="37" t="n">
        <v>1</v>
      </c>
      <c r="T862" s="36" t="n">
        <v>40</v>
      </c>
      <c r="U862" s="37" t="n">
        <v>0.2072538860103627</v>
      </c>
      <c r="V862" s="38" t="n">
        <v>0.02</v>
      </c>
      <c r="W862" s="38" t="n">
        <v>3.326000000000004</v>
      </c>
      <c r="X862" s="38" t="n">
        <v>43.84900000000002</v>
      </c>
      <c r="Y862" s="38" t="n">
        <v>108.436</v>
      </c>
      <c r="Z862" s="38" t="n">
        <v>0</v>
      </c>
      <c r="AA862" s="36" t="n">
        <v>88</v>
      </c>
      <c r="AB862" s="37" t="n">
        <v>0.2674772036474164</v>
      </c>
      <c r="AC862" s="36" t="n">
        <v>33</v>
      </c>
      <c r="AD862" s="37" t="n">
        <v>0.3267326732673267</v>
      </c>
      <c r="AE862" s="36" t="n">
        <v>54</v>
      </c>
      <c r="AF862" s="37" t="n">
        <v>0.2443438914027149</v>
      </c>
      <c r="AG862" s="36" t="n">
        <v>24</v>
      </c>
      <c r="AH862" s="37" t="n">
        <v>0.7272727272727273</v>
      </c>
    </row>
    <row r="863">
      <c r="A863" s="53" t="n">
        <v>45773</v>
      </c>
      <c r="B863" t="inlineStr">
        <is>
          <t>R02_Sumbagsel</t>
        </is>
      </c>
      <c r="C863" t="inlineStr">
        <is>
          <t>NOP BENGKULU</t>
        </is>
      </c>
      <c r="D863" s="38" t="n">
        <v>2.28</v>
      </c>
      <c r="E863" s="38" t="n">
        <v>7.248</v>
      </c>
      <c r="F863" s="36" t="n">
        <v>7.854000000000002</v>
      </c>
      <c r="G863" s="36" t="n">
        <v>6.949000000000001</v>
      </c>
      <c r="H863" s="36" t="n">
        <v>114</v>
      </c>
      <c r="I863" s="37" t="n">
        <v>0.3689320388349515</v>
      </c>
      <c r="J863" s="36" t="n">
        <v>64</v>
      </c>
      <c r="K863" s="37" t="n">
        <v>0.5161290322580645</v>
      </c>
      <c r="L863" s="36" t="n">
        <v>50</v>
      </c>
      <c r="M863" s="37" t="n">
        <v>0.2702702702702703</v>
      </c>
      <c r="N863" s="36" t="n">
        <v>26</v>
      </c>
      <c r="O863" s="37" t="n">
        <v>0.40625</v>
      </c>
      <c r="P863" s="36" t="n">
        <v>26</v>
      </c>
      <c r="Q863" s="37" t="n">
        <v>0.6046511627906976</v>
      </c>
      <c r="R863" s="36" t="n">
        <v>302</v>
      </c>
      <c r="S863" s="37" t="n">
        <v>0.9773462783171522</v>
      </c>
      <c r="T863" s="36" t="n">
        <v>47</v>
      </c>
      <c r="U863" s="37" t="n">
        <v>0.1521035598705502</v>
      </c>
      <c r="V863" s="38" t="n">
        <v>0</v>
      </c>
      <c r="W863" s="38" t="n">
        <v>8.766999999999999</v>
      </c>
      <c r="X863" s="38" t="n">
        <v>7.726000000000003</v>
      </c>
      <c r="Y863" s="38" t="n">
        <v>4.710000000000001</v>
      </c>
      <c r="Z863" s="38" t="n">
        <v>0</v>
      </c>
      <c r="AA863" s="36" t="n">
        <v>93</v>
      </c>
      <c r="AB863" s="37" t="n">
        <v>0.3286219081272085</v>
      </c>
      <c r="AC863" s="36" t="n">
        <v>74</v>
      </c>
      <c r="AD863" s="37" t="n">
        <v>0.3490566037735849</v>
      </c>
      <c r="AE863" s="36" t="n">
        <v>16</v>
      </c>
      <c r="AF863" s="37" t="n">
        <v>0.2666666666666667</v>
      </c>
      <c r="AG863" s="36" t="n">
        <v>62</v>
      </c>
      <c r="AH863" s="37" t="n">
        <v>0.8378378378378378</v>
      </c>
    </row>
    <row r="864">
      <c r="A864" s="53" t="n">
        <v>45773</v>
      </c>
      <c r="B864" t="inlineStr">
        <is>
          <t>R02_Sumbagsel</t>
        </is>
      </c>
      <c r="C864" t="inlineStr">
        <is>
          <t>NOP JAMBI</t>
        </is>
      </c>
      <c r="D864" s="38" t="n">
        <v>2.372</v>
      </c>
      <c r="E864" s="38" t="n">
        <v>5.27</v>
      </c>
      <c r="F864" s="36" t="n">
        <v>5.27</v>
      </c>
      <c r="G864" s="36" t="n">
        <v>5.490000000000001</v>
      </c>
      <c r="H864" s="36" t="n">
        <v>135</v>
      </c>
      <c r="I864" s="37" t="n">
        <v>0.6221198156682027</v>
      </c>
      <c r="J864" s="36" t="n">
        <v>59</v>
      </c>
      <c r="K864" s="37" t="n">
        <v>0.6781609195402298</v>
      </c>
      <c r="L864" s="36" t="n">
        <v>76</v>
      </c>
      <c r="M864" s="37" t="n">
        <v>0.5846153846153846</v>
      </c>
      <c r="N864" s="36" t="n">
        <v>26</v>
      </c>
      <c r="O864" s="37" t="n">
        <v>0.4406779661016949</v>
      </c>
      <c r="P864" s="36" t="n">
        <v>26</v>
      </c>
      <c r="Q864" s="37" t="n">
        <v>0.6190476190476191</v>
      </c>
      <c r="R864" s="36" t="n">
        <v>202</v>
      </c>
      <c r="S864" s="37" t="n">
        <v>0.9308755760368663</v>
      </c>
      <c r="T864" s="36" t="n">
        <v>60</v>
      </c>
      <c r="U864" s="37" t="n">
        <v>0.2764976958525346</v>
      </c>
      <c r="V864" s="38" t="n">
        <v>0</v>
      </c>
      <c r="W864" s="38" t="n">
        <v>6.370000000000001</v>
      </c>
      <c r="X864" s="38" t="n">
        <v>9.902000000000001</v>
      </c>
      <c r="Y864" s="38" t="n">
        <v>15.285</v>
      </c>
      <c r="Z864" s="38" t="n">
        <v>0</v>
      </c>
      <c r="AA864" s="36" t="n">
        <v>115</v>
      </c>
      <c r="AB864" s="37" t="n">
        <v>0.5324074074074074</v>
      </c>
      <c r="AC864" s="36" t="n">
        <v>51</v>
      </c>
      <c r="AD864" s="37" t="n">
        <v>0.5151515151515151</v>
      </c>
      <c r="AE864" s="36" t="n">
        <v>54</v>
      </c>
      <c r="AF864" s="37" t="n">
        <v>0.5346534653465347</v>
      </c>
      <c r="AG864" s="36" t="n">
        <v>34</v>
      </c>
      <c r="AH864" s="37" t="n">
        <v>0.6666666666666666</v>
      </c>
    </row>
    <row r="865">
      <c r="A865" s="53" t="n">
        <v>45773</v>
      </c>
      <c r="B865" t="inlineStr">
        <is>
          <t>R02_Sumbagsel</t>
        </is>
      </c>
      <c r="C865" t="inlineStr">
        <is>
          <t>NOP LAMPUNG</t>
        </is>
      </c>
      <c r="D865" s="38" t="n">
        <v>0</v>
      </c>
      <c r="E865" s="38" t="n">
        <v>2.016</v>
      </c>
      <c r="F865" s="36" t="n">
        <v>5.38</v>
      </c>
      <c r="G865" s="36" t="n">
        <v>4.516000000000001</v>
      </c>
      <c r="H865" s="36" t="n">
        <v>15</v>
      </c>
      <c r="I865" s="37" t="n">
        <v>0.625</v>
      </c>
      <c r="J865" s="36" t="n">
        <v>2</v>
      </c>
      <c r="K865" s="37" t="n">
        <v>1</v>
      </c>
      <c r="L865" s="36" t="n">
        <v>13</v>
      </c>
      <c r="M865" s="37" t="n">
        <v>0.5909090909090909</v>
      </c>
      <c r="N865" s="36" t="n">
        <v>1</v>
      </c>
      <c r="O865" s="37" t="n">
        <v>0.5</v>
      </c>
      <c r="P865" s="36" t="n">
        <v>1</v>
      </c>
      <c r="Q865" s="37" t="n">
        <v>0.5</v>
      </c>
      <c r="R865" s="36" t="n">
        <v>24</v>
      </c>
      <c r="S865" s="37" t="n">
        <v>1</v>
      </c>
      <c r="T865" s="36" t="n">
        <v>12</v>
      </c>
      <c r="U865" s="37" t="n">
        <v>0.5</v>
      </c>
      <c r="V865" s="38" t="n">
        <v>0</v>
      </c>
      <c r="W865" s="38" t="n">
        <v>5.813000000000003</v>
      </c>
      <c r="X865" s="38" t="n">
        <v>4.926000000000002</v>
      </c>
      <c r="Y865" s="38" t="n">
        <v>18.95599999999999</v>
      </c>
      <c r="Z865" s="38" t="n">
        <v>0</v>
      </c>
      <c r="AA865" s="36" t="n">
        <v>79</v>
      </c>
      <c r="AB865" s="37" t="n">
        <v>0.8876404494382022</v>
      </c>
      <c r="AC865" s="36" t="n">
        <v>16</v>
      </c>
      <c r="AD865" s="37" t="n">
        <v>0.7272727272727273</v>
      </c>
      <c r="AE865" s="36" t="n">
        <v>59</v>
      </c>
      <c r="AF865" s="37" t="n">
        <v>0.9516129032258065</v>
      </c>
      <c r="AG865" s="36" t="n">
        <v>15</v>
      </c>
      <c r="AH865" s="37" t="n">
        <v>0.9375</v>
      </c>
    </row>
    <row r="866">
      <c r="A866" s="53" t="n">
        <v>45773</v>
      </c>
      <c r="B866" t="inlineStr">
        <is>
          <t>R02_Sumbagsel</t>
        </is>
      </c>
      <c r="C866" t="inlineStr">
        <is>
          <t>NOP MUARA ENIM</t>
        </is>
      </c>
      <c r="D866" s="38" t="n">
        <v>3.01</v>
      </c>
      <c r="E866" s="38" t="n">
        <v>3.598000000000001</v>
      </c>
      <c r="F866" s="36" t="n">
        <v>5.76</v>
      </c>
      <c r="G866" s="36" t="n">
        <v>4.52</v>
      </c>
      <c r="H866" s="36" t="n">
        <v>78</v>
      </c>
      <c r="I866" s="37" t="n">
        <v>0.2977099236641221</v>
      </c>
      <c r="J866" s="36" t="n">
        <v>8</v>
      </c>
      <c r="K866" s="37" t="n">
        <v>0.2</v>
      </c>
      <c r="L866" s="36" t="n">
        <v>70</v>
      </c>
      <c r="M866" s="37" t="n">
        <v>0.3153153153153153</v>
      </c>
      <c r="N866" s="36" t="n">
        <v>5</v>
      </c>
      <c r="O866" s="37" t="n">
        <v>0.625</v>
      </c>
      <c r="P866" s="36" t="n">
        <v>5</v>
      </c>
      <c r="Q866" s="37" t="n">
        <v>0.625</v>
      </c>
      <c r="R866" s="36" t="n">
        <v>259</v>
      </c>
      <c r="S866" s="37" t="n">
        <v>0.9885496183206107</v>
      </c>
      <c r="T866" s="36" t="n">
        <v>32</v>
      </c>
      <c r="U866" s="37" t="n">
        <v>0.1221374045801527</v>
      </c>
      <c r="V866" s="38" t="n">
        <v>0</v>
      </c>
      <c r="W866" s="38" t="n">
        <v>3.892</v>
      </c>
      <c r="X866" s="38" t="n">
        <v>6.811000000000002</v>
      </c>
      <c r="Y866" s="38" t="n">
        <v>22.43400000000001</v>
      </c>
      <c r="Z866" s="38" t="n">
        <v>0</v>
      </c>
      <c r="AA866" s="36" t="n">
        <v>97</v>
      </c>
      <c r="AB866" s="37" t="n">
        <v>0.3849206349206349</v>
      </c>
      <c r="AC866" s="36" t="n">
        <v>44</v>
      </c>
      <c r="AD866" s="37" t="n">
        <v>0.3577235772357724</v>
      </c>
      <c r="AE866" s="36" t="n">
        <v>52</v>
      </c>
      <c r="AF866" s="37" t="n">
        <v>0.5148514851485149</v>
      </c>
      <c r="AG866" s="36" t="n">
        <v>33</v>
      </c>
      <c r="AH866" s="37" t="n">
        <v>0.75</v>
      </c>
    </row>
    <row r="867">
      <c r="A867" s="53" t="n">
        <v>45773</v>
      </c>
      <c r="B867" t="inlineStr">
        <is>
          <t>R02_Sumbagsel</t>
        </is>
      </c>
      <c r="C867" t="inlineStr">
        <is>
          <t>NOP PALEMBANG</t>
        </is>
      </c>
      <c r="D867" s="38" t="n">
        <v>2.94</v>
      </c>
      <c r="E867" s="38" t="n">
        <v>2.92</v>
      </c>
      <c r="F867" s="36" t="n">
        <v>8.455</v>
      </c>
      <c r="G867" s="36" t="n">
        <v>7.178000000000001</v>
      </c>
      <c r="H867" s="36" t="n">
        <v>82</v>
      </c>
      <c r="I867" s="37" t="n">
        <v>0.2530864197530864</v>
      </c>
      <c r="J867" s="36" t="n">
        <v>12</v>
      </c>
      <c r="K867" s="37" t="n">
        <v>0.2926829268292683</v>
      </c>
      <c r="L867" s="36" t="n">
        <v>70</v>
      </c>
      <c r="M867" s="37" t="n">
        <v>0.2473498233215548</v>
      </c>
      <c r="N867" s="36" t="n">
        <v>8</v>
      </c>
      <c r="O867" s="37" t="n">
        <v>0.6666666666666666</v>
      </c>
      <c r="P867" s="36" t="n">
        <v>8</v>
      </c>
      <c r="Q867" s="37" t="n">
        <v>0.6666666666666666</v>
      </c>
      <c r="R867" s="36" t="n">
        <v>324</v>
      </c>
      <c r="S867" s="37" t="n">
        <v>1</v>
      </c>
      <c r="T867" s="36" t="n">
        <v>38</v>
      </c>
      <c r="U867" s="37" t="n">
        <v>0.1172839506172839</v>
      </c>
      <c r="V867" s="38" t="n">
        <v>0</v>
      </c>
      <c r="W867" s="38" t="n">
        <v>5.782000000000001</v>
      </c>
      <c r="X867" s="38" t="n">
        <v>18.12399999999999</v>
      </c>
      <c r="Y867" s="38" t="n">
        <v>11.656</v>
      </c>
      <c r="Z867" s="38" t="n">
        <v>0</v>
      </c>
      <c r="AA867" s="36" t="n">
        <v>46</v>
      </c>
      <c r="AB867" s="37" t="n">
        <v>0.2254901960784314</v>
      </c>
      <c r="AC867" s="36" t="n">
        <v>20</v>
      </c>
      <c r="AD867" s="37" t="n">
        <v>0.1818181818181818</v>
      </c>
      <c r="AE867" s="36" t="n">
        <v>26</v>
      </c>
      <c r="AF867" s="37" t="n">
        <v>0.3421052631578947</v>
      </c>
      <c r="AG867" s="36" t="n">
        <v>14</v>
      </c>
      <c r="AH867" s="37" t="n">
        <v>0.7</v>
      </c>
    </row>
    <row r="868">
      <c r="A868" s="53" t="n">
        <v>45773</v>
      </c>
      <c r="B868" t="inlineStr">
        <is>
          <t>R02_Sumbagsel</t>
        </is>
      </c>
      <c r="C868" t="inlineStr">
        <is>
          <t>NOP PANGKAL PINANG</t>
        </is>
      </c>
      <c r="D868" s="38" t="n">
        <v>0</v>
      </c>
      <c r="E868" s="38" t="n">
        <v>3.94</v>
      </c>
      <c r="F868" s="36" t="n">
        <v>1.57</v>
      </c>
      <c r="G868" s="36" t="n">
        <v>5.73</v>
      </c>
      <c r="H868" s="36" t="n">
        <v>25</v>
      </c>
      <c r="I868" s="37" t="n">
        <v>0.7142857142857143</v>
      </c>
      <c r="J868" s="36" t="n">
        <v>3</v>
      </c>
      <c r="K868" s="37" t="n">
        <v>1</v>
      </c>
      <c r="L868" s="36" t="n">
        <v>22</v>
      </c>
      <c r="M868" s="37" t="n">
        <v>0.6875</v>
      </c>
      <c r="N868" s="36" t="n">
        <v>1</v>
      </c>
      <c r="O868" s="37" t="n">
        <v>0.3333333333333333</v>
      </c>
      <c r="P868" s="36" t="n">
        <v>1</v>
      </c>
      <c r="Q868" s="37" t="n">
        <v>0.3333333333333333</v>
      </c>
      <c r="R868" s="36" t="n">
        <v>35</v>
      </c>
      <c r="S868" s="37" t="n">
        <v>1</v>
      </c>
      <c r="T868" s="36" t="n">
        <v>7</v>
      </c>
      <c r="U868" s="37" t="n">
        <v>0.2</v>
      </c>
      <c r="V868" s="38" t="n">
        <v>0</v>
      </c>
      <c r="W868" s="38" t="n">
        <v>3.752000000000001</v>
      </c>
      <c r="X868" s="38" t="n">
        <v>2.854</v>
      </c>
      <c r="Y868" s="38" t="n">
        <v>14.71999999999998</v>
      </c>
      <c r="Z868" s="38" t="n">
        <v>0</v>
      </c>
      <c r="AA868" s="36" t="n">
        <v>49</v>
      </c>
      <c r="AB868" s="37" t="n">
        <v>0.8166666666666667</v>
      </c>
      <c r="AC868" s="36" t="n">
        <v>12</v>
      </c>
      <c r="AD868" s="37" t="n">
        <v>0.8571428571428571</v>
      </c>
      <c r="AE868" s="36" t="n">
        <v>36</v>
      </c>
      <c r="AF868" s="37" t="n">
        <v>0.8571428571428571</v>
      </c>
      <c r="AG868" s="36" t="n">
        <v>9</v>
      </c>
      <c r="AH868" s="37" t="n">
        <v>0.75</v>
      </c>
    </row>
    <row r="869">
      <c r="A869" s="53" t="n">
        <v>45773</v>
      </c>
      <c r="B869" t="inlineStr">
        <is>
          <t>R05_Jawa Tengah DIY</t>
        </is>
      </c>
      <c r="C869" t="inlineStr">
        <is>
          <t>NOP MAGELANG</t>
        </is>
      </c>
      <c r="D869" s="38" t="n">
        <v>0.43</v>
      </c>
      <c r="E869" s="38" t="n">
        <v>0</v>
      </c>
      <c r="F869" s="36" t="n">
        <v>10.22</v>
      </c>
      <c r="G869" s="36" t="n">
        <v>8.83</v>
      </c>
      <c r="H869" s="36" t="n">
        <v>23</v>
      </c>
      <c r="I869" s="37" t="n">
        <v>0.8846153846153846</v>
      </c>
      <c r="J869" s="36" t="n">
        <v>1</v>
      </c>
      <c r="K869" s="37" t="n">
        <v>1</v>
      </c>
      <c r="L869" s="36" t="n">
        <v>22</v>
      </c>
      <c r="M869" s="37" t="n">
        <v>0.88</v>
      </c>
      <c r="N869" s="36" t="n">
        <v>1</v>
      </c>
      <c r="O869" s="37" t="n">
        <v>1</v>
      </c>
      <c r="P869" s="36" t="n">
        <v>1</v>
      </c>
      <c r="Q869" s="37" t="n">
        <v>1</v>
      </c>
      <c r="R869" s="36" t="n">
        <v>26</v>
      </c>
      <c r="S869" s="37" t="n">
        <v>1</v>
      </c>
      <c r="T869" s="36" t="n">
        <v>23</v>
      </c>
      <c r="U869" s="37" t="n">
        <v>0.8846153846153846</v>
      </c>
      <c r="V869" s="38" t="n">
        <v>0</v>
      </c>
      <c r="W869" s="38" t="n">
        <v>5.736000000000001</v>
      </c>
      <c r="X869" s="38" t="n">
        <v>8.610000000000001</v>
      </c>
      <c r="Y869" s="38" t="n">
        <v>18.62</v>
      </c>
      <c r="Z869" s="38" t="n">
        <v>0</v>
      </c>
      <c r="AA869" s="36" t="n">
        <v>34</v>
      </c>
      <c r="AB869" s="37" t="n">
        <v>0.9714285714285714</v>
      </c>
      <c r="AC869" s="36" t="n">
        <v>5</v>
      </c>
      <c r="AD869" s="37" t="n">
        <v>1</v>
      </c>
      <c r="AE869" s="36" t="n">
        <v>29</v>
      </c>
      <c r="AF869" s="37" t="n">
        <v>0.9666666666666667</v>
      </c>
      <c r="AG869" s="36" t="n">
        <v>5</v>
      </c>
      <c r="AH869" s="37" t="n">
        <v>1</v>
      </c>
    </row>
    <row r="870">
      <c r="A870" s="53" t="n">
        <v>45773</v>
      </c>
      <c r="B870" t="inlineStr">
        <is>
          <t>R05_Jawa Tengah DIY</t>
        </is>
      </c>
      <c r="C870" t="inlineStr">
        <is>
          <t>NOP PEKALONGAN</t>
        </is>
      </c>
      <c r="D870" s="38" t="n">
        <v>0.43</v>
      </c>
      <c r="E870" s="38" t="n">
        <v>0</v>
      </c>
      <c r="F870" s="36" t="n">
        <v>5.422000000000001</v>
      </c>
      <c r="G870" s="36" t="n">
        <v>2.685999999999999</v>
      </c>
      <c r="H870" s="36" t="n">
        <v>18</v>
      </c>
      <c r="I870" s="37" t="n">
        <v>0.75</v>
      </c>
      <c r="J870" s="36" t="n">
        <v>1</v>
      </c>
      <c r="K870" s="37" t="n">
        <v>1</v>
      </c>
      <c r="L870" s="36" t="n">
        <v>17</v>
      </c>
      <c r="M870" s="37" t="n">
        <v>0.7391304347826086</v>
      </c>
      <c r="N870" s="36" t="n">
        <v>1</v>
      </c>
      <c r="O870" s="37" t="n">
        <v>1</v>
      </c>
      <c r="P870" s="36" t="n">
        <v>1</v>
      </c>
      <c r="Q870" s="37" t="n">
        <v>1</v>
      </c>
      <c r="R870" s="36" t="n">
        <v>24</v>
      </c>
      <c r="S870" s="37" t="n">
        <v>1</v>
      </c>
      <c r="T870" s="36" t="n">
        <v>7</v>
      </c>
      <c r="U870" s="37" t="n">
        <v>0.2916666666666667</v>
      </c>
      <c r="V870" s="38" t="n">
        <v>0.01</v>
      </c>
      <c r="W870" s="38" t="n">
        <v>4.093999999999999</v>
      </c>
      <c r="X870" s="38" t="n">
        <v>4.355000000000002</v>
      </c>
      <c r="Y870" s="38" t="n">
        <v>53.224</v>
      </c>
      <c r="Z870" s="38" t="n">
        <v>0</v>
      </c>
      <c r="AA870" s="36" t="n">
        <v>40</v>
      </c>
      <c r="AB870" s="37" t="n">
        <v>0.9090909090909091</v>
      </c>
      <c r="AC870" s="36" t="n">
        <v>10</v>
      </c>
      <c r="AD870" s="37" t="n">
        <v>0.9090909090909091</v>
      </c>
      <c r="AE870" s="36" t="n">
        <v>30</v>
      </c>
      <c r="AF870" s="37" t="n">
        <v>0.9090909090909091</v>
      </c>
      <c r="AG870" s="36" t="n">
        <v>5</v>
      </c>
      <c r="AH870" s="37" t="n">
        <v>0.5</v>
      </c>
    </row>
    <row r="871">
      <c r="A871" s="53" t="n">
        <v>45773</v>
      </c>
      <c r="B871" t="inlineStr">
        <is>
          <t>R05_Jawa Tengah DIY</t>
        </is>
      </c>
      <c r="C871" t="inlineStr">
        <is>
          <t>NOP PURWOKERTO</t>
        </is>
      </c>
      <c r="D871" s="38" t="n">
        <v>17.598</v>
      </c>
      <c r="E871" s="38" t="n">
        <v>0</v>
      </c>
      <c r="F871" s="36" t="n">
        <v>4.31</v>
      </c>
      <c r="G871" s="36" t="n">
        <v>12.34</v>
      </c>
      <c r="H871" s="36" t="n">
        <v>13</v>
      </c>
      <c r="I871" s="37" t="n">
        <v>0.8666666666666667</v>
      </c>
      <c r="J871" s="36" t="n">
        <v>3</v>
      </c>
      <c r="K871" s="37" t="n">
        <v>1</v>
      </c>
      <c r="L871" s="36" t="n">
        <v>10</v>
      </c>
      <c r="M871" s="37" t="n">
        <v>0.8333333333333334</v>
      </c>
      <c r="N871" s="36" t="n">
        <v>3</v>
      </c>
      <c r="O871" s="37" t="n">
        <v>1</v>
      </c>
      <c r="P871" s="36" t="n">
        <v>3</v>
      </c>
      <c r="Q871" s="37" t="n">
        <v>1</v>
      </c>
      <c r="R871" s="36" t="n">
        <v>15</v>
      </c>
      <c r="S871" s="37" t="n">
        <v>1</v>
      </c>
      <c r="T871" s="36" t="n">
        <v>8</v>
      </c>
      <c r="U871" s="37" t="n">
        <v>0.5333333333333333</v>
      </c>
      <c r="V871" s="38" t="n">
        <v>0</v>
      </c>
      <c r="W871" s="38" t="n">
        <v>12.91</v>
      </c>
      <c r="X871" s="38" t="n">
        <v>4.89</v>
      </c>
      <c r="Y871" s="38" t="n">
        <v>12.52</v>
      </c>
      <c r="Z871" s="38" t="n">
        <v>0</v>
      </c>
      <c r="AA871" s="36" t="n">
        <v>20</v>
      </c>
      <c r="AB871" s="37" t="n">
        <v>0.8695652173913043</v>
      </c>
      <c r="AC871" s="36" t="n">
        <v>6</v>
      </c>
      <c r="AD871" s="37" t="n">
        <v>1</v>
      </c>
      <c r="AE871" s="36" t="n">
        <v>14</v>
      </c>
      <c r="AF871" s="37" t="n">
        <v>0.8235294117647058</v>
      </c>
      <c r="AG871" s="36" t="n">
        <v>3</v>
      </c>
      <c r="AH871" s="37" t="n">
        <v>0.5</v>
      </c>
    </row>
    <row r="872">
      <c r="A872" s="53" t="n">
        <v>45773</v>
      </c>
      <c r="B872" t="inlineStr">
        <is>
          <t>R05_Jawa Tengah DIY</t>
        </is>
      </c>
      <c r="C872" t="inlineStr">
        <is>
          <t>NOP SEMARANG</t>
        </is>
      </c>
      <c r="D872" s="38" t="n">
        <v>1.575</v>
      </c>
      <c r="E872" s="38" t="n">
        <v>0</v>
      </c>
      <c r="F872" s="36" t="n">
        <v>6.28</v>
      </c>
      <c r="G872" s="36" t="n">
        <v>10.958</v>
      </c>
      <c r="H872" s="36" t="n">
        <v>22</v>
      </c>
      <c r="I872" s="37" t="n">
        <v>0.5238095238095238</v>
      </c>
      <c r="J872" s="36" t="n">
        <v>3</v>
      </c>
      <c r="K872" s="37" t="n">
        <v>0.5</v>
      </c>
      <c r="L872" s="36" t="n">
        <v>19</v>
      </c>
      <c r="M872" s="37" t="n">
        <v>0.5277777777777778</v>
      </c>
      <c r="N872" s="36" t="n">
        <v>3</v>
      </c>
      <c r="O872" s="37" t="n">
        <v>1</v>
      </c>
      <c r="P872" s="36" t="n">
        <v>3</v>
      </c>
      <c r="Q872" s="37" t="n">
        <v>1</v>
      </c>
      <c r="R872" s="36" t="n">
        <v>39</v>
      </c>
      <c r="S872" s="37" t="n">
        <v>0.9285714285714286</v>
      </c>
      <c r="T872" s="36" t="n">
        <v>15</v>
      </c>
      <c r="U872" s="37" t="n">
        <v>0.3571428571428572</v>
      </c>
      <c r="V872" s="38" t="n">
        <v>0</v>
      </c>
      <c r="W872" s="38" t="n">
        <v>5.741999999999998</v>
      </c>
      <c r="X872" s="38" t="n">
        <v>6.603</v>
      </c>
      <c r="Y872" s="38" t="n">
        <v>55.02</v>
      </c>
      <c r="Z872" s="38" t="n">
        <v>0</v>
      </c>
      <c r="AA872" s="36" t="n">
        <v>40</v>
      </c>
      <c r="AB872" s="37" t="n">
        <v>0.8695652173913043</v>
      </c>
      <c r="AC872" s="36" t="n">
        <v>12</v>
      </c>
      <c r="AD872" s="37" t="n">
        <v>0.8</v>
      </c>
      <c r="AE872" s="36" t="n">
        <v>28</v>
      </c>
      <c r="AF872" s="37" t="n">
        <v>0.9032258064516129</v>
      </c>
      <c r="AG872" s="36" t="n">
        <v>11</v>
      </c>
      <c r="AH872" s="37" t="n">
        <v>0.9166666666666666</v>
      </c>
    </row>
    <row r="873">
      <c r="A873" s="53" t="n">
        <v>45773</v>
      </c>
      <c r="B873" t="inlineStr">
        <is>
          <t>R05_Jawa Tengah DIY</t>
        </is>
      </c>
      <c r="C873" t="inlineStr">
        <is>
          <t>NOP SURAKARTA</t>
        </is>
      </c>
      <c r="D873" s="38" t="n">
        <v>1.354</v>
      </c>
      <c r="E873" s="38" t="n">
        <v>0</v>
      </c>
      <c r="F873" s="36" t="n">
        <v>2.49</v>
      </c>
      <c r="G873" s="36" t="n">
        <v>1.97</v>
      </c>
      <c r="H873" s="36" t="n">
        <v>22</v>
      </c>
      <c r="I873" s="37" t="n">
        <v>0.7586206896551724</v>
      </c>
      <c r="J873" s="36" t="n">
        <v>3</v>
      </c>
      <c r="K873" s="37" t="n">
        <v>0.75</v>
      </c>
      <c r="L873" s="36" t="n">
        <v>19</v>
      </c>
      <c r="M873" s="37" t="n">
        <v>0.76</v>
      </c>
      <c r="N873" s="36" t="n">
        <v>3</v>
      </c>
      <c r="O873" s="37" t="n">
        <v>1</v>
      </c>
      <c r="P873" s="36" t="n">
        <v>3</v>
      </c>
      <c r="Q873" s="37" t="n">
        <v>1</v>
      </c>
      <c r="R873" s="36" t="n">
        <v>28</v>
      </c>
      <c r="S873" s="37" t="n">
        <v>0.9655172413793104</v>
      </c>
      <c r="T873" s="36" t="n">
        <v>16</v>
      </c>
      <c r="U873" s="37" t="n">
        <v>0.5517241379310345</v>
      </c>
      <c r="V873" s="38" t="n">
        <v>0</v>
      </c>
      <c r="W873" s="38" t="n">
        <v>3.858</v>
      </c>
      <c r="X873" s="38" t="n">
        <v>3.234</v>
      </c>
      <c r="Y873" s="38" t="n">
        <v>12.316</v>
      </c>
      <c r="Z873" s="38" t="n">
        <v>0</v>
      </c>
      <c r="AA873" s="36" t="n">
        <v>24</v>
      </c>
      <c r="AB873" s="37" t="n">
        <v>0.7741935483870968</v>
      </c>
      <c r="AC873" s="36" t="n">
        <v>8</v>
      </c>
      <c r="AD873" s="37" t="n">
        <v>0.8888888888888888</v>
      </c>
      <c r="AE873" s="36" t="n">
        <v>16</v>
      </c>
      <c r="AF873" s="37" t="n">
        <v>0.7272727272727273</v>
      </c>
      <c r="AG873" s="36" t="n">
        <v>6</v>
      </c>
      <c r="AH873" s="37" t="n">
        <v>0.75</v>
      </c>
    </row>
    <row r="874">
      <c r="A874" s="53" t="n">
        <v>45773</v>
      </c>
      <c r="B874" t="inlineStr">
        <is>
          <t>R05_Jawa Tengah DIY</t>
        </is>
      </c>
      <c r="C874" t="inlineStr">
        <is>
          <t>NOP YOGYAKARTA</t>
        </is>
      </c>
      <c r="D874" s="38" t="n">
        <v>2.028</v>
      </c>
      <c r="E874" s="38" t="n">
        <v>0</v>
      </c>
      <c r="F874" s="36" t="n">
        <v>2.105</v>
      </c>
      <c r="G874" s="36" t="n">
        <v>2.35</v>
      </c>
      <c r="H874" s="36" t="n">
        <v>6</v>
      </c>
      <c r="I874" s="37" t="n">
        <v>0.6</v>
      </c>
      <c r="J874" s="36" t="n">
        <v>2</v>
      </c>
      <c r="K874" s="37" t="n">
        <v>0.6666666666666666</v>
      </c>
      <c r="L874" s="36" t="n">
        <v>4</v>
      </c>
      <c r="M874" s="37" t="n">
        <v>0.5714285714285714</v>
      </c>
      <c r="N874" s="36" t="n">
        <v>2</v>
      </c>
      <c r="O874" s="37" t="n">
        <v>1</v>
      </c>
      <c r="P874" s="36" t="n">
        <v>2</v>
      </c>
      <c r="Q874" s="37" t="n">
        <v>1</v>
      </c>
      <c r="R874" s="36" t="n">
        <v>9</v>
      </c>
      <c r="S874" s="37" t="n">
        <v>0.9</v>
      </c>
      <c r="T874" s="36" t="n">
        <v>4</v>
      </c>
      <c r="U874" s="37" t="n">
        <v>0.4</v>
      </c>
      <c r="V874" s="38" t="n">
        <v>0</v>
      </c>
      <c r="W874" s="38" t="n">
        <v>1.696</v>
      </c>
      <c r="X874" s="38" t="n">
        <v>10.435</v>
      </c>
      <c r="Y874" s="38" t="n">
        <v>32.63</v>
      </c>
      <c r="Z874" s="38" t="n">
        <v>0</v>
      </c>
      <c r="AA874" s="36" t="n">
        <v>19</v>
      </c>
      <c r="AB874" s="37" t="n">
        <v>1</v>
      </c>
      <c r="AC874" s="36" t="n">
        <v>4</v>
      </c>
      <c r="AD874" s="37" t="n">
        <v>1</v>
      </c>
      <c r="AE874" s="36" t="n">
        <v>15</v>
      </c>
      <c r="AF874" s="37" t="n">
        <v>1</v>
      </c>
      <c r="AG874" s="36" t="n">
        <v>4</v>
      </c>
      <c r="AH874" s="37" t="n">
        <v>1</v>
      </c>
    </row>
    <row r="875">
      <c r="A875" s="53" t="n">
        <v>45773</v>
      </c>
      <c r="B875" t="inlineStr">
        <is>
          <t>R06_Jawa Timur</t>
        </is>
      </c>
      <c r="C875" t="inlineStr">
        <is>
          <t>NOP JEMBER</t>
        </is>
      </c>
      <c r="D875" s="38" t="n">
        <v>0</v>
      </c>
      <c r="E875" s="38" t="n">
        <v>0</v>
      </c>
      <c r="F875" s="36" t="n">
        <v>2.05</v>
      </c>
      <c r="G875" s="36" t="n">
        <v>2.616</v>
      </c>
      <c r="H875" s="36" t="n">
        <v>22</v>
      </c>
      <c r="I875" s="37" t="n">
        <v>0.88</v>
      </c>
      <c r="J875" s="36" t="n">
        <v>0</v>
      </c>
      <c r="K875" s="37" t="n">
        <v>0</v>
      </c>
      <c r="L875" s="36" t="n">
        <v>22</v>
      </c>
      <c r="M875" s="37" t="n">
        <v>0.88</v>
      </c>
      <c r="N875" s="36" t="n">
        <v>0</v>
      </c>
      <c r="O875" s="37" t="n">
        <v>0</v>
      </c>
      <c r="P875" s="36" t="n">
        <v>0</v>
      </c>
      <c r="Q875" s="37" t="n">
        <v>0</v>
      </c>
      <c r="R875" s="36" t="n">
        <v>25</v>
      </c>
      <c r="S875" s="37" t="n">
        <v>1</v>
      </c>
      <c r="T875" s="36" t="n">
        <v>13</v>
      </c>
      <c r="U875" s="37" t="n">
        <v>0.52</v>
      </c>
      <c r="V875" s="38" t="n">
        <v>0</v>
      </c>
      <c r="W875" s="38" t="n">
        <v>2.15</v>
      </c>
      <c r="X875" s="38" t="n">
        <v>2.09</v>
      </c>
      <c r="Y875" s="38" t="n">
        <v>21.551</v>
      </c>
      <c r="Z875" s="38" t="n">
        <v>0</v>
      </c>
      <c r="AA875" s="36" t="n">
        <v>36</v>
      </c>
      <c r="AB875" s="37" t="n">
        <v>0.8780487804878049</v>
      </c>
      <c r="AC875" s="36" t="n">
        <v>12</v>
      </c>
      <c r="AD875" s="37" t="n">
        <v>0.9230769230769231</v>
      </c>
      <c r="AE875" s="36" t="n">
        <v>24</v>
      </c>
      <c r="AF875" s="37" t="n">
        <v>0.8571428571428571</v>
      </c>
      <c r="AG875" s="36" t="n">
        <v>11</v>
      </c>
      <c r="AH875" s="37" t="n">
        <v>0.9166666666666666</v>
      </c>
    </row>
    <row r="876">
      <c r="A876" s="53" t="n">
        <v>45773</v>
      </c>
      <c r="B876" t="inlineStr">
        <is>
          <t>R06_Jawa Timur</t>
        </is>
      </c>
      <c r="C876" t="inlineStr">
        <is>
          <t>NOP KEDIRI</t>
        </is>
      </c>
      <c r="D876" s="38" t="n">
        <v>0.5600000000000001</v>
      </c>
      <c r="E876" s="38" t="n">
        <v>1.25</v>
      </c>
      <c r="F876" s="36" t="n">
        <v>1.974</v>
      </c>
      <c r="G876" s="36" t="n">
        <v>1.182</v>
      </c>
      <c r="H876" s="36" t="n">
        <v>11</v>
      </c>
      <c r="I876" s="37" t="n">
        <v>1</v>
      </c>
      <c r="J876" s="36" t="n">
        <v>3</v>
      </c>
      <c r="K876" s="37" t="n">
        <v>1</v>
      </c>
      <c r="L876" s="36" t="n">
        <v>8</v>
      </c>
      <c r="M876" s="37" t="n">
        <v>1</v>
      </c>
      <c r="N876" s="36" t="n">
        <v>3</v>
      </c>
      <c r="O876" s="37" t="n">
        <v>1</v>
      </c>
      <c r="P876" s="36" t="n">
        <v>3</v>
      </c>
      <c r="Q876" s="37" t="n">
        <v>1</v>
      </c>
      <c r="R876" s="36" t="n">
        <v>11</v>
      </c>
      <c r="S876" s="37" t="n">
        <v>1</v>
      </c>
      <c r="T876" s="36" t="n">
        <v>10</v>
      </c>
      <c r="U876" s="37" t="n">
        <v>0.9090909090909091</v>
      </c>
      <c r="V876" s="38" t="n">
        <v>0</v>
      </c>
      <c r="W876" s="38" t="n">
        <v>2.35</v>
      </c>
      <c r="X876" s="38" t="n">
        <v>2.628</v>
      </c>
      <c r="Y876" s="38" t="n">
        <v>0</v>
      </c>
      <c r="Z876" s="38" t="n">
        <v>0</v>
      </c>
      <c r="AA876" s="36" t="n">
        <v>11</v>
      </c>
      <c r="AB876" s="37" t="n">
        <v>1</v>
      </c>
      <c r="AC876" s="36" t="n">
        <v>6</v>
      </c>
      <c r="AD876" s="37" t="n">
        <v>1</v>
      </c>
      <c r="AE876" s="36" t="n">
        <v>5</v>
      </c>
      <c r="AF876" s="37" t="n">
        <v>1</v>
      </c>
      <c r="AG876" s="36" t="n">
        <v>6</v>
      </c>
      <c r="AH876" s="37" t="n">
        <v>1</v>
      </c>
    </row>
    <row r="877">
      <c r="A877" s="53" t="n">
        <v>45773</v>
      </c>
      <c r="B877" t="inlineStr">
        <is>
          <t>R06_Jawa Timur</t>
        </is>
      </c>
      <c r="C877" t="inlineStr">
        <is>
          <t>NOP LAMONGAN</t>
        </is>
      </c>
      <c r="D877" s="38" t="n">
        <v>1.79</v>
      </c>
      <c r="E877" s="38" t="n">
        <v>0</v>
      </c>
      <c r="F877" s="36" t="n">
        <v>1.754</v>
      </c>
      <c r="G877" s="36" t="n">
        <v>1.35</v>
      </c>
      <c r="H877" s="36" t="n">
        <v>12</v>
      </c>
      <c r="I877" s="37" t="n">
        <v>0.8571428571428571</v>
      </c>
      <c r="J877" s="36" t="n">
        <v>9</v>
      </c>
      <c r="K877" s="37" t="n">
        <v>0.9</v>
      </c>
      <c r="L877" s="36" t="n">
        <v>3</v>
      </c>
      <c r="M877" s="37" t="n">
        <v>0.75</v>
      </c>
      <c r="N877" s="36" t="n">
        <v>9</v>
      </c>
      <c r="O877" s="37" t="n">
        <v>1</v>
      </c>
      <c r="P877" s="36" t="n">
        <v>9</v>
      </c>
      <c r="Q877" s="37" t="n">
        <v>1</v>
      </c>
      <c r="R877" s="36" t="n">
        <v>14</v>
      </c>
      <c r="S877" s="37" t="n">
        <v>1</v>
      </c>
      <c r="T877" s="36" t="n">
        <v>11</v>
      </c>
      <c r="U877" s="37" t="n">
        <v>0.7857142857142857</v>
      </c>
      <c r="V877" s="38" t="n">
        <v>0</v>
      </c>
      <c r="W877" s="38" t="n">
        <v>1.53</v>
      </c>
      <c r="X877" s="38" t="n">
        <v>4.03</v>
      </c>
      <c r="Y877" s="38" t="n">
        <v>9.843</v>
      </c>
      <c r="Z877" s="38" t="n">
        <v>0</v>
      </c>
      <c r="AA877" s="36" t="n">
        <v>11</v>
      </c>
      <c r="AB877" s="37" t="n">
        <v>0.8461538461538461</v>
      </c>
      <c r="AC877" s="36" t="n">
        <v>4</v>
      </c>
      <c r="AD877" s="37" t="n">
        <v>0.6666666666666666</v>
      </c>
      <c r="AE877" s="36" t="n">
        <v>7</v>
      </c>
      <c r="AF877" s="37" t="n">
        <v>1</v>
      </c>
      <c r="AG877" s="36" t="n">
        <v>4</v>
      </c>
      <c r="AH877" s="37" t="n">
        <v>1</v>
      </c>
    </row>
    <row r="878">
      <c r="A878" s="53" t="n">
        <v>45773</v>
      </c>
      <c r="B878" t="inlineStr">
        <is>
          <t>R06_Jawa Timur</t>
        </is>
      </c>
      <c r="C878" t="inlineStr">
        <is>
          <t>NOP MADIUN</t>
        </is>
      </c>
      <c r="D878" s="38" t="n">
        <v>0</v>
      </c>
      <c r="E878" s="38" t="n">
        <v>0</v>
      </c>
      <c r="F878" s="36" t="n">
        <v>2.24</v>
      </c>
      <c r="G878" s="36" t="n">
        <v>1.437</v>
      </c>
      <c r="H878" s="36" t="n">
        <v>1</v>
      </c>
      <c r="I878" s="37" t="n">
        <v>0.125</v>
      </c>
      <c r="J878" s="36" t="n">
        <v>0</v>
      </c>
      <c r="K878" s="37" t="n">
        <v>0</v>
      </c>
      <c r="L878" s="36" t="n">
        <v>1</v>
      </c>
      <c r="M878" s="37" t="n">
        <v>0.125</v>
      </c>
      <c r="N878" s="36" t="n">
        <v>0</v>
      </c>
      <c r="O878" s="37" t="n">
        <v>0</v>
      </c>
      <c r="P878" s="36" t="n">
        <v>0</v>
      </c>
      <c r="Q878" s="37" t="n">
        <v>0</v>
      </c>
      <c r="R878" s="36" t="n">
        <v>5</v>
      </c>
      <c r="S878" s="37" t="n">
        <v>0.625</v>
      </c>
      <c r="T878" s="36" t="n">
        <v>1</v>
      </c>
      <c r="U878" s="37" t="n">
        <v>0.125</v>
      </c>
      <c r="V878" s="38" t="n">
        <v>0</v>
      </c>
      <c r="W878" s="38" t="n">
        <v>3.29</v>
      </c>
      <c r="X878" s="38" t="n">
        <v>14.051</v>
      </c>
      <c r="Y878" s="38" t="n">
        <v>7.5</v>
      </c>
      <c r="Z878" s="38" t="n">
        <v>0</v>
      </c>
      <c r="AA878" s="36" t="n">
        <v>15</v>
      </c>
      <c r="AB878" s="37" t="n">
        <v>0.8823529411764706</v>
      </c>
      <c r="AC878" s="36" t="n">
        <v>6</v>
      </c>
      <c r="AD878" s="37" t="n">
        <v>1</v>
      </c>
      <c r="AE878" s="36" t="n">
        <v>9</v>
      </c>
      <c r="AF878" s="37" t="n">
        <v>0.8181818181818182</v>
      </c>
      <c r="AG878" s="36" t="n">
        <v>6</v>
      </c>
      <c r="AH878" s="37" t="n">
        <v>1</v>
      </c>
    </row>
    <row r="879">
      <c r="A879" s="53" t="n">
        <v>45773</v>
      </c>
      <c r="B879" t="inlineStr">
        <is>
          <t>R06_Jawa Timur</t>
        </is>
      </c>
      <c r="C879" t="inlineStr">
        <is>
          <t>NOP MALANG</t>
        </is>
      </c>
      <c r="D879" s="38" t="n">
        <v>0</v>
      </c>
      <c r="E879" s="38" t="n">
        <v>0</v>
      </c>
      <c r="F879" s="36" t="n">
        <v>3.76</v>
      </c>
      <c r="G879" s="36" t="n">
        <v>4.248999999999999</v>
      </c>
      <c r="H879" s="36" t="n">
        <v>8</v>
      </c>
      <c r="I879" s="37" t="n">
        <v>0.8</v>
      </c>
      <c r="J879" s="36" t="n">
        <v>0</v>
      </c>
      <c r="K879" s="37" t="n">
        <v>0</v>
      </c>
      <c r="L879" s="36" t="n">
        <v>8</v>
      </c>
      <c r="M879" s="37" t="n">
        <v>0.8</v>
      </c>
      <c r="N879" s="36" t="n">
        <v>0</v>
      </c>
      <c r="O879" s="37" t="n">
        <v>0</v>
      </c>
      <c r="P879" s="36" t="n">
        <v>0</v>
      </c>
      <c r="Q879" s="37" t="n">
        <v>0</v>
      </c>
      <c r="R879" s="36" t="n">
        <v>10</v>
      </c>
      <c r="S879" s="37" t="n">
        <v>1</v>
      </c>
      <c r="T879" s="36" t="n">
        <v>6</v>
      </c>
      <c r="U879" s="37" t="n">
        <v>0.6</v>
      </c>
      <c r="V879" s="38" t="n">
        <v>0</v>
      </c>
      <c r="W879" s="38" t="n">
        <v>4.2</v>
      </c>
      <c r="X879" s="38" t="n">
        <v>2.205</v>
      </c>
      <c r="Y879" s="38" t="n">
        <v>0</v>
      </c>
      <c r="Z879" s="38" t="n">
        <v>0</v>
      </c>
      <c r="AA879" s="36" t="n">
        <v>8</v>
      </c>
      <c r="AB879" s="37" t="n">
        <v>0.8888888888888888</v>
      </c>
      <c r="AC879" s="36" t="n">
        <v>5</v>
      </c>
      <c r="AD879" s="37" t="n">
        <v>1</v>
      </c>
      <c r="AE879" s="36" t="n">
        <v>3</v>
      </c>
      <c r="AF879" s="37" t="n">
        <v>0.75</v>
      </c>
      <c r="AG879" s="36" t="n">
        <v>3</v>
      </c>
      <c r="AH879" s="37" t="n">
        <v>0.6</v>
      </c>
    </row>
    <row r="880">
      <c r="A880" s="53" t="n">
        <v>45773</v>
      </c>
      <c r="B880" t="inlineStr">
        <is>
          <t>R06_Jawa Timur</t>
        </is>
      </c>
      <c r="C880" t="inlineStr">
        <is>
          <t>NOP SIDOARJO</t>
        </is>
      </c>
      <c r="D880" s="38" t="n">
        <v>2.06</v>
      </c>
      <c r="E880" s="38" t="n">
        <v>0</v>
      </c>
      <c r="F880" s="36" t="n">
        <v>2.74</v>
      </c>
      <c r="G880" s="36" t="n">
        <v>0.9139999999999999</v>
      </c>
      <c r="H880" s="36" t="n">
        <v>10</v>
      </c>
      <c r="I880" s="37" t="n">
        <v>0.5263157894736842</v>
      </c>
      <c r="J880" s="36" t="n">
        <v>1</v>
      </c>
      <c r="K880" s="37" t="n">
        <v>1</v>
      </c>
      <c r="L880" s="36" t="n">
        <v>9</v>
      </c>
      <c r="M880" s="37" t="n">
        <v>0.5</v>
      </c>
      <c r="N880" s="36" t="n">
        <v>0</v>
      </c>
      <c r="O880" s="37" t="n">
        <v>0</v>
      </c>
      <c r="P880" s="36" t="n">
        <v>0</v>
      </c>
      <c r="Q880" s="37" t="n">
        <v>0</v>
      </c>
      <c r="R880" s="36" t="n">
        <v>19</v>
      </c>
      <c r="S880" s="37" t="n">
        <v>1</v>
      </c>
      <c r="T880" s="36" t="n">
        <v>8</v>
      </c>
      <c r="U880" s="37" t="n">
        <v>0.4210526315789473</v>
      </c>
      <c r="V880" s="38" t="n">
        <v>0</v>
      </c>
      <c r="W880" s="38" t="n">
        <v>2.138</v>
      </c>
      <c r="X880" s="38" t="n">
        <v>7.766000000000004</v>
      </c>
      <c r="Y880" s="38" t="n">
        <v>19.749</v>
      </c>
      <c r="Z880" s="38" t="n">
        <v>0</v>
      </c>
      <c r="AA880" s="36" t="n">
        <v>8</v>
      </c>
      <c r="AB880" s="37" t="n">
        <v>0.5714285714285714</v>
      </c>
      <c r="AC880" s="36" t="n">
        <v>1</v>
      </c>
      <c r="AD880" s="37" t="n">
        <v>0.3333333333333333</v>
      </c>
      <c r="AE880" s="36" t="n">
        <v>7</v>
      </c>
      <c r="AF880" s="37" t="n">
        <v>0.6363636363636364</v>
      </c>
      <c r="AG880" s="36" t="n">
        <v>1</v>
      </c>
      <c r="AH880" s="37" t="n">
        <v>1</v>
      </c>
    </row>
    <row r="881">
      <c r="A881" s="53" t="n">
        <v>45773</v>
      </c>
      <c r="B881" t="inlineStr">
        <is>
          <t>R06_Jawa Timur</t>
        </is>
      </c>
      <c r="C881" t="inlineStr">
        <is>
          <t>NOP SURABAYA</t>
        </is>
      </c>
      <c r="D881" s="38" t="n">
        <v>2.101</v>
      </c>
      <c r="E881" s="38" t="n">
        <v>0</v>
      </c>
      <c r="F881" s="36" t="n">
        <v>2.77</v>
      </c>
      <c r="G881" s="36" t="n">
        <v>5.27</v>
      </c>
      <c r="H881" s="36" t="n">
        <v>14</v>
      </c>
      <c r="I881" s="37" t="n">
        <v>0.6363636363636364</v>
      </c>
      <c r="J881" s="36" t="n">
        <v>2</v>
      </c>
      <c r="K881" s="37" t="n">
        <v>0.5</v>
      </c>
      <c r="L881" s="36" t="n">
        <v>12</v>
      </c>
      <c r="M881" s="37" t="n">
        <v>0.6666666666666666</v>
      </c>
      <c r="N881" s="36" t="n">
        <v>2</v>
      </c>
      <c r="O881" s="37" t="n">
        <v>1</v>
      </c>
      <c r="P881" s="36" t="n">
        <v>2</v>
      </c>
      <c r="Q881" s="37" t="n">
        <v>1</v>
      </c>
      <c r="R881" s="36" t="n">
        <v>21</v>
      </c>
      <c r="S881" s="37" t="n">
        <v>0.9545454545454546</v>
      </c>
      <c r="T881" s="36" t="n">
        <v>10</v>
      </c>
      <c r="U881" s="37" t="n">
        <v>0.4545454545454545</v>
      </c>
      <c r="V881" s="38" t="n">
        <v>0</v>
      </c>
      <c r="W881" s="38" t="n">
        <v>2.412000000000001</v>
      </c>
      <c r="X881" s="38" t="n">
        <v>6.064</v>
      </c>
      <c r="Y881" s="38" t="n">
        <v>20.634</v>
      </c>
      <c r="Z881" s="38" t="n">
        <v>0</v>
      </c>
      <c r="AA881" s="36" t="n">
        <v>27</v>
      </c>
      <c r="AB881" s="37" t="n">
        <v>0.6279069767441861</v>
      </c>
      <c r="AC881" s="36" t="n">
        <v>2</v>
      </c>
      <c r="AD881" s="37" t="n">
        <v>0.2857142857142857</v>
      </c>
      <c r="AE881" s="36" t="n">
        <v>25</v>
      </c>
      <c r="AF881" s="37" t="n">
        <v>0.6944444444444444</v>
      </c>
      <c r="AG881" s="36" t="n">
        <v>2</v>
      </c>
      <c r="AH881" s="37" t="n">
        <v>1</v>
      </c>
    </row>
    <row r="882">
      <c r="A882" s="53" t="n">
        <v>45773</v>
      </c>
      <c r="B882" t="inlineStr">
        <is>
          <t>R07_Bali Nusra</t>
        </is>
      </c>
      <c r="C882" t="inlineStr">
        <is>
          <t>NOP DENPASAR</t>
        </is>
      </c>
      <c r="D882" s="38" t="n">
        <v>0.58</v>
      </c>
      <c r="E882" s="38" t="n">
        <v>0</v>
      </c>
      <c r="F882" s="36" t="n">
        <v>2.97</v>
      </c>
      <c r="G882" s="36" t="n">
        <v>1.712</v>
      </c>
      <c r="H882" s="36" t="n">
        <v>4</v>
      </c>
      <c r="I882" s="37" t="n">
        <v>0.8</v>
      </c>
      <c r="J882" s="36" t="n">
        <v>1</v>
      </c>
      <c r="K882" s="37" t="n">
        <v>1</v>
      </c>
      <c r="L882" s="36" t="n">
        <v>3</v>
      </c>
      <c r="M882" s="37" t="n">
        <v>0.75</v>
      </c>
      <c r="N882" s="36" t="n">
        <v>1</v>
      </c>
      <c r="O882" s="37" t="n">
        <v>1</v>
      </c>
      <c r="P882" s="36" t="n">
        <v>1</v>
      </c>
      <c r="Q882" s="37" t="n">
        <v>1</v>
      </c>
      <c r="R882" s="36" t="n">
        <v>5</v>
      </c>
      <c r="S882" s="37" t="n">
        <v>1</v>
      </c>
      <c r="T882" s="36" t="n">
        <v>4</v>
      </c>
      <c r="U882" s="37" t="n">
        <v>0.8</v>
      </c>
      <c r="V882" s="38" t="n">
        <v>0</v>
      </c>
      <c r="W882" s="38" t="n">
        <v>2.308</v>
      </c>
      <c r="X882" s="38" t="n">
        <v>13.797</v>
      </c>
      <c r="Y882" s="38" t="n">
        <v>45.034</v>
      </c>
      <c r="Z882" s="38" t="n">
        <v>0</v>
      </c>
      <c r="AA882" s="36" t="n">
        <v>18</v>
      </c>
      <c r="AB882" s="37" t="n">
        <v>0.8571428571428571</v>
      </c>
      <c r="AC882" s="36" t="n">
        <v>8</v>
      </c>
      <c r="AD882" s="37" t="n">
        <v>1</v>
      </c>
      <c r="AE882" s="36" t="n">
        <v>10</v>
      </c>
      <c r="AF882" s="37" t="n">
        <v>0.7692307692307693</v>
      </c>
      <c r="AG882" s="36" t="n">
        <v>7</v>
      </c>
      <c r="AH882" s="37" t="n">
        <v>0.875</v>
      </c>
    </row>
    <row r="883">
      <c r="A883" s="53" t="n">
        <v>45773</v>
      </c>
      <c r="B883" t="inlineStr">
        <is>
          <t>R07_Bali Nusra</t>
        </is>
      </c>
      <c r="C883" t="inlineStr">
        <is>
          <t>NOP FLORES</t>
        </is>
      </c>
      <c r="D883" s="38" t="n">
        <v>6.23</v>
      </c>
      <c r="E883" s="38" t="n">
        <v>5.248000000000001</v>
      </c>
      <c r="F883" s="36" t="n">
        <v>7.91</v>
      </c>
      <c r="G883" s="36" t="n">
        <v>10.44600000000001</v>
      </c>
      <c r="H883" s="36" t="n">
        <v>58</v>
      </c>
      <c r="I883" s="37" t="n">
        <v>0.5858585858585859</v>
      </c>
      <c r="J883" s="36" t="n">
        <v>19</v>
      </c>
      <c r="K883" s="37" t="n">
        <v>0.8260869565217391</v>
      </c>
      <c r="L883" s="36" t="n">
        <v>39</v>
      </c>
      <c r="M883" s="37" t="n">
        <v>0.5131578947368421</v>
      </c>
      <c r="N883" s="36" t="n">
        <v>15</v>
      </c>
      <c r="O883" s="37" t="n">
        <v>0.7894736842105263</v>
      </c>
      <c r="P883" s="36" t="n">
        <v>15</v>
      </c>
      <c r="Q883" s="37" t="n">
        <v>0.7894736842105263</v>
      </c>
      <c r="R883" s="36" t="n">
        <v>99</v>
      </c>
      <c r="S883" s="37" t="n">
        <v>1</v>
      </c>
      <c r="T883" s="36" t="n">
        <v>46</v>
      </c>
      <c r="U883" s="37" t="n">
        <v>0.4646464646464646</v>
      </c>
      <c r="V883" s="38" t="n">
        <v>0</v>
      </c>
      <c r="W883" s="38" t="n">
        <v>9.126000000000003</v>
      </c>
      <c r="X883" s="38" t="n">
        <v>5.78</v>
      </c>
      <c r="Y883" s="38" t="n">
        <v>14.85</v>
      </c>
      <c r="Z883" s="38" t="n">
        <v>0</v>
      </c>
      <c r="AA883" s="36" t="n">
        <v>61</v>
      </c>
      <c r="AB883" s="37" t="n">
        <v>0.4121621621621622</v>
      </c>
      <c r="AC883" s="36" t="n">
        <v>48</v>
      </c>
      <c r="AD883" s="37" t="n">
        <v>0.4173913043478261</v>
      </c>
      <c r="AE883" s="36" t="n">
        <v>13</v>
      </c>
      <c r="AF883" s="37" t="n">
        <v>0.3939393939393939</v>
      </c>
      <c r="AG883" s="36" t="n">
        <v>32</v>
      </c>
      <c r="AH883" s="37" t="n">
        <v>0.6666666666666666</v>
      </c>
    </row>
    <row r="884">
      <c r="A884" s="53" t="n">
        <v>45773</v>
      </c>
      <c r="B884" t="inlineStr">
        <is>
          <t>R07_Bali Nusra</t>
        </is>
      </c>
      <c r="C884" t="inlineStr">
        <is>
          <t>NOP KUPANG</t>
        </is>
      </c>
      <c r="D884" s="38" t="n">
        <v>0.8</v>
      </c>
      <c r="E884" s="38" t="n">
        <v>1.839999999999999</v>
      </c>
      <c r="F884" s="36" t="n">
        <v>7.4</v>
      </c>
      <c r="G884" s="36" t="n">
        <v>20.75100000000001</v>
      </c>
      <c r="H884" s="36" t="n">
        <v>65</v>
      </c>
      <c r="I884" s="37" t="n">
        <v>0.625</v>
      </c>
      <c r="J884" s="36" t="n">
        <v>23</v>
      </c>
      <c r="K884" s="37" t="n">
        <v>0.8214285714285714</v>
      </c>
      <c r="L884" s="36" t="n">
        <v>42</v>
      </c>
      <c r="M884" s="37" t="n">
        <v>0.5526315789473685</v>
      </c>
      <c r="N884" s="36" t="n">
        <v>20</v>
      </c>
      <c r="O884" s="37" t="n">
        <v>0.8695652173913043</v>
      </c>
      <c r="P884" s="36" t="n">
        <v>17</v>
      </c>
      <c r="Q884" s="37" t="n">
        <v>0.8947368421052632</v>
      </c>
      <c r="R884" s="36" t="n">
        <v>103</v>
      </c>
      <c r="S884" s="37" t="n">
        <v>0.9903846153846154</v>
      </c>
      <c r="T884" s="36" t="n">
        <v>34</v>
      </c>
      <c r="U884" s="37" t="n">
        <v>0.3269230769230769</v>
      </c>
      <c r="V884" s="38" t="n">
        <v>0.01</v>
      </c>
      <c r="W884" s="38" t="n">
        <v>5.596000000000006</v>
      </c>
      <c r="X884" s="38" t="n">
        <v>4.366000000000001</v>
      </c>
      <c r="Y884" s="38" t="n">
        <v>140.14</v>
      </c>
      <c r="Z884" s="38" t="n">
        <v>0</v>
      </c>
      <c r="AA884" s="36" t="n">
        <v>126</v>
      </c>
      <c r="AB884" s="37" t="n">
        <v>0.7826086956521739</v>
      </c>
      <c r="AC884" s="36" t="n">
        <v>72</v>
      </c>
      <c r="AD884" s="37" t="n">
        <v>0.75</v>
      </c>
      <c r="AE884" s="36" t="n">
        <v>54</v>
      </c>
      <c r="AF884" s="37" t="n">
        <v>0.8307692307692308</v>
      </c>
      <c r="AG884" s="36" t="n">
        <v>53</v>
      </c>
      <c r="AH884" s="37" t="n">
        <v>0.7361111111111112</v>
      </c>
    </row>
    <row r="885">
      <c r="A885" s="53" t="n">
        <v>45773</v>
      </c>
      <c r="B885" t="inlineStr">
        <is>
          <t>R07_Bali Nusra</t>
        </is>
      </c>
      <c r="C885" t="inlineStr">
        <is>
          <t>NOP MATARAM</t>
        </is>
      </c>
      <c r="D885" s="38" t="n">
        <v>0</v>
      </c>
      <c r="E885" s="38" t="n">
        <v>4.073</v>
      </c>
      <c r="F885" s="36" t="n">
        <v>3.78</v>
      </c>
      <c r="G885" s="36" t="n">
        <v>5.336</v>
      </c>
      <c r="H885" s="36" t="n">
        <v>13</v>
      </c>
      <c r="I885" s="37" t="n">
        <v>0.52</v>
      </c>
      <c r="J885" s="36" t="n">
        <v>2</v>
      </c>
      <c r="K885" s="37" t="n">
        <v>0.5</v>
      </c>
      <c r="L885" s="36" t="n">
        <v>11</v>
      </c>
      <c r="M885" s="37" t="n">
        <v>0.5238095238095238</v>
      </c>
      <c r="N885" s="36" t="n">
        <v>2</v>
      </c>
      <c r="O885" s="37" t="n">
        <v>1</v>
      </c>
      <c r="P885" s="36" t="n">
        <v>2</v>
      </c>
      <c r="Q885" s="37" t="n">
        <v>1</v>
      </c>
      <c r="R885" s="36" t="n">
        <v>25</v>
      </c>
      <c r="S885" s="37" t="n">
        <v>1</v>
      </c>
      <c r="T885" s="36" t="n">
        <v>10</v>
      </c>
      <c r="U885" s="37" t="n">
        <v>0.4</v>
      </c>
      <c r="V885" s="38" t="n">
        <v>0</v>
      </c>
      <c r="W885" s="38" t="n">
        <v>25.8</v>
      </c>
      <c r="X885" s="38" t="n">
        <v>46.57</v>
      </c>
      <c r="Y885" s="38" t="n">
        <v>41.73799999999999</v>
      </c>
      <c r="Z885" s="38" t="n">
        <v>0</v>
      </c>
      <c r="AA885" s="36" t="n">
        <v>32</v>
      </c>
      <c r="AB885" s="37" t="n">
        <v>0.4571428571428571</v>
      </c>
      <c r="AC885" s="36" t="n">
        <v>15</v>
      </c>
      <c r="AD885" s="37" t="n">
        <v>0.4838709677419355</v>
      </c>
      <c r="AE885" s="36" t="n">
        <v>17</v>
      </c>
      <c r="AF885" s="37" t="n">
        <v>0.4358974358974359</v>
      </c>
      <c r="AG885" s="36" t="n">
        <v>8</v>
      </c>
      <c r="AH885" s="37" t="n">
        <v>0.5333333333333333</v>
      </c>
    </row>
    <row r="886">
      <c r="A886" s="53" t="n">
        <v>45774</v>
      </c>
      <c r="B886" t="inlineStr">
        <is>
          <t>R01_Sumbagut</t>
        </is>
      </c>
      <c r="C886" t="inlineStr">
        <is>
          <t>NOP ACEH</t>
        </is>
      </c>
      <c r="D886" s="38" t="n">
        <v>0.38</v>
      </c>
      <c r="E886" s="38" t="n">
        <v>2.480000000000001</v>
      </c>
      <c r="F886" s="36" t="n">
        <v>3.08</v>
      </c>
      <c r="G886" s="36" t="n">
        <v>23.57600000000001</v>
      </c>
      <c r="H886" s="36" t="n">
        <v>52</v>
      </c>
      <c r="I886" s="37" t="n">
        <v>0.7123287671232876</v>
      </c>
      <c r="J886" s="36" t="n">
        <v>15</v>
      </c>
      <c r="K886" s="37" t="n">
        <v>0.7142857142857143</v>
      </c>
      <c r="L886" s="36" t="n">
        <v>37</v>
      </c>
      <c r="M886" s="37" t="n">
        <v>0.7115384615384616</v>
      </c>
      <c r="N886" s="36" t="n">
        <v>4</v>
      </c>
      <c r="O886" s="37" t="n">
        <v>0.2666666666666667</v>
      </c>
      <c r="P886" s="36" t="n">
        <v>4</v>
      </c>
      <c r="Q886" s="37" t="n">
        <v>0.2666666666666667</v>
      </c>
      <c r="R886" s="36" t="n">
        <v>73</v>
      </c>
      <c r="S886" s="37" t="n">
        <v>1</v>
      </c>
      <c r="T886" s="36" t="n">
        <v>19</v>
      </c>
      <c r="U886" s="37" t="n">
        <v>0.2602739726027397</v>
      </c>
      <c r="V886" s="38" t="n">
        <v>0.139</v>
      </c>
      <c r="W886" s="38" t="n">
        <v>7.285</v>
      </c>
      <c r="X886" s="38" t="n">
        <v>100.065</v>
      </c>
      <c r="Y886" s="38" t="n">
        <v>103.524</v>
      </c>
      <c r="Z886" s="38" t="n">
        <v>0</v>
      </c>
      <c r="AA886" s="36" t="n">
        <v>303</v>
      </c>
      <c r="AB886" s="37" t="n">
        <v>0.851123595505618</v>
      </c>
      <c r="AC886" s="36" t="n">
        <v>37</v>
      </c>
      <c r="AD886" s="37" t="n">
        <v>0.74</v>
      </c>
      <c r="AE886" s="36" t="n">
        <v>263</v>
      </c>
      <c r="AF886" s="37" t="n">
        <v>0.8679867986798679</v>
      </c>
      <c r="AG886" s="36" t="n">
        <v>13</v>
      </c>
      <c r="AH886" s="37" t="n">
        <v>0.3513513513513514</v>
      </c>
    </row>
    <row r="887">
      <c r="A887" s="53" t="n">
        <v>45774</v>
      </c>
      <c r="B887" t="inlineStr">
        <is>
          <t>R01_Sumbagut</t>
        </is>
      </c>
      <c r="C887" t="inlineStr">
        <is>
          <t>NOP BINJAI</t>
        </is>
      </c>
      <c r="D887" s="38" t="n">
        <v>0</v>
      </c>
      <c r="E887" s="38" t="n">
        <v>1.905</v>
      </c>
      <c r="F887" s="36" t="n">
        <v>1.15</v>
      </c>
      <c r="G887" s="36" t="n">
        <v>1.796</v>
      </c>
      <c r="H887" s="36" t="n">
        <v>21</v>
      </c>
      <c r="I887" s="37" t="n">
        <v>0.5833333333333334</v>
      </c>
      <c r="J887" s="36" t="n">
        <v>6</v>
      </c>
      <c r="K887" s="37" t="n">
        <v>0.75</v>
      </c>
      <c r="L887" s="36" t="n">
        <v>15</v>
      </c>
      <c r="M887" s="37" t="n">
        <v>0.5357142857142857</v>
      </c>
      <c r="N887" s="36" t="n">
        <v>4</v>
      </c>
      <c r="O887" s="37" t="n">
        <v>0.6666666666666666</v>
      </c>
      <c r="P887" s="36" t="n">
        <v>4</v>
      </c>
      <c r="Q887" s="37" t="n">
        <v>0.6666666666666666</v>
      </c>
      <c r="R887" s="36" t="n">
        <v>36</v>
      </c>
      <c r="S887" s="37" t="n">
        <v>1</v>
      </c>
      <c r="T887" s="36" t="n">
        <v>12</v>
      </c>
      <c r="U887" s="37" t="n">
        <v>0.3333333333333333</v>
      </c>
      <c r="V887" s="38" t="n">
        <v>0.02</v>
      </c>
      <c r="W887" s="38" t="n">
        <v>2.09</v>
      </c>
      <c r="X887" s="38" t="n">
        <v>29.04000000000001</v>
      </c>
      <c r="Y887" s="38" t="n">
        <v>26.98199999999999</v>
      </c>
      <c r="Z887" s="38" t="n">
        <v>0</v>
      </c>
      <c r="AA887" s="36" t="n">
        <v>52</v>
      </c>
      <c r="AB887" s="37" t="n">
        <v>0.52</v>
      </c>
      <c r="AC887" s="36" t="n">
        <v>14</v>
      </c>
      <c r="AD887" s="37" t="n">
        <v>0.7777777777777778</v>
      </c>
      <c r="AE887" s="36" t="n">
        <v>38</v>
      </c>
      <c r="AF887" s="37" t="n">
        <v>0.4634146341463415</v>
      </c>
      <c r="AG887" s="36" t="n">
        <v>10</v>
      </c>
      <c r="AH887" s="37" t="n">
        <v>0.7142857142857143</v>
      </c>
    </row>
    <row r="888">
      <c r="A888" s="53" t="n">
        <v>45774</v>
      </c>
      <c r="B888" t="inlineStr">
        <is>
          <t>R01_Sumbagut</t>
        </is>
      </c>
      <c r="C888" t="inlineStr">
        <is>
          <t>NOP MEDAN</t>
        </is>
      </c>
      <c r="D888" s="38" t="n">
        <v>0</v>
      </c>
      <c r="E888" s="38" t="n">
        <v>3.021</v>
      </c>
      <c r="F888" s="36" t="n">
        <v>0.702</v>
      </c>
      <c r="G888" s="36" t="n">
        <v>3.432</v>
      </c>
      <c r="H888" s="36" t="n">
        <v>8</v>
      </c>
      <c r="I888" s="37" t="n">
        <v>0.2352941176470588</v>
      </c>
      <c r="J888" s="36" t="n">
        <v>5</v>
      </c>
      <c r="K888" s="37" t="n">
        <v>0.4166666666666667</v>
      </c>
      <c r="L888" s="36" t="n">
        <v>3</v>
      </c>
      <c r="M888" s="37" t="n">
        <v>0.1363636363636364</v>
      </c>
      <c r="N888" s="36" t="n">
        <v>5</v>
      </c>
      <c r="O888" s="37" t="n">
        <v>1</v>
      </c>
      <c r="P888" s="36" t="n">
        <v>5</v>
      </c>
      <c r="Q888" s="37" t="n">
        <v>1</v>
      </c>
      <c r="R888" s="36" t="n">
        <v>34</v>
      </c>
      <c r="S888" s="37" t="n">
        <v>1</v>
      </c>
      <c r="T888" s="36" t="n">
        <v>8</v>
      </c>
      <c r="U888" s="37" t="n">
        <v>0.2352941176470588</v>
      </c>
      <c r="V888" s="38" t="n">
        <v>0</v>
      </c>
      <c r="W888" s="38" t="n">
        <v>209.005</v>
      </c>
      <c r="X888" s="38" t="n">
        <v>21.02000000000003</v>
      </c>
      <c r="Y888" s="38" t="n">
        <v>11.9</v>
      </c>
      <c r="Z888" s="38" t="n">
        <v>0</v>
      </c>
      <c r="AA888" s="36" t="n">
        <v>8</v>
      </c>
      <c r="AB888" s="37" t="n">
        <v>0.2352941176470588</v>
      </c>
      <c r="AC888" s="36" t="n">
        <v>2</v>
      </c>
      <c r="AD888" s="37" t="n">
        <v>0.3333333333333333</v>
      </c>
      <c r="AE888" s="36" t="n">
        <v>6</v>
      </c>
      <c r="AF888" s="37" t="n">
        <v>0.2142857142857143</v>
      </c>
      <c r="AG888" s="36" t="n">
        <v>2</v>
      </c>
      <c r="AH888" s="37" t="n">
        <v>1</v>
      </c>
    </row>
    <row r="889">
      <c r="A889" s="53" t="n">
        <v>45774</v>
      </c>
      <c r="B889" t="inlineStr">
        <is>
          <t>R01_Sumbagut</t>
        </is>
      </c>
      <c r="C889" t="inlineStr">
        <is>
          <t>NOP PADANG SIDEMPUAN</t>
        </is>
      </c>
      <c r="D889" s="38" t="n">
        <v>0</v>
      </c>
      <c r="E889" s="38" t="n">
        <v>6.553000000000004</v>
      </c>
      <c r="F889" s="36" t="n">
        <v>2.52</v>
      </c>
      <c r="G889" s="36" t="n">
        <v>6.387</v>
      </c>
      <c r="H889" s="36" t="n">
        <v>35</v>
      </c>
      <c r="I889" s="37" t="n">
        <v>0.4117647058823529</v>
      </c>
      <c r="J889" s="36" t="n">
        <v>12</v>
      </c>
      <c r="K889" s="37" t="n">
        <v>0.6666666666666666</v>
      </c>
      <c r="L889" s="36" t="n">
        <v>23</v>
      </c>
      <c r="M889" s="37" t="n">
        <v>0.3432835820895522</v>
      </c>
      <c r="N889" s="36" t="n">
        <v>2</v>
      </c>
      <c r="O889" s="37" t="n">
        <v>0.1666666666666667</v>
      </c>
      <c r="P889" s="36" t="n">
        <v>2</v>
      </c>
      <c r="Q889" s="37" t="n">
        <v>0.1666666666666667</v>
      </c>
      <c r="R889" s="36" t="n">
        <v>84</v>
      </c>
      <c r="S889" s="37" t="n">
        <v>0.9882352941176471</v>
      </c>
      <c r="T889" s="36" t="n">
        <v>19</v>
      </c>
      <c r="U889" s="37" t="n">
        <v>0.2235294117647059</v>
      </c>
      <c r="V889" s="38" t="n">
        <v>0</v>
      </c>
      <c r="W889" s="38" t="n">
        <v>2.577000000000001</v>
      </c>
      <c r="X889" s="38" t="n">
        <v>5.582999999999998</v>
      </c>
      <c r="Y889" s="38" t="n">
        <v>218.09</v>
      </c>
      <c r="Z889" s="38" t="n">
        <v>0</v>
      </c>
      <c r="AA889" s="36" t="n">
        <v>144</v>
      </c>
      <c r="AB889" s="37" t="n">
        <v>0.2225656877897991</v>
      </c>
      <c r="AC889" s="36" t="n">
        <v>30</v>
      </c>
      <c r="AD889" s="37" t="n">
        <v>0.4285714285714285</v>
      </c>
      <c r="AE889" s="36" t="n">
        <v>113</v>
      </c>
      <c r="AF889" s="37" t="n">
        <v>0.1975524475524476</v>
      </c>
      <c r="AG889" s="36" t="n">
        <v>10</v>
      </c>
      <c r="AH889" s="37" t="n">
        <v>0.3333333333333333</v>
      </c>
    </row>
    <row r="890">
      <c r="A890" s="53" t="n">
        <v>45774</v>
      </c>
      <c r="B890" t="inlineStr">
        <is>
          <t>R01_Sumbagut</t>
        </is>
      </c>
      <c r="C890" t="inlineStr">
        <is>
          <t>NOP PEMATANG SIANTAR</t>
        </is>
      </c>
      <c r="D890" s="38" t="n">
        <v>0.869</v>
      </c>
      <c r="E890" s="38" t="n">
        <v>9.240000000000002</v>
      </c>
      <c r="F890" s="36" t="n">
        <v>8.360000000000005</v>
      </c>
      <c r="G890" s="36" t="n">
        <v>5.212000000000001</v>
      </c>
      <c r="H890" s="36" t="n">
        <v>34</v>
      </c>
      <c r="I890" s="37" t="n">
        <v>0.3333333333333333</v>
      </c>
      <c r="J890" s="36" t="n">
        <v>4</v>
      </c>
      <c r="K890" s="37" t="n">
        <v>0.2857142857142857</v>
      </c>
      <c r="L890" s="36" t="n">
        <v>30</v>
      </c>
      <c r="M890" s="37" t="n">
        <v>0.3409090909090909</v>
      </c>
      <c r="N890" s="36" t="n">
        <v>3</v>
      </c>
      <c r="O890" s="37" t="n">
        <v>0.75</v>
      </c>
      <c r="P890" s="36" t="n">
        <v>3</v>
      </c>
      <c r="Q890" s="37" t="n">
        <v>0.75</v>
      </c>
      <c r="R890" s="36" t="n">
        <v>102</v>
      </c>
      <c r="S890" s="37" t="n">
        <v>1</v>
      </c>
      <c r="T890" s="36" t="n">
        <v>17</v>
      </c>
      <c r="U890" s="37" t="n">
        <v>0.1666666666666667</v>
      </c>
      <c r="V890" s="38" t="n">
        <v>30.23</v>
      </c>
      <c r="W890" s="38" t="n">
        <v>8.421000000000005</v>
      </c>
      <c r="X890" s="38" t="n">
        <v>21.18</v>
      </c>
      <c r="Y890" s="38" t="n">
        <v>194.06</v>
      </c>
      <c r="Z890" s="38" t="n">
        <v>0</v>
      </c>
      <c r="AA890" s="36" t="n">
        <v>51</v>
      </c>
      <c r="AB890" s="37" t="n">
        <v>0.0868824531516184</v>
      </c>
      <c r="AC890" s="36" t="n">
        <v>16</v>
      </c>
      <c r="AD890" s="37" t="n">
        <v>0.3902439024390244</v>
      </c>
      <c r="AE890" s="36" t="n">
        <v>35</v>
      </c>
      <c r="AF890" s="37" t="n">
        <v>0.0641025641025641</v>
      </c>
      <c r="AG890" s="36" t="n">
        <v>14</v>
      </c>
      <c r="AH890" s="37" t="n">
        <v>0.875</v>
      </c>
    </row>
    <row r="891">
      <c r="A891" s="53" t="n">
        <v>45774</v>
      </c>
      <c r="B891" t="inlineStr">
        <is>
          <t>R01_Sumbagut</t>
        </is>
      </c>
      <c r="C891" t="inlineStr">
        <is>
          <t>NOP RANTAU PRAPAT</t>
        </is>
      </c>
      <c r="D891" s="38" t="n">
        <v>0</v>
      </c>
      <c r="E891" s="38" t="n">
        <v>4.110000000000002</v>
      </c>
      <c r="F891" s="36" t="n">
        <v>1.494</v>
      </c>
      <c r="G891" s="36" t="n">
        <v>1.56</v>
      </c>
      <c r="H891" s="36" t="n">
        <v>39</v>
      </c>
      <c r="I891" s="37" t="n">
        <v>0.195</v>
      </c>
      <c r="J891" s="36" t="n">
        <v>2</v>
      </c>
      <c r="K891" s="37" t="n">
        <v>0.2222222222222222</v>
      </c>
      <c r="L891" s="36" t="n">
        <v>37</v>
      </c>
      <c r="M891" s="37" t="n">
        <v>0.193717277486911</v>
      </c>
      <c r="N891" s="36" t="n">
        <v>2</v>
      </c>
      <c r="O891" s="37" t="n">
        <v>1</v>
      </c>
      <c r="P891" s="36" t="n">
        <v>2</v>
      </c>
      <c r="Q891" s="37" t="n">
        <v>1</v>
      </c>
      <c r="R891" s="36" t="n">
        <v>200</v>
      </c>
      <c r="S891" s="37" t="n">
        <v>1</v>
      </c>
      <c r="T891" s="36" t="n">
        <v>28</v>
      </c>
      <c r="U891" s="37" t="n">
        <v>0.14</v>
      </c>
      <c r="V891" s="38" t="n">
        <v>0</v>
      </c>
      <c r="W891" s="38" t="n">
        <v>2.09</v>
      </c>
      <c r="X891" s="38" t="n">
        <v>21.18</v>
      </c>
      <c r="Y891" s="38" t="n">
        <v>101.4999999999998</v>
      </c>
      <c r="Z891" s="38" t="n">
        <v>0</v>
      </c>
      <c r="AA891" s="36" t="n">
        <v>12</v>
      </c>
      <c r="AB891" s="37" t="n">
        <v>0.03133159268929504</v>
      </c>
      <c r="AC891" s="36" t="n">
        <v>2</v>
      </c>
      <c r="AD891" s="37" t="n">
        <v>0.07142857142857142</v>
      </c>
      <c r="AE891" s="36" t="n">
        <v>9</v>
      </c>
      <c r="AF891" s="37" t="n">
        <v>0.02616279069767442</v>
      </c>
      <c r="AG891" s="36" t="n">
        <v>2</v>
      </c>
      <c r="AH891" s="37" t="n">
        <v>1</v>
      </c>
    </row>
    <row r="892">
      <c r="A892" s="53" t="n">
        <v>45774</v>
      </c>
      <c r="B892" t="inlineStr">
        <is>
          <t>R10_Sumbagteng</t>
        </is>
      </c>
      <c r="C892" t="inlineStr">
        <is>
          <t>NOP BATAM</t>
        </is>
      </c>
      <c r="D892" s="38" t="n">
        <v>0</v>
      </c>
      <c r="E892" s="38" t="n">
        <v>5.214000000000002</v>
      </c>
      <c r="F892" s="36" t="n">
        <v>6.323999999999999</v>
      </c>
      <c r="G892" s="36" t="n">
        <v>8.535</v>
      </c>
      <c r="H892" s="36" t="n">
        <v>13</v>
      </c>
      <c r="I892" s="37" t="n">
        <v>0.1171171171171171</v>
      </c>
      <c r="J892" s="36" t="n">
        <v>3</v>
      </c>
      <c r="K892" s="37" t="n">
        <v>0.2307692307692308</v>
      </c>
      <c r="L892" s="36" t="n">
        <v>10</v>
      </c>
      <c r="M892" s="37" t="n">
        <v>0.1020408163265306</v>
      </c>
      <c r="N892" s="36" t="n">
        <v>2</v>
      </c>
      <c r="O892" s="37" t="n">
        <v>0.6666666666666666</v>
      </c>
      <c r="P892" s="36" t="n">
        <v>2</v>
      </c>
      <c r="Q892" s="37" t="n">
        <v>0.6666666666666666</v>
      </c>
      <c r="R892" s="36" t="n">
        <v>111</v>
      </c>
      <c r="S892" s="37" t="n">
        <v>1</v>
      </c>
      <c r="T892" s="36" t="n">
        <v>10</v>
      </c>
      <c r="U892" s="37" t="n">
        <v>0.09009009009009009</v>
      </c>
      <c r="V892" s="38" t="n">
        <v>0</v>
      </c>
      <c r="W892" s="38" t="n">
        <v>9.671999999999999</v>
      </c>
      <c r="X892" s="38" t="n">
        <v>29.336</v>
      </c>
      <c r="Y892" s="38" t="n">
        <v>46.51</v>
      </c>
      <c r="Z892" s="38" t="n">
        <v>0</v>
      </c>
      <c r="AA892" s="36" t="n">
        <v>12</v>
      </c>
      <c r="AB892" s="37" t="n">
        <v>0.04166666666666666</v>
      </c>
      <c r="AC892" s="36" t="n">
        <v>4</v>
      </c>
      <c r="AD892" s="37" t="n">
        <v>0.0851063829787234</v>
      </c>
      <c r="AE892" s="36" t="n">
        <v>8</v>
      </c>
      <c r="AF892" s="37" t="n">
        <v>0.03333333333333333</v>
      </c>
      <c r="AG892" s="36" t="n">
        <v>4</v>
      </c>
      <c r="AH892" s="37" t="n">
        <v>1</v>
      </c>
    </row>
    <row r="893">
      <c r="A893" s="53" t="n">
        <v>45774</v>
      </c>
      <c r="B893" t="inlineStr">
        <is>
          <t>R10_Sumbagteng</t>
        </is>
      </c>
      <c r="C893" t="inlineStr">
        <is>
          <t>NOP BUKITTINGGI</t>
        </is>
      </c>
      <c r="D893" s="38" t="n">
        <v>0</v>
      </c>
      <c r="E893" s="38" t="n">
        <v>2.198</v>
      </c>
      <c r="F893" s="36" t="n">
        <v>3.820000000000003</v>
      </c>
      <c r="G893" s="36" t="n">
        <v>5.615999999999998</v>
      </c>
      <c r="H893" s="36" t="n">
        <v>45</v>
      </c>
      <c r="I893" s="37" t="n">
        <v>0.8181818181818182</v>
      </c>
      <c r="J893" s="36" t="n">
        <v>5</v>
      </c>
      <c r="K893" s="37" t="n">
        <v>0.7142857142857143</v>
      </c>
      <c r="L893" s="36" t="n">
        <v>40</v>
      </c>
      <c r="M893" s="37" t="n">
        <v>0.8333333333333334</v>
      </c>
      <c r="N893" s="36" t="n">
        <v>2</v>
      </c>
      <c r="O893" s="37" t="n">
        <v>0.4</v>
      </c>
      <c r="P893" s="36" t="n">
        <v>2</v>
      </c>
      <c r="Q893" s="37" t="n">
        <v>0.4</v>
      </c>
      <c r="R893" s="36" t="n">
        <v>53</v>
      </c>
      <c r="S893" s="37" t="n">
        <v>0.9636363636363636</v>
      </c>
      <c r="T893" s="36" t="n">
        <v>29</v>
      </c>
      <c r="U893" s="37" t="n">
        <v>0.5272727272727272</v>
      </c>
      <c r="V893" s="38" t="n">
        <v>0</v>
      </c>
      <c r="W893" s="38" t="n">
        <v>4.172000000000001</v>
      </c>
      <c r="X893" s="38" t="n">
        <v>83.63200000000013</v>
      </c>
      <c r="Y893" s="38" t="n">
        <v>43.47000000000003</v>
      </c>
      <c r="Z893" s="38" t="n">
        <v>0</v>
      </c>
      <c r="AA893" s="36" t="n">
        <v>83</v>
      </c>
      <c r="AB893" s="37" t="n">
        <v>0.2039312039312039</v>
      </c>
      <c r="AC893" s="36" t="n">
        <v>16</v>
      </c>
      <c r="AD893" s="37" t="n">
        <v>0.9411764705882353</v>
      </c>
      <c r="AE893" s="36" t="n">
        <v>67</v>
      </c>
      <c r="AF893" s="37" t="n">
        <v>0.174025974025974</v>
      </c>
      <c r="AG893" s="36" t="n">
        <v>10</v>
      </c>
      <c r="AH893" s="37" t="n">
        <v>0.625</v>
      </c>
    </row>
    <row r="894">
      <c r="A894" s="53" t="n">
        <v>45774</v>
      </c>
      <c r="B894" t="inlineStr">
        <is>
          <t>R10_Sumbagteng</t>
        </is>
      </c>
      <c r="C894" t="inlineStr">
        <is>
          <t>NOP DUMAI</t>
        </is>
      </c>
      <c r="D894" s="38" t="n">
        <v>2.99</v>
      </c>
      <c r="E894" s="38" t="n">
        <v>7.207000000000001</v>
      </c>
      <c r="F894" s="36" t="n">
        <v>4.71800000000001</v>
      </c>
      <c r="G894" s="36" t="n">
        <v>8.364000000000001</v>
      </c>
      <c r="H894" s="36" t="n">
        <v>40</v>
      </c>
      <c r="I894" s="37" t="n">
        <v>0.4</v>
      </c>
      <c r="J894" s="36" t="n">
        <v>21</v>
      </c>
      <c r="K894" s="37" t="n">
        <v>0.84</v>
      </c>
      <c r="L894" s="36" t="n">
        <v>19</v>
      </c>
      <c r="M894" s="37" t="n">
        <v>0.2533333333333334</v>
      </c>
      <c r="N894" s="36" t="n">
        <v>17</v>
      </c>
      <c r="O894" s="37" t="n">
        <v>0.8095238095238095</v>
      </c>
      <c r="P894" s="36" t="n">
        <v>17</v>
      </c>
      <c r="Q894" s="37" t="n">
        <v>0.8095238095238095</v>
      </c>
      <c r="R894" s="36" t="n">
        <v>100</v>
      </c>
      <c r="S894" s="37" t="n">
        <v>1</v>
      </c>
      <c r="T894" s="36" t="n">
        <v>29</v>
      </c>
      <c r="U894" s="37" t="n">
        <v>0.29</v>
      </c>
      <c r="V894" s="38" t="n">
        <v>0.01</v>
      </c>
      <c r="W894" s="38" t="n">
        <v>7.662000000000013</v>
      </c>
      <c r="X894" s="38" t="n">
        <v>40.05899999999998</v>
      </c>
      <c r="Y894" s="38" t="n">
        <v>93.22600000000011</v>
      </c>
      <c r="Z894" s="38" t="n">
        <v>0</v>
      </c>
      <c r="AA894" s="36" t="n">
        <v>66</v>
      </c>
      <c r="AB894" s="37" t="n">
        <v>0.2784810126582278</v>
      </c>
      <c r="AC894" s="36" t="n">
        <v>17</v>
      </c>
      <c r="AD894" s="37" t="n">
        <v>0.3863636363636364</v>
      </c>
      <c r="AE894" s="36" t="n">
        <v>49</v>
      </c>
      <c r="AF894" s="37" t="n">
        <v>0.256544502617801</v>
      </c>
      <c r="AG894" s="36" t="n">
        <v>15</v>
      </c>
      <c r="AH894" s="37" t="n">
        <v>0.8823529411764706</v>
      </c>
    </row>
    <row r="895">
      <c r="A895" s="53" t="n">
        <v>45774</v>
      </c>
      <c r="B895" t="inlineStr">
        <is>
          <t>R10_Sumbagteng</t>
        </is>
      </c>
      <c r="C895" t="inlineStr">
        <is>
          <t>NOP PADANG</t>
        </is>
      </c>
      <c r="D895" s="38" t="n">
        <v>0</v>
      </c>
      <c r="E895" s="38" t="n">
        <v>1.148</v>
      </c>
      <c r="F895" s="36" t="n">
        <v>3.688000000000001</v>
      </c>
      <c r="G895" s="36" t="n">
        <v>9.128000000000002</v>
      </c>
      <c r="H895" s="36" t="n">
        <v>30</v>
      </c>
      <c r="I895" s="37" t="n">
        <v>0.6521739130434783</v>
      </c>
      <c r="J895" s="36" t="n">
        <v>1</v>
      </c>
      <c r="K895" s="37" t="n">
        <v>0.25</v>
      </c>
      <c r="L895" s="36" t="n">
        <v>29</v>
      </c>
      <c r="M895" s="37" t="n">
        <v>0.6904761904761905</v>
      </c>
      <c r="N895" s="36" t="n">
        <v>1</v>
      </c>
      <c r="O895" s="37" t="n">
        <v>1</v>
      </c>
      <c r="P895" s="36" t="n">
        <v>1</v>
      </c>
      <c r="Q895" s="37" t="n">
        <v>1</v>
      </c>
      <c r="R895" s="36" t="n">
        <v>46</v>
      </c>
      <c r="S895" s="37" t="n">
        <v>1</v>
      </c>
      <c r="T895" s="36" t="n">
        <v>15</v>
      </c>
      <c r="U895" s="37" t="n">
        <v>0.3260869565217391</v>
      </c>
      <c r="V895" s="38" t="n">
        <v>0</v>
      </c>
      <c r="W895" s="38" t="n">
        <v>3.640000000000001</v>
      </c>
      <c r="X895" s="38" t="n">
        <v>32.32000000000006</v>
      </c>
      <c r="Y895" s="38" t="n">
        <v>48.284</v>
      </c>
      <c r="Z895" s="38" t="n">
        <v>0</v>
      </c>
      <c r="AA895" s="36" t="n">
        <v>187</v>
      </c>
      <c r="AB895" s="37" t="n">
        <v>0.722007722007722</v>
      </c>
      <c r="AC895" s="36" t="n">
        <v>19</v>
      </c>
      <c r="AD895" s="37" t="n">
        <v>0.76</v>
      </c>
      <c r="AE895" s="36" t="n">
        <v>168</v>
      </c>
      <c r="AF895" s="37" t="n">
        <v>0.721030042918455</v>
      </c>
      <c r="AG895" s="36" t="n">
        <v>12</v>
      </c>
      <c r="AH895" s="37" t="n">
        <v>0.631578947368421</v>
      </c>
    </row>
    <row r="896">
      <c r="A896" s="53" t="n">
        <v>45774</v>
      </c>
      <c r="B896" t="inlineStr">
        <is>
          <t>R10_Sumbagteng</t>
        </is>
      </c>
      <c r="C896" t="inlineStr">
        <is>
          <t>NOP PEKANBARU</t>
        </is>
      </c>
      <c r="D896" s="38" t="n">
        <v>0</v>
      </c>
      <c r="E896" s="38" t="n">
        <v>2.674000000000001</v>
      </c>
      <c r="F896" s="36" t="n">
        <v>4.533999999999999</v>
      </c>
      <c r="G896" s="36" t="n">
        <v>5.447000000000005</v>
      </c>
      <c r="H896" s="36" t="n">
        <v>30</v>
      </c>
      <c r="I896" s="37" t="n">
        <v>0.3614457831325301</v>
      </c>
      <c r="J896" s="36" t="n">
        <v>7</v>
      </c>
      <c r="K896" s="37" t="n">
        <v>0.5</v>
      </c>
      <c r="L896" s="36" t="n">
        <v>23</v>
      </c>
      <c r="M896" s="37" t="n">
        <v>0.3333333333333333</v>
      </c>
      <c r="N896" s="36" t="n">
        <v>5</v>
      </c>
      <c r="O896" s="37" t="n">
        <v>0.7142857142857143</v>
      </c>
      <c r="P896" s="36" t="n">
        <v>5</v>
      </c>
      <c r="Q896" s="37" t="n">
        <v>0.7142857142857143</v>
      </c>
      <c r="R896" s="36" t="n">
        <v>82</v>
      </c>
      <c r="S896" s="37" t="n">
        <v>0.9879518072289156</v>
      </c>
      <c r="T896" s="36" t="n">
        <v>20</v>
      </c>
      <c r="U896" s="37" t="n">
        <v>0.2409638554216867</v>
      </c>
      <c r="V896" s="38" t="n">
        <v>0.01</v>
      </c>
      <c r="W896" s="38" t="n">
        <v>5.198</v>
      </c>
      <c r="X896" s="38" t="n">
        <v>51.356</v>
      </c>
      <c r="Y896" s="38" t="n">
        <v>53.65</v>
      </c>
      <c r="Z896" s="38" t="n">
        <v>0</v>
      </c>
      <c r="AA896" s="36" t="n">
        <v>65</v>
      </c>
      <c r="AB896" s="37" t="n">
        <v>0.2954545454545455</v>
      </c>
      <c r="AC896" s="36" t="n">
        <v>14</v>
      </c>
      <c r="AD896" s="37" t="n">
        <v>0.2058823529411765</v>
      </c>
      <c r="AE896" s="36" t="n">
        <v>50</v>
      </c>
      <c r="AF896" s="37" t="n">
        <v>0.3472222222222222</v>
      </c>
      <c r="AG896" s="36" t="n">
        <v>12</v>
      </c>
      <c r="AH896" s="37" t="n">
        <v>0.8571428571428571</v>
      </c>
    </row>
    <row r="897">
      <c r="A897" s="53" t="n">
        <v>45774</v>
      </c>
      <c r="B897" t="inlineStr">
        <is>
          <t>R02_Sumbagsel</t>
        </is>
      </c>
      <c r="C897" t="inlineStr">
        <is>
          <t>NOP BENGKULU</t>
        </is>
      </c>
      <c r="D897" s="38" t="n">
        <v>1.07</v>
      </c>
      <c r="E897" s="38" t="n">
        <v>3.556</v>
      </c>
      <c r="F897" s="36" t="n">
        <v>6.301999999999999</v>
      </c>
      <c r="G897" s="36" t="n">
        <v>5.35</v>
      </c>
      <c r="H897" s="36" t="n">
        <v>39</v>
      </c>
      <c r="I897" s="37" t="n">
        <v>0.4285714285714285</v>
      </c>
      <c r="J897" s="36" t="n">
        <v>12</v>
      </c>
      <c r="K897" s="37" t="n">
        <v>0.5714285714285714</v>
      </c>
      <c r="L897" s="36" t="n">
        <v>27</v>
      </c>
      <c r="M897" s="37" t="n">
        <v>0.3857142857142857</v>
      </c>
      <c r="N897" s="36" t="n">
        <v>3</v>
      </c>
      <c r="O897" s="37" t="n">
        <v>0.25</v>
      </c>
      <c r="P897" s="36" t="n">
        <v>3</v>
      </c>
      <c r="Q897" s="37" t="n">
        <v>0.25</v>
      </c>
      <c r="R897" s="36" t="n">
        <v>91</v>
      </c>
      <c r="S897" s="37" t="n">
        <v>1</v>
      </c>
      <c r="T897" s="36" t="n">
        <v>25</v>
      </c>
      <c r="U897" s="37" t="n">
        <v>0.2747252747252747</v>
      </c>
      <c r="V897" s="38" t="n">
        <v>0</v>
      </c>
      <c r="W897" s="38" t="n">
        <v>3.112000000000001</v>
      </c>
      <c r="X897" s="38" t="n">
        <v>5.986000000000001</v>
      </c>
      <c r="Y897" s="38" t="n">
        <v>8</v>
      </c>
      <c r="Z897" s="38" t="n">
        <v>0</v>
      </c>
      <c r="AA897" s="36" t="n">
        <v>69</v>
      </c>
      <c r="AB897" s="37" t="n">
        <v>0.2875</v>
      </c>
      <c r="AC897" s="36" t="n">
        <v>55</v>
      </c>
      <c r="AD897" s="37" t="n">
        <v>0.2722772277227723</v>
      </c>
      <c r="AE897" s="36" t="n">
        <v>14</v>
      </c>
      <c r="AF897" s="37" t="n">
        <v>0.3783783783783784</v>
      </c>
      <c r="AG897" s="36" t="n">
        <v>44</v>
      </c>
      <c r="AH897" s="37" t="n">
        <v>0.8</v>
      </c>
    </row>
    <row r="898">
      <c r="A898" s="53" t="n">
        <v>45774</v>
      </c>
      <c r="B898" t="inlineStr">
        <is>
          <t>R02_Sumbagsel</t>
        </is>
      </c>
      <c r="C898" t="inlineStr">
        <is>
          <t>NOP JAMBI</t>
        </is>
      </c>
      <c r="D898" s="38" t="n">
        <v>0.6</v>
      </c>
      <c r="E898" s="38" t="n">
        <v>7.196000000000002</v>
      </c>
      <c r="F898" s="36" t="n">
        <v>3.386</v>
      </c>
      <c r="G898" s="36" t="n">
        <v>5.856000000000002</v>
      </c>
      <c r="H898" s="36" t="n">
        <v>95</v>
      </c>
      <c r="I898" s="37" t="n">
        <v>0.6551724137931034</v>
      </c>
      <c r="J898" s="36" t="n">
        <v>19</v>
      </c>
      <c r="K898" s="37" t="n">
        <v>0.7037037037037037</v>
      </c>
      <c r="L898" s="36" t="n">
        <v>76</v>
      </c>
      <c r="M898" s="37" t="n">
        <v>0.6440677966101694</v>
      </c>
      <c r="N898" s="36" t="n">
        <v>14</v>
      </c>
      <c r="O898" s="37" t="n">
        <v>0.7368421052631579</v>
      </c>
      <c r="P898" s="36" t="n">
        <v>14</v>
      </c>
      <c r="Q898" s="37" t="n">
        <v>0.7368421052631579</v>
      </c>
      <c r="R898" s="36" t="n">
        <v>145</v>
      </c>
      <c r="S898" s="37" t="n">
        <v>1</v>
      </c>
      <c r="T898" s="36" t="n">
        <v>47</v>
      </c>
      <c r="U898" s="37" t="n">
        <v>0.3241379310344827</v>
      </c>
      <c r="V898" s="38" t="n">
        <v>0</v>
      </c>
      <c r="W898" s="38" t="n">
        <v>8.075000000000006</v>
      </c>
      <c r="X898" s="38" t="n">
        <v>19.056</v>
      </c>
      <c r="Y898" s="38" t="n">
        <v>15.215</v>
      </c>
      <c r="Z898" s="38" t="n">
        <v>0</v>
      </c>
      <c r="AA898" s="36" t="n">
        <v>116</v>
      </c>
      <c r="AB898" s="37" t="n">
        <v>0.6373626373626373</v>
      </c>
      <c r="AC898" s="36" t="n">
        <v>54</v>
      </c>
      <c r="AD898" s="37" t="n">
        <v>0.6</v>
      </c>
      <c r="AE898" s="36" t="n">
        <v>55</v>
      </c>
      <c r="AF898" s="37" t="n">
        <v>0.6626506024096386</v>
      </c>
      <c r="AG898" s="36" t="n">
        <v>46</v>
      </c>
      <c r="AH898" s="37" t="n">
        <v>0.8518518518518519</v>
      </c>
    </row>
    <row r="899">
      <c r="A899" s="53" t="n">
        <v>45774</v>
      </c>
      <c r="B899" t="inlineStr">
        <is>
          <t>R02_Sumbagsel</t>
        </is>
      </c>
      <c r="C899" t="inlineStr">
        <is>
          <t>NOP LAMPUNG</t>
        </is>
      </c>
      <c r="D899" s="38" t="n">
        <v>0</v>
      </c>
      <c r="E899" s="38" t="n">
        <v>1.49</v>
      </c>
      <c r="F899" s="36" t="n">
        <v>1.782</v>
      </c>
      <c r="G899" s="36" t="n">
        <v>3.376</v>
      </c>
      <c r="H899" s="36" t="n">
        <v>19</v>
      </c>
      <c r="I899" s="37" t="n">
        <v>0.5135135135135135</v>
      </c>
      <c r="J899" s="36" t="n">
        <v>4</v>
      </c>
      <c r="K899" s="37" t="n">
        <v>0.4444444444444444</v>
      </c>
      <c r="L899" s="36" t="n">
        <v>15</v>
      </c>
      <c r="M899" s="37" t="n">
        <v>0.5357142857142857</v>
      </c>
      <c r="N899" s="36" t="n">
        <v>3</v>
      </c>
      <c r="O899" s="37" t="n">
        <v>0.75</v>
      </c>
      <c r="P899" s="36" t="n">
        <v>3</v>
      </c>
      <c r="Q899" s="37" t="n">
        <v>0.75</v>
      </c>
      <c r="R899" s="36" t="n">
        <v>37</v>
      </c>
      <c r="S899" s="37" t="n">
        <v>1</v>
      </c>
      <c r="T899" s="36" t="n">
        <v>18</v>
      </c>
      <c r="U899" s="37" t="n">
        <v>0.4864864864864865</v>
      </c>
      <c r="V899" s="38" t="n">
        <v>0</v>
      </c>
      <c r="W899" s="38" t="n">
        <v>84.82400000000004</v>
      </c>
      <c r="X899" s="38" t="n">
        <v>9.686000000000014</v>
      </c>
      <c r="Y899" s="38" t="n">
        <v>10.748</v>
      </c>
      <c r="Z899" s="38" t="n">
        <v>0</v>
      </c>
      <c r="AA899" s="36" t="n">
        <v>87</v>
      </c>
      <c r="AB899" s="37" t="n">
        <v>0.9157894736842105</v>
      </c>
      <c r="AC899" s="36" t="n">
        <v>19</v>
      </c>
      <c r="AD899" s="37" t="n">
        <v>0.8260869565217391</v>
      </c>
      <c r="AE899" s="36" t="n">
        <v>65</v>
      </c>
      <c r="AF899" s="37" t="n">
        <v>0.9420289855072463</v>
      </c>
      <c r="AG899" s="36" t="n">
        <v>16</v>
      </c>
      <c r="AH899" s="37" t="n">
        <v>0.8421052631578947</v>
      </c>
    </row>
    <row r="900">
      <c r="A900" s="53" t="n">
        <v>45774</v>
      </c>
      <c r="B900" t="inlineStr">
        <is>
          <t>R02_Sumbagsel</t>
        </is>
      </c>
      <c r="C900" t="inlineStr">
        <is>
          <t>NOP MUARA ENIM</t>
        </is>
      </c>
      <c r="D900" s="38" t="n">
        <v>1.94</v>
      </c>
      <c r="E900" s="38" t="n">
        <v>2.044</v>
      </c>
      <c r="F900" s="36" t="n">
        <v>2.538000000000001</v>
      </c>
      <c r="G900" s="36" t="n">
        <v>5.955</v>
      </c>
      <c r="H900" s="36" t="n">
        <v>33</v>
      </c>
      <c r="I900" s="37" t="n">
        <v>0.3928571428571428</v>
      </c>
      <c r="J900" s="36" t="n">
        <v>13</v>
      </c>
      <c r="K900" s="37" t="n">
        <v>0.6842105263157895</v>
      </c>
      <c r="L900" s="36" t="n">
        <v>20</v>
      </c>
      <c r="M900" s="37" t="n">
        <v>0.3076923076923077</v>
      </c>
      <c r="N900" s="36" t="n">
        <v>6</v>
      </c>
      <c r="O900" s="37" t="n">
        <v>0.4615384615384616</v>
      </c>
      <c r="P900" s="36" t="n">
        <v>6</v>
      </c>
      <c r="Q900" s="37" t="n">
        <v>0.4615384615384616</v>
      </c>
      <c r="R900" s="36" t="n">
        <v>84</v>
      </c>
      <c r="S900" s="37" t="n">
        <v>1</v>
      </c>
      <c r="T900" s="36" t="n">
        <v>20</v>
      </c>
      <c r="U900" s="37" t="n">
        <v>0.2380952380952381</v>
      </c>
      <c r="V900" s="38" t="n">
        <v>0</v>
      </c>
      <c r="W900" s="38" t="n">
        <v>3.196000000000004</v>
      </c>
      <c r="X900" s="38" t="n">
        <v>6.456</v>
      </c>
      <c r="Y900" s="38" t="n">
        <v>5</v>
      </c>
      <c r="Z900" s="38" t="n">
        <v>0</v>
      </c>
      <c r="AA900" s="36" t="n">
        <v>68</v>
      </c>
      <c r="AB900" s="37" t="n">
        <v>0.4563758389261745</v>
      </c>
      <c r="AC900" s="36" t="n">
        <v>40</v>
      </c>
      <c r="AD900" s="37" t="n">
        <v>0.5333333333333333</v>
      </c>
      <c r="AE900" s="36" t="n">
        <v>19</v>
      </c>
      <c r="AF900" s="37" t="n">
        <v>0.3392857142857143</v>
      </c>
      <c r="AG900" s="36" t="n">
        <v>31</v>
      </c>
      <c r="AH900" s="37" t="n">
        <v>0.775</v>
      </c>
    </row>
    <row r="901">
      <c r="A901" s="53" t="n">
        <v>45774</v>
      </c>
      <c r="B901" t="inlineStr">
        <is>
          <t>R02_Sumbagsel</t>
        </is>
      </c>
      <c r="C901" t="inlineStr">
        <is>
          <t>NOP PALEMBANG</t>
        </is>
      </c>
      <c r="D901" s="38" t="n">
        <v>1.4</v>
      </c>
      <c r="E901" s="38" t="n">
        <v>1.566</v>
      </c>
      <c r="F901" s="36" t="n">
        <v>5.26</v>
      </c>
      <c r="G901" s="36" t="n">
        <v>7.432999999999997</v>
      </c>
      <c r="H901" s="36" t="n">
        <v>30</v>
      </c>
      <c r="I901" s="37" t="n">
        <v>0.3061224489795918</v>
      </c>
      <c r="J901" s="36" t="n">
        <v>1</v>
      </c>
      <c r="K901" s="37" t="n">
        <v>0.07692307692307693</v>
      </c>
      <c r="L901" s="36" t="n">
        <v>29</v>
      </c>
      <c r="M901" s="37" t="n">
        <v>0.3411764705882353</v>
      </c>
      <c r="N901" s="36" t="n">
        <v>1</v>
      </c>
      <c r="O901" s="37" t="n">
        <v>1</v>
      </c>
      <c r="P901" s="36" t="n">
        <v>1</v>
      </c>
      <c r="Q901" s="37" t="n">
        <v>1</v>
      </c>
      <c r="R901" s="36" t="n">
        <v>98</v>
      </c>
      <c r="S901" s="37" t="n">
        <v>1</v>
      </c>
      <c r="T901" s="36" t="n">
        <v>15</v>
      </c>
      <c r="U901" s="37" t="n">
        <v>0.1530612244897959</v>
      </c>
      <c r="V901" s="38" t="n">
        <v>0</v>
      </c>
      <c r="W901" s="38" t="n">
        <v>3.019</v>
      </c>
      <c r="X901" s="38" t="n">
        <v>8.449999999999989</v>
      </c>
      <c r="Y901" s="38" t="n">
        <v>8.522</v>
      </c>
      <c r="Z901" s="38" t="n">
        <v>0</v>
      </c>
      <c r="AA901" s="36" t="n">
        <v>46</v>
      </c>
      <c r="AB901" s="37" t="n">
        <v>0.2613636363636364</v>
      </c>
      <c r="AC901" s="36" t="n">
        <v>15</v>
      </c>
      <c r="AD901" s="37" t="n">
        <v>0.2083333333333333</v>
      </c>
      <c r="AE901" s="36" t="n">
        <v>31</v>
      </c>
      <c r="AF901" s="37" t="n">
        <v>0.3369565217391304</v>
      </c>
      <c r="AG901" s="36" t="n">
        <v>9</v>
      </c>
      <c r="AH901" s="37" t="n">
        <v>0.6</v>
      </c>
    </row>
    <row r="902">
      <c r="A902" s="53" t="n">
        <v>45774</v>
      </c>
      <c r="B902" t="inlineStr">
        <is>
          <t>R02_Sumbagsel</t>
        </is>
      </c>
      <c r="C902" t="inlineStr">
        <is>
          <t>NOP PANGKAL PINANG</t>
        </is>
      </c>
      <c r="D902" s="38" t="n">
        <v>0</v>
      </c>
      <c r="E902" s="38" t="n">
        <v>2.24</v>
      </c>
      <c r="F902" s="36" t="n">
        <v>3.74</v>
      </c>
      <c r="G902" s="36" t="n">
        <v>4.696</v>
      </c>
      <c r="H902" s="36" t="n">
        <v>21</v>
      </c>
      <c r="I902" s="37" t="n">
        <v>0.8076923076923077</v>
      </c>
      <c r="J902" s="36" t="n">
        <v>1</v>
      </c>
      <c r="K902" s="37" t="n">
        <v>1</v>
      </c>
      <c r="L902" s="36" t="n">
        <v>20</v>
      </c>
      <c r="M902" s="37" t="n">
        <v>0.8</v>
      </c>
      <c r="N902" s="36" t="n">
        <v>0</v>
      </c>
      <c r="O902" s="37" t="n">
        <v>0</v>
      </c>
      <c r="P902" s="36" t="n">
        <v>0</v>
      </c>
      <c r="Q902" s="37" t="n">
        <v>0</v>
      </c>
      <c r="R902" s="36" t="n">
        <v>26</v>
      </c>
      <c r="S902" s="37" t="n">
        <v>1</v>
      </c>
      <c r="T902" s="36" t="n">
        <v>8</v>
      </c>
      <c r="U902" s="37" t="n">
        <v>0.3076923076923077</v>
      </c>
      <c r="V902" s="38" t="n">
        <v>0</v>
      </c>
      <c r="W902" s="38" t="n">
        <v>2.012</v>
      </c>
      <c r="X902" s="38" t="n">
        <v>3.027</v>
      </c>
      <c r="Y902" s="38" t="n">
        <v>5.448000000000003</v>
      </c>
      <c r="Z902" s="38" t="n">
        <v>0</v>
      </c>
      <c r="AA902" s="36" t="n">
        <v>49</v>
      </c>
      <c r="AB902" s="37" t="n">
        <v>0.8909090909090909</v>
      </c>
      <c r="AC902" s="36" t="n">
        <v>15</v>
      </c>
      <c r="AD902" s="37" t="n">
        <v>0.8823529411764706</v>
      </c>
      <c r="AE902" s="36" t="n">
        <v>34</v>
      </c>
      <c r="AF902" s="37" t="n">
        <v>0.918918918918919</v>
      </c>
      <c r="AG902" s="36" t="n">
        <v>11</v>
      </c>
      <c r="AH902" s="37" t="n">
        <v>0.7333333333333333</v>
      </c>
    </row>
    <row r="903">
      <c r="A903" s="53" t="n">
        <v>45774</v>
      </c>
      <c r="B903" t="inlineStr">
        <is>
          <t>R05_Jawa Tengah DIY</t>
        </is>
      </c>
      <c r="C903" t="inlineStr">
        <is>
          <t>NOP MAGELANG</t>
        </is>
      </c>
      <c r="D903" s="38" t="n">
        <v>0</v>
      </c>
      <c r="E903" s="38" t="n">
        <v>0</v>
      </c>
      <c r="F903" s="36" t="n">
        <v>2.324</v>
      </c>
      <c r="G903" s="36" t="n">
        <v>3.445</v>
      </c>
      <c r="H903" s="36" t="n">
        <v>8</v>
      </c>
      <c r="I903" s="37" t="n">
        <v>0.8888888888888888</v>
      </c>
      <c r="J903" s="36" t="n">
        <v>0</v>
      </c>
      <c r="K903" s="37" t="n">
        <v>0</v>
      </c>
      <c r="L903" s="36" t="n">
        <v>8</v>
      </c>
      <c r="M903" s="37" t="n">
        <v>0.8888888888888888</v>
      </c>
      <c r="N903" s="36" t="n">
        <v>0</v>
      </c>
      <c r="O903" s="37" t="n">
        <v>0</v>
      </c>
      <c r="P903" s="36" t="n">
        <v>0</v>
      </c>
      <c r="Q903" s="37" t="n">
        <v>0</v>
      </c>
      <c r="R903" s="36" t="n">
        <v>9</v>
      </c>
      <c r="S903" s="37" t="n">
        <v>1</v>
      </c>
      <c r="T903" s="36" t="n">
        <v>6</v>
      </c>
      <c r="U903" s="37" t="n">
        <v>0.6666666666666666</v>
      </c>
      <c r="V903" s="38" t="n">
        <v>0</v>
      </c>
      <c r="W903" s="38" t="n">
        <v>1.762</v>
      </c>
      <c r="X903" s="38" t="n">
        <v>6.12</v>
      </c>
      <c r="Y903" s="38" t="n">
        <v>14.23</v>
      </c>
      <c r="Z903" s="38" t="n">
        <v>0</v>
      </c>
      <c r="AA903" s="36" t="n">
        <v>36</v>
      </c>
      <c r="AB903" s="37" t="n">
        <v>0.972972972972973</v>
      </c>
      <c r="AC903" s="36" t="n">
        <v>5</v>
      </c>
      <c r="AD903" s="37" t="n">
        <v>1</v>
      </c>
      <c r="AE903" s="36" t="n">
        <v>31</v>
      </c>
      <c r="AF903" s="37" t="n">
        <v>0.96875</v>
      </c>
      <c r="AG903" s="36" t="n">
        <v>3</v>
      </c>
      <c r="AH903" s="37" t="n">
        <v>0.6</v>
      </c>
    </row>
    <row r="904">
      <c r="A904" s="53" t="n">
        <v>45774</v>
      </c>
      <c r="B904" t="inlineStr">
        <is>
          <t>R05_Jawa Tengah DIY</t>
        </is>
      </c>
      <c r="C904" t="inlineStr">
        <is>
          <t>NOP PEKALONGAN</t>
        </is>
      </c>
      <c r="D904" s="38" t="n">
        <v>0</v>
      </c>
      <c r="E904" s="38" t="n">
        <v>0</v>
      </c>
      <c r="F904" s="36" t="n">
        <v>2.506000000000001</v>
      </c>
      <c r="G904" s="36" t="n">
        <v>2.088</v>
      </c>
      <c r="H904" s="36" t="n">
        <v>8</v>
      </c>
      <c r="I904" s="37" t="n">
        <v>0.7272727272727273</v>
      </c>
      <c r="J904" s="36" t="n">
        <v>0</v>
      </c>
      <c r="K904" s="37" t="n">
        <v>0</v>
      </c>
      <c r="L904" s="36" t="n">
        <v>8</v>
      </c>
      <c r="M904" s="37" t="n">
        <v>0.7272727272727273</v>
      </c>
      <c r="N904" s="36" t="n">
        <v>0</v>
      </c>
      <c r="O904" s="37" t="n">
        <v>0</v>
      </c>
      <c r="P904" s="36" t="n">
        <v>0</v>
      </c>
      <c r="Q904" s="37" t="n">
        <v>0</v>
      </c>
      <c r="R904" s="36" t="n">
        <v>11</v>
      </c>
      <c r="S904" s="37" t="n">
        <v>1</v>
      </c>
      <c r="T904" s="36" t="n">
        <v>6</v>
      </c>
      <c r="U904" s="37" t="n">
        <v>0.5454545454545454</v>
      </c>
      <c r="V904" s="38" t="n">
        <v>0</v>
      </c>
      <c r="W904" s="38" t="n">
        <v>0.919</v>
      </c>
      <c r="X904" s="38" t="n">
        <v>7.654999999999999</v>
      </c>
      <c r="Y904" s="38" t="n">
        <v>70.771</v>
      </c>
      <c r="Z904" s="38" t="n">
        <v>0</v>
      </c>
      <c r="AA904" s="36" t="n">
        <v>9</v>
      </c>
      <c r="AB904" s="37" t="n">
        <v>0.9</v>
      </c>
      <c r="AC904" s="36" t="n">
        <v>2</v>
      </c>
      <c r="AD904" s="37" t="n">
        <v>1</v>
      </c>
      <c r="AE904" s="36" t="n">
        <v>7</v>
      </c>
      <c r="AF904" s="37" t="n">
        <v>0.875</v>
      </c>
      <c r="AG904" s="36" t="n">
        <v>2</v>
      </c>
      <c r="AH904" s="37" t="n">
        <v>1</v>
      </c>
    </row>
    <row r="905">
      <c r="A905" s="53" t="n">
        <v>45774</v>
      </c>
      <c r="B905" t="inlineStr">
        <is>
          <t>R05_Jawa Tengah DIY</t>
        </is>
      </c>
      <c r="C905" t="inlineStr">
        <is>
          <t>NOP PURWOKERTO</t>
        </is>
      </c>
      <c r="D905" s="38" t="n">
        <v>0</v>
      </c>
      <c r="E905" s="38" t="n">
        <v>0</v>
      </c>
      <c r="F905" s="36" t="n">
        <v>1.51</v>
      </c>
      <c r="G905" s="36" t="n">
        <v>0.61</v>
      </c>
      <c r="H905" s="36" t="n">
        <v>2</v>
      </c>
      <c r="I905" s="37" t="n">
        <v>0.6666666666666666</v>
      </c>
      <c r="J905" s="36" t="n">
        <v>0</v>
      </c>
      <c r="K905" s="37" t="n">
        <v>0</v>
      </c>
      <c r="L905" s="36" t="n">
        <v>2</v>
      </c>
      <c r="M905" s="37" t="n">
        <v>0.6666666666666666</v>
      </c>
      <c r="N905" s="36" t="n">
        <v>0</v>
      </c>
      <c r="O905" s="37" t="n">
        <v>0</v>
      </c>
      <c r="P905" s="36" t="n">
        <v>0</v>
      </c>
      <c r="Q905" s="37" t="n">
        <v>0</v>
      </c>
      <c r="R905" s="36" t="n">
        <v>3</v>
      </c>
      <c r="S905" s="37" t="n">
        <v>1</v>
      </c>
      <c r="T905" s="36" t="n">
        <v>1</v>
      </c>
      <c r="U905" s="37" t="n">
        <v>0.3333333333333333</v>
      </c>
      <c r="V905" s="38" t="n">
        <v>0.85</v>
      </c>
      <c r="W905" s="38" t="n">
        <v>378.87</v>
      </c>
      <c r="X905" s="38" t="n">
        <v>4.881</v>
      </c>
      <c r="Y905" s="38" t="n">
        <v>110.245</v>
      </c>
      <c r="Z905" s="38" t="n">
        <v>0</v>
      </c>
      <c r="AA905" s="36" t="n">
        <v>11</v>
      </c>
      <c r="AB905" s="37" t="n">
        <v>0.7857142857142857</v>
      </c>
      <c r="AC905" s="36" t="n">
        <v>3</v>
      </c>
      <c r="AD905" s="37" t="n">
        <v>0.75</v>
      </c>
      <c r="AE905" s="36" t="n">
        <v>8</v>
      </c>
      <c r="AF905" s="37" t="n">
        <v>0.8</v>
      </c>
      <c r="AG905" s="36" t="n">
        <v>3</v>
      </c>
      <c r="AH905" s="37" t="n">
        <v>1</v>
      </c>
    </row>
    <row r="906">
      <c r="A906" s="53" t="n">
        <v>45774</v>
      </c>
      <c r="B906" t="inlineStr">
        <is>
          <t>R05_Jawa Tengah DIY</t>
        </is>
      </c>
      <c r="C906" t="inlineStr">
        <is>
          <t>NOP SEMARANG</t>
        </is>
      </c>
      <c r="D906" s="38" t="n">
        <v>1.355</v>
      </c>
      <c r="E906" s="38" t="n">
        <v>0</v>
      </c>
      <c r="F906" s="36" t="n">
        <v>3.526</v>
      </c>
      <c r="G906" s="36" t="n">
        <v>4.071000000000001</v>
      </c>
      <c r="H906" s="36" t="n">
        <v>15</v>
      </c>
      <c r="I906" s="37" t="n">
        <v>0.5555555555555556</v>
      </c>
      <c r="J906" s="36" t="n">
        <v>2</v>
      </c>
      <c r="K906" s="37" t="n">
        <v>1</v>
      </c>
      <c r="L906" s="36" t="n">
        <v>13</v>
      </c>
      <c r="M906" s="37" t="n">
        <v>0.52</v>
      </c>
      <c r="N906" s="36" t="n">
        <v>2</v>
      </c>
      <c r="O906" s="37" t="n">
        <v>1</v>
      </c>
      <c r="P906" s="36" t="n">
        <v>2</v>
      </c>
      <c r="Q906" s="37" t="n">
        <v>1</v>
      </c>
      <c r="R906" s="36" t="n">
        <v>27</v>
      </c>
      <c r="S906" s="37" t="n">
        <v>1</v>
      </c>
      <c r="T906" s="36" t="n">
        <v>7</v>
      </c>
      <c r="U906" s="37" t="n">
        <v>0.2592592592592592</v>
      </c>
      <c r="V906" s="38" t="n">
        <v>0</v>
      </c>
      <c r="W906" s="38" t="n">
        <v>13.345</v>
      </c>
      <c r="X906" s="38" t="n">
        <v>22.036</v>
      </c>
      <c r="Y906" s="38" t="n">
        <v>43.02</v>
      </c>
      <c r="Z906" s="38" t="n">
        <v>0</v>
      </c>
      <c r="AA906" s="36" t="n">
        <v>45</v>
      </c>
      <c r="AB906" s="37" t="n">
        <v>0.8653846153846154</v>
      </c>
      <c r="AC906" s="36" t="n">
        <v>11</v>
      </c>
      <c r="AD906" s="37" t="n">
        <v>0.6875</v>
      </c>
      <c r="AE906" s="36" t="n">
        <v>34</v>
      </c>
      <c r="AF906" s="37" t="n">
        <v>0.9444444444444444</v>
      </c>
      <c r="AG906" s="36" t="n">
        <v>10</v>
      </c>
      <c r="AH906" s="37" t="n">
        <v>0.9090909090909091</v>
      </c>
    </row>
    <row r="907">
      <c r="A907" s="53" t="n">
        <v>45774</v>
      </c>
      <c r="B907" t="inlineStr">
        <is>
          <t>R05_Jawa Tengah DIY</t>
        </is>
      </c>
      <c r="C907" t="inlineStr">
        <is>
          <t>NOP SURAKARTA</t>
        </is>
      </c>
      <c r="D907" s="38" t="n">
        <v>3.574</v>
      </c>
      <c r="E907" s="38" t="n">
        <v>0</v>
      </c>
      <c r="F907" s="36" t="n">
        <v>2.098000000000001</v>
      </c>
      <c r="G907" s="36" t="n">
        <v>5.255000000000001</v>
      </c>
      <c r="H907" s="36" t="n">
        <v>14</v>
      </c>
      <c r="I907" s="37" t="n">
        <v>0.5833333333333334</v>
      </c>
      <c r="J907" s="36" t="n">
        <v>5</v>
      </c>
      <c r="K907" s="37" t="n">
        <v>1</v>
      </c>
      <c r="L907" s="36" t="n">
        <v>9</v>
      </c>
      <c r="M907" s="37" t="n">
        <v>0.4736842105263158</v>
      </c>
      <c r="N907" s="36" t="n">
        <v>4</v>
      </c>
      <c r="O907" s="37" t="n">
        <v>0.8</v>
      </c>
      <c r="P907" s="36" t="n">
        <v>4</v>
      </c>
      <c r="Q907" s="37" t="n">
        <v>0.8</v>
      </c>
      <c r="R907" s="36" t="n">
        <v>24</v>
      </c>
      <c r="S907" s="37" t="n">
        <v>1</v>
      </c>
      <c r="T907" s="36" t="n">
        <v>10</v>
      </c>
      <c r="U907" s="37" t="n">
        <v>0.4166666666666667</v>
      </c>
      <c r="V907" s="38" t="n">
        <v>0</v>
      </c>
      <c r="W907" s="38" t="n">
        <v>1.388</v>
      </c>
      <c r="X907" s="38" t="n">
        <v>6.010000000000001</v>
      </c>
      <c r="Y907" s="38" t="n">
        <v>42.24800000000006</v>
      </c>
      <c r="Z907" s="38" t="n">
        <v>0</v>
      </c>
      <c r="AA907" s="36" t="n">
        <v>46</v>
      </c>
      <c r="AB907" s="37" t="n">
        <v>0.7076923076923077</v>
      </c>
      <c r="AC907" s="36" t="n">
        <v>7</v>
      </c>
      <c r="AD907" s="37" t="n">
        <v>0.4666666666666667</v>
      </c>
      <c r="AE907" s="36" t="n">
        <v>39</v>
      </c>
      <c r="AF907" s="37" t="n">
        <v>0.78</v>
      </c>
      <c r="AG907" s="36" t="n">
        <v>5</v>
      </c>
      <c r="AH907" s="37" t="n">
        <v>0.7142857142857143</v>
      </c>
    </row>
    <row r="908">
      <c r="A908" s="53" t="n">
        <v>45774</v>
      </c>
      <c r="B908" t="inlineStr">
        <is>
          <t>R05_Jawa Tengah DIY</t>
        </is>
      </c>
      <c r="C908" t="inlineStr">
        <is>
          <t>NOP YOGYAKARTA</t>
        </is>
      </c>
      <c r="D908" s="38" t="n">
        <v>0</v>
      </c>
      <c r="E908" s="38" t="n">
        <v>0</v>
      </c>
      <c r="F908" s="36" t="n">
        <v>3.21</v>
      </c>
      <c r="G908" s="36" t="n">
        <v>3.134</v>
      </c>
      <c r="H908" s="36" t="n">
        <v>3</v>
      </c>
      <c r="I908" s="37" t="n">
        <v>0.6</v>
      </c>
      <c r="J908" s="36" t="n">
        <v>0</v>
      </c>
      <c r="K908" s="37" t="n">
        <v>0</v>
      </c>
      <c r="L908" s="36" t="n">
        <v>3</v>
      </c>
      <c r="M908" s="37" t="n">
        <v>0.6</v>
      </c>
      <c r="N908" s="36" t="n">
        <v>0</v>
      </c>
      <c r="O908" s="37" t="n">
        <v>0</v>
      </c>
      <c r="P908" s="36" t="n">
        <v>0</v>
      </c>
      <c r="Q908" s="37" t="n">
        <v>0</v>
      </c>
      <c r="R908" s="36" t="n">
        <v>5</v>
      </c>
      <c r="S908" s="37" t="n">
        <v>1</v>
      </c>
      <c r="T908" s="36" t="n">
        <v>3</v>
      </c>
      <c r="U908" s="37" t="n">
        <v>0.6</v>
      </c>
      <c r="V908" s="38" t="n">
        <v>0</v>
      </c>
      <c r="W908" s="38" t="n">
        <v>2.42</v>
      </c>
      <c r="X908" s="38" t="n">
        <v>3.944</v>
      </c>
      <c r="Y908" s="38" t="n">
        <v>24.632</v>
      </c>
      <c r="Z908" s="38" t="n">
        <v>0</v>
      </c>
      <c r="AA908" s="36" t="n">
        <v>15</v>
      </c>
      <c r="AB908" s="37" t="n">
        <v>0.9375</v>
      </c>
      <c r="AC908" s="36" t="n">
        <v>3</v>
      </c>
      <c r="AD908" s="37" t="n">
        <v>0.75</v>
      </c>
      <c r="AE908" s="36" t="n">
        <v>12</v>
      </c>
      <c r="AF908" s="37" t="n">
        <v>1</v>
      </c>
      <c r="AG908" s="36" t="n">
        <v>2</v>
      </c>
      <c r="AH908" s="37" t="n">
        <v>0.6666666666666666</v>
      </c>
    </row>
    <row r="909">
      <c r="A909" s="53" t="n">
        <v>45774</v>
      </c>
      <c r="B909" t="inlineStr">
        <is>
          <t>R06_Jawa Timur</t>
        </is>
      </c>
      <c r="C909" t="inlineStr">
        <is>
          <t>NOP JEMBER</t>
        </is>
      </c>
      <c r="D909" s="38" t="n">
        <v>0.775</v>
      </c>
      <c r="E909" s="38" t="n">
        <v>0</v>
      </c>
      <c r="F909" s="36" t="n">
        <v>3.71</v>
      </c>
      <c r="G909" s="36" t="n">
        <v>2.666</v>
      </c>
      <c r="H909" s="36" t="n">
        <v>18</v>
      </c>
      <c r="I909" s="37" t="n">
        <v>0.9</v>
      </c>
      <c r="J909" s="36" t="n">
        <v>2</v>
      </c>
      <c r="K909" s="37" t="n">
        <v>1</v>
      </c>
      <c r="L909" s="36" t="n">
        <v>16</v>
      </c>
      <c r="M909" s="37" t="n">
        <v>0.8888888888888888</v>
      </c>
      <c r="N909" s="36" t="n">
        <v>2</v>
      </c>
      <c r="O909" s="37" t="n">
        <v>1</v>
      </c>
      <c r="P909" s="36" t="n">
        <v>2</v>
      </c>
      <c r="Q909" s="37" t="n">
        <v>1</v>
      </c>
      <c r="R909" s="36" t="n">
        <v>20</v>
      </c>
      <c r="S909" s="37" t="n">
        <v>1</v>
      </c>
      <c r="T909" s="36" t="n">
        <v>13</v>
      </c>
      <c r="U909" s="37" t="n">
        <v>0.65</v>
      </c>
      <c r="V909" s="38" t="n">
        <v>0</v>
      </c>
      <c r="W909" s="38" t="n">
        <v>2.33</v>
      </c>
      <c r="X909" s="38" t="n">
        <v>4.595000000000001</v>
      </c>
      <c r="Y909" s="38" t="n">
        <v>57.476</v>
      </c>
      <c r="Z909" s="38" t="n">
        <v>0</v>
      </c>
      <c r="AA909" s="36" t="n">
        <v>34</v>
      </c>
      <c r="AB909" s="37" t="n">
        <v>0.7555555555555555</v>
      </c>
      <c r="AC909" s="36" t="n">
        <v>11</v>
      </c>
      <c r="AD909" s="37" t="n">
        <v>0.6875</v>
      </c>
      <c r="AE909" s="36" t="n">
        <v>23</v>
      </c>
      <c r="AF909" s="37" t="n">
        <v>0.7931034482758621</v>
      </c>
      <c r="AG909" s="36" t="n">
        <v>9</v>
      </c>
      <c r="AH909" s="37" t="n">
        <v>0.8181818181818182</v>
      </c>
    </row>
    <row r="910">
      <c r="A910" s="53" t="n">
        <v>45774</v>
      </c>
      <c r="B910" t="inlineStr">
        <is>
          <t>R06_Jawa Timur</t>
        </is>
      </c>
      <c r="C910" t="inlineStr">
        <is>
          <t>NOP KEDIRI</t>
        </is>
      </c>
      <c r="D910" s="38" t="n">
        <v>1.21</v>
      </c>
      <c r="E910" s="38" t="n">
        <v>0</v>
      </c>
      <c r="F910" s="36" t="n">
        <v>1.06</v>
      </c>
      <c r="G910" s="36" t="n">
        <v>2.862000000000001</v>
      </c>
      <c r="H910" s="36" t="n">
        <v>9</v>
      </c>
      <c r="I910" s="37" t="n">
        <v>0.9</v>
      </c>
      <c r="J910" s="36" t="n">
        <v>1</v>
      </c>
      <c r="K910" s="37" t="n">
        <v>1</v>
      </c>
      <c r="L910" s="36" t="n">
        <v>8</v>
      </c>
      <c r="M910" s="37" t="n">
        <v>0.8888888888888888</v>
      </c>
      <c r="N910" s="36" t="n">
        <v>1</v>
      </c>
      <c r="O910" s="37" t="n">
        <v>1</v>
      </c>
      <c r="P910" s="36" t="n">
        <v>1</v>
      </c>
      <c r="Q910" s="37" t="n">
        <v>1</v>
      </c>
      <c r="R910" s="36" t="n">
        <v>10</v>
      </c>
      <c r="S910" s="37" t="n">
        <v>1</v>
      </c>
      <c r="T910" s="36" t="n">
        <v>9</v>
      </c>
      <c r="U910" s="37" t="n">
        <v>0.9</v>
      </c>
      <c r="V910" s="38" t="n">
        <v>0</v>
      </c>
      <c r="W910" s="38" t="n">
        <v>1.12</v>
      </c>
      <c r="X910" s="38" t="n">
        <v>3.03</v>
      </c>
      <c r="Y910" s="38" t="n">
        <v>0</v>
      </c>
      <c r="Z910" s="38" t="n">
        <v>0</v>
      </c>
      <c r="AA910" s="36" t="n">
        <v>13</v>
      </c>
      <c r="AB910" s="37" t="n">
        <v>1</v>
      </c>
      <c r="AC910" s="36" t="n">
        <v>5</v>
      </c>
      <c r="AD910" s="37" t="n">
        <v>1</v>
      </c>
      <c r="AE910" s="36" t="n">
        <v>8</v>
      </c>
      <c r="AF910" s="37" t="n">
        <v>1</v>
      </c>
      <c r="AG910" s="36" t="n">
        <v>5</v>
      </c>
      <c r="AH910" s="37" t="n">
        <v>1</v>
      </c>
    </row>
    <row r="911">
      <c r="A911" s="53" t="n">
        <v>45774</v>
      </c>
      <c r="B911" t="inlineStr">
        <is>
          <t>R06_Jawa Timur</t>
        </is>
      </c>
      <c r="C911" t="inlineStr">
        <is>
          <t>NOP LAMONGAN</t>
        </is>
      </c>
      <c r="D911" s="38" t="n">
        <v>2.12</v>
      </c>
      <c r="E911" s="38" t="n">
        <v>0</v>
      </c>
      <c r="F911" s="36" t="n">
        <v>2.883</v>
      </c>
      <c r="G911" s="36" t="n">
        <v>5.454000000000001</v>
      </c>
      <c r="H911" s="36" t="n">
        <v>7</v>
      </c>
      <c r="I911" s="37" t="n">
        <v>0.875</v>
      </c>
      <c r="J911" s="36" t="n">
        <v>1</v>
      </c>
      <c r="K911" s="37" t="n">
        <v>1</v>
      </c>
      <c r="L911" s="36" t="n">
        <v>6</v>
      </c>
      <c r="M911" s="37" t="n">
        <v>0.8571428571428571</v>
      </c>
      <c r="N911" s="36" t="n">
        <v>1</v>
      </c>
      <c r="O911" s="37" t="n">
        <v>1</v>
      </c>
      <c r="P911" s="36" t="n">
        <v>1</v>
      </c>
      <c r="Q911" s="37" t="n">
        <v>1</v>
      </c>
      <c r="R911" s="36" t="n">
        <v>8</v>
      </c>
      <c r="S911" s="37" t="n">
        <v>1</v>
      </c>
      <c r="T911" s="36" t="n">
        <v>6</v>
      </c>
      <c r="U911" s="37" t="n">
        <v>0.75</v>
      </c>
      <c r="V911" s="38" t="n">
        <v>0</v>
      </c>
      <c r="W911" s="38" t="n">
        <v>2.43</v>
      </c>
      <c r="X911" s="38" t="n">
        <v>12.444</v>
      </c>
      <c r="Y911" s="38" t="n">
        <v>0</v>
      </c>
      <c r="Z911" s="38" t="n">
        <v>0</v>
      </c>
      <c r="AA911" s="36" t="n">
        <v>11</v>
      </c>
      <c r="AB911" s="37" t="n">
        <v>0.6875</v>
      </c>
      <c r="AC911" s="36" t="n">
        <v>6</v>
      </c>
      <c r="AD911" s="37" t="n">
        <v>0.5454545454545454</v>
      </c>
      <c r="AE911" s="36" t="n">
        <v>5</v>
      </c>
      <c r="AF911" s="37" t="n">
        <v>1</v>
      </c>
      <c r="AG911" s="36" t="n">
        <v>6</v>
      </c>
      <c r="AH911" s="37" t="n">
        <v>1</v>
      </c>
    </row>
    <row r="912">
      <c r="A912" s="53" t="n">
        <v>45774</v>
      </c>
      <c r="B912" t="inlineStr">
        <is>
          <t>R06_Jawa Timur</t>
        </is>
      </c>
      <c r="C912" t="inlineStr">
        <is>
          <t>NOP MADIUN</t>
        </is>
      </c>
      <c r="D912" s="38" t="n">
        <v>0</v>
      </c>
      <c r="E912" s="38" t="n">
        <v>0</v>
      </c>
      <c r="F912" s="36" t="n">
        <v>1.63</v>
      </c>
      <c r="G912" s="36" t="n">
        <v>0.994</v>
      </c>
      <c r="H912" s="36" t="n">
        <v>5</v>
      </c>
      <c r="I912" s="37" t="n">
        <v>0.625</v>
      </c>
      <c r="J912" s="36" t="n">
        <v>0</v>
      </c>
      <c r="K912" s="37" t="n">
        <v>0</v>
      </c>
      <c r="L912" s="36" t="n">
        <v>5</v>
      </c>
      <c r="M912" s="37" t="n">
        <v>0.625</v>
      </c>
      <c r="N912" s="36" t="n">
        <v>0</v>
      </c>
      <c r="O912" s="37" t="n">
        <v>0</v>
      </c>
      <c r="P912" s="36" t="n">
        <v>0</v>
      </c>
      <c r="Q912" s="37" t="n">
        <v>0</v>
      </c>
      <c r="R912" s="36" t="n">
        <v>6</v>
      </c>
      <c r="S912" s="37" t="n">
        <v>0.75</v>
      </c>
      <c r="T912" s="36" t="n">
        <v>4</v>
      </c>
      <c r="U912" s="37" t="n">
        <v>0.5</v>
      </c>
      <c r="V912" s="38" t="n">
        <v>0</v>
      </c>
      <c r="W912" s="38" t="n">
        <v>3.108</v>
      </c>
      <c r="X912" s="38" t="n">
        <v>14.896</v>
      </c>
      <c r="Y912" s="38" t="n">
        <v>6.6</v>
      </c>
      <c r="Z912" s="38" t="n">
        <v>0</v>
      </c>
      <c r="AA912" s="36" t="n">
        <v>10</v>
      </c>
      <c r="AB912" s="37" t="n">
        <v>0.7692307692307693</v>
      </c>
      <c r="AC912" s="36" t="n">
        <v>6</v>
      </c>
      <c r="AD912" s="37" t="n">
        <v>0.75</v>
      </c>
      <c r="AE912" s="36" t="n">
        <v>4</v>
      </c>
      <c r="AF912" s="37" t="n">
        <v>0.8</v>
      </c>
      <c r="AG912" s="36" t="n">
        <v>6</v>
      </c>
      <c r="AH912" s="37" t="n">
        <v>1</v>
      </c>
    </row>
    <row r="913">
      <c r="A913" s="53" t="n">
        <v>45774</v>
      </c>
      <c r="B913" t="inlineStr">
        <is>
          <t>R06_Jawa Timur</t>
        </is>
      </c>
      <c r="C913" t="inlineStr">
        <is>
          <t>NOP MALANG</t>
        </is>
      </c>
      <c r="D913" s="38" t="n">
        <v>0</v>
      </c>
      <c r="E913" s="38" t="n">
        <v>0</v>
      </c>
      <c r="F913" s="36" t="n">
        <v>0</v>
      </c>
      <c r="G913" s="36" t="n">
        <v>1.06</v>
      </c>
      <c r="H913" s="36" t="n">
        <v>1</v>
      </c>
      <c r="I913" s="37" t="n">
        <v>1</v>
      </c>
      <c r="J913" s="36" t="n">
        <v>0</v>
      </c>
      <c r="K913" s="37" t="n">
        <v>0</v>
      </c>
      <c r="L913" s="36" t="n">
        <v>1</v>
      </c>
      <c r="M913" s="37" t="n">
        <v>1</v>
      </c>
      <c r="N913" s="36" t="n">
        <v>0</v>
      </c>
      <c r="O913" s="37" t="n">
        <v>0</v>
      </c>
      <c r="P913" s="36" t="n">
        <v>0</v>
      </c>
      <c r="Q913" s="37" t="n">
        <v>0</v>
      </c>
      <c r="R913" s="36" t="n">
        <v>1</v>
      </c>
      <c r="S913" s="37" t="n">
        <v>1</v>
      </c>
      <c r="T913" s="36" t="n">
        <v>0</v>
      </c>
      <c r="U913" s="37" t="n">
        <v>0</v>
      </c>
      <c r="V913" s="38" t="n">
        <v>0</v>
      </c>
      <c r="W913" s="38" t="n">
        <v>2.85</v>
      </c>
      <c r="X913" s="38" t="n">
        <v>0</v>
      </c>
      <c r="Y913" s="38" t="n">
        <v>0</v>
      </c>
      <c r="Z913" s="38" t="n">
        <v>0</v>
      </c>
      <c r="AA913" s="36" t="n">
        <v>1</v>
      </c>
      <c r="AB913" s="37" t="n">
        <v>1</v>
      </c>
      <c r="AC913" s="36" t="n">
        <v>1</v>
      </c>
      <c r="AD913" s="37" t="n">
        <v>1</v>
      </c>
      <c r="AE913" s="36" t="n">
        <v>0</v>
      </c>
      <c r="AF913" s="37" t="n">
        <v>0</v>
      </c>
      <c r="AG913" s="36" t="n">
        <v>0</v>
      </c>
      <c r="AH913" s="37" t="n">
        <v>0</v>
      </c>
    </row>
    <row r="914">
      <c r="A914" s="53" t="n">
        <v>45774</v>
      </c>
      <c r="B914" t="inlineStr">
        <is>
          <t>R06_Jawa Timur</t>
        </is>
      </c>
      <c r="C914" t="inlineStr">
        <is>
          <t>NOP SIDOARJO</t>
        </is>
      </c>
      <c r="D914" s="38" t="n">
        <v>0.84</v>
      </c>
      <c r="E914" s="38" t="n">
        <v>0</v>
      </c>
      <c r="F914" s="36" t="n">
        <v>6.9</v>
      </c>
      <c r="G914" s="36" t="n">
        <v>0</v>
      </c>
      <c r="H914" s="36" t="n">
        <v>10</v>
      </c>
      <c r="I914" s="37" t="n">
        <v>0.8333333333333334</v>
      </c>
      <c r="J914" s="36" t="n">
        <v>1</v>
      </c>
      <c r="K914" s="37" t="n">
        <v>1</v>
      </c>
      <c r="L914" s="36" t="n">
        <v>9</v>
      </c>
      <c r="M914" s="37" t="n">
        <v>0.8181818181818182</v>
      </c>
      <c r="N914" s="36" t="n">
        <v>1</v>
      </c>
      <c r="O914" s="37" t="n">
        <v>1</v>
      </c>
      <c r="P914" s="36" t="n">
        <v>1</v>
      </c>
      <c r="Q914" s="37" t="n">
        <v>1</v>
      </c>
      <c r="R914" s="36" t="n">
        <v>11</v>
      </c>
      <c r="S914" s="37" t="n">
        <v>0.9166666666666666</v>
      </c>
      <c r="T914" s="36" t="n">
        <v>7</v>
      </c>
      <c r="U914" s="37" t="n">
        <v>0.5833333333333334</v>
      </c>
      <c r="V914" s="38" t="n">
        <v>0.01</v>
      </c>
      <c r="W914" s="38" t="n">
        <v>0.5840000000000001</v>
      </c>
      <c r="X914" s="38" t="n">
        <v>2.89</v>
      </c>
      <c r="Y914" s="38" t="n">
        <v>14.796</v>
      </c>
      <c r="Z914" s="38" t="n">
        <v>0</v>
      </c>
      <c r="AA914" s="36" t="n">
        <v>13</v>
      </c>
      <c r="AB914" s="37" t="n">
        <v>0.6190476190476191</v>
      </c>
      <c r="AC914" s="36" t="n">
        <v>3</v>
      </c>
      <c r="AD914" s="37" t="n">
        <v>0.4285714285714285</v>
      </c>
      <c r="AE914" s="36" t="n">
        <v>10</v>
      </c>
      <c r="AF914" s="37" t="n">
        <v>0.7142857142857143</v>
      </c>
      <c r="AG914" s="36" t="n">
        <v>2</v>
      </c>
      <c r="AH914" s="37" t="n">
        <v>0.6666666666666666</v>
      </c>
    </row>
    <row r="915">
      <c r="A915" s="53" t="n">
        <v>45774</v>
      </c>
      <c r="B915" t="inlineStr">
        <is>
          <t>R06_Jawa Timur</t>
        </is>
      </c>
      <c r="C915" t="inlineStr">
        <is>
          <t>NOP SURABAYA</t>
        </is>
      </c>
      <c r="D915" s="38" t="n">
        <v>0.93</v>
      </c>
      <c r="E915" s="38" t="n">
        <v>0</v>
      </c>
      <c r="F915" s="36" t="n">
        <v>1.53</v>
      </c>
      <c r="G915" s="36" t="n">
        <v>8.859999999999999</v>
      </c>
      <c r="H915" s="36" t="n">
        <v>9</v>
      </c>
      <c r="I915" s="37" t="n">
        <v>0.5</v>
      </c>
      <c r="J915" s="36" t="n">
        <v>0</v>
      </c>
      <c r="K915" s="37" t="n">
        <v>0</v>
      </c>
      <c r="L915" s="36" t="n">
        <v>9</v>
      </c>
      <c r="M915" s="37" t="n">
        <v>0.5294117647058824</v>
      </c>
      <c r="N915" s="36" t="n">
        <v>0</v>
      </c>
      <c r="O915" s="37" t="n">
        <v>0</v>
      </c>
      <c r="P915" s="36" t="n">
        <v>0</v>
      </c>
      <c r="Q915" s="37" t="n">
        <v>0</v>
      </c>
      <c r="R915" s="36" t="n">
        <v>17</v>
      </c>
      <c r="S915" s="37" t="n">
        <v>0.9444444444444444</v>
      </c>
      <c r="T915" s="36" t="n">
        <v>7</v>
      </c>
      <c r="U915" s="37" t="n">
        <v>0.3888888888888889</v>
      </c>
      <c r="V915" s="38" t="n">
        <v>0</v>
      </c>
      <c r="W915" s="38" t="n">
        <v>1.306</v>
      </c>
      <c r="X915" s="38" t="n">
        <v>5.222</v>
      </c>
      <c r="Y915" s="38" t="n">
        <v>21.724</v>
      </c>
      <c r="Z915" s="38" t="n">
        <v>0</v>
      </c>
      <c r="AA915" s="36" t="n">
        <v>41</v>
      </c>
      <c r="AB915" s="37" t="n">
        <v>0.82</v>
      </c>
      <c r="AC915" s="36" t="n">
        <v>22</v>
      </c>
      <c r="AD915" s="37" t="n">
        <v>0.9565217391304348</v>
      </c>
      <c r="AE915" s="36" t="n">
        <v>19</v>
      </c>
      <c r="AF915" s="37" t="n">
        <v>0.7037037037037037</v>
      </c>
      <c r="AG915" s="36" t="n">
        <v>22</v>
      </c>
      <c r="AH915" s="37" t="n">
        <v>1</v>
      </c>
    </row>
    <row r="916">
      <c r="A916" s="53" t="n">
        <v>45774</v>
      </c>
      <c r="B916" t="inlineStr">
        <is>
          <t>R07_Bali Nusra</t>
        </is>
      </c>
      <c r="C916" t="inlineStr">
        <is>
          <t>NOP DENPASAR</t>
        </is>
      </c>
      <c r="D916" s="38" t="n">
        <v>2.734</v>
      </c>
      <c r="E916" s="38" t="n">
        <v>0</v>
      </c>
      <c r="F916" s="36" t="n">
        <v>0.66</v>
      </c>
      <c r="G916" s="36" t="n">
        <v>5.923</v>
      </c>
      <c r="H916" s="36" t="n">
        <v>6</v>
      </c>
      <c r="I916" s="37" t="n">
        <v>0.75</v>
      </c>
      <c r="J916" s="36" t="n">
        <v>3</v>
      </c>
      <c r="K916" s="37" t="n">
        <v>1</v>
      </c>
      <c r="L916" s="36" t="n">
        <v>3</v>
      </c>
      <c r="M916" s="37" t="n">
        <v>0.6</v>
      </c>
      <c r="N916" s="36" t="n">
        <v>3</v>
      </c>
      <c r="O916" s="37" t="n">
        <v>1</v>
      </c>
      <c r="P916" s="36" t="n">
        <v>3</v>
      </c>
      <c r="Q916" s="37" t="n">
        <v>1</v>
      </c>
      <c r="R916" s="36" t="n">
        <v>8</v>
      </c>
      <c r="S916" s="37" t="n">
        <v>1</v>
      </c>
      <c r="T916" s="36" t="n">
        <v>6</v>
      </c>
      <c r="U916" s="37" t="n">
        <v>0.75</v>
      </c>
      <c r="V916" s="38" t="n">
        <v>0</v>
      </c>
      <c r="W916" s="38" t="n">
        <v>1.29</v>
      </c>
      <c r="X916" s="38" t="n">
        <v>54.492</v>
      </c>
      <c r="Y916" s="38" t="n">
        <v>23.659</v>
      </c>
      <c r="Z916" s="38" t="n">
        <v>0</v>
      </c>
      <c r="AA916" s="36" t="n">
        <v>38</v>
      </c>
      <c r="AB916" s="37" t="n">
        <v>0.95</v>
      </c>
      <c r="AC916" s="36" t="n">
        <v>21</v>
      </c>
      <c r="AD916" s="37" t="n">
        <v>1</v>
      </c>
      <c r="AE916" s="36" t="n">
        <v>17</v>
      </c>
      <c r="AF916" s="37" t="n">
        <v>0.8947368421052632</v>
      </c>
      <c r="AG916" s="36" t="n">
        <v>20</v>
      </c>
      <c r="AH916" s="37" t="n">
        <v>0.9523809523809523</v>
      </c>
    </row>
    <row r="917">
      <c r="A917" s="53" t="n">
        <v>45774</v>
      </c>
      <c r="B917" t="inlineStr">
        <is>
          <t>R07_Bali Nusra</t>
        </is>
      </c>
      <c r="C917" t="inlineStr">
        <is>
          <t>NOP FLORES</t>
        </is>
      </c>
      <c r="D917" s="38" t="n">
        <v>1.07</v>
      </c>
      <c r="E917" s="38" t="n">
        <v>5.16</v>
      </c>
      <c r="F917" s="36" t="n">
        <v>9.715999999999994</v>
      </c>
      <c r="G917" s="36" t="n">
        <v>9.27</v>
      </c>
      <c r="H917" s="36" t="n">
        <v>41</v>
      </c>
      <c r="I917" s="37" t="n">
        <v>0.6507936507936508</v>
      </c>
      <c r="J917" s="36" t="n">
        <v>9</v>
      </c>
      <c r="K917" s="37" t="n">
        <v>0.6923076923076923</v>
      </c>
      <c r="L917" s="36" t="n">
        <v>32</v>
      </c>
      <c r="M917" s="37" t="n">
        <v>0.64</v>
      </c>
      <c r="N917" s="36" t="n">
        <v>7</v>
      </c>
      <c r="O917" s="37" t="n">
        <v>0.7777777777777778</v>
      </c>
      <c r="P917" s="36" t="n">
        <v>7</v>
      </c>
      <c r="Q917" s="37" t="n">
        <v>0.7777777777777778</v>
      </c>
      <c r="R917" s="36" t="n">
        <v>63</v>
      </c>
      <c r="S917" s="37" t="n">
        <v>1</v>
      </c>
      <c r="T917" s="36" t="n">
        <v>20</v>
      </c>
      <c r="U917" s="37" t="n">
        <v>0.3174603174603174</v>
      </c>
      <c r="V917" s="38" t="n">
        <v>0</v>
      </c>
      <c r="W917" s="38" t="n">
        <v>16.18599999999998</v>
      </c>
      <c r="X917" s="38" t="n">
        <v>12.546</v>
      </c>
      <c r="Y917" s="38" t="n">
        <v>128.326</v>
      </c>
      <c r="Z917" s="38" t="n">
        <v>0</v>
      </c>
      <c r="AA917" s="36" t="n">
        <v>57</v>
      </c>
      <c r="AB917" s="37" t="n">
        <v>0.6404494382022472</v>
      </c>
      <c r="AC917" s="36" t="n">
        <v>42</v>
      </c>
      <c r="AD917" s="37" t="n">
        <v>0.6268656716417911</v>
      </c>
      <c r="AE917" s="36" t="n">
        <v>15</v>
      </c>
      <c r="AF917" s="37" t="n">
        <v>0.6818181818181818</v>
      </c>
      <c r="AG917" s="36" t="n">
        <v>30</v>
      </c>
      <c r="AH917" s="37" t="n">
        <v>0.7142857142857143</v>
      </c>
    </row>
    <row r="918">
      <c r="A918" s="53" t="n">
        <v>45774</v>
      </c>
      <c r="B918" t="inlineStr">
        <is>
          <t>R07_Bali Nusra</t>
        </is>
      </c>
      <c r="C918" t="inlineStr">
        <is>
          <t>NOP KUPANG</t>
        </is>
      </c>
      <c r="D918" s="38" t="n">
        <v>0</v>
      </c>
      <c r="E918" s="38" t="n">
        <v>2.690999999999999</v>
      </c>
      <c r="F918" s="36" t="n">
        <v>13.13</v>
      </c>
      <c r="G918" s="36" t="n">
        <v>29.95</v>
      </c>
      <c r="H918" s="36" t="n">
        <v>3</v>
      </c>
      <c r="I918" s="37" t="n">
        <v>0.1</v>
      </c>
      <c r="J918" s="36" t="n">
        <v>2</v>
      </c>
      <c r="K918" s="37" t="n">
        <v>0.25</v>
      </c>
      <c r="L918" s="36" t="n">
        <v>1</v>
      </c>
      <c r="M918" s="37" t="n">
        <v>0.04545454545454546</v>
      </c>
      <c r="N918" s="36" t="n">
        <v>2</v>
      </c>
      <c r="O918" s="37" t="n">
        <v>1</v>
      </c>
      <c r="P918" s="36" t="n">
        <v>2</v>
      </c>
      <c r="Q918" s="37" t="n">
        <v>1</v>
      </c>
      <c r="R918" s="36" t="n">
        <v>30</v>
      </c>
      <c r="S918" s="37" t="n">
        <v>1</v>
      </c>
      <c r="T918" s="36" t="n">
        <v>2</v>
      </c>
      <c r="U918" s="37" t="n">
        <v>0.06666666666666667</v>
      </c>
      <c r="V918" s="38" t="n">
        <v>0</v>
      </c>
      <c r="W918" s="38" t="n">
        <v>12.42599999999999</v>
      </c>
      <c r="X918" s="38" t="n">
        <v>14.483</v>
      </c>
      <c r="Y918" s="38" t="n">
        <v>6.64</v>
      </c>
      <c r="Z918" s="38" t="n">
        <v>0</v>
      </c>
      <c r="AA918" s="36" t="n">
        <v>18</v>
      </c>
      <c r="AB918" s="37" t="n">
        <v>0.4864864864864865</v>
      </c>
      <c r="AC918" s="36" t="n">
        <v>9</v>
      </c>
      <c r="AD918" s="37" t="n">
        <v>0.375</v>
      </c>
      <c r="AE918" s="36" t="n">
        <v>9</v>
      </c>
      <c r="AF918" s="37" t="n">
        <v>0.6923076923076923</v>
      </c>
      <c r="AG918" s="36" t="n">
        <v>8</v>
      </c>
      <c r="AH918" s="37" t="n">
        <v>0.8888888888888888</v>
      </c>
    </row>
    <row r="919">
      <c r="A919" s="53" t="n">
        <v>45774</v>
      </c>
      <c r="B919" t="inlineStr">
        <is>
          <t>R07_Bali Nusra</t>
        </is>
      </c>
      <c r="C919" t="inlineStr">
        <is>
          <t>NOP MATARAM</t>
        </is>
      </c>
      <c r="D919" s="38" t="n">
        <v>0</v>
      </c>
      <c r="E919" s="38" t="n">
        <v>2.64</v>
      </c>
      <c r="F919" s="36" t="n">
        <v>1.805</v>
      </c>
      <c r="G919" s="36" t="n">
        <v>7.641000000000002</v>
      </c>
      <c r="H919" s="36" t="n">
        <v>5</v>
      </c>
      <c r="I919" s="37" t="n">
        <v>0.5555555555555556</v>
      </c>
      <c r="J919" s="36" t="n">
        <v>1</v>
      </c>
      <c r="K919" s="37" t="n">
        <v>1</v>
      </c>
      <c r="L919" s="36" t="n">
        <v>4</v>
      </c>
      <c r="M919" s="37" t="n">
        <v>0.5</v>
      </c>
      <c r="N919" s="36" t="n">
        <v>1</v>
      </c>
      <c r="O919" s="37" t="n">
        <v>1</v>
      </c>
      <c r="P919" s="36" t="n">
        <v>1</v>
      </c>
      <c r="Q919" s="37" t="n">
        <v>1</v>
      </c>
      <c r="R919" s="36" t="n">
        <v>9</v>
      </c>
      <c r="S919" s="37" t="n">
        <v>1</v>
      </c>
      <c r="T919" s="36" t="n">
        <v>4</v>
      </c>
      <c r="U919" s="37" t="n">
        <v>0.4444444444444444</v>
      </c>
      <c r="V919" s="38" t="n">
        <v>0</v>
      </c>
      <c r="W919" s="38" t="n">
        <v>23.125</v>
      </c>
      <c r="X919" s="38" t="n">
        <v>17.43599999999998</v>
      </c>
      <c r="Y919" s="38" t="n">
        <v>34.44400000000001</v>
      </c>
      <c r="Z919" s="38" t="n">
        <v>0</v>
      </c>
      <c r="AA919" s="36" t="n">
        <v>13</v>
      </c>
      <c r="AB919" s="37" t="n">
        <v>0.2888888888888889</v>
      </c>
      <c r="AC919" s="36" t="n">
        <v>8</v>
      </c>
      <c r="AD919" s="37" t="n">
        <v>0.3076923076923077</v>
      </c>
      <c r="AE919" s="36" t="n">
        <v>5</v>
      </c>
      <c r="AF919" s="37" t="n">
        <v>0.2631578947368421</v>
      </c>
      <c r="AG919" s="36" t="n">
        <v>6</v>
      </c>
      <c r="AH919" s="37" t="n">
        <v>0.75</v>
      </c>
    </row>
    <row r="920">
      <c r="A920" s="53" t="n">
        <v>45775</v>
      </c>
      <c r="B920" t="inlineStr">
        <is>
          <t>R01_Sumbagut</t>
        </is>
      </c>
      <c r="C920" t="inlineStr">
        <is>
          <t>NOP ACEH</t>
        </is>
      </c>
      <c r="D920" s="38" t="n">
        <v>1.03</v>
      </c>
      <c r="E920" s="38" t="n">
        <v>2.58</v>
      </c>
      <c r="F920" s="36" t="n">
        <v>4.89</v>
      </c>
      <c r="G920" s="36" t="n">
        <v>12.53</v>
      </c>
      <c r="H920" s="36" t="n">
        <v>107</v>
      </c>
      <c r="I920" s="37" t="n">
        <v>0.963963963963964</v>
      </c>
      <c r="J920" s="36" t="n">
        <v>12</v>
      </c>
      <c r="K920" s="37" t="n">
        <v>0.9230769230769231</v>
      </c>
      <c r="L920" s="36" t="n">
        <v>95</v>
      </c>
      <c r="M920" s="37" t="n">
        <v>0.9693877551020408</v>
      </c>
      <c r="N920" s="36" t="n">
        <v>3</v>
      </c>
      <c r="O920" s="37" t="n">
        <v>0.25</v>
      </c>
      <c r="P920" s="36" t="n">
        <v>3</v>
      </c>
      <c r="Q920" s="37" t="n">
        <v>0.25</v>
      </c>
      <c r="R920" s="36" t="n">
        <v>111</v>
      </c>
      <c r="S920" s="37" t="n">
        <v>1</v>
      </c>
      <c r="T920" s="36" t="n">
        <v>43</v>
      </c>
      <c r="U920" s="37" t="n">
        <v>0.3873873873873874</v>
      </c>
      <c r="V920" s="38" t="n">
        <v>0.02</v>
      </c>
      <c r="W920" s="38" t="n">
        <v>4.138</v>
      </c>
      <c r="X920" s="38" t="n">
        <v>73.00700000000002</v>
      </c>
      <c r="Y920" s="38" t="n">
        <v>90.49000000000008</v>
      </c>
      <c r="Z920" s="38" t="n">
        <v>0</v>
      </c>
      <c r="AA920" s="36" t="n">
        <v>246</v>
      </c>
      <c r="AB920" s="37" t="n">
        <v>0.8754448398576512</v>
      </c>
      <c r="AC920" s="36" t="n">
        <v>47</v>
      </c>
      <c r="AD920" s="37" t="n">
        <v>0.6527777777777778</v>
      </c>
      <c r="AE920" s="36" t="n">
        <v>193</v>
      </c>
      <c r="AF920" s="37" t="n">
        <v>0.9507389162561576</v>
      </c>
      <c r="AG920" s="36" t="n">
        <v>15</v>
      </c>
      <c r="AH920" s="37" t="n">
        <v>0.3191489361702128</v>
      </c>
    </row>
    <row r="921">
      <c r="A921" s="53" t="n">
        <v>45775</v>
      </c>
      <c r="B921" t="inlineStr">
        <is>
          <t>R01_Sumbagut</t>
        </is>
      </c>
      <c r="C921" t="inlineStr">
        <is>
          <t>NOP BINJAI</t>
        </is>
      </c>
      <c r="D921" s="38" t="n">
        <v>0</v>
      </c>
      <c r="E921" s="38" t="n">
        <v>0.615</v>
      </c>
      <c r="F921" s="36" t="n">
        <v>7.082000000000002</v>
      </c>
      <c r="G921" s="36" t="n">
        <v>5.152000000000001</v>
      </c>
      <c r="H921" s="36" t="n">
        <v>48</v>
      </c>
      <c r="I921" s="37" t="n">
        <v>0.8135593220338984</v>
      </c>
      <c r="J921" s="36" t="n">
        <v>3</v>
      </c>
      <c r="K921" s="37" t="n">
        <v>0.5</v>
      </c>
      <c r="L921" s="36" t="n">
        <v>45</v>
      </c>
      <c r="M921" s="37" t="n">
        <v>0.8490566037735849</v>
      </c>
      <c r="N921" s="36" t="n">
        <v>0</v>
      </c>
      <c r="O921" s="37" t="n">
        <v>0</v>
      </c>
      <c r="P921" s="36" t="n">
        <v>0</v>
      </c>
      <c r="Q921" s="37" t="n">
        <v>0</v>
      </c>
      <c r="R921" s="36" t="n">
        <v>59</v>
      </c>
      <c r="S921" s="37" t="n">
        <v>1</v>
      </c>
      <c r="T921" s="36" t="n">
        <v>23</v>
      </c>
      <c r="U921" s="37" t="n">
        <v>0.3898305084745763</v>
      </c>
      <c r="V921" s="38" t="n">
        <v>0</v>
      </c>
      <c r="W921" s="38" t="n">
        <v>4.319000000000006</v>
      </c>
      <c r="X921" s="38" t="n">
        <v>37.096</v>
      </c>
      <c r="Y921" s="38" t="n">
        <v>136.811</v>
      </c>
      <c r="Z921" s="38" t="n">
        <v>0</v>
      </c>
      <c r="AA921" s="36" t="n">
        <v>76</v>
      </c>
      <c r="AB921" s="37" t="n">
        <v>0.7916666666666666</v>
      </c>
      <c r="AC921" s="36" t="n">
        <v>22</v>
      </c>
      <c r="AD921" s="37" t="n">
        <v>0.6875</v>
      </c>
      <c r="AE921" s="36" t="n">
        <v>54</v>
      </c>
      <c r="AF921" s="37" t="n">
        <v>0.8571428571428571</v>
      </c>
      <c r="AG921" s="36" t="n">
        <v>12</v>
      </c>
      <c r="AH921" s="37" t="n">
        <v>0.5454545454545454</v>
      </c>
    </row>
    <row r="922">
      <c r="A922" s="53" t="n">
        <v>45775</v>
      </c>
      <c r="B922" t="inlineStr">
        <is>
          <t>R01_Sumbagut</t>
        </is>
      </c>
      <c r="C922" t="inlineStr">
        <is>
          <t>NOP MEDAN</t>
        </is>
      </c>
      <c r="D922" s="38" t="n">
        <v>2.823</v>
      </c>
      <c r="E922" s="38" t="n">
        <v>3.715000000000001</v>
      </c>
      <c r="F922" s="36" t="n">
        <v>4.829000000000002</v>
      </c>
      <c r="G922" s="36" t="n">
        <v>4.234</v>
      </c>
      <c r="H922" s="36" t="n">
        <v>46</v>
      </c>
      <c r="I922" s="37" t="n">
        <v>0.4742268041237113</v>
      </c>
      <c r="J922" s="36" t="n">
        <v>25</v>
      </c>
      <c r="K922" s="37" t="n">
        <v>0.5952380952380952</v>
      </c>
      <c r="L922" s="36" t="n">
        <v>21</v>
      </c>
      <c r="M922" s="37" t="n">
        <v>0.3818181818181818</v>
      </c>
      <c r="N922" s="36" t="n">
        <v>19</v>
      </c>
      <c r="O922" s="37" t="n">
        <v>0.76</v>
      </c>
      <c r="P922" s="36" t="n">
        <v>19</v>
      </c>
      <c r="Q922" s="37" t="n">
        <v>0.76</v>
      </c>
      <c r="R922" s="36" t="n">
        <v>97</v>
      </c>
      <c r="S922" s="37" t="n">
        <v>1</v>
      </c>
      <c r="T922" s="36" t="n">
        <v>28</v>
      </c>
      <c r="U922" s="37" t="n">
        <v>0.288659793814433</v>
      </c>
      <c r="V922" s="38" t="n">
        <v>0</v>
      </c>
      <c r="W922" s="38" t="n">
        <v>16.80600000000001</v>
      </c>
      <c r="X922" s="38" t="n">
        <v>22.59</v>
      </c>
      <c r="Y922" s="38" t="n">
        <v>0.0850000000000012</v>
      </c>
      <c r="Z922" s="38" t="n">
        <v>0</v>
      </c>
      <c r="AA922" s="36" t="n">
        <v>26</v>
      </c>
      <c r="AB922" s="37" t="n">
        <v>0.3513513513513514</v>
      </c>
      <c r="AC922" s="36" t="n">
        <v>4</v>
      </c>
      <c r="AD922" s="37" t="n">
        <v>0.2222222222222222</v>
      </c>
      <c r="AE922" s="36" t="n">
        <v>20</v>
      </c>
      <c r="AF922" s="37" t="n">
        <v>0.425531914893617</v>
      </c>
      <c r="AG922" s="36" t="n">
        <v>1</v>
      </c>
      <c r="AH922" s="37" t="n">
        <v>0.25</v>
      </c>
    </row>
    <row r="923">
      <c r="A923" s="53" t="n">
        <v>45775</v>
      </c>
      <c r="B923" t="inlineStr">
        <is>
          <t>R01_Sumbagut</t>
        </is>
      </c>
      <c r="C923" t="inlineStr">
        <is>
          <t>NOP PADANG SIDEMPUAN</t>
        </is>
      </c>
      <c r="D923" s="38" t="n">
        <v>0</v>
      </c>
      <c r="E923" s="38" t="n">
        <v>1.8</v>
      </c>
      <c r="F923" s="36" t="n">
        <v>5.29</v>
      </c>
      <c r="G923" s="36" t="n">
        <v>4.96</v>
      </c>
      <c r="H923" s="36" t="n">
        <v>14</v>
      </c>
      <c r="I923" s="37" t="n">
        <v>0.2121212121212121</v>
      </c>
      <c r="J923" s="36" t="n">
        <v>3</v>
      </c>
      <c r="K923" s="37" t="n">
        <v>0.3333333333333333</v>
      </c>
      <c r="L923" s="36" t="n">
        <v>11</v>
      </c>
      <c r="M923" s="37" t="n">
        <v>0.1929824561403509</v>
      </c>
      <c r="N923" s="36" t="n">
        <v>3</v>
      </c>
      <c r="O923" s="37" t="n">
        <v>1</v>
      </c>
      <c r="P923" s="36" t="n">
        <v>3</v>
      </c>
      <c r="Q923" s="37" t="n">
        <v>1</v>
      </c>
      <c r="R923" s="36" t="n">
        <v>65</v>
      </c>
      <c r="S923" s="37" t="n">
        <v>0.9848484848484849</v>
      </c>
      <c r="T923" s="36" t="n">
        <v>9</v>
      </c>
      <c r="U923" s="37" t="n">
        <v>0.1363636363636364</v>
      </c>
      <c r="V923" s="38" t="n">
        <v>0.03</v>
      </c>
      <c r="W923" s="38" t="n">
        <v>2.87</v>
      </c>
      <c r="X923" s="38" t="n">
        <v>7.763999999999998</v>
      </c>
      <c r="Y923" s="38" t="n">
        <v>140.37</v>
      </c>
      <c r="Z923" s="38" t="n">
        <v>0</v>
      </c>
      <c r="AA923" s="36" t="n">
        <v>100</v>
      </c>
      <c r="AB923" s="37" t="n">
        <v>0.3257328990228013</v>
      </c>
      <c r="AC923" s="36" t="n">
        <v>34</v>
      </c>
      <c r="AD923" s="37" t="n">
        <v>0.4146341463414634</v>
      </c>
      <c r="AE923" s="36" t="n">
        <v>66</v>
      </c>
      <c r="AF923" s="37" t="n">
        <v>0.2933333333333333</v>
      </c>
      <c r="AG923" s="36" t="n">
        <v>14</v>
      </c>
      <c r="AH923" s="37" t="n">
        <v>0.4117647058823529</v>
      </c>
    </row>
    <row r="924">
      <c r="A924" s="53" t="n">
        <v>45775</v>
      </c>
      <c r="B924" t="inlineStr">
        <is>
          <t>R01_Sumbagut</t>
        </is>
      </c>
      <c r="C924" t="inlineStr">
        <is>
          <t>NOP PEMATANG SIANTAR</t>
        </is>
      </c>
      <c r="D924" s="38" t="n">
        <v>4.26</v>
      </c>
      <c r="E924" s="38" t="n">
        <v>10.80400000000001</v>
      </c>
      <c r="F924" s="36" t="n">
        <v>8.559000000000012</v>
      </c>
      <c r="G924" s="36" t="n">
        <v>5.42</v>
      </c>
      <c r="H924" s="36" t="n">
        <v>31</v>
      </c>
      <c r="I924" s="37" t="n">
        <v>0.2818181818181818</v>
      </c>
      <c r="J924" s="36" t="n">
        <v>11</v>
      </c>
      <c r="K924" s="37" t="n">
        <v>0.5789473684210527</v>
      </c>
      <c r="L924" s="36" t="n">
        <v>20</v>
      </c>
      <c r="M924" s="37" t="n">
        <v>0.2197802197802198</v>
      </c>
      <c r="N924" s="36" t="n">
        <v>6</v>
      </c>
      <c r="O924" s="37" t="n">
        <v>0.5454545454545454</v>
      </c>
      <c r="P924" s="36" t="n">
        <v>6</v>
      </c>
      <c r="Q924" s="37" t="n">
        <v>0.5454545454545454</v>
      </c>
      <c r="R924" s="36" t="n">
        <v>108</v>
      </c>
      <c r="S924" s="37" t="n">
        <v>0.9818181818181818</v>
      </c>
      <c r="T924" s="36" t="n">
        <v>19</v>
      </c>
      <c r="U924" s="37" t="n">
        <v>0.1727272727272727</v>
      </c>
      <c r="V924" s="38" t="n">
        <v>0</v>
      </c>
      <c r="W924" s="38" t="n">
        <v>2.700000000000001</v>
      </c>
      <c r="X924" s="38" t="n">
        <v>87.21600000000001</v>
      </c>
      <c r="Y924" s="38" t="n">
        <v>81.56900000000014</v>
      </c>
      <c r="Z924" s="38" t="n">
        <v>0</v>
      </c>
      <c r="AA924" s="36" t="n">
        <v>51</v>
      </c>
      <c r="AB924" s="37" t="n">
        <v>0.1214285714285714</v>
      </c>
      <c r="AC924" s="36" t="n">
        <v>12</v>
      </c>
      <c r="AD924" s="37" t="n">
        <v>0.24</v>
      </c>
      <c r="AE924" s="36" t="n">
        <v>37</v>
      </c>
      <c r="AF924" s="37" t="n">
        <v>0.1008174386920981</v>
      </c>
      <c r="AG924" s="36" t="n">
        <v>12</v>
      </c>
      <c r="AH924" s="37" t="n">
        <v>1</v>
      </c>
    </row>
    <row r="925">
      <c r="A925" s="53" t="n">
        <v>45775</v>
      </c>
      <c r="B925" t="inlineStr">
        <is>
          <t>R01_Sumbagut</t>
        </is>
      </c>
      <c r="C925" t="inlineStr">
        <is>
          <t>NOP RANTAU PRAPAT</t>
        </is>
      </c>
      <c r="D925" s="38" t="n">
        <v>0.736</v>
      </c>
      <c r="E925" s="38" t="n">
        <v>4.722000000000007</v>
      </c>
      <c r="F925" s="36" t="n">
        <v>5.874000000000005</v>
      </c>
      <c r="G925" s="36" t="n">
        <v>13.26400000000003</v>
      </c>
      <c r="H925" s="36" t="n">
        <v>46</v>
      </c>
      <c r="I925" s="37" t="n">
        <v>0.2787878787878788</v>
      </c>
      <c r="J925" s="36" t="n">
        <v>10</v>
      </c>
      <c r="K925" s="37" t="n">
        <v>0.4166666666666667</v>
      </c>
      <c r="L925" s="36" t="n">
        <v>36</v>
      </c>
      <c r="M925" s="37" t="n">
        <v>0.2553191489361702</v>
      </c>
      <c r="N925" s="36" t="n">
        <v>7</v>
      </c>
      <c r="O925" s="37" t="n">
        <v>0.7</v>
      </c>
      <c r="P925" s="36" t="n">
        <v>7</v>
      </c>
      <c r="Q925" s="37" t="n">
        <v>0.7</v>
      </c>
      <c r="R925" s="36" t="n">
        <v>164</v>
      </c>
      <c r="S925" s="37" t="n">
        <v>0.9939393939393939</v>
      </c>
      <c r="T925" s="36" t="n">
        <v>29</v>
      </c>
      <c r="U925" s="37" t="n">
        <v>0.1757575757575758</v>
      </c>
      <c r="V925" s="38" t="n">
        <v>0.03</v>
      </c>
      <c r="W925" s="38" t="n">
        <v>5.650999999999996</v>
      </c>
      <c r="X925" s="38" t="n">
        <v>23.28</v>
      </c>
      <c r="Y925" s="38" t="n">
        <v>73.31400000000001</v>
      </c>
      <c r="Z925" s="38" t="n">
        <v>0</v>
      </c>
      <c r="AA925" s="36" t="n">
        <v>32</v>
      </c>
      <c r="AB925" s="37" t="n">
        <v>0.1035598705501618</v>
      </c>
      <c r="AC925" s="36" t="n">
        <v>19</v>
      </c>
      <c r="AD925" s="37" t="n">
        <v>0.3584905660377358</v>
      </c>
      <c r="AE925" s="36" t="n">
        <v>11</v>
      </c>
      <c r="AF925" s="37" t="n">
        <v>0.04621848739495799</v>
      </c>
      <c r="AG925" s="36" t="n">
        <v>9</v>
      </c>
      <c r="AH925" s="37" t="n">
        <v>0.4736842105263158</v>
      </c>
    </row>
    <row r="926">
      <c r="A926" s="53" t="n">
        <v>45775</v>
      </c>
      <c r="B926" t="inlineStr">
        <is>
          <t>R10_Sumbagteng</t>
        </is>
      </c>
      <c r="C926" t="inlineStr">
        <is>
          <t>NOP BATAM</t>
        </is>
      </c>
      <c r="D926" s="38" t="n">
        <v>5.186000000000001</v>
      </c>
      <c r="E926" s="38" t="n">
        <v>15.43500000000001</v>
      </c>
      <c r="F926" s="36" t="n">
        <v>8.932000000000004</v>
      </c>
      <c r="G926" s="36" t="n">
        <v>5.652000000000001</v>
      </c>
      <c r="H926" s="36" t="n">
        <v>35</v>
      </c>
      <c r="I926" s="37" t="n">
        <v>0.2517985611510791</v>
      </c>
      <c r="J926" s="36" t="n">
        <v>4</v>
      </c>
      <c r="K926" s="37" t="n">
        <v>0.1481481481481481</v>
      </c>
      <c r="L926" s="36" t="n">
        <v>31</v>
      </c>
      <c r="M926" s="37" t="n">
        <v>0.2767857142857143</v>
      </c>
      <c r="N926" s="36" t="n">
        <v>3</v>
      </c>
      <c r="O926" s="37" t="n">
        <v>0.75</v>
      </c>
      <c r="P926" s="36" t="n">
        <v>3</v>
      </c>
      <c r="Q926" s="37" t="n">
        <v>0.75</v>
      </c>
      <c r="R926" s="36" t="n">
        <v>138</v>
      </c>
      <c r="S926" s="37" t="n">
        <v>0.9928057553956835</v>
      </c>
      <c r="T926" s="36" t="n">
        <v>18</v>
      </c>
      <c r="U926" s="37" t="n">
        <v>0.1294964028776978</v>
      </c>
      <c r="V926" s="38" t="n">
        <v>0.03</v>
      </c>
      <c r="W926" s="38" t="n">
        <v>3.96</v>
      </c>
      <c r="X926" s="38" t="n">
        <v>86.312</v>
      </c>
      <c r="Y926" s="38" t="n">
        <v>137.67</v>
      </c>
      <c r="Z926" s="38" t="n">
        <v>0</v>
      </c>
      <c r="AA926" s="36" t="n">
        <v>42</v>
      </c>
      <c r="AB926" s="37" t="n">
        <v>0.1333333333333333</v>
      </c>
      <c r="AC926" s="36" t="n">
        <v>9</v>
      </c>
      <c r="AD926" s="37" t="n">
        <v>0.1267605633802817</v>
      </c>
      <c r="AE926" s="36" t="n">
        <v>33</v>
      </c>
      <c r="AF926" s="37" t="n">
        <v>0.1369294605809129</v>
      </c>
      <c r="AG926" s="36" t="n">
        <v>4</v>
      </c>
      <c r="AH926" s="37" t="n">
        <v>0.4444444444444444</v>
      </c>
    </row>
    <row r="927">
      <c r="A927" s="53" t="n">
        <v>45775</v>
      </c>
      <c r="B927" t="inlineStr">
        <is>
          <t>R10_Sumbagteng</t>
        </is>
      </c>
      <c r="C927" t="inlineStr">
        <is>
          <t>NOP BUKITTINGGI</t>
        </is>
      </c>
      <c r="D927" s="38" t="n">
        <v>1.35</v>
      </c>
      <c r="E927" s="38" t="n">
        <v>2.52</v>
      </c>
      <c r="F927" s="36" t="n">
        <v>3.867999999999998</v>
      </c>
      <c r="G927" s="36" t="n">
        <v>1.817</v>
      </c>
      <c r="H927" s="36" t="n">
        <v>26</v>
      </c>
      <c r="I927" s="37" t="n">
        <v>0.7428571428571429</v>
      </c>
      <c r="J927" s="36" t="n">
        <v>4</v>
      </c>
      <c r="K927" s="37" t="n">
        <v>1</v>
      </c>
      <c r="L927" s="36" t="n">
        <v>22</v>
      </c>
      <c r="M927" s="37" t="n">
        <v>0.7096774193548387</v>
      </c>
      <c r="N927" s="36" t="n">
        <v>3</v>
      </c>
      <c r="O927" s="37" t="n">
        <v>0.75</v>
      </c>
      <c r="P927" s="36" t="n">
        <v>3</v>
      </c>
      <c r="Q927" s="37" t="n">
        <v>0.75</v>
      </c>
      <c r="R927" s="36" t="n">
        <v>34</v>
      </c>
      <c r="S927" s="37" t="n">
        <v>0.9714285714285714</v>
      </c>
      <c r="T927" s="36" t="n">
        <v>15</v>
      </c>
      <c r="U927" s="37" t="n">
        <v>0.4285714285714285</v>
      </c>
      <c r="V927" s="38" t="n">
        <v>0</v>
      </c>
      <c r="W927" s="38" t="n">
        <v>22.10000000000002</v>
      </c>
      <c r="X927" s="38" t="n">
        <v>173.955</v>
      </c>
      <c r="Y927" s="38" t="n">
        <v>63.37199999999996</v>
      </c>
      <c r="Z927" s="38" t="n">
        <v>0</v>
      </c>
      <c r="AA927" s="36" t="n">
        <v>64</v>
      </c>
      <c r="AB927" s="37" t="n">
        <v>0.3121951219512195</v>
      </c>
      <c r="AC927" s="36" t="n">
        <v>11</v>
      </c>
      <c r="AD927" s="37" t="n">
        <v>0.8461538461538461</v>
      </c>
      <c r="AE927" s="36" t="n">
        <v>52</v>
      </c>
      <c r="AF927" s="37" t="n">
        <v>0.2722513089005236</v>
      </c>
      <c r="AG927" s="36" t="n">
        <v>5</v>
      </c>
      <c r="AH927" s="37" t="n">
        <v>0.4545454545454545</v>
      </c>
    </row>
    <row r="928">
      <c r="A928" s="53" t="n">
        <v>45775</v>
      </c>
      <c r="B928" t="inlineStr">
        <is>
          <t>R10_Sumbagteng</t>
        </is>
      </c>
      <c r="C928" t="inlineStr">
        <is>
          <t>NOP DUMAI</t>
        </is>
      </c>
      <c r="D928" s="38" t="n">
        <v>2.66</v>
      </c>
      <c r="E928" s="38" t="n">
        <v>5.755</v>
      </c>
      <c r="F928" s="36" t="n">
        <v>11.44800000000001</v>
      </c>
      <c r="G928" s="36" t="n">
        <v>9.01</v>
      </c>
      <c r="H928" s="36" t="n">
        <v>228</v>
      </c>
      <c r="I928" s="37" t="n">
        <v>0.7037037037037037</v>
      </c>
      <c r="J928" s="36" t="n">
        <v>89</v>
      </c>
      <c r="K928" s="37" t="n">
        <v>0.898989898989899</v>
      </c>
      <c r="L928" s="36" t="n">
        <v>139</v>
      </c>
      <c r="M928" s="37" t="n">
        <v>0.6177777777777778</v>
      </c>
      <c r="N928" s="36" t="n">
        <v>68</v>
      </c>
      <c r="O928" s="37" t="n">
        <v>0.7640449438202247</v>
      </c>
      <c r="P928" s="36" t="n">
        <v>61</v>
      </c>
      <c r="Q928" s="37" t="n">
        <v>0.782051282051282</v>
      </c>
      <c r="R928" s="36" t="n">
        <v>314</v>
      </c>
      <c r="S928" s="37" t="n">
        <v>0.9691358024691358</v>
      </c>
      <c r="T928" s="36" t="n">
        <v>114</v>
      </c>
      <c r="U928" s="37" t="n">
        <v>0.3518518518518519</v>
      </c>
      <c r="V928" s="38" t="n">
        <v>0.01</v>
      </c>
      <c r="W928" s="38" t="n">
        <v>3.71</v>
      </c>
      <c r="X928" s="38" t="n">
        <v>60.52199999999998</v>
      </c>
      <c r="Y928" s="38" t="n">
        <v>103.905</v>
      </c>
      <c r="Z928" s="38" t="n">
        <v>0</v>
      </c>
      <c r="AA928" s="36" t="n">
        <v>154</v>
      </c>
      <c r="AB928" s="37" t="n">
        <v>0.3632075471698113</v>
      </c>
      <c r="AC928" s="36" t="n">
        <v>49</v>
      </c>
      <c r="AD928" s="37" t="n">
        <v>0.5212765957446809</v>
      </c>
      <c r="AE928" s="36" t="n">
        <v>105</v>
      </c>
      <c r="AF928" s="37" t="n">
        <v>0.3333333333333333</v>
      </c>
      <c r="AG928" s="36" t="n">
        <v>46</v>
      </c>
      <c r="AH928" s="37" t="n">
        <v>0.9387755102040817</v>
      </c>
    </row>
    <row r="929">
      <c r="A929" s="53" t="n">
        <v>45775</v>
      </c>
      <c r="B929" t="inlineStr">
        <is>
          <t>R10_Sumbagteng</t>
        </is>
      </c>
      <c r="C929" t="inlineStr">
        <is>
          <t>NOP PADANG</t>
        </is>
      </c>
      <c r="D929" s="38" t="n">
        <v>0</v>
      </c>
      <c r="E929" s="38" t="n">
        <v>2.194</v>
      </c>
      <c r="F929" s="36" t="n">
        <v>3.17</v>
      </c>
      <c r="G929" s="36" t="n">
        <v>4.397999999999998</v>
      </c>
      <c r="H929" s="36" t="n">
        <v>43</v>
      </c>
      <c r="I929" s="37" t="n">
        <v>0.7166666666666667</v>
      </c>
      <c r="J929" s="36" t="n">
        <v>4</v>
      </c>
      <c r="K929" s="37" t="n">
        <v>0.8</v>
      </c>
      <c r="L929" s="36" t="n">
        <v>39</v>
      </c>
      <c r="M929" s="37" t="n">
        <v>0.7090909090909091</v>
      </c>
      <c r="N929" s="36" t="n">
        <v>3</v>
      </c>
      <c r="O929" s="37" t="n">
        <v>0.75</v>
      </c>
      <c r="P929" s="36" t="n">
        <v>3</v>
      </c>
      <c r="Q929" s="37" t="n">
        <v>0.75</v>
      </c>
      <c r="R929" s="36" t="n">
        <v>60</v>
      </c>
      <c r="S929" s="37" t="n">
        <v>1</v>
      </c>
      <c r="T929" s="36" t="n">
        <v>15</v>
      </c>
      <c r="U929" s="37" t="n">
        <v>0.25</v>
      </c>
      <c r="V929" s="38" t="n">
        <v>0</v>
      </c>
      <c r="W929" s="38" t="n">
        <v>3.32</v>
      </c>
      <c r="X929" s="38" t="n">
        <v>39.145</v>
      </c>
      <c r="Y929" s="38" t="n">
        <v>165.24</v>
      </c>
      <c r="Z929" s="38" t="n">
        <v>0</v>
      </c>
      <c r="AA929" s="36" t="n">
        <v>170</v>
      </c>
      <c r="AB929" s="37" t="n">
        <v>0.74235807860262</v>
      </c>
      <c r="AC929" s="36" t="n">
        <v>39</v>
      </c>
      <c r="AD929" s="37" t="n">
        <v>0.6</v>
      </c>
      <c r="AE929" s="36" t="n">
        <v>131</v>
      </c>
      <c r="AF929" s="37" t="n">
        <v>0.803680981595092</v>
      </c>
      <c r="AG929" s="36" t="n">
        <v>23</v>
      </c>
      <c r="AH929" s="37" t="n">
        <v>0.5897435897435898</v>
      </c>
    </row>
    <row r="930">
      <c r="A930" s="53" t="n">
        <v>45775</v>
      </c>
      <c r="B930" t="inlineStr">
        <is>
          <t>R10_Sumbagteng</t>
        </is>
      </c>
      <c r="C930" t="inlineStr">
        <is>
          <t>NOP PEKANBARU</t>
        </is>
      </c>
      <c r="D930" s="38" t="n">
        <v>1.98</v>
      </c>
      <c r="E930" s="38" t="n">
        <v>4.717000000000001</v>
      </c>
      <c r="F930" s="36" t="n">
        <v>5.18</v>
      </c>
      <c r="G930" s="36" t="n">
        <v>20.76</v>
      </c>
      <c r="H930" s="36" t="n">
        <v>160</v>
      </c>
      <c r="I930" s="37" t="n">
        <v>0.6130268199233716</v>
      </c>
      <c r="J930" s="36" t="n">
        <v>32</v>
      </c>
      <c r="K930" s="37" t="n">
        <v>0.7804878048780488</v>
      </c>
      <c r="L930" s="36" t="n">
        <v>128</v>
      </c>
      <c r="M930" s="37" t="n">
        <v>0.5818181818181818</v>
      </c>
      <c r="N930" s="36" t="n">
        <v>24</v>
      </c>
      <c r="O930" s="37" t="n">
        <v>0.75</v>
      </c>
      <c r="P930" s="36" t="n">
        <v>24</v>
      </c>
      <c r="Q930" s="37" t="n">
        <v>0.75</v>
      </c>
      <c r="R930" s="36" t="n">
        <v>256</v>
      </c>
      <c r="S930" s="37" t="n">
        <v>0.9808429118773946</v>
      </c>
      <c r="T930" s="36" t="n">
        <v>71</v>
      </c>
      <c r="U930" s="37" t="n">
        <v>0.2720306513409962</v>
      </c>
      <c r="V930" s="38" t="n">
        <v>0</v>
      </c>
      <c r="W930" s="38" t="n">
        <v>2.474000000000002</v>
      </c>
      <c r="X930" s="38" t="n">
        <v>45.84999999999999</v>
      </c>
      <c r="Y930" s="38" t="n">
        <v>132.45</v>
      </c>
      <c r="Z930" s="38" t="n">
        <v>0</v>
      </c>
      <c r="AA930" s="36" t="n">
        <v>130</v>
      </c>
      <c r="AB930" s="37" t="n">
        <v>0.4406779661016949</v>
      </c>
      <c r="AC930" s="36" t="n">
        <v>41</v>
      </c>
      <c r="AD930" s="37" t="n">
        <v>0.3904761904761905</v>
      </c>
      <c r="AE930" s="36" t="n">
        <v>86</v>
      </c>
      <c r="AF930" s="37" t="n">
        <v>0.4804469273743017</v>
      </c>
      <c r="AG930" s="36" t="n">
        <v>31</v>
      </c>
      <c r="AH930" s="37" t="n">
        <v>0.7560975609756098</v>
      </c>
    </row>
    <row r="931">
      <c r="A931" s="53" t="n">
        <v>45775</v>
      </c>
      <c r="B931" t="inlineStr">
        <is>
          <t>R02_Sumbagsel</t>
        </is>
      </c>
      <c r="C931" t="inlineStr">
        <is>
          <t>NOP BENGKULU</t>
        </is>
      </c>
      <c r="D931" s="38" t="n">
        <v>1.525</v>
      </c>
      <c r="E931" s="38" t="n">
        <v>4.794</v>
      </c>
      <c r="F931" s="36" t="n">
        <v>7.197000000000004</v>
      </c>
      <c r="G931" s="36" t="n">
        <v>6.63</v>
      </c>
      <c r="H931" s="36" t="n">
        <v>45</v>
      </c>
      <c r="I931" s="37" t="n">
        <v>0.2472527472527473</v>
      </c>
      <c r="J931" s="36" t="n">
        <v>10</v>
      </c>
      <c r="K931" s="37" t="n">
        <v>0.2564102564102564</v>
      </c>
      <c r="L931" s="36" t="n">
        <v>35</v>
      </c>
      <c r="M931" s="37" t="n">
        <v>0.2447552447552448</v>
      </c>
      <c r="N931" s="36" t="n">
        <v>6</v>
      </c>
      <c r="O931" s="37" t="n">
        <v>0.6</v>
      </c>
      <c r="P931" s="36" t="n">
        <v>6</v>
      </c>
      <c r="Q931" s="37" t="n">
        <v>0.6</v>
      </c>
      <c r="R931" s="36" t="n">
        <v>178</v>
      </c>
      <c r="S931" s="37" t="n">
        <v>0.978021978021978</v>
      </c>
      <c r="T931" s="36" t="n">
        <v>22</v>
      </c>
      <c r="U931" s="37" t="n">
        <v>0.1208791208791209</v>
      </c>
      <c r="V931" s="38" t="n">
        <v>0</v>
      </c>
      <c r="W931" s="38" t="n">
        <v>8.078000000000008</v>
      </c>
      <c r="X931" s="38" t="n">
        <v>6.438000000000001</v>
      </c>
      <c r="Y931" s="38" t="n">
        <v>2.889</v>
      </c>
      <c r="Z931" s="38" t="n">
        <v>0</v>
      </c>
      <c r="AA931" s="36" t="n">
        <v>99</v>
      </c>
      <c r="AB931" s="37" t="n">
        <v>0.4342105263157895</v>
      </c>
      <c r="AC931" s="36" t="n">
        <v>51</v>
      </c>
      <c r="AD931" s="37" t="n">
        <v>0.3591549295774648</v>
      </c>
      <c r="AE931" s="36" t="n">
        <v>34</v>
      </c>
      <c r="AF931" s="37" t="n">
        <v>0.4857142857142857</v>
      </c>
      <c r="AG931" s="36" t="n">
        <v>44</v>
      </c>
      <c r="AH931" s="37" t="n">
        <v>0.8627450980392157</v>
      </c>
    </row>
    <row r="932">
      <c r="A932" s="53" t="n">
        <v>45775</v>
      </c>
      <c r="B932" t="inlineStr">
        <is>
          <t>R02_Sumbagsel</t>
        </is>
      </c>
      <c r="C932" t="inlineStr">
        <is>
          <t>NOP JAMBI</t>
        </is>
      </c>
      <c r="D932" s="38" t="n">
        <v>6.74</v>
      </c>
      <c r="E932" s="38" t="n">
        <v>16.55000000000001</v>
      </c>
      <c r="F932" s="36" t="n">
        <v>5.75</v>
      </c>
      <c r="G932" s="36" t="n">
        <v>6.005</v>
      </c>
      <c r="H932" s="36" t="n">
        <v>178</v>
      </c>
      <c r="I932" s="37" t="n">
        <v>0.5874587458745875</v>
      </c>
      <c r="J932" s="36" t="n">
        <v>57</v>
      </c>
      <c r="K932" s="37" t="n">
        <v>0.5876288659793815</v>
      </c>
      <c r="L932" s="36" t="n">
        <v>121</v>
      </c>
      <c r="M932" s="37" t="n">
        <v>0.587378640776699</v>
      </c>
      <c r="N932" s="36" t="n">
        <v>36</v>
      </c>
      <c r="O932" s="37" t="n">
        <v>0.631578947368421</v>
      </c>
      <c r="P932" s="36" t="n">
        <v>35</v>
      </c>
      <c r="Q932" s="37" t="n">
        <v>0.625</v>
      </c>
      <c r="R932" s="36" t="n">
        <v>303</v>
      </c>
      <c r="S932" s="37" t="n">
        <v>1</v>
      </c>
      <c r="T932" s="36" t="n">
        <v>84</v>
      </c>
      <c r="U932" s="37" t="n">
        <v>0.2772277227722773</v>
      </c>
      <c r="V932" s="38" t="n">
        <v>0</v>
      </c>
      <c r="W932" s="38" t="n">
        <v>14.404</v>
      </c>
      <c r="X932" s="38" t="n">
        <v>13.755</v>
      </c>
      <c r="Y932" s="38" t="n">
        <v>18.294</v>
      </c>
      <c r="Z932" s="38" t="n">
        <v>0</v>
      </c>
      <c r="AA932" s="36" t="n">
        <v>221</v>
      </c>
      <c r="AB932" s="37" t="n">
        <v>0.6296296296296297</v>
      </c>
      <c r="AC932" s="36" t="n">
        <v>108</v>
      </c>
      <c r="AD932" s="37" t="n">
        <v>0.6242774566473989</v>
      </c>
      <c r="AE932" s="36" t="n">
        <v>89</v>
      </c>
      <c r="AF932" s="37" t="n">
        <v>0.5973154362416108</v>
      </c>
      <c r="AG932" s="36" t="n">
        <v>89</v>
      </c>
      <c r="AH932" s="37" t="n">
        <v>0.8240740740740741</v>
      </c>
    </row>
    <row r="933">
      <c r="A933" s="53" t="n">
        <v>45775</v>
      </c>
      <c r="B933" t="inlineStr">
        <is>
          <t>R02_Sumbagsel</t>
        </is>
      </c>
      <c r="C933" t="inlineStr">
        <is>
          <t>NOP LAMPUNG</t>
        </is>
      </c>
      <c r="D933" s="38" t="n">
        <v>0</v>
      </c>
      <c r="E933" s="38" t="n">
        <v>4.017000000000001</v>
      </c>
      <c r="F933" s="36" t="n">
        <v>3.33</v>
      </c>
      <c r="G933" s="36" t="n">
        <v>4.65</v>
      </c>
      <c r="H933" s="36" t="n">
        <v>30</v>
      </c>
      <c r="I933" s="37" t="n">
        <v>0.6976744186046512</v>
      </c>
      <c r="J933" s="36" t="n">
        <v>12</v>
      </c>
      <c r="K933" s="37" t="n">
        <v>0.8571428571428571</v>
      </c>
      <c r="L933" s="36" t="n">
        <v>18</v>
      </c>
      <c r="M933" s="37" t="n">
        <v>0.6206896551724138</v>
      </c>
      <c r="N933" s="36" t="n">
        <v>5</v>
      </c>
      <c r="O933" s="37" t="n">
        <v>0.4166666666666667</v>
      </c>
      <c r="P933" s="36" t="n">
        <v>5</v>
      </c>
      <c r="Q933" s="37" t="n">
        <v>0.4166666666666667</v>
      </c>
      <c r="R933" s="36" t="n">
        <v>43</v>
      </c>
      <c r="S933" s="37" t="n">
        <v>1</v>
      </c>
      <c r="T933" s="36" t="n">
        <v>12</v>
      </c>
      <c r="U933" s="37" t="n">
        <v>0.2790697674418605</v>
      </c>
      <c r="V933" s="38" t="n">
        <v>0</v>
      </c>
      <c r="W933" s="38" t="n">
        <v>47.32400000000003</v>
      </c>
      <c r="X933" s="38" t="n">
        <v>4.740000000000001</v>
      </c>
      <c r="Y933" s="38" t="n">
        <v>15.41</v>
      </c>
      <c r="Z933" s="38" t="n">
        <v>0</v>
      </c>
      <c r="AA933" s="36" t="n">
        <v>138</v>
      </c>
      <c r="AB933" s="37" t="n">
        <v>0.8734177215189873</v>
      </c>
      <c r="AC933" s="36" t="n">
        <v>18</v>
      </c>
      <c r="AD933" s="37" t="n">
        <v>0.72</v>
      </c>
      <c r="AE933" s="36" t="n">
        <v>116</v>
      </c>
      <c r="AF933" s="37" t="n">
        <v>0.9206349206349206</v>
      </c>
      <c r="AG933" s="36" t="n">
        <v>10</v>
      </c>
      <c r="AH933" s="37" t="n">
        <v>0.5555555555555556</v>
      </c>
    </row>
    <row r="934">
      <c r="A934" s="53" t="n">
        <v>45775</v>
      </c>
      <c r="B934" t="inlineStr">
        <is>
          <t>R02_Sumbagsel</t>
        </is>
      </c>
      <c r="C934" t="inlineStr">
        <is>
          <t>NOP MUARA ENIM</t>
        </is>
      </c>
      <c r="D934" s="38" t="n">
        <v>3.33</v>
      </c>
      <c r="E934" s="38" t="n">
        <v>2.774</v>
      </c>
      <c r="F934" s="36" t="n">
        <v>3.963</v>
      </c>
      <c r="G934" s="36" t="n">
        <v>4.968000000000003</v>
      </c>
      <c r="H934" s="36" t="n">
        <v>74</v>
      </c>
      <c r="I934" s="37" t="n">
        <v>0.3457943925233645</v>
      </c>
      <c r="J934" s="36" t="n">
        <v>21</v>
      </c>
      <c r="K934" s="37" t="n">
        <v>0.5526315789473685</v>
      </c>
      <c r="L934" s="36" t="n">
        <v>53</v>
      </c>
      <c r="M934" s="37" t="n">
        <v>0.3011363636363636</v>
      </c>
      <c r="N934" s="36" t="n">
        <v>10</v>
      </c>
      <c r="O934" s="37" t="n">
        <v>0.4761904761904762</v>
      </c>
      <c r="P934" s="36" t="n">
        <v>10</v>
      </c>
      <c r="Q934" s="37" t="n">
        <v>0.4761904761904762</v>
      </c>
      <c r="R934" s="36" t="n">
        <v>214</v>
      </c>
      <c r="S934" s="37" t="n">
        <v>1</v>
      </c>
      <c r="T934" s="36" t="n">
        <v>37</v>
      </c>
      <c r="U934" s="37" t="n">
        <v>0.1728971962616822</v>
      </c>
      <c r="V934" s="38" t="n">
        <v>0</v>
      </c>
      <c r="W934" s="38" t="n">
        <v>9.390000000000001</v>
      </c>
      <c r="X934" s="38" t="n">
        <v>8.419000000000008</v>
      </c>
      <c r="Y934" s="38" t="n">
        <v>5</v>
      </c>
      <c r="Z934" s="38" t="n">
        <v>0</v>
      </c>
      <c r="AA934" s="36" t="n">
        <v>95</v>
      </c>
      <c r="AB934" s="37" t="n">
        <v>0.3298611111111111</v>
      </c>
      <c r="AC934" s="36" t="n">
        <v>37</v>
      </c>
      <c r="AD934" s="37" t="n">
        <v>0.2824427480916031</v>
      </c>
      <c r="AE934" s="36" t="n">
        <v>49</v>
      </c>
      <c r="AF934" s="37" t="n">
        <v>0.3888888888888889</v>
      </c>
      <c r="AG934" s="36" t="n">
        <v>30</v>
      </c>
      <c r="AH934" s="37" t="n">
        <v>0.8108108108108109</v>
      </c>
    </row>
    <row r="935">
      <c r="A935" s="53" t="n">
        <v>45775</v>
      </c>
      <c r="B935" t="inlineStr">
        <is>
          <t>R02_Sumbagsel</t>
        </is>
      </c>
      <c r="C935" t="inlineStr">
        <is>
          <t>NOP PALEMBANG</t>
        </is>
      </c>
      <c r="D935" s="38" t="n">
        <v>0</v>
      </c>
      <c r="E935" s="38" t="n">
        <v>4.37</v>
      </c>
      <c r="F935" s="36" t="n">
        <v>5.69</v>
      </c>
      <c r="G935" s="36" t="n">
        <v>7.76</v>
      </c>
      <c r="H935" s="36" t="n">
        <v>48</v>
      </c>
      <c r="I935" s="37" t="n">
        <v>0.2962962962962963</v>
      </c>
      <c r="J935" s="36" t="n">
        <v>1</v>
      </c>
      <c r="K935" s="37" t="n">
        <v>0.1</v>
      </c>
      <c r="L935" s="36" t="n">
        <v>47</v>
      </c>
      <c r="M935" s="37" t="n">
        <v>0.3092105263157895</v>
      </c>
      <c r="N935" s="36" t="n">
        <v>1</v>
      </c>
      <c r="O935" s="37" t="n">
        <v>1</v>
      </c>
      <c r="P935" s="36" t="n">
        <v>1</v>
      </c>
      <c r="Q935" s="37" t="n">
        <v>1</v>
      </c>
      <c r="R935" s="36" t="n">
        <v>162</v>
      </c>
      <c r="S935" s="37" t="n">
        <v>1</v>
      </c>
      <c r="T935" s="36" t="n">
        <v>20</v>
      </c>
      <c r="U935" s="37" t="n">
        <v>0.1234567901234568</v>
      </c>
      <c r="V935" s="38" t="n">
        <v>0</v>
      </c>
      <c r="W935" s="38" t="n">
        <v>8.197000000000001</v>
      </c>
      <c r="X935" s="38" t="n">
        <v>10.131</v>
      </c>
      <c r="Y935" s="38" t="n">
        <v>6.98</v>
      </c>
      <c r="Z935" s="38" t="n">
        <v>0</v>
      </c>
      <c r="AA935" s="36" t="n">
        <v>93</v>
      </c>
      <c r="AB935" s="37" t="n">
        <v>0.3357400722021661</v>
      </c>
      <c r="AC935" s="36" t="n">
        <v>35</v>
      </c>
      <c r="AD935" s="37" t="n">
        <v>0.3365384615384616</v>
      </c>
      <c r="AE935" s="36" t="n">
        <v>58</v>
      </c>
      <c r="AF935" s="37" t="n">
        <v>0.4055944055944056</v>
      </c>
      <c r="AG935" s="36" t="n">
        <v>13</v>
      </c>
      <c r="AH935" s="37" t="n">
        <v>0.3714285714285714</v>
      </c>
    </row>
    <row r="936">
      <c r="A936" s="53" t="n">
        <v>45775</v>
      </c>
      <c r="B936" t="inlineStr">
        <is>
          <t>R02_Sumbagsel</t>
        </is>
      </c>
      <c r="C936" t="inlineStr">
        <is>
          <t>NOP PANGKAL PINANG</t>
        </is>
      </c>
      <c r="D936" s="38" t="n">
        <v>0</v>
      </c>
      <c r="E936" s="38" t="n">
        <v>1.14</v>
      </c>
      <c r="F936" s="36" t="n">
        <v>5.81</v>
      </c>
      <c r="G936" s="36" t="n">
        <v>7.11</v>
      </c>
      <c r="H936" s="36" t="n">
        <v>16</v>
      </c>
      <c r="I936" s="37" t="n">
        <v>0.4210526315789473</v>
      </c>
      <c r="J936" s="36" t="n">
        <v>1</v>
      </c>
      <c r="K936" s="37" t="n">
        <v>1</v>
      </c>
      <c r="L936" s="36" t="n">
        <v>15</v>
      </c>
      <c r="M936" s="37" t="n">
        <v>0.4054054054054054</v>
      </c>
      <c r="N936" s="36" t="n">
        <v>1</v>
      </c>
      <c r="O936" s="37" t="n">
        <v>1</v>
      </c>
      <c r="P936" s="36" t="n">
        <v>1</v>
      </c>
      <c r="Q936" s="37" t="n">
        <v>1</v>
      </c>
      <c r="R936" s="36" t="n">
        <v>38</v>
      </c>
      <c r="S936" s="37" t="n">
        <v>1</v>
      </c>
      <c r="T936" s="36" t="n">
        <v>11</v>
      </c>
      <c r="U936" s="37" t="n">
        <v>0.2894736842105263</v>
      </c>
      <c r="V936" s="38" t="n">
        <v>0</v>
      </c>
      <c r="W936" s="38" t="n">
        <v>7.48</v>
      </c>
      <c r="X936" s="38" t="n">
        <v>5.174</v>
      </c>
      <c r="Y936" s="38" t="n">
        <v>12.16600000000001</v>
      </c>
      <c r="Z936" s="38" t="n">
        <v>0</v>
      </c>
      <c r="AA936" s="36" t="n">
        <v>64</v>
      </c>
      <c r="AB936" s="37" t="n">
        <v>0.8767123287671232</v>
      </c>
      <c r="AC936" s="36" t="n">
        <v>26</v>
      </c>
      <c r="AD936" s="37" t="n">
        <v>0.896551724137931</v>
      </c>
      <c r="AE936" s="36" t="n">
        <v>37</v>
      </c>
      <c r="AF936" s="37" t="n">
        <v>0.8604651162790697</v>
      </c>
      <c r="AG936" s="36" t="n">
        <v>7</v>
      </c>
      <c r="AH936" s="37" t="n">
        <v>0.2692307692307692</v>
      </c>
    </row>
    <row r="937">
      <c r="A937" s="53" t="n">
        <v>45775</v>
      </c>
      <c r="B937" t="inlineStr">
        <is>
          <t>R05_Jawa Tengah DIY</t>
        </is>
      </c>
      <c r="C937" t="inlineStr">
        <is>
          <t>NOP MAGELANG</t>
        </is>
      </c>
      <c r="D937" s="38" t="n">
        <v>0.92</v>
      </c>
      <c r="E937" s="38" t="n">
        <v>0</v>
      </c>
      <c r="F937" s="36" t="n">
        <v>1.04</v>
      </c>
      <c r="G937" s="36" t="n">
        <v>3.075</v>
      </c>
      <c r="H937" s="36" t="n">
        <v>9</v>
      </c>
      <c r="I937" s="37" t="n">
        <v>0.9</v>
      </c>
      <c r="J937" s="36" t="n">
        <v>2</v>
      </c>
      <c r="K937" s="37" t="n">
        <v>1</v>
      </c>
      <c r="L937" s="36" t="n">
        <v>7</v>
      </c>
      <c r="M937" s="37" t="n">
        <v>0.875</v>
      </c>
      <c r="N937" s="36" t="n">
        <v>2</v>
      </c>
      <c r="O937" s="37" t="n">
        <v>1</v>
      </c>
      <c r="P937" s="36" t="n">
        <v>2</v>
      </c>
      <c r="Q937" s="37" t="n">
        <v>1</v>
      </c>
      <c r="R937" s="36" t="n">
        <v>10</v>
      </c>
      <c r="S937" s="37" t="n">
        <v>1</v>
      </c>
      <c r="T937" s="36" t="n">
        <v>7</v>
      </c>
      <c r="U937" s="37" t="n">
        <v>0.7</v>
      </c>
      <c r="V937" s="38" t="n">
        <v>0</v>
      </c>
      <c r="W937" s="38" t="n">
        <v>1.71</v>
      </c>
      <c r="X937" s="38" t="n">
        <v>3.78</v>
      </c>
      <c r="Y937" s="38" t="n">
        <v>8.218</v>
      </c>
      <c r="Z937" s="38" t="n">
        <v>0</v>
      </c>
      <c r="AA937" s="36" t="n">
        <v>38</v>
      </c>
      <c r="AB937" s="37" t="n">
        <v>0.95</v>
      </c>
      <c r="AC937" s="36" t="n">
        <v>6</v>
      </c>
      <c r="AD937" s="37" t="n">
        <v>1</v>
      </c>
      <c r="AE937" s="36" t="n">
        <v>32</v>
      </c>
      <c r="AF937" s="37" t="n">
        <v>0.9411764705882353</v>
      </c>
      <c r="AG937" s="36" t="n">
        <v>5</v>
      </c>
      <c r="AH937" s="37" t="n">
        <v>0.8333333333333334</v>
      </c>
    </row>
    <row r="938">
      <c r="A938" s="53" t="n">
        <v>45775</v>
      </c>
      <c r="B938" t="inlineStr">
        <is>
          <t>R05_Jawa Tengah DIY</t>
        </is>
      </c>
      <c r="C938" t="inlineStr">
        <is>
          <t>NOP PEKALONGAN</t>
        </is>
      </c>
      <c r="D938" s="38" t="n">
        <v>0.51</v>
      </c>
      <c r="E938" s="38" t="n">
        <v>0</v>
      </c>
      <c r="F938" s="36" t="n">
        <v>4.4</v>
      </c>
      <c r="G938" s="36" t="n">
        <v>2.528</v>
      </c>
      <c r="H938" s="36" t="n">
        <v>12</v>
      </c>
      <c r="I938" s="37" t="n">
        <v>0.5</v>
      </c>
      <c r="J938" s="36" t="n">
        <v>0</v>
      </c>
      <c r="K938" s="37" t="n">
        <v>0</v>
      </c>
      <c r="L938" s="36" t="n">
        <v>12</v>
      </c>
      <c r="M938" s="37" t="n">
        <v>0.5217391304347826</v>
      </c>
      <c r="N938" s="36" t="n">
        <v>0</v>
      </c>
      <c r="O938" s="37" t="n">
        <v>0</v>
      </c>
      <c r="P938" s="36" t="n">
        <v>0</v>
      </c>
      <c r="Q938" s="37" t="n">
        <v>0</v>
      </c>
      <c r="R938" s="36" t="n">
        <v>23</v>
      </c>
      <c r="S938" s="37" t="n">
        <v>0.9583333333333334</v>
      </c>
      <c r="T938" s="36" t="n">
        <v>4</v>
      </c>
      <c r="U938" s="37" t="n">
        <v>0.1666666666666667</v>
      </c>
      <c r="V938" s="38" t="n">
        <v>0</v>
      </c>
      <c r="W938" s="38" t="n">
        <v>17.05900000000002</v>
      </c>
      <c r="X938" s="38" t="n">
        <v>5.66</v>
      </c>
      <c r="Y938" s="38" t="n">
        <v>4.958</v>
      </c>
      <c r="Z938" s="38" t="n">
        <v>0</v>
      </c>
      <c r="AA938" s="36" t="n">
        <v>17</v>
      </c>
      <c r="AB938" s="37" t="n">
        <v>0.6071428571428571</v>
      </c>
      <c r="AC938" s="36" t="n">
        <v>10</v>
      </c>
      <c r="AD938" s="37" t="n">
        <v>0.7142857142857143</v>
      </c>
      <c r="AE938" s="36" t="n">
        <v>7</v>
      </c>
      <c r="AF938" s="37" t="n">
        <v>0.5</v>
      </c>
      <c r="AG938" s="36" t="n">
        <v>8</v>
      </c>
      <c r="AH938" s="37" t="n">
        <v>0.8</v>
      </c>
    </row>
    <row r="939">
      <c r="A939" s="53" t="n">
        <v>45775</v>
      </c>
      <c r="B939" t="inlineStr">
        <is>
          <t>R05_Jawa Tengah DIY</t>
        </is>
      </c>
      <c r="C939" t="inlineStr">
        <is>
          <t>NOP PURWOKERTO</t>
        </is>
      </c>
      <c r="D939" s="38" t="n">
        <v>1.15</v>
      </c>
      <c r="E939" s="38" t="n">
        <v>0</v>
      </c>
      <c r="F939" s="36" t="n">
        <v>3.774999999999999</v>
      </c>
      <c r="G939" s="36" t="n">
        <v>2.736</v>
      </c>
      <c r="H939" s="36" t="n">
        <v>6</v>
      </c>
      <c r="I939" s="37" t="n">
        <v>0.6</v>
      </c>
      <c r="J939" s="36" t="n">
        <v>1</v>
      </c>
      <c r="K939" s="37" t="n">
        <v>1</v>
      </c>
      <c r="L939" s="36" t="n">
        <v>5</v>
      </c>
      <c r="M939" s="37" t="n">
        <v>0.5555555555555556</v>
      </c>
      <c r="N939" s="36" t="n">
        <v>1</v>
      </c>
      <c r="O939" s="37" t="n">
        <v>1</v>
      </c>
      <c r="P939" s="36" t="n">
        <v>1</v>
      </c>
      <c r="Q939" s="37" t="n">
        <v>1</v>
      </c>
      <c r="R939" s="36" t="n">
        <v>10</v>
      </c>
      <c r="S939" s="37" t="n">
        <v>1</v>
      </c>
      <c r="T939" s="36" t="n">
        <v>5</v>
      </c>
      <c r="U939" s="37" t="n">
        <v>0.5</v>
      </c>
      <c r="V939" s="38" t="n">
        <v>0.01</v>
      </c>
      <c r="W939" s="38" t="n">
        <v>3.915</v>
      </c>
      <c r="X939" s="38" t="n">
        <v>5.2</v>
      </c>
      <c r="Y939" s="38" t="n">
        <v>13.632</v>
      </c>
      <c r="Z939" s="38" t="n">
        <v>0</v>
      </c>
      <c r="AA939" s="36" t="n">
        <v>19</v>
      </c>
      <c r="AB939" s="37" t="n">
        <v>0.76</v>
      </c>
      <c r="AC939" s="36" t="n">
        <v>6</v>
      </c>
      <c r="AD939" s="37" t="n">
        <v>0.8571428571428571</v>
      </c>
      <c r="AE939" s="36" t="n">
        <v>13</v>
      </c>
      <c r="AF939" s="37" t="n">
        <v>0.7222222222222222</v>
      </c>
      <c r="AG939" s="36" t="n">
        <v>6</v>
      </c>
      <c r="AH939" s="37" t="n">
        <v>1</v>
      </c>
    </row>
    <row r="940">
      <c r="A940" s="53" t="n">
        <v>45775</v>
      </c>
      <c r="B940" t="inlineStr">
        <is>
          <t>R05_Jawa Tengah DIY</t>
        </is>
      </c>
      <c r="C940" t="inlineStr">
        <is>
          <t>NOP SEMARANG</t>
        </is>
      </c>
      <c r="D940" s="38" t="n">
        <v>1.34</v>
      </c>
      <c r="E940" s="38" t="n">
        <v>0</v>
      </c>
      <c r="F940" s="36" t="n">
        <v>1.98</v>
      </c>
      <c r="G940" s="36" t="n">
        <v>2.944</v>
      </c>
      <c r="H940" s="36" t="n">
        <v>5</v>
      </c>
      <c r="I940" s="37" t="n">
        <v>0.3125</v>
      </c>
      <c r="J940" s="36" t="n">
        <v>0</v>
      </c>
      <c r="K940" s="37" t="n">
        <v>0</v>
      </c>
      <c r="L940" s="36" t="n">
        <v>5</v>
      </c>
      <c r="M940" s="37" t="n">
        <v>0.3571428571428572</v>
      </c>
      <c r="N940" s="36" t="n">
        <v>0</v>
      </c>
      <c r="O940" s="37" t="n">
        <v>0</v>
      </c>
      <c r="P940" s="36" t="n">
        <v>0</v>
      </c>
      <c r="Q940" s="37" t="n">
        <v>0</v>
      </c>
      <c r="R940" s="36" t="n">
        <v>14</v>
      </c>
      <c r="S940" s="37" t="n">
        <v>0.875</v>
      </c>
      <c r="T940" s="36" t="n">
        <v>4</v>
      </c>
      <c r="U940" s="37" t="n">
        <v>0.25</v>
      </c>
      <c r="V940" s="38" t="n">
        <v>0</v>
      </c>
      <c r="W940" s="38" t="n">
        <v>5.925999999999999</v>
      </c>
      <c r="X940" s="38" t="n">
        <v>7.043000000000001</v>
      </c>
      <c r="Y940" s="38" t="n">
        <v>11.656</v>
      </c>
      <c r="Z940" s="38" t="n">
        <v>0</v>
      </c>
      <c r="AA940" s="36" t="n">
        <v>27</v>
      </c>
      <c r="AB940" s="37" t="n">
        <v>0.7297297297297297</v>
      </c>
      <c r="AC940" s="36" t="n">
        <v>5</v>
      </c>
      <c r="AD940" s="37" t="n">
        <v>0.625</v>
      </c>
      <c r="AE940" s="36" t="n">
        <v>22</v>
      </c>
      <c r="AF940" s="37" t="n">
        <v>0.7586206896551724</v>
      </c>
      <c r="AG940" s="36" t="n">
        <v>4</v>
      </c>
      <c r="AH940" s="37" t="n">
        <v>0.8</v>
      </c>
    </row>
    <row r="941">
      <c r="A941" s="53" t="n">
        <v>45775</v>
      </c>
      <c r="B941" t="inlineStr">
        <is>
          <t>R05_Jawa Tengah DIY</t>
        </is>
      </c>
      <c r="C941" t="inlineStr">
        <is>
          <t>NOP SURAKARTA</t>
        </is>
      </c>
      <c r="D941" s="38" t="n">
        <v>0.36</v>
      </c>
      <c r="E941" s="38" t="n">
        <v>0</v>
      </c>
      <c r="F941" s="36" t="n">
        <v>2.804</v>
      </c>
      <c r="G941" s="36" t="n">
        <v>3.07</v>
      </c>
      <c r="H941" s="36" t="n">
        <v>18</v>
      </c>
      <c r="I941" s="37" t="n">
        <v>0.6923076923076923</v>
      </c>
      <c r="J941" s="36" t="n">
        <v>0</v>
      </c>
      <c r="K941" s="37" t="n">
        <v>0</v>
      </c>
      <c r="L941" s="36" t="n">
        <v>18</v>
      </c>
      <c r="M941" s="37" t="n">
        <v>0.72</v>
      </c>
      <c r="N941" s="36" t="n">
        <v>0</v>
      </c>
      <c r="O941" s="37" t="n">
        <v>0</v>
      </c>
      <c r="P941" s="36" t="n">
        <v>0</v>
      </c>
      <c r="Q941" s="37" t="n">
        <v>0</v>
      </c>
      <c r="R941" s="36" t="n">
        <v>24</v>
      </c>
      <c r="S941" s="37" t="n">
        <v>0.9230769230769231</v>
      </c>
      <c r="T941" s="36" t="n">
        <v>9</v>
      </c>
      <c r="U941" s="37" t="n">
        <v>0.3461538461538461</v>
      </c>
      <c r="V941" s="38" t="n">
        <v>0.01</v>
      </c>
      <c r="W941" s="38" t="n">
        <v>6.389999999999999</v>
      </c>
      <c r="X941" s="38" t="n">
        <v>7.91</v>
      </c>
      <c r="Y941" s="38" t="n">
        <v>35.92400000000002</v>
      </c>
      <c r="Z941" s="38" t="n">
        <v>0</v>
      </c>
      <c r="AA941" s="36" t="n">
        <v>59</v>
      </c>
      <c r="AB941" s="37" t="n">
        <v>0.8428571428571429</v>
      </c>
      <c r="AC941" s="36" t="n">
        <v>12</v>
      </c>
      <c r="AD941" s="37" t="n">
        <v>0.75</v>
      </c>
      <c r="AE941" s="36" t="n">
        <v>47</v>
      </c>
      <c r="AF941" s="37" t="n">
        <v>0.8703703703703703</v>
      </c>
      <c r="AG941" s="36" t="n">
        <v>7</v>
      </c>
      <c r="AH941" s="37" t="n">
        <v>0.5833333333333334</v>
      </c>
    </row>
    <row r="942">
      <c r="A942" s="53" t="n">
        <v>45775</v>
      </c>
      <c r="B942" t="inlineStr">
        <is>
          <t>R05_Jawa Tengah DIY</t>
        </is>
      </c>
      <c r="C942" t="inlineStr">
        <is>
          <t>NOP YOGYAKARTA</t>
        </is>
      </c>
      <c r="D942" s="38" t="n">
        <v>0</v>
      </c>
      <c r="E942" s="38" t="n">
        <v>0.7</v>
      </c>
      <c r="F942" s="36" t="n">
        <v>1.5</v>
      </c>
      <c r="G942" s="36" t="n">
        <v>6.762</v>
      </c>
      <c r="H942" s="36" t="n">
        <v>7</v>
      </c>
      <c r="I942" s="37" t="n">
        <v>0.5384615384615384</v>
      </c>
      <c r="J942" s="36" t="n">
        <v>3</v>
      </c>
      <c r="K942" s="37" t="n">
        <v>1</v>
      </c>
      <c r="L942" s="36" t="n">
        <v>4</v>
      </c>
      <c r="M942" s="37" t="n">
        <v>0.4</v>
      </c>
      <c r="N942" s="36" t="n">
        <v>3</v>
      </c>
      <c r="O942" s="37" t="n">
        <v>1</v>
      </c>
      <c r="P942" s="36" t="n">
        <v>3</v>
      </c>
      <c r="Q942" s="37" t="n">
        <v>1</v>
      </c>
      <c r="R942" s="36" t="n">
        <v>13</v>
      </c>
      <c r="S942" s="37" t="n">
        <v>1</v>
      </c>
      <c r="T942" s="36" t="n">
        <v>6</v>
      </c>
      <c r="U942" s="37" t="n">
        <v>0.4615384615384616</v>
      </c>
      <c r="V942" s="38" t="n">
        <v>0</v>
      </c>
      <c r="W942" s="38" t="n">
        <v>3.04</v>
      </c>
      <c r="X942" s="38" t="n">
        <v>9.272</v>
      </c>
      <c r="Y942" s="38" t="n">
        <v>23.509</v>
      </c>
      <c r="Z942" s="38" t="n">
        <v>0</v>
      </c>
      <c r="AA942" s="36" t="n">
        <v>39</v>
      </c>
      <c r="AB942" s="37" t="n">
        <v>0.8478260869565217</v>
      </c>
      <c r="AC942" s="36" t="n">
        <v>9</v>
      </c>
      <c r="AD942" s="37" t="n">
        <v>0.8181818181818182</v>
      </c>
      <c r="AE942" s="36" t="n">
        <v>30</v>
      </c>
      <c r="AF942" s="37" t="n">
        <v>0.8571428571428571</v>
      </c>
      <c r="AG942" s="36" t="n">
        <v>9</v>
      </c>
      <c r="AH942" s="37" t="n">
        <v>1</v>
      </c>
    </row>
    <row r="943">
      <c r="A943" s="53" t="n">
        <v>45775</v>
      </c>
      <c r="B943" t="inlineStr">
        <is>
          <t>R06_Jawa Timur</t>
        </is>
      </c>
      <c r="C943" t="inlineStr">
        <is>
          <t>NOP JEMBER</t>
        </is>
      </c>
      <c r="D943" s="38" t="n">
        <v>0</v>
      </c>
      <c r="E943" s="38" t="n">
        <v>0</v>
      </c>
      <c r="F943" s="36" t="n">
        <v>4.31</v>
      </c>
      <c r="G943" s="36" t="n">
        <v>62.36600000000001</v>
      </c>
      <c r="H943" s="36" t="n">
        <v>10</v>
      </c>
      <c r="I943" s="37" t="n">
        <v>0.7692307692307693</v>
      </c>
      <c r="J943" s="36" t="n">
        <v>0</v>
      </c>
      <c r="K943" s="37" t="n">
        <v>0</v>
      </c>
      <c r="L943" s="36" t="n">
        <v>10</v>
      </c>
      <c r="M943" s="37" t="n">
        <v>0.7692307692307693</v>
      </c>
      <c r="N943" s="36" t="n">
        <v>0</v>
      </c>
      <c r="O943" s="37" t="n">
        <v>0</v>
      </c>
      <c r="P943" s="36" t="n">
        <v>0</v>
      </c>
      <c r="Q943" s="37" t="n">
        <v>0</v>
      </c>
      <c r="R943" s="36" t="n">
        <v>13</v>
      </c>
      <c r="S943" s="37" t="n">
        <v>1</v>
      </c>
      <c r="T943" s="36" t="n">
        <v>7</v>
      </c>
      <c r="U943" s="37" t="n">
        <v>0.5384615384615384</v>
      </c>
      <c r="V943" s="38" t="n">
        <v>0</v>
      </c>
      <c r="W943" s="38" t="n">
        <v>1.964000000000001</v>
      </c>
      <c r="X943" s="38" t="n">
        <v>6.440000000000001</v>
      </c>
      <c r="Y943" s="38" t="n">
        <v>25.27</v>
      </c>
      <c r="Z943" s="38" t="n">
        <v>0</v>
      </c>
      <c r="AA943" s="36" t="n">
        <v>14</v>
      </c>
      <c r="AB943" s="37" t="n">
        <v>0.6666666666666666</v>
      </c>
      <c r="AC943" s="36" t="n">
        <v>3</v>
      </c>
      <c r="AD943" s="37" t="n">
        <v>0.4285714285714285</v>
      </c>
      <c r="AE943" s="36" t="n">
        <v>11</v>
      </c>
      <c r="AF943" s="37" t="n">
        <v>0.7857142857142857</v>
      </c>
      <c r="AG943" s="36" t="n">
        <v>2</v>
      </c>
      <c r="AH943" s="37" t="n">
        <v>0.6666666666666666</v>
      </c>
    </row>
    <row r="944">
      <c r="A944" s="53" t="n">
        <v>45775</v>
      </c>
      <c r="B944" t="inlineStr">
        <is>
          <t>R06_Jawa Timur</t>
        </is>
      </c>
      <c r="C944" t="inlineStr">
        <is>
          <t>NOP KEDIRI</t>
        </is>
      </c>
      <c r="D944" s="38" t="n">
        <v>0</v>
      </c>
      <c r="E944" s="38" t="n">
        <v>0</v>
      </c>
      <c r="F944" s="36" t="n">
        <v>0.716</v>
      </c>
      <c r="G944" s="36" t="n">
        <v>3.025</v>
      </c>
      <c r="H944" s="36" t="n">
        <v>8</v>
      </c>
      <c r="I944" s="37" t="n">
        <v>0.8888888888888888</v>
      </c>
      <c r="J944" s="36" t="n">
        <v>0</v>
      </c>
      <c r="K944" s="37" t="n">
        <v>0</v>
      </c>
      <c r="L944" s="36" t="n">
        <v>8</v>
      </c>
      <c r="M944" s="37" t="n">
        <v>0.8888888888888888</v>
      </c>
      <c r="N944" s="36" t="n">
        <v>0</v>
      </c>
      <c r="O944" s="37" t="n">
        <v>0</v>
      </c>
      <c r="P944" s="36" t="n">
        <v>0</v>
      </c>
      <c r="Q944" s="37" t="n">
        <v>0</v>
      </c>
      <c r="R944" s="36" t="n">
        <v>9</v>
      </c>
      <c r="S944" s="37" t="n">
        <v>1</v>
      </c>
      <c r="T944" s="36" t="n">
        <v>7</v>
      </c>
      <c r="U944" s="37" t="n">
        <v>0.7777777777777778</v>
      </c>
      <c r="V944" s="38" t="n">
        <v>0</v>
      </c>
      <c r="W944" s="38" t="n">
        <v>0.8300000000000001</v>
      </c>
      <c r="X944" s="38" t="n">
        <v>4.938000000000001</v>
      </c>
      <c r="Y944" s="38" t="n">
        <v>0</v>
      </c>
      <c r="Z944" s="38" t="n">
        <v>0</v>
      </c>
      <c r="AA944" s="36" t="n">
        <v>15</v>
      </c>
      <c r="AB944" s="37" t="n">
        <v>1</v>
      </c>
      <c r="AC944" s="36" t="n">
        <v>2</v>
      </c>
      <c r="AD944" s="37" t="n">
        <v>1</v>
      </c>
      <c r="AE944" s="36" t="n">
        <v>13</v>
      </c>
      <c r="AF944" s="37" t="n">
        <v>1</v>
      </c>
      <c r="AG944" s="36" t="n">
        <v>1</v>
      </c>
      <c r="AH944" s="37" t="n">
        <v>0.5</v>
      </c>
    </row>
    <row r="945">
      <c r="A945" s="53" t="n">
        <v>45775</v>
      </c>
      <c r="B945" t="inlineStr">
        <is>
          <t>R06_Jawa Timur</t>
        </is>
      </c>
      <c r="C945" t="inlineStr">
        <is>
          <t>NOP LAMONGAN</t>
        </is>
      </c>
      <c r="D945" s="38" t="n">
        <v>1.29</v>
      </c>
      <c r="E945" s="38" t="n">
        <v>0</v>
      </c>
      <c r="F945" s="36" t="n">
        <v>3.18</v>
      </c>
      <c r="G945" s="36" t="n">
        <v>0.9850000000000001</v>
      </c>
      <c r="H945" s="36" t="n">
        <v>6</v>
      </c>
      <c r="I945" s="37" t="n">
        <v>1</v>
      </c>
      <c r="J945" s="36" t="n">
        <v>1</v>
      </c>
      <c r="K945" s="37" t="n">
        <v>1</v>
      </c>
      <c r="L945" s="36" t="n">
        <v>5</v>
      </c>
      <c r="M945" s="37" t="n">
        <v>1</v>
      </c>
      <c r="N945" s="36" t="n">
        <v>1</v>
      </c>
      <c r="O945" s="37" t="n">
        <v>1</v>
      </c>
      <c r="P945" s="36" t="n">
        <v>1</v>
      </c>
      <c r="Q945" s="37" t="n">
        <v>1</v>
      </c>
      <c r="R945" s="36" t="n">
        <v>6</v>
      </c>
      <c r="S945" s="37" t="n">
        <v>1</v>
      </c>
      <c r="T945" s="36" t="n">
        <v>5</v>
      </c>
      <c r="U945" s="37" t="n">
        <v>0.8333333333333334</v>
      </c>
      <c r="V945" s="38" t="n">
        <v>0</v>
      </c>
      <c r="W945" s="38" t="n">
        <v>0.778</v>
      </c>
      <c r="X945" s="38" t="n">
        <v>1.846</v>
      </c>
      <c r="Y945" s="38" t="n">
        <v>11.827</v>
      </c>
      <c r="Z945" s="38" t="n">
        <v>0</v>
      </c>
      <c r="AA945" s="36" t="n">
        <v>6</v>
      </c>
      <c r="AB945" s="37" t="n">
        <v>0.6</v>
      </c>
      <c r="AC945" s="36" t="n">
        <v>2</v>
      </c>
      <c r="AD945" s="37" t="n">
        <v>0.6666666666666666</v>
      </c>
      <c r="AE945" s="36" t="n">
        <v>4</v>
      </c>
      <c r="AF945" s="37" t="n">
        <v>0.5714285714285714</v>
      </c>
      <c r="AG945" s="36" t="n">
        <v>2</v>
      </c>
      <c r="AH945" s="37" t="n">
        <v>1</v>
      </c>
    </row>
    <row r="946">
      <c r="A946" s="53" t="n">
        <v>45775</v>
      </c>
      <c r="B946" t="inlineStr">
        <is>
          <t>R06_Jawa Timur</t>
        </is>
      </c>
      <c r="C946" t="inlineStr">
        <is>
          <t>NOP MADIUN</t>
        </is>
      </c>
      <c r="D946" s="38" t="n">
        <v>0</v>
      </c>
      <c r="E946" s="38" t="n">
        <v>0</v>
      </c>
      <c r="F946" s="36" t="n">
        <v>2.107</v>
      </c>
      <c r="G946" s="36" t="n">
        <v>2.23</v>
      </c>
      <c r="H946" s="36" t="n">
        <v>3</v>
      </c>
      <c r="I946" s="37" t="n">
        <v>0.375</v>
      </c>
      <c r="J946" s="36" t="n">
        <v>0</v>
      </c>
      <c r="K946" s="37" t="n">
        <v>0</v>
      </c>
      <c r="L946" s="36" t="n">
        <v>3</v>
      </c>
      <c r="M946" s="37" t="n">
        <v>0.375</v>
      </c>
      <c r="N946" s="36" t="n">
        <v>0</v>
      </c>
      <c r="O946" s="37" t="n">
        <v>0</v>
      </c>
      <c r="P946" s="36" t="n">
        <v>0</v>
      </c>
      <c r="Q946" s="37" t="n">
        <v>0</v>
      </c>
      <c r="R946" s="36" t="n">
        <v>8</v>
      </c>
      <c r="S946" s="37" t="n">
        <v>1</v>
      </c>
      <c r="T946" s="36" t="n">
        <v>3</v>
      </c>
      <c r="U946" s="37" t="n">
        <v>0.375</v>
      </c>
      <c r="V946" s="38" t="n">
        <v>0</v>
      </c>
      <c r="W946" s="38" t="n">
        <v>1.91</v>
      </c>
      <c r="X946" s="38" t="n">
        <v>2.6</v>
      </c>
      <c r="Y946" s="38" t="n">
        <v>1.456</v>
      </c>
      <c r="Z946" s="38" t="n">
        <v>0</v>
      </c>
      <c r="AA946" s="36" t="n">
        <v>11</v>
      </c>
      <c r="AB946" s="37" t="n">
        <v>0.9166666666666666</v>
      </c>
      <c r="AC946" s="36" t="n">
        <v>2</v>
      </c>
      <c r="AD946" s="37" t="n">
        <v>1</v>
      </c>
      <c r="AE946" s="36" t="n">
        <v>9</v>
      </c>
      <c r="AF946" s="37" t="n">
        <v>0.9</v>
      </c>
      <c r="AG946" s="36" t="n">
        <v>2</v>
      </c>
      <c r="AH946" s="37" t="n">
        <v>1</v>
      </c>
    </row>
    <row r="947">
      <c r="A947" s="53" t="n">
        <v>45775</v>
      </c>
      <c r="B947" t="inlineStr">
        <is>
          <t>R06_Jawa Timur</t>
        </is>
      </c>
      <c r="C947" t="inlineStr">
        <is>
          <t>NOP MALANG</t>
        </is>
      </c>
      <c r="D947" s="38" t="n">
        <v>0</v>
      </c>
      <c r="E947" s="38" t="n">
        <v>0</v>
      </c>
      <c r="F947" s="36" t="n">
        <v>0.694</v>
      </c>
      <c r="G947" s="36" t="n">
        <v>2.103</v>
      </c>
      <c r="H947" s="36" t="n">
        <v>3</v>
      </c>
      <c r="I947" s="37" t="n">
        <v>0.75</v>
      </c>
      <c r="J947" s="36" t="n">
        <v>0</v>
      </c>
      <c r="K947" s="37" t="n">
        <v>0</v>
      </c>
      <c r="L947" s="36" t="n">
        <v>3</v>
      </c>
      <c r="M947" s="37" t="n">
        <v>0.75</v>
      </c>
      <c r="N947" s="36" t="n">
        <v>0</v>
      </c>
      <c r="O947" s="37" t="n">
        <v>0</v>
      </c>
      <c r="P947" s="36" t="n">
        <v>0</v>
      </c>
      <c r="Q947" s="37" t="n">
        <v>0</v>
      </c>
      <c r="R947" s="36" t="n">
        <v>4</v>
      </c>
      <c r="S947" s="37" t="n">
        <v>1</v>
      </c>
      <c r="T947" s="36" t="n">
        <v>3</v>
      </c>
      <c r="U947" s="37" t="n">
        <v>0.75</v>
      </c>
      <c r="V947" s="38" t="n">
        <v>0</v>
      </c>
      <c r="W947" s="38" t="n">
        <v>0.889</v>
      </c>
      <c r="X947" s="38" t="n">
        <v>1.756</v>
      </c>
      <c r="Y947" s="38" t="n">
        <v>24.3</v>
      </c>
      <c r="Z947" s="38" t="n">
        <v>0</v>
      </c>
      <c r="AA947" s="36" t="n">
        <v>6</v>
      </c>
      <c r="AB947" s="37" t="n">
        <v>0.6666666666666666</v>
      </c>
      <c r="AC947" s="36" t="n">
        <v>0</v>
      </c>
      <c r="AD947" s="37" t="n">
        <v>0</v>
      </c>
      <c r="AE947" s="36" t="n">
        <v>6</v>
      </c>
      <c r="AF947" s="37" t="n">
        <v>0.8571428571428571</v>
      </c>
      <c r="AG947" s="36" t="n">
        <v>0</v>
      </c>
      <c r="AH947" s="37" t="n">
        <v>0</v>
      </c>
    </row>
    <row r="948">
      <c r="A948" s="53" t="n">
        <v>45775</v>
      </c>
      <c r="B948" t="inlineStr">
        <is>
          <t>R06_Jawa Timur</t>
        </is>
      </c>
      <c r="C948" t="inlineStr">
        <is>
          <t>NOP SIDOARJO</t>
        </is>
      </c>
      <c r="D948" s="38" t="n">
        <v>0.72</v>
      </c>
      <c r="E948" s="38" t="n">
        <v>0</v>
      </c>
      <c r="F948" s="36" t="n">
        <v>3.02</v>
      </c>
      <c r="G948" s="36" t="n">
        <v>0.73</v>
      </c>
      <c r="H948" s="36" t="n">
        <v>4</v>
      </c>
      <c r="I948" s="37" t="n">
        <v>0.6666666666666666</v>
      </c>
      <c r="J948" s="36" t="n">
        <v>2</v>
      </c>
      <c r="K948" s="37" t="n">
        <v>1</v>
      </c>
      <c r="L948" s="36" t="n">
        <v>2</v>
      </c>
      <c r="M948" s="37" t="n">
        <v>0.5</v>
      </c>
      <c r="N948" s="36" t="n">
        <v>2</v>
      </c>
      <c r="O948" s="37" t="n">
        <v>1</v>
      </c>
      <c r="P948" s="36" t="n">
        <v>2</v>
      </c>
      <c r="Q948" s="37" t="n">
        <v>1</v>
      </c>
      <c r="R948" s="36" t="n">
        <v>4</v>
      </c>
      <c r="S948" s="37" t="n">
        <v>0.6666666666666666</v>
      </c>
      <c r="T948" s="36" t="n">
        <v>2</v>
      </c>
      <c r="U948" s="37" t="n">
        <v>0.3333333333333333</v>
      </c>
      <c r="V948" s="38" t="n">
        <v>0</v>
      </c>
      <c r="W948" s="38" t="n">
        <v>0.9299999999999996</v>
      </c>
      <c r="X948" s="38" t="n">
        <v>2.516</v>
      </c>
      <c r="Y948" s="38" t="n">
        <v>305.79</v>
      </c>
      <c r="Z948" s="38" t="n">
        <v>0</v>
      </c>
      <c r="AA948" s="36" t="n">
        <v>14</v>
      </c>
      <c r="AB948" s="37" t="n">
        <v>0.7</v>
      </c>
      <c r="AC948" s="36" t="n">
        <v>7</v>
      </c>
      <c r="AD948" s="37" t="n">
        <v>0.7</v>
      </c>
      <c r="AE948" s="36" t="n">
        <v>7</v>
      </c>
      <c r="AF948" s="37" t="n">
        <v>0.7</v>
      </c>
      <c r="AG948" s="36" t="n">
        <v>2</v>
      </c>
      <c r="AH948" s="37" t="n">
        <v>0.2857142857142857</v>
      </c>
    </row>
    <row r="949">
      <c r="A949" s="53" t="n">
        <v>45775</v>
      </c>
      <c r="B949" t="inlineStr">
        <is>
          <t>R06_Jawa Timur</t>
        </is>
      </c>
      <c r="C949" t="inlineStr">
        <is>
          <t>NOP SURABAYA</t>
        </is>
      </c>
      <c r="D949" s="38" t="n">
        <v>1.75</v>
      </c>
      <c r="E949" s="38" t="n">
        <v>0</v>
      </c>
      <c r="F949" s="36" t="n">
        <v>3.92</v>
      </c>
      <c r="G949" s="36" t="n">
        <v>4.044</v>
      </c>
      <c r="H949" s="36" t="n">
        <v>8</v>
      </c>
      <c r="I949" s="37" t="n">
        <v>0.8</v>
      </c>
      <c r="J949" s="36" t="n">
        <v>1</v>
      </c>
      <c r="K949" s="37" t="n">
        <v>1</v>
      </c>
      <c r="L949" s="36" t="n">
        <v>7</v>
      </c>
      <c r="M949" s="37" t="n">
        <v>0.7777777777777778</v>
      </c>
      <c r="N949" s="36" t="n">
        <v>1</v>
      </c>
      <c r="O949" s="37" t="n">
        <v>1</v>
      </c>
      <c r="P949" s="36" t="n">
        <v>1</v>
      </c>
      <c r="Q949" s="37" t="n">
        <v>1</v>
      </c>
      <c r="R949" s="36" t="n">
        <v>10</v>
      </c>
      <c r="S949" s="37" t="n">
        <v>1</v>
      </c>
      <c r="T949" s="36" t="n">
        <v>6</v>
      </c>
      <c r="U949" s="37" t="n">
        <v>0.6</v>
      </c>
      <c r="V949" s="38" t="n">
        <v>0</v>
      </c>
      <c r="W949" s="38" t="n">
        <v>2.417000000000001</v>
      </c>
      <c r="X949" s="38" t="n">
        <v>4.278</v>
      </c>
      <c r="Y949" s="38" t="n">
        <v>24.222</v>
      </c>
      <c r="Z949" s="38" t="n">
        <v>0</v>
      </c>
      <c r="AA949" s="36" t="n">
        <v>28</v>
      </c>
      <c r="AB949" s="37" t="n">
        <v>0.5600000000000001</v>
      </c>
      <c r="AC949" s="36" t="n">
        <v>9</v>
      </c>
      <c r="AD949" s="37" t="n">
        <v>0.6428571428571429</v>
      </c>
      <c r="AE949" s="36" t="n">
        <v>19</v>
      </c>
      <c r="AF949" s="37" t="n">
        <v>0.5277777777777778</v>
      </c>
      <c r="AG949" s="36" t="n">
        <v>8</v>
      </c>
      <c r="AH949" s="37" t="n">
        <v>0.8888888888888888</v>
      </c>
    </row>
    <row r="950">
      <c r="A950" s="53" t="n">
        <v>45775</v>
      </c>
      <c r="B950" t="inlineStr">
        <is>
          <t>R07_Bali Nusra</t>
        </is>
      </c>
      <c r="C950" t="inlineStr">
        <is>
          <t>NOP DENPASAR</t>
        </is>
      </c>
      <c r="D950" s="38" t="n">
        <v>2.146</v>
      </c>
      <c r="E950" s="38" t="n">
        <v>0</v>
      </c>
      <c r="F950" s="36" t="n">
        <v>2.34</v>
      </c>
      <c r="G950" s="36" t="n">
        <v>4.420000000000001</v>
      </c>
      <c r="H950" s="36" t="n">
        <v>8</v>
      </c>
      <c r="I950" s="37" t="n">
        <v>1</v>
      </c>
      <c r="J950" s="36" t="n">
        <v>2</v>
      </c>
      <c r="K950" s="37" t="n">
        <v>1</v>
      </c>
      <c r="L950" s="36" t="n">
        <v>6</v>
      </c>
      <c r="M950" s="37" t="n">
        <v>1</v>
      </c>
      <c r="N950" s="36" t="n">
        <v>2</v>
      </c>
      <c r="O950" s="37" t="n">
        <v>1</v>
      </c>
      <c r="P950" s="36" t="n">
        <v>2</v>
      </c>
      <c r="Q950" s="37" t="n">
        <v>1</v>
      </c>
      <c r="R950" s="36" t="n">
        <v>8</v>
      </c>
      <c r="S950" s="37" t="n">
        <v>1</v>
      </c>
      <c r="T950" s="36" t="n">
        <v>8</v>
      </c>
      <c r="U950" s="37" t="n">
        <v>1</v>
      </c>
      <c r="V950" s="38" t="n">
        <v>0</v>
      </c>
      <c r="W950" s="38" t="n">
        <v>1.609</v>
      </c>
      <c r="X950" s="38" t="n">
        <v>17.004</v>
      </c>
      <c r="Y950" s="38" t="n">
        <v>11.74</v>
      </c>
      <c r="Z950" s="38" t="n">
        <v>0</v>
      </c>
      <c r="AA950" s="36" t="n">
        <v>34</v>
      </c>
      <c r="AB950" s="37" t="n">
        <v>1</v>
      </c>
      <c r="AC950" s="36" t="n">
        <v>22</v>
      </c>
      <c r="AD950" s="37" t="n">
        <v>1</v>
      </c>
      <c r="AE950" s="36" t="n">
        <v>12</v>
      </c>
      <c r="AF950" s="37" t="n">
        <v>1</v>
      </c>
      <c r="AG950" s="36" t="n">
        <v>22</v>
      </c>
      <c r="AH950" s="37" t="n">
        <v>1</v>
      </c>
    </row>
    <row r="951">
      <c r="A951" s="53" t="n">
        <v>45775</v>
      </c>
      <c r="B951" t="inlineStr">
        <is>
          <t>R07_Bali Nusra</t>
        </is>
      </c>
      <c r="C951" t="inlineStr">
        <is>
          <t>NOP FLORES</t>
        </is>
      </c>
      <c r="D951" s="38" t="n">
        <v>2.3</v>
      </c>
      <c r="E951" s="38" t="n">
        <v>4.438</v>
      </c>
      <c r="F951" s="36" t="n">
        <v>3.7</v>
      </c>
      <c r="G951" s="36" t="n">
        <v>8.923000000000004</v>
      </c>
      <c r="H951" s="36" t="n">
        <v>38</v>
      </c>
      <c r="I951" s="37" t="n">
        <v>0.6909090909090909</v>
      </c>
      <c r="J951" s="36" t="n">
        <v>11</v>
      </c>
      <c r="K951" s="37" t="n">
        <v>0.6111111111111112</v>
      </c>
      <c r="L951" s="36" t="n">
        <v>27</v>
      </c>
      <c r="M951" s="37" t="n">
        <v>0.7297297297297297</v>
      </c>
      <c r="N951" s="36" t="n">
        <v>8</v>
      </c>
      <c r="O951" s="37" t="n">
        <v>0.7272727272727273</v>
      </c>
      <c r="P951" s="36" t="n">
        <v>8</v>
      </c>
      <c r="Q951" s="37" t="n">
        <v>0.7272727272727273</v>
      </c>
      <c r="R951" s="36" t="n">
        <v>55</v>
      </c>
      <c r="S951" s="37" t="n">
        <v>1</v>
      </c>
      <c r="T951" s="36" t="n">
        <v>22</v>
      </c>
      <c r="U951" s="37" t="n">
        <v>0.4</v>
      </c>
      <c r="V951" s="38" t="n">
        <v>0.159</v>
      </c>
      <c r="W951" s="38" t="n">
        <v>8.644</v>
      </c>
      <c r="X951" s="38" t="n">
        <v>5.212000000000002</v>
      </c>
      <c r="Y951" s="38" t="n">
        <v>48.688</v>
      </c>
      <c r="Z951" s="38" t="n">
        <v>0</v>
      </c>
      <c r="AA951" s="36" t="n">
        <v>57</v>
      </c>
      <c r="AB951" s="37" t="n">
        <v>0.6867469879518072</v>
      </c>
      <c r="AC951" s="36" t="n">
        <v>43</v>
      </c>
      <c r="AD951" s="37" t="n">
        <v>0.7543859649122807</v>
      </c>
      <c r="AE951" s="36" t="n">
        <v>14</v>
      </c>
      <c r="AF951" s="37" t="n">
        <v>0.5384615384615384</v>
      </c>
      <c r="AG951" s="36" t="n">
        <v>36</v>
      </c>
      <c r="AH951" s="37" t="n">
        <v>0.8372093023255814</v>
      </c>
    </row>
    <row r="952">
      <c r="A952" s="53" t="n">
        <v>45775</v>
      </c>
      <c r="B952" t="inlineStr">
        <is>
          <t>R07_Bali Nusra</t>
        </is>
      </c>
      <c r="C952" t="inlineStr">
        <is>
          <t>NOP KUPANG</t>
        </is>
      </c>
      <c r="D952" s="38" t="n">
        <v>0</v>
      </c>
      <c r="E952" s="38" t="n">
        <v>3.994000000000001</v>
      </c>
      <c r="F952" s="36" t="n">
        <v>7.98</v>
      </c>
      <c r="G952" s="36" t="n">
        <v>18.875</v>
      </c>
      <c r="H952" s="36" t="n">
        <v>28</v>
      </c>
      <c r="I952" s="37" t="n">
        <v>0.4912280701754386</v>
      </c>
      <c r="J952" s="36" t="n">
        <v>3</v>
      </c>
      <c r="K952" s="37" t="n">
        <v>0.6</v>
      </c>
      <c r="L952" s="36" t="n">
        <v>25</v>
      </c>
      <c r="M952" s="37" t="n">
        <v>0.4807692307692308</v>
      </c>
      <c r="N952" s="36" t="n">
        <v>3</v>
      </c>
      <c r="O952" s="37" t="n">
        <v>1</v>
      </c>
      <c r="P952" s="36" t="n">
        <v>3</v>
      </c>
      <c r="Q952" s="37" t="n">
        <v>1</v>
      </c>
      <c r="R952" s="36" t="n">
        <v>57</v>
      </c>
      <c r="S952" s="37" t="n">
        <v>1</v>
      </c>
      <c r="T952" s="36" t="n">
        <v>19</v>
      </c>
      <c r="U952" s="37" t="n">
        <v>0.3333333333333333</v>
      </c>
      <c r="V952" s="38" t="n">
        <v>0</v>
      </c>
      <c r="W952" s="38" t="n">
        <v>6.195999999999999</v>
      </c>
      <c r="X952" s="38" t="n">
        <v>110.775</v>
      </c>
      <c r="Y952" s="38" t="n">
        <v>45.422</v>
      </c>
      <c r="Z952" s="38" t="n">
        <v>0</v>
      </c>
      <c r="AA952" s="36" t="n">
        <v>41</v>
      </c>
      <c r="AB952" s="37" t="n">
        <v>0.5694444444444444</v>
      </c>
      <c r="AC952" s="36" t="n">
        <v>30</v>
      </c>
      <c r="AD952" s="37" t="n">
        <v>0.5769230769230769</v>
      </c>
      <c r="AE952" s="36" t="n">
        <v>11</v>
      </c>
      <c r="AF952" s="37" t="n">
        <v>0.55</v>
      </c>
      <c r="AG952" s="36" t="n">
        <v>27</v>
      </c>
      <c r="AH952" s="37" t="n">
        <v>0.9</v>
      </c>
    </row>
    <row r="953">
      <c r="A953" s="53" t="n">
        <v>45775</v>
      </c>
      <c r="B953" t="inlineStr">
        <is>
          <t>R07_Bali Nusra</t>
        </is>
      </c>
      <c r="C953" t="inlineStr">
        <is>
          <t>NOP MATARAM</t>
        </is>
      </c>
      <c r="D953" s="38" t="n">
        <v>0.99</v>
      </c>
      <c r="E953" s="38" t="n">
        <v>1.69</v>
      </c>
      <c r="F953" s="36" t="n">
        <v>3.094000000000001</v>
      </c>
      <c r="G953" s="36" t="n">
        <v>4.72</v>
      </c>
      <c r="H953" s="36" t="n">
        <v>7</v>
      </c>
      <c r="I953" s="37" t="n">
        <v>0.875</v>
      </c>
      <c r="J953" s="36" t="n">
        <v>3</v>
      </c>
      <c r="K953" s="37" t="n">
        <v>1</v>
      </c>
      <c r="L953" s="36" t="n">
        <v>4</v>
      </c>
      <c r="M953" s="37" t="n">
        <v>0.8</v>
      </c>
      <c r="N953" s="36" t="n">
        <v>2</v>
      </c>
      <c r="O953" s="37" t="n">
        <v>0.6666666666666666</v>
      </c>
      <c r="P953" s="36" t="n">
        <v>2</v>
      </c>
      <c r="Q953" s="37" t="n">
        <v>0.6666666666666666</v>
      </c>
      <c r="R953" s="36" t="n">
        <v>8</v>
      </c>
      <c r="S953" s="37" t="n">
        <v>1</v>
      </c>
      <c r="T953" s="36" t="n">
        <v>4</v>
      </c>
      <c r="U953" s="37" t="n">
        <v>0.5</v>
      </c>
      <c r="V953" s="38" t="n">
        <v>0</v>
      </c>
      <c r="W953" s="38" t="n">
        <v>29.64800000000002</v>
      </c>
      <c r="X953" s="38" t="n">
        <v>8.974000000000004</v>
      </c>
      <c r="Y953" s="38" t="n">
        <v>197.93</v>
      </c>
      <c r="Z953" s="38" t="n">
        <v>0</v>
      </c>
      <c r="AA953" s="36" t="n">
        <v>18</v>
      </c>
      <c r="AB953" s="37" t="n">
        <v>0.4864864864864865</v>
      </c>
      <c r="AC953" s="36" t="n">
        <v>13</v>
      </c>
      <c r="AD953" s="37" t="n">
        <v>0.4814814814814815</v>
      </c>
      <c r="AE953" s="36" t="n">
        <v>5</v>
      </c>
      <c r="AF953" s="37" t="n">
        <v>0.5</v>
      </c>
      <c r="AG953" s="36" t="n">
        <v>10</v>
      </c>
      <c r="AH953" s="37" t="n">
        <v>0.7692307692307693</v>
      </c>
    </row>
    <row r="954">
      <c r="A954" s="53" t="n">
        <v>45776</v>
      </c>
      <c r="B954" t="inlineStr">
        <is>
          <t>R01_Sumbagut</t>
        </is>
      </c>
      <c r="C954" t="inlineStr">
        <is>
          <t>NOP ACEH</t>
        </is>
      </c>
      <c r="D954" s="38" t="n">
        <v>1.96</v>
      </c>
      <c r="E954" s="38" t="n">
        <v>4.93</v>
      </c>
      <c r="F954" s="36" t="n">
        <v>4.66</v>
      </c>
      <c r="G954" s="36" t="n">
        <v>5.862000000000002</v>
      </c>
      <c r="H954" s="36" t="n">
        <v>94</v>
      </c>
      <c r="I954" s="37" t="n">
        <v>0.9038461538461539</v>
      </c>
      <c r="J954" s="36" t="n">
        <v>11</v>
      </c>
      <c r="K954" s="37" t="n">
        <v>0.9166666666666666</v>
      </c>
      <c r="L954" s="36" t="n">
        <v>83</v>
      </c>
      <c r="M954" s="37" t="n">
        <v>0.9021739130434783</v>
      </c>
      <c r="N954" s="36" t="n">
        <v>6</v>
      </c>
      <c r="O954" s="37" t="n">
        <v>0.5454545454545454</v>
      </c>
      <c r="P954" s="36" t="n">
        <v>6</v>
      </c>
      <c r="Q954" s="37" t="n">
        <v>0.5454545454545454</v>
      </c>
      <c r="R954" s="36" t="n">
        <v>104</v>
      </c>
      <c r="S954" s="37" t="n">
        <v>1</v>
      </c>
      <c r="T954" s="36" t="n">
        <v>43</v>
      </c>
      <c r="U954" s="37" t="n">
        <v>0.4134615384615384</v>
      </c>
      <c r="V954" s="38" t="n">
        <v>0.03</v>
      </c>
      <c r="W954" s="38" t="n">
        <v>10.244</v>
      </c>
      <c r="X954" s="38" t="n">
        <v>57.58000000000001</v>
      </c>
      <c r="Y954" s="38" t="n">
        <v>108.676</v>
      </c>
      <c r="Z954" s="38" t="n">
        <v>0</v>
      </c>
      <c r="AA954" s="36" t="n">
        <v>348</v>
      </c>
      <c r="AB954" s="37" t="n">
        <v>0.9613259668508287</v>
      </c>
      <c r="AC954" s="36" t="n">
        <v>40</v>
      </c>
      <c r="AD954" s="37" t="n">
        <v>0.9090909090909091</v>
      </c>
      <c r="AE954" s="36" t="n">
        <v>304</v>
      </c>
      <c r="AF954" s="37" t="n">
        <v>0.9681528662420382</v>
      </c>
      <c r="AG954" s="36" t="n">
        <v>16</v>
      </c>
      <c r="AH954" s="37" t="n">
        <v>0.4</v>
      </c>
    </row>
    <row r="955">
      <c r="A955" s="53" t="n">
        <v>45776</v>
      </c>
      <c r="B955" t="inlineStr">
        <is>
          <t>R01_Sumbagut</t>
        </is>
      </c>
      <c r="C955" t="inlineStr">
        <is>
          <t>NOP BINJAI</t>
        </is>
      </c>
      <c r="D955" s="38" t="n">
        <v>0</v>
      </c>
      <c r="E955" s="38" t="n">
        <v>0.8220000000000001</v>
      </c>
      <c r="F955" s="36" t="n">
        <v>2.15</v>
      </c>
      <c r="G955" s="36" t="n">
        <v>3.13</v>
      </c>
      <c r="H955" s="36" t="n">
        <v>21</v>
      </c>
      <c r="I955" s="37" t="n">
        <v>0.65625</v>
      </c>
      <c r="J955" s="36" t="n">
        <v>2</v>
      </c>
      <c r="K955" s="37" t="n">
        <v>0.6666666666666666</v>
      </c>
      <c r="L955" s="36" t="n">
        <v>19</v>
      </c>
      <c r="M955" s="37" t="n">
        <v>0.6551724137931034</v>
      </c>
      <c r="N955" s="36" t="n">
        <v>1</v>
      </c>
      <c r="O955" s="37" t="n">
        <v>0.5</v>
      </c>
      <c r="P955" s="36" t="n">
        <v>1</v>
      </c>
      <c r="Q955" s="37" t="n">
        <v>0.5</v>
      </c>
      <c r="R955" s="36" t="n">
        <v>32</v>
      </c>
      <c r="S955" s="37" t="n">
        <v>1</v>
      </c>
      <c r="T955" s="36" t="n">
        <v>10</v>
      </c>
      <c r="U955" s="37" t="n">
        <v>0.3125</v>
      </c>
      <c r="V955" s="38" t="n">
        <v>0</v>
      </c>
      <c r="W955" s="38" t="n">
        <v>1.489000000000001</v>
      </c>
      <c r="X955" s="38" t="n">
        <v>21.68600000000001</v>
      </c>
      <c r="Y955" s="38" t="n">
        <v>12.7</v>
      </c>
      <c r="Z955" s="38" t="n">
        <v>0</v>
      </c>
      <c r="AA955" s="36" t="n">
        <v>44</v>
      </c>
      <c r="AB955" s="37" t="n">
        <v>0.6666666666666666</v>
      </c>
      <c r="AC955" s="36" t="n">
        <v>3</v>
      </c>
      <c r="AD955" s="37" t="n">
        <v>0.2142857142857143</v>
      </c>
      <c r="AE955" s="36" t="n">
        <v>39</v>
      </c>
      <c r="AF955" s="37" t="n">
        <v>0.8125</v>
      </c>
      <c r="AG955" s="36" t="n">
        <v>2</v>
      </c>
      <c r="AH955" s="37" t="n">
        <v>0.6666666666666666</v>
      </c>
    </row>
    <row r="956">
      <c r="A956" s="53" t="n">
        <v>45776</v>
      </c>
      <c r="B956" t="inlineStr">
        <is>
          <t>R01_Sumbagut</t>
        </is>
      </c>
      <c r="C956" t="inlineStr">
        <is>
          <t>NOP MEDAN</t>
        </is>
      </c>
      <c r="D956" s="38" t="n">
        <v>1.102</v>
      </c>
      <c r="E956" s="38" t="n">
        <v>3.762</v>
      </c>
      <c r="F956" s="36" t="n">
        <v>2.438</v>
      </c>
      <c r="G956" s="36" t="n">
        <v>1.712</v>
      </c>
      <c r="H956" s="36" t="n">
        <v>16</v>
      </c>
      <c r="I956" s="37" t="n">
        <v>0.3137254901960784</v>
      </c>
      <c r="J956" s="36" t="n">
        <v>10</v>
      </c>
      <c r="K956" s="37" t="n">
        <v>0.5</v>
      </c>
      <c r="L956" s="36" t="n">
        <v>6</v>
      </c>
      <c r="M956" s="37" t="n">
        <v>0.1935483870967742</v>
      </c>
      <c r="N956" s="36" t="n">
        <v>4</v>
      </c>
      <c r="O956" s="37" t="n">
        <v>0.4</v>
      </c>
      <c r="P956" s="36" t="n">
        <v>4</v>
      </c>
      <c r="Q956" s="37" t="n">
        <v>0.4</v>
      </c>
      <c r="R956" s="36" t="n">
        <v>51</v>
      </c>
      <c r="S956" s="37" t="n">
        <v>1</v>
      </c>
      <c r="T956" s="36" t="n">
        <v>8</v>
      </c>
      <c r="U956" s="37" t="n">
        <v>0.1568627450980392</v>
      </c>
      <c r="V956" s="38" t="n">
        <v>0</v>
      </c>
      <c r="W956" s="38" t="n">
        <v>2.363</v>
      </c>
      <c r="X956" s="38" t="n">
        <v>27.19599999999999</v>
      </c>
      <c r="Y956" s="38" t="n">
        <v>0.2720000000000002</v>
      </c>
      <c r="Z956" s="38" t="n">
        <v>0</v>
      </c>
      <c r="AA956" s="36" t="n">
        <v>26</v>
      </c>
      <c r="AB956" s="37" t="n">
        <v>0.3939393939393939</v>
      </c>
      <c r="AC956" s="36" t="n">
        <v>0</v>
      </c>
      <c r="AD956" s="37" t="n">
        <v>0</v>
      </c>
      <c r="AE956" s="36" t="n">
        <v>25</v>
      </c>
      <c r="AF956" s="37" t="n">
        <v>0.4807692307692308</v>
      </c>
      <c r="AG956" s="36" t="n">
        <v>0</v>
      </c>
      <c r="AH956" s="37" t="n">
        <v>0</v>
      </c>
    </row>
    <row r="957">
      <c r="A957" s="53" t="n">
        <v>45776</v>
      </c>
      <c r="B957" t="inlineStr">
        <is>
          <t>R01_Sumbagut</t>
        </is>
      </c>
      <c r="C957" t="inlineStr">
        <is>
          <t>NOP PADANG SIDEMPUAN</t>
        </is>
      </c>
      <c r="D957" s="38" t="n">
        <v>0</v>
      </c>
      <c r="E957" s="38" t="n">
        <v>1.9</v>
      </c>
      <c r="F957" s="36" t="n">
        <v>2.66</v>
      </c>
      <c r="G957" s="36" t="n">
        <v>5.253999999999995</v>
      </c>
      <c r="H957" s="36" t="n">
        <v>15</v>
      </c>
      <c r="I957" s="37" t="n">
        <v>0.3260869565217391</v>
      </c>
      <c r="J957" s="36" t="n">
        <v>4</v>
      </c>
      <c r="K957" s="37" t="n">
        <v>0.5714285714285714</v>
      </c>
      <c r="L957" s="36" t="n">
        <v>11</v>
      </c>
      <c r="M957" s="37" t="n">
        <v>0.282051282051282</v>
      </c>
      <c r="N957" s="36" t="n">
        <v>0</v>
      </c>
      <c r="O957" s="37" t="n">
        <v>0</v>
      </c>
      <c r="P957" s="36" t="n">
        <v>0</v>
      </c>
      <c r="Q957" s="37" t="n">
        <v>0</v>
      </c>
      <c r="R957" s="36" t="n">
        <v>46</v>
      </c>
      <c r="S957" s="37" t="n">
        <v>1</v>
      </c>
      <c r="T957" s="36" t="n">
        <v>6</v>
      </c>
      <c r="U957" s="37" t="n">
        <v>0.1304347826086956</v>
      </c>
      <c r="V957" s="38" t="n">
        <v>0</v>
      </c>
      <c r="W957" s="38" t="n">
        <v>1.83</v>
      </c>
      <c r="X957" s="38" t="n">
        <v>5.504000000000012</v>
      </c>
      <c r="Y957" s="38" t="n">
        <v>61.1</v>
      </c>
      <c r="Z957" s="38" t="n">
        <v>0</v>
      </c>
      <c r="AA957" s="36" t="n">
        <v>128</v>
      </c>
      <c r="AB957" s="37" t="n">
        <v>0.4115755627009646</v>
      </c>
      <c r="AC957" s="36" t="n">
        <v>36</v>
      </c>
      <c r="AD957" s="37" t="n">
        <v>0.4556962025316456</v>
      </c>
      <c r="AE957" s="36" t="n">
        <v>92</v>
      </c>
      <c r="AF957" s="37" t="n">
        <v>0.4</v>
      </c>
      <c r="AG957" s="36" t="n">
        <v>16</v>
      </c>
      <c r="AH957" s="37" t="n">
        <v>0.4444444444444444</v>
      </c>
    </row>
    <row r="958">
      <c r="A958" s="53" t="n">
        <v>45776</v>
      </c>
      <c r="B958" t="inlineStr">
        <is>
          <t>R01_Sumbagut</t>
        </is>
      </c>
      <c r="C958" t="inlineStr">
        <is>
          <t>NOP PEMATANG SIANTAR</t>
        </is>
      </c>
      <c r="D958" s="38" t="n">
        <v>4.579000000000001</v>
      </c>
      <c r="E958" s="38" t="n">
        <v>4.35</v>
      </c>
      <c r="F958" s="36" t="n">
        <v>10.67</v>
      </c>
      <c r="G958" s="36" t="n">
        <v>7.03</v>
      </c>
      <c r="H958" s="36" t="n">
        <v>63</v>
      </c>
      <c r="I958" s="37" t="n">
        <v>0.3387096774193548</v>
      </c>
      <c r="J958" s="36" t="n">
        <v>21</v>
      </c>
      <c r="K958" s="37" t="n">
        <v>0.4285714285714285</v>
      </c>
      <c r="L958" s="36" t="n">
        <v>42</v>
      </c>
      <c r="M958" s="37" t="n">
        <v>0.3065693430656934</v>
      </c>
      <c r="N958" s="36" t="n">
        <v>15</v>
      </c>
      <c r="O958" s="37" t="n">
        <v>0.7142857142857143</v>
      </c>
      <c r="P958" s="36" t="n">
        <v>15</v>
      </c>
      <c r="Q958" s="37" t="n">
        <v>0.7142857142857143</v>
      </c>
      <c r="R958" s="36" t="n">
        <v>183</v>
      </c>
      <c r="S958" s="37" t="n">
        <v>0.9838709677419355</v>
      </c>
      <c r="T958" s="36" t="n">
        <v>37</v>
      </c>
      <c r="U958" s="37" t="n">
        <v>0.1989247311827957</v>
      </c>
      <c r="V958" s="38" t="n">
        <v>0</v>
      </c>
      <c r="W958" s="38" t="n">
        <v>4.229999999999999</v>
      </c>
      <c r="X958" s="38" t="n">
        <v>69.52</v>
      </c>
      <c r="Y958" s="38" t="n">
        <v>66.09999999999999</v>
      </c>
      <c r="Z958" s="38" t="n">
        <v>0</v>
      </c>
      <c r="AA958" s="36" t="n">
        <v>49</v>
      </c>
      <c r="AB958" s="37" t="n">
        <v>0.1051502145922747</v>
      </c>
      <c r="AC958" s="36" t="n">
        <v>12</v>
      </c>
      <c r="AD958" s="37" t="n">
        <v>0.1935483870967742</v>
      </c>
      <c r="AE958" s="36" t="n">
        <v>35</v>
      </c>
      <c r="AF958" s="37" t="n">
        <v>0.08816120906801007</v>
      </c>
      <c r="AG958" s="36" t="n">
        <v>11</v>
      </c>
      <c r="AH958" s="37" t="n">
        <v>0.9166666666666666</v>
      </c>
    </row>
    <row r="959">
      <c r="A959" s="53" t="n">
        <v>45776</v>
      </c>
      <c r="B959" t="inlineStr">
        <is>
          <t>R01_Sumbagut</t>
        </is>
      </c>
      <c r="C959" t="inlineStr">
        <is>
          <t>NOP RANTAU PRAPAT</t>
        </is>
      </c>
      <c r="D959" s="38" t="n">
        <v>0</v>
      </c>
      <c r="E959" s="38" t="n">
        <v>2.305</v>
      </c>
      <c r="F959" s="36" t="n">
        <v>6.04</v>
      </c>
      <c r="G959" s="36" t="n">
        <v>2.896000000000001</v>
      </c>
      <c r="H959" s="36" t="n">
        <v>40</v>
      </c>
      <c r="I959" s="37" t="n">
        <v>0.2857142857142857</v>
      </c>
      <c r="J959" s="36" t="n">
        <v>9</v>
      </c>
      <c r="K959" s="37" t="n">
        <v>0.5625</v>
      </c>
      <c r="L959" s="36" t="n">
        <v>31</v>
      </c>
      <c r="M959" s="37" t="n">
        <v>0.25</v>
      </c>
      <c r="N959" s="36" t="n">
        <v>9</v>
      </c>
      <c r="O959" s="37" t="n">
        <v>1</v>
      </c>
      <c r="P959" s="36" t="n">
        <v>9</v>
      </c>
      <c r="Q959" s="37" t="n">
        <v>1</v>
      </c>
      <c r="R959" s="36" t="n">
        <v>140</v>
      </c>
      <c r="S959" s="37" t="n">
        <v>1</v>
      </c>
      <c r="T959" s="36" t="n">
        <v>29</v>
      </c>
      <c r="U959" s="37" t="n">
        <v>0.2071428571428572</v>
      </c>
      <c r="V959" s="38" t="n">
        <v>0</v>
      </c>
      <c r="W959" s="38" t="n">
        <v>3.792</v>
      </c>
      <c r="X959" s="38" t="n">
        <v>38.33</v>
      </c>
      <c r="Y959" s="38" t="n">
        <v>104.118</v>
      </c>
      <c r="Z959" s="38" t="n">
        <v>0</v>
      </c>
      <c r="AA959" s="36" t="n">
        <v>18</v>
      </c>
      <c r="AB959" s="37" t="n">
        <v>0.06081081081081081</v>
      </c>
      <c r="AC959" s="36" t="n">
        <v>6</v>
      </c>
      <c r="AD959" s="37" t="n">
        <v>0.2608695652173913</v>
      </c>
      <c r="AE959" s="36" t="n">
        <v>9</v>
      </c>
      <c r="AF959" s="37" t="n">
        <v>0.03488372093023256</v>
      </c>
      <c r="AG959" s="36" t="n">
        <v>4</v>
      </c>
      <c r="AH959" s="37" t="n">
        <v>0.6666666666666666</v>
      </c>
    </row>
    <row r="960">
      <c r="A960" s="53" t="n">
        <v>45776</v>
      </c>
      <c r="B960" t="inlineStr">
        <is>
          <t>R10_Sumbagteng</t>
        </is>
      </c>
      <c r="C960" t="inlineStr">
        <is>
          <t>NOP BATAM</t>
        </is>
      </c>
      <c r="D960" s="38" t="n">
        <v>0</v>
      </c>
      <c r="E960" s="38" t="n">
        <v>9.892000000000003</v>
      </c>
      <c r="F960" s="36" t="n">
        <v>13.74800000000001</v>
      </c>
      <c r="G960" s="36" t="n">
        <v>8.539999999999999</v>
      </c>
      <c r="H960" s="36" t="n">
        <v>25</v>
      </c>
      <c r="I960" s="37" t="n">
        <v>0.2941176470588235</v>
      </c>
      <c r="J960" s="36" t="n">
        <v>5</v>
      </c>
      <c r="K960" s="37" t="n">
        <v>0.3846153846153846</v>
      </c>
      <c r="L960" s="36" t="n">
        <v>20</v>
      </c>
      <c r="M960" s="37" t="n">
        <v>0.2777777777777778</v>
      </c>
      <c r="N960" s="36" t="n">
        <v>4</v>
      </c>
      <c r="O960" s="37" t="n">
        <v>0.8</v>
      </c>
      <c r="P960" s="36" t="n">
        <v>4</v>
      </c>
      <c r="Q960" s="37" t="n">
        <v>0.8</v>
      </c>
      <c r="R960" s="36" t="n">
        <v>85</v>
      </c>
      <c r="S960" s="37" t="n">
        <v>1</v>
      </c>
      <c r="T960" s="36" t="n">
        <v>15</v>
      </c>
      <c r="U960" s="37" t="n">
        <v>0.1764705882352941</v>
      </c>
      <c r="V960" s="38" t="n">
        <v>0.038</v>
      </c>
      <c r="W960" s="38" t="n">
        <v>9.056999999999999</v>
      </c>
      <c r="X960" s="38" t="n">
        <v>50.33600000000001</v>
      </c>
      <c r="Y960" s="38" t="n">
        <v>27.91200000000003</v>
      </c>
      <c r="Z960" s="38" t="n">
        <v>0</v>
      </c>
      <c r="AA960" s="36" t="n">
        <v>41</v>
      </c>
      <c r="AB960" s="37" t="n">
        <v>0.1220238095238095</v>
      </c>
      <c r="AC960" s="36" t="n">
        <v>10</v>
      </c>
      <c r="AD960" s="37" t="n">
        <v>0.1818181818181818</v>
      </c>
      <c r="AE960" s="36" t="n">
        <v>30</v>
      </c>
      <c r="AF960" s="37" t="n">
        <v>0.1083032490974729</v>
      </c>
      <c r="AG960" s="36" t="n">
        <v>9</v>
      </c>
      <c r="AH960" s="37" t="n">
        <v>0.9</v>
      </c>
    </row>
    <row r="961">
      <c r="A961" s="53" t="n">
        <v>45776</v>
      </c>
      <c r="B961" t="inlineStr">
        <is>
          <t>R10_Sumbagteng</t>
        </is>
      </c>
      <c r="C961" t="inlineStr">
        <is>
          <t>NOP BUKITTINGGI</t>
        </is>
      </c>
      <c r="D961" s="38" t="n">
        <v>1.9</v>
      </c>
      <c r="E961" s="38" t="n">
        <v>4.73</v>
      </c>
      <c r="F961" s="36" t="n">
        <v>8.65</v>
      </c>
      <c r="G961" s="36" t="n">
        <v>5.04</v>
      </c>
      <c r="H961" s="36" t="n">
        <v>55</v>
      </c>
      <c r="I961" s="37" t="n">
        <v>0.7432432432432432</v>
      </c>
      <c r="J961" s="36" t="n">
        <v>14</v>
      </c>
      <c r="K961" s="37" t="n">
        <v>0.8235294117647058</v>
      </c>
      <c r="L961" s="36" t="n">
        <v>41</v>
      </c>
      <c r="M961" s="37" t="n">
        <v>0.7192982456140351</v>
      </c>
      <c r="N961" s="36" t="n">
        <v>12</v>
      </c>
      <c r="O961" s="37" t="n">
        <v>0.8571428571428571</v>
      </c>
      <c r="P961" s="36" t="n">
        <v>12</v>
      </c>
      <c r="Q961" s="37" t="n">
        <v>0.8571428571428571</v>
      </c>
      <c r="R961" s="36" t="n">
        <v>72</v>
      </c>
      <c r="S961" s="37" t="n">
        <v>0.972972972972973</v>
      </c>
      <c r="T961" s="36" t="n">
        <v>34</v>
      </c>
      <c r="U961" s="37" t="n">
        <v>0.4594594594594595</v>
      </c>
      <c r="V961" s="38" t="n">
        <v>0</v>
      </c>
      <c r="W961" s="38" t="n">
        <v>14.81000000000001</v>
      </c>
      <c r="X961" s="38" t="n">
        <v>20.26</v>
      </c>
      <c r="Y961" s="38" t="n">
        <v>181.135</v>
      </c>
      <c r="Z961" s="38" t="n">
        <v>0</v>
      </c>
      <c r="AA961" s="36" t="n">
        <v>41</v>
      </c>
      <c r="AB961" s="37" t="n">
        <v>0.1348684210526316</v>
      </c>
      <c r="AC961" s="36" t="n">
        <v>14</v>
      </c>
      <c r="AD961" s="37" t="n">
        <v>0.7</v>
      </c>
      <c r="AE961" s="36" t="n">
        <v>27</v>
      </c>
      <c r="AF961" s="37" t="n">
        <v>0.09507042253521127</v>
      </c>
      <c r="AG961" s="36" t="n">
        <v>11</v>
      </c>
      <c r="AH961" s="37" t="n">
        <v>0.7857142857142857</v>
      </c>
    </row>
    <row r="962">
      <c r="A962" s="53" t="n">
        <v>45776</v>
      </c>
      <c r="B962" t="inlineStr">
        <is>
          <t>R10_Sumbagteng</t>
        </is>
      </c>
      <c r="C962" t="inlineStr">
        <is>
          <t>NOP DUMAI</t>
        </is>
      </c>
      <c r="D962" s="38" t="n">
        <v>1.39</v>
      </c>
      <c r="E962" s="38" t="n">
        <v>2.780000000000001</v>
      </c>
      <c r="F962" s="36" t="n">
        <v>3.85</v>
      </c>
      <c r="G962" s="36" t="n">
        <v>5.795999999999997</v>
      </c>
      <c r="H962" s="36" t="n">
        <v>63</v>
      </c>
      <c r="I962" s="37" t="n">
        <v>0.3387096774193548</v>
      </c>
      <c r="J962" s="36" t="n">
        <v>22</v>
      </c>
      <c r="K962" s="37" t="n">
        <v>0.4313725490196079</v>
      </c>
      <c r="L962" s="36" t="n">
        <v>41</v>
      </c>
      <c r="M962" s="37" t="n">
        <v>0.3037037037037037</v>
      </c>
      <c r="N962" s="36" t="n">
        <v>16</v>
      </c>
      <c r="O962" s="37" t="n">
        <v>0.7272727272727273</v>
      </c>
      <c r="P962" s="36" t="n">
        <v>16</v>
      </c>
      <c r="Q962" s="37" t="n">
        <v>0.7272727272727273</v>
      </c>
      <c r="R962" s="36" t="n">
        <v>184</v>
      </c>
      <c r="S962" s="37" t="n">
        <v>0.989247311827957</v>
      </c>
      <c r="T962" s="36" t="n">
        <v>42</v>
      </c>
      <c r="U962" s="37" t="n">
        <v>0.2258064516129032</v>
      </c>
      <c r="V962" s="38" t="n">
        <v>0.11</v>
      </c>
      <c r="W962" s="38" t="n">
        <v>4.02</v>
      </c>
      <c r="X962" s="38" t="n">
        <v>55.65400000000007</v>
      </c>
      <c r="Y962" s="38" t="n">
        <v>59.67100000000001</v>
      </c>
      <c r="Z962" s="38" t="n">
        <v>0</v>
      </c>
      <c r="AA962" s="36" t="n">
        <v>124</v>
      </c>
      <c r="AB962" s="37" t="n">
        <v>0.3171355498721228</v>
      </c>
      <c r="AC962" s="36" t="n">
        <v>38</v>
      </c>
      <c r="AD962" s="37" t="n">
        <v>0.4418604651162791</v>
      </c>
      <c r="AE962" s="36" t="n">
        <v>82</v>
      </c>
      <c r="AF962" s="37" t="n">
        <v>0.281786941580756</v>
      </c>
      <c r="AG962" s="36" t="n">
        <v>35</v>
      </c>
      <c r="AH962" s="37" t="n">
        <v>0.9210526315789473</v>
      </c>
    </row>
    <row r="963">
      <c r="A963" s="53" t="n">
        <v>45776</v>
      </c>
      <c r="B963" t="inlineStr">
        <is>
          <t>R10_Sumbagteng</t>
        </is>
      </c>
      <c r="C963" t="inlineStr">
        <is>
          <t>NOP PADANG</t>
        </is>
      </c>
      <c r="D963" s="38" t="n">
        <v>0</v>
      </c>
      <c r="E963" s="38" t="n">
        <v>5.218999999999999</v>
      </c>
      <c r="F963" s="36" t="n">
        <v>3.61</v>
      </c>
      <c r="G963" s="36" t="n">
        <v>5.879999999999999</v>
      </c>
      <c r="H963" s="36" t="n">
        <v>43</v>
      </c>
      <c r="I963" s="37" t="n">
        <v>0.6056338028169014</v>
      </c>
      <c r="J963" s="36" t="n">
        <v>7</v>
      </c>
      <c r="K963" s="37" t="n">
        <v>0.7</v>
      </c>
      <c r="L963" s="36" t="n">
        <v>36</v>
      </c>
      <c r="M963" s="37" t="n">
        <v>0.5901639344262295</v>
      </c>
      <c r="N963" s="36" t="n">
        <v>6</v>
      </c>
      <c r="O963" s="37" t="n">
        <v>0.8571428571428571</v>
      </c>
      <c r="P963" s="36" t="n">
        <v>6</v>
      </c>
      <c r="Q963" s="37" t="n">
        <v>0.8571428571428571</v>
      </c>
      <c r="R963" s="36" t="n">
        <v>71</v>
      </c>
      <c r="S963" s="37" t="n">
        <v>1</v>
      </c>
      <c r="T963" s="36" t="n">
        <v>25</v>
      </c>
      <c r="U963" s="37" t="n">
        <v>0.352112676056338</v>
      </c>
      <c r="V963" s="38" t="n">
        <v>0</v>
      </c>
      <c r="W963" s="38" t="n">
        <v>6.823</v>
      </c>
      <c r="X963" s="38" t="n">
        <v>122.8020000000003</v>
      </c>
      <c r="Y963" s="38" t="n">
        <v>158.1379999999999</v>
      </c>
      <c r="Z963" s="38" t="n">
        <v>0</v>
      </c>
      <c r="AA963" s="36" t="n">
        <v>152</v>
      </c>
      <c r="AB963" s="37" t="n">
        <v>0.8539325842696629</v>
      </c>
      <c r="AC963" s="36" t="n">
        <v>26</v>
      </c>
      <c r="AD963" s="37" t="n">
        <v>0.8666666666666667</v>
      </c>
      <c r="AE963" s="36" t="n">
        <v>124</v>
      </c>
      <c r="AF963" s="37" t="n">
        <v>0.8493150684931506</v>
      </c>
      <c r="AG963" s="36" t="n">
        <v>15</v>
      </c>
      <c r="AH963" s="37" t="n">
        <v>0.5769230769230769</v>
      </c>
    </row>
    <row r="964">
      <c r="A964" s="53" t="n">
        <v>45776</v>
      </c>
      <c r="B964" t="inlineStr">
        <is>
          <t>R10_Sumbagteng</t>
        </is>
      </c>
      <c r="C964" t="inlineStr">
        <is>
          <t>NOP PEKANBARU</t>
        </is>
      </c>
      <c r="D964" s="38" t="n">
        <v>1.791</v>
      </c>
      <c r="E964" s="38" t="n">
        <v>5.804</v>
      </c>
      <c r="F964" s="36" t="n">
        <v>3.53</v>
      </c>
      <c r="G964" s="36" t="n">
        <v>9.752000000000002</v>
      </c>
      <c r="H964" s="36" t="n">
        <v>61</v>
      </c>
      <c r="I964" s="37" t="n">
        <v>0.4420289855072464</v>
      </c>
      <c r="J964" s="36" t="n">
        <v>14</v>
      </c>
      <c r="K964" s="37" t="n">
        <v>0.6363636363636364</v>
      </c>
      <c r="L964" s="36" t="n">
        <v>47</v>
      </c>
      <c r="M964" s="37" t="n">
        <v>0.4051724137931034</v>
      </c>
      <c r="N964" s="36" t="n">
        <v>12</v>
      </c>
      <c r="O964" s="37" t="n">
        <v>0.8571428571428571</v>
      </c>
      <c r="P964" s="36" t="n">
        <v>12</v>
      </c>
      <c r="Q964" s="37" t="n">
        <v>0.8571428571428571</v>
      </c>
      <c r="R964" s="36" t="n">
        <v>137</v>
      </c>
      <c r="S964" s="37" t="n">
        <v>0.9927536231884058</v>
      </c>
      <c r="T964" s="36" t="n">
        <v>45</v>
      </c>
      <c r="U964" s="37" t="n">
        <v>0.3260869565217391</v>
      </c>
      <c r="V964" s="38" t="n">
        <v>0.009000000000000001</v>
      </c>
      <c r="W964" s="38" t="n">
        <v>3.49</v>
      </c>
      <c r="X964" s="38" t="n">
        <v>33.65000000000001</v>
      </c>
      <c r="Y964" s="38" t="n">
        <v>42.349</v>
      </c>
      <c r="Z964" s="38" t="n">
        <v>0</v>
      </c>
      <c r="AA964" s="36" t="n">
        <v>111</v>
      </c>
      <c r="AB964" s="37" t="n">
        <v>0.3180515759312321</v>
      </c>
      <c r="AC964" s="36" t="n">
        <v>46</v>
      </c>
      <c r="AD964" s="37" t="n">
        <v>0.4259259259259259</v>
      </c>
      <c r="AE964" s="36" t="n">
        <v>61</v>
      </c>
      <c r="AF964" s="37" t="n">
        <v>0.2663755458515284</v>
      </c>
      <c r="AG964" s="36" t="n">
        <v>29</v>
      </c>
      <c r="AH964" s="37" t="n">
        <v>0.6304347826086957</v>
      </c>
    </row>
    <row r="965">
      <c r="A965" s="53" t="n">
        <v>45776</v>
      </c>
      <c r="B965" t="inlineStr">
        <is>
          <t>R02_Sumbagsel</t>
        </is>
      </c>
      <c r="C965" t="inlineStr">
        <is>
          <t>NOP BENGKULU</t>
        </is>
      </c>
      <c r="D965" s="38" t="n">
        <v>2.675</v>
      </c>
      <c r="E965" s="38" t="n">
        <v>4.438000000000001</v>
      </c>
      <c r="F965" s="36" t="n">
        <v>7.412000000000002</v>
      </c>
      <c r="G965" s="36" t="n">
        <v>6.869999999999999</v>
      </c>
      <c r="H965" s="36" t="n">
        <v>66</v>
      </c>
      <c r="I965" s="37" t="n">
        <v>0.2907488986784141</v>
      </c>
      <c r="J965" s="36" t="n">
        <v>29</v>
      </c>
      <c r="K965" s="37" t="n">
        <v>0.4833333333333333</v>
      </c>
      <c r="L965" s="36" t="n">
        <v>37</v>
      </c>
      <c r="M965" s="37" t="n">
        <v>0.2215568862275449</v>
      </c>
      <c r="N965" s="36" t="n">
        <v>9</v>
      </c>
      <c r="O965" s="37" t="n">
        <v>0.3103448275862069</v>
      </c>
      <c r="P965" s="36" t="n">
        <v>9</v>
      </c>
      <c r="Q965" s="37" t="n">
        <v>0.3214285714285715</v>
      </c>
      <c r="R965" s="36" t="n">
        <v>216</v>
      </c>
      <c r="S965" s="37" t="n">
        <v>0.9515418502202643</v>
      </c>
      <c r="T965" s="36" t="n">
        <v>20</v>
      </c>
      <c r="U965" s="37" t="n">
        <v>0.0881057268722467</v>
      </c>
      <c r="V965" s="38" t="n">
        <v>0</v>
      </c>
      <c r="W965" s="38" t="n">
        <v>8.476000000000003</v>
      </c>
      <c r="X965" s="38" t="n">
        <v>8.509</v>
      </c>
      <c r="Y965" s="38" t="n">
        <v>7.220000000000008</v>
      </c>
      <c r="Z965" s="38" t="n">
        <v>0</v>
      </c>
      <c r="AA965" s="36" t="n">
        <v>93</v>
      </c>
      <c r="AB965" s="37" t="n">
        <v>0.3549618320610687</v>
      </c>
      <c r="AC965" s="36" t="n">
        <v>50</v>
      </c>
      <c r="AD965" s="37" t="n">
        <v>0.2890173410404624</v>
      </c>
      <c r="AE965" s="36" t="n">
        <v>25</v>
      </c>
      <c r="AF965" s="37" t="n">
        <v>0.4464285714285715</v>
      </c>
      <c r="AG965" s="36" t="n">
        <v>41</v>
      </c>
      <c r="AH965" s="37" t="n">
        <v>0.82</v>
      </c>
    </row>
    <row r="966">
      <c r="A966" s="53" t="n">
        <v>45776</v>
      </c>
      <c r="B966" t="inlineStr">
        <is>
          <t>R02_Sumbagsel</t>
        </is>
      </c>
      <c r="C966" t="inlineStr">
        <is>
          <t>NOP JAMBI</t>
        </is>
      </c>
      <c r="D966" s="38" t="n">
        <v>2.547999999999999</v>
      </c>
      <c r="E966" s="38" t="n">
        <v>3.52</v>
      </c>
      <c r="F966" s="36" t="n">
        <v>3.86</v>
      </c>
      <c r="G966" s="36" t="n">
        <v>3.502</v>
      </c>
      <c r="H966" s="36" t="n">
        <v>71</v>
      </c>
      <c r="I966" s="37" t="n">
        <v>0.5144927536231884</v>
      </c>
      <c r="J966" s="36" t="n">
        <v>32</v>
      </c>
      <c r="K966" s="37" t="n">
        <v>0.64</v>
      </c>
      <c r="L966" s="36" t="n">
        <v>39</v>
      </c>
      <c r="M966" s="37" t="n">
        <v>0.4431818181818182</v>
      </c>
      <c r="N966" s="36" t="n">
        <v>12</v>
      </c>
      <c r="O966" s="37" t="n">
        <v>0.375</v>
      </c>
      <c r="P966" s="36" t="n">
        <v>12</v>
      </c>
      <c r="Q966" s="37" t="n">
        <v>0.4</v>
      </c>
      <c r="R966" s="36" t="n">
        <v>138</v>
      </c>
      <c r="S966" s="37" t="n">
        <v>1</v>
      </c>
      <c r="T966" s="36" t="n">
        <v>33</v>
      </c>
      <c r="U966" s="37" t="n">
        <v>0.2391304347826087</v>
      </c>
      <c r="V966" s="38" t="n">
        <v>0</v>
      </c>
      <c r="W966" s="38" t="n">
        <v>8.704000000000008</v>
      </c>
      <c r="X966" s="38" t="n">
        <v>5.812</v>
      </c>
      <c r="Y966" s="38" t="n">
        <v>14.815</v>
      </c>
      <c r="Z966" s="38" t="n">
        <v>0</v>
      </c>
      <c r="AA966" s="36" t="n">
        <v>120</v>
      </c>
      <c r="AB966" s="37" t="n">
        <v>0.5529953917050692</v>
      </c>
      <c r="AC966" s="36" t="n">
        <v>61</v>
      </c>
      <c r="AD966" s="37" t="n">
        <v>0.5213675213675214</v>
      </c>
      <c r="AE966" s="36" t="n">
        <v>43</v>
      </c>
      <c r="AF966" s="37" t="n">
        <v>0.5308641975308642</v>
      </c>
      <c r="AG966" s="36" t="n">
        <v>43</v>
      </c>
      <c r="AH966" s="37" t="n">
        <v>0.7049180327868853</v>
      </c>
    </row>
    <row r="967">
      <c r="A967" s="53" t="n">
        <v>45776</v>
      </c>
      <c r="B967" t="inlineStr">
        <is>
          <t>R02_Sumbagsel</t>
        </is>
      </c>
      <c r="C967" t="inlineStr">
        <is>
          <t>NOP LAMPUNG</t>
        </is>
      </c>
      <c r="D967" s="38" t="n">
        <v>0</v>
      </c>
      <c r="E967" s="38" t="n">
        <v>1.2</v>
      </c>
      <c r="F967" s="36" t="n">
        <v>3.46</v>
      </c>
      <c r="G967" s="36" t="n">
        <v>1.92</v>
      </c>
      <c r="H967" s="36" t="n">
        <v>18</v>
      </c>
      <c r="I967" s="37" t="n">
        <v>0.4285714285714285</v>
      </c>
      <c r="J967" s="36" t="n">
        <v>4</v>
      </c>
      <c r="K967" s="37" t="n">
        <v>0.6666666666666666</v>
      </c>
      <c r="L967" s="36" t="n">
        <v>14</v>
      </c>
      <c r="M967" s="37" t="n">
        <v>0.3888888888888889</v>
      </c>
      <c r="N967" s="36" t="n">
        <v>3</v>
      </c>
      <c r="O967" s="37" t="n">
        <v>0.75</v>
      </c>
      <c r="P967" s="36" t="n">
        <v>3</v>
      </c>
      <c r="Q967" s="37" t="n">
        <v>0.75</v>
      </c>
      <c r="R967" s="36" t="n">
        <v>42</v>
      </c>
      <c r="S967" s="37" t="n">
        <v>1</v>
      </c>
      <c r="T967" s="36" t="n">
        <v>14</v>
      </c>
      <c r="U967" s="37" t="n">
        <v>0.3333333333333333</v>
      </c>
      <c r="V967" s="38" t="n">
        <v>0</v>
      </c>
      <c r="W967" s="38" t="n">
        <v>3.597999999999997</v>
      </c>
      <c r="X967" s="38" t="n">
        <v>3.837999999999999</v>
      </c>
      <c r="Y967" s="38" t="n">
        <v>14.257</v>
      </c>
      <c r="Z967" s="38" t="n">
        <v>0</v>
      </c>
      <c r="AA967" s="36" t="n">
        <v>129</v>
      </c>
      <c r="AB967" s="37" t="n">
        <v>0.8958333333333334</v>
      </c>
      <c r="AC967" s="36" t="n">
        <v>20</v>
      </c>
      <c r="AD967" s="37" t="n">
        <v>0.6896551724137931</v>
      </c>
      <c r="AE967" s="36" t="n">
        <v>104</v>
      </c>
      <c r="AF967" s="37" t="n">
        <v>0.9719626168224299</v>
      </c>
      <c r="AG967" s="36" t="n">
        <v>20</v>
      </c>
      <c r="AH967" s="37" t="n">
        <v>1</v>
      </c>
    </row>
    <row r="968">
      <c r="A968" s="53" t="n">
        <v>45776</v>
      </c>
      <c r="B968" t="inlineStr">
        <is>
          <t>R02_Sumbagsel</t>
        </is>
      </c>
      <c r="C968" t="inlineStr">
        <is>
          <t>NOP MUARA ENIM</t>
        </is>
      </c>
      <c r="D968" s="38" t="n">
        <v>2.124</v>
      </c>
      <c r="E968" s="38" t="n">
        <v>2.274</v>
      </c>
      <c r="F968" s="36" t="n">
        <v>5.450000000000006</v>
      </c>
      <c r="G968" s="36" t="n">
        <v>7.74</v>
      </c>
      <c r="H968" s="36" t="n">
        <v>77</v>
      </c>
      <c r="I968" s="37" t="n">
        <v>0.4556213017751479</v>
      </c>
      <c r="J968" s="36" t="n">
        <v>4</v>
      </c>
      <c r="K968" s="37" t="n">
        <v>0.2222222222222222</v>
      </c>
      <c r="L968" s="36" t="n">
        <v>73</v>
      </c>
      <c r="M968" s="37" t="n">
        <v>0.4834437086092715</v>
      </c>
      <c r="N968" s="36" t="n">
        <v>3</v>
      </c>
      <c r="O968" s="37" t="n">
        <v>0.75</v>
      </c>
      <c r="P968" s="36" t="n">
        <v>3</v>
      </c>
      <c r="Q968" s="37" t="n">
        <v>0.75</v>
      </c>
      <c r="R968" s="36" t="n">
        <v>169</v>
      </c>
      <c r="S968" s="37" t="n">
        <v>1</v>
      </c>
      <c r="T968" s="36" t="n">
        <v>28</v>
      </c>
      <c r="U968" s="37" t="n">
        <v>0.1656804733727811</v>
      </c>
      <c r="V968" s="38" t="n">
        <v>0</v>
      </c>
      <c r="W968" s="38" t="n">
        <v>22.71400000000006</v>
      </c>
      <c r="X968" s="38" t="n">
        <v>8.097</v>
      </c>
      <c r="Y968" s="38" t="n">
        <v>10.732</v>
      </c>
      <c r="Z968" s="38" t="n">
        <v>0</v>
      </c>
      <c r="AA968" s="36" t="n">
        <v>74</v>
      </c>
      <c r="AB968" s="37" t="n">
        <v>0.3756345177664975</v>
      </c>
      <c r="AC968" s="36" t="n">
        <v>32</v>
      </c>
      <c r="AD968" s="37" t="n">
        <v>0.367816091954023</v>
      </c>
      <c r="AE968" s="36" t="n">
        <v>40</v>
      </c>
      <c r="AF968" s="37" t="n">
        <v>0.4166666666666667</v>
      </c>
      <c r="AG968" s="36" t="n">
        <v>28</v>
      </c>
      <c r="AH968" s="37" t="n">
        <v>0.875</v>
      </c>
    </row>
    <row r="969">
      <c r="A969" s="53" t="n">
        <v>45776</v>
      </c>
      <c r="B969" t="inlineStr">
        <is>
          <t>R02_Sumbagsel</t>
        </is>
      </c>
      <c r="C969" t="inlineStr">
        <is>
          <t>NOP PALEMBANG</t>
        </is>
      </c>
      <c r="D969" s="38" t="n">
        <v>0</v>
      </c>
      <c r="E969" s="38" t="n">
        <v>10.852</v>
      </c>
      <c r="F969" s="36" t="n">
        <v>5.59</v>
      </c>
      <c r="G969" s="36" t="n">
        <v>5.061999999999999</v>
      </c>
      <c r="H969" s="36" t="n">
        <v>42</v>
      </c>
      <c r="I969" s="37" t="n">
        <v>0.2896551724137931</v>
      </c>
      <c r="J969" s="36" t="n">
        <v>5</v>
      </c>
      <c r="K969" s="37" t="n">
        <v>0.3846153846153846</v>
      </c>
      <c r="L969" s="36" t="n">
        <v>37</v>
      </c>
      <c r="M969" s="37" t="n">
        <v>0.2803030303030303</v>
      </c>
      <c r="N969" s="36" t="n">
        <v>4</v>
      </c>
      <c r="O969" s="37" t="n">
        <v>0.8</v>
      </c>
      <c r="P969" s="36" t="n">
        <v>4</v>
      </c>
      <c r="Q969" s="37" t="n">
        <v>0.8</v>
      </c>
      <c r="R969" s="36" t="n">
        <v>145</v>
      </c>
      <c r="S969" s="37" t="n">
        <v>1</v>
      </c>
      <c r="T969" s="36" t="n">
        <v>24</v>
      </c>
      <c r="U969" s="37" t="n">
        <v>0.1655172413793103</v>
      </c>
      <c r="V969" s="38" t="n">
        <v>0</v>
      </c>
      <c r="W969" s="38" t="n">
        <v>9.245000000000001</v>
      </c>
      <c r="X969" s="38" t="n">
        <v>14.585</v>
      </c>
      <c r="Y969" s="38" t="n">
        <v>1.986000000000004</v>
      </c>
      <c r="Z969" s="38" t="n">
        <v>0</v>
      </c>
      <c r="AA969" s="36" t="n">
        <v>94</v>
      </c>
      <c r="AB969" s="37" t="n">
        <v>0.3061889250814332</v>
      </c>
      <c r="AC969" s="36" t="n">
        <v>31</v>
      </c>
      <c r="AD969" s="37" t="n">
        <v>0.2924528301886792</v>
      </c>
      <c r="AE969" s="36" t="n">
        <v>63</v>
      </c>
      <c r="AF969" s="37" t="n">
        <v>0.3641618497109826</v>
      </c>
      <c r="AG969" s="36" t="n">
        <v>7</v>
      </c>
      <c r="AH969" s="37" t="n">
        <v>0.2258064516129032</v>
      </c>
    </row>
    <row r="970">
      <c r="A970" s="53" t="n">
        <v>45776</v>
      </c>
      <c r="B970" t="inlineStr">
        <is>
          <t>R02_Sumbagsel</t>
        </is>
      </c>
      <c r="C970" t="inlineStr">
        <is>
          <t>NOP PANGKAL PINANG</t>
        </is>
      </c>
      <c r="D970" s="38" t="n">
        <v>0</v>
      </c>
      <c r="E970" s="38" t="n">
        <v>3.965</v>
      </c>
      <c r="F970" s="36" t="n">
        <v>2.431999999999999</v>
      </c>
      <c r="G970" s="36" t="n">
        <v>6.003000000000001</v>
      </c>
      <c r="H970" s="36" t="n">
        <v>22</v>
      </c>
      <c r="I970" s="37" t="n">
        <v>0.7586206896551724</v>
      </c>
      <c r="J970" s="36" t="n">
        <v>2</v>
      </c>
      <c r="K970" s="37" t="n">
        <v>1</v>
      </c>
      <c r="L970" s="36" t="n">
        <v>20</v>
      </c>
      <c r="M970" s="37" t="n">
        <v>0.7407407407407407</v>
      </c>
      <c r="N970" s="36" t="n">
        <v>1</v>
      </c>
      <c r="O970" s="37" t="n">
        <v>0.5</v>
      </c>
      <c r="P970" s="36" t="n">
        <v>1</v>
      </c>
      <c r="Q970" s="37" t="n">
        <v>0.5</v>
      </c>
      <c r="R970" s="36" t="n">
        <v>29</v>
      </c>
      <c r="S970" s="37" t="n">
        <v>1</v>
      </c>
      <c r="T970" s="36" t="n">
        <v>10</v>
      </c>
      <c r="U970" s="37" t="n">
        <v>0.3448275862068966</v>
      </c>
      <c r="V970" s="38" t="n">
        <v>0</v>
      </c>
      <c r="W970" s="38" t="n">
        <v>1.71</v>
      </c>
      <c r="X970" s="38" t="n">
        <v>2.975</v>
      </c>
      <c r="Y970" s="38" t="n">
        <v>10.975</v>
      </c>
      <c r="Z970" s="38" t="n">
        <v>0</v>
      </c>
      <c r="AA970" s="36" t="n">
        <v>62</v>
      </c>
      <c r="AB970" s="37" t="n">
        <v>0.8611111111111112</v>
      </c>
      <c r="AC970" s="36" t="n">
        <v>14</v>
      </c>
      <c r="AD970" s="37" t="n">
        <v>0.9333333333333333</v>
      </c>
      <c r="AE970" s="36" t="n">
        <v>47</v>
      </c>
      <c r="AF970" s="37" t="n">
        <v>0.9038461538461539</v>
      </c>
      <c r="AG970" s="36" t="n">
        <v>8</v>
      </c>
      <c r="AH970" s="37" t="n">
        <v>0.5714285714285714</v>
      </c>
    </row>
    <row r="971">
      <c r="A971" s="53" t="n">
        <v>45776</v>
      </c>
      <c r="B971" t="inlineStr">
        <is>
          <t>R05_Jawa Tengah DIY</t>
        </is>
      </c>
      <c r="C971" t="inlineStr">
        <is>
          <t>NOP MAGELANG</t>
        </is>
      </c>
      <c r="D971" s="38" t="n">
        <v>1.018</v>
      </c>
      <c r="E971" s="38" t="n">
        <v>0</v>
      </c>
      <c r="F971" s="36" t="n">
        <v>2.347000000000002</v>
      </c>
      <c r="G971" s="36" t="n">
        <v>4.048999999999999</v>
      </c>
      <c r="H971" s="36" t="n">
        <v>31</v>
      </c>
      <c r="I971" s="37" t="n">
        <v>1</v>
      </c>
      <c r="J971" s="36" t="n">
        <v>3</v>
      </c>
      <c r="K971" s="37" t="n">
        <v>1</v>
      </c>
      <c r="L971" s="36" t="n">
        <v>28</v>
      </c>
      <c r="M971" s="37" t="n">
        <v>1</v>
      </c>
      <c r="N971" s="36" t="n">
        <v>2</v>
      </c>
      <c r="O971" s="37" t="n">
        <v>0.6666666666666666</v>
      </c>
      <c r="P971" s="36" t="n">
        <v>2</v>
      </c>
      <c r="Q971" s="37" t="n">
        <v>0.6666666666666666</v>
      </c>
      <c r="R971" s="36" t="n">
        <v>31</v>
      </c>
      <c r="S971" s="37" t="n">
        <v>1</v>
      </c>
      <c r="T971" s="36" t="n">
        <v>25</v>
      </c>
      <c r="U971" s="37" t="n">
        <v>0.8064516129032258</v>
      </c>
      <c r="V971" s="38" t="n">
        <v>0</v>
      </c>
      <c r="W971" s="38" t="n">
        <v>1.873</v>
      </c>
      <c r="X971" s="38" t="n">
        <v>4.980000000000001</v>
      </c>
      <c r="Y971" s="38" t="n">
        <v>12.594</v>
      </c>
      <c r="Z971" s="38" t="n">
        <v>0</v>
      </c>
      <c r="AA971" s="36" t="n">
        <v>69</v>
      </c>
      <c r="AB971" s="37" t="n">
        <v>0.971830985915493</v>
      </c>
      <c r="AC971" s="36" t="n">
        <v>11</v>
      </c>
      <c r="AD971" s="37" t="n">
        <v>0.9166666666666666</v>
      </c>
      <c r="AE971" s="36" t="n">
        <v>58</v>
      </c>
      <c r="AF971" s="37" t="n">
        <v>0.9830508474576272</v>
      </c>
      <c r="AG971" s="36" t="n">
        <v>10</v>
      </c>
      <c r="AH971" s="37" t="n">
        <v>0.9090909090909091</v>
      </c>
    </row>
    <row r="972">
      <c r="A972" s="53" t="n">
        <v>45776</v>
      </c>
      <c r="B972" t="inlineStr">
        <is>
          <t>R05_Jawa Tengah DIY</t>
        </is>
      </c>
      <c r="C972" t="inlineStr">
        <is>
          <t>NOP PEKALONGAN</t>
        </is>
      </c>
      <c r="D972" s="38" t="n">
        <v>1.36</v>
      </c>
      <c r="E972" s="38" t="n">
        <v>0</v>
      </c>
      <c r="F972" s="36" t="n">
        <v>4.052</v>
      </c>
      <c r="G972" s="36" t="n">
        <v>2.626</v>
      </c>
      <c r="H972" s="36" t="n">
        <v>6</v>
      </c>
      <c r="I972" s="37" t="n">
        <v>0.8571428571428571</v>
      </c>
      <c r="J972" s="36" t="n">
        <v>1</v>
      </c>
      <c r="K972" s="37" t="n">
        <v>1</v>
      </c>
      <c r="L972" s="36" t="n">
        <v>5</v>
      </c>
      <c r="M972" s="37" t="n">
        <v>0.8333333333333334</v>
      </c>
      <c r="N972" s="36" t="n">
        <v>1</v>
      </c>
      <c r="O972" s="37" t="n">
        <v>1</v>
      </c>
      <c r="P972" s="36" t="n">
        <v>1</v>
      </c>
      <c r="Q972" s="37" t="n">
        <v>1</v>
      </c>
      <c r="R972" s="36" t="n">
        <v>7</v>
      </c>
      <c r="S972" s="37" t="n">
        <v>1</v>
      </c>
      <c r="T972" s="36" t="n">
        <v>5</v>
      </c>
      <c r="U972" s="37" t="n">
        <v>0.7142857142857143</v>
      </c>
      <c r="V972" s="38" t="n">
        <v>0</v>
      </c>
      <c r="W972" s="38" t="n">
        <v>16.202</v>
      </c>
      <c r="X972" s="38" t="n">
        <v>3.2</v>
      </c>
      <c r="Y972" s="38" t="n">
        <v>21.695</v>
      </c>
      <c r="Z972" s="38" t="n">
        <v>0</v>
      </c>
      <c r="AA972" s="36" t="n">
        <v>19</v>
      </c>
      <c r="AB972" s="37" t="n">
        <v>0.76</v>
      </c>
      <c r="AC972" s="36" t="n">
        <v>2</v>
      </c>
      <c r="AD972" s="37" t="n">
        <v>0.4</v>
      </c>
      <c r="AE972" s="36" t="n">
        <v>17</v>
      </c>
      <c r="AF972" s="37" t="n">
        <v>0.85</v>
      </c>
      <c r="AG972" s="36" t="n">
        <v>2</v>
      </c>
      <c r="AH972" s="37" t="n">
        <v>1</v>
      </c>
    </row>
    <row r="973">
      <c r="A973" s="53" t="n">
        <v>45776</v>
      </c>
      <c r="B973" t="inlineStr">
        <is>
          <t>R05_Jawa Tengah DIY</t>
        </is>
      </c>
      <c r="C973" t="inlineStr">
        <is>
          <t>NOP PURWOKERTO</t>
        </is>
      </c>
      <c r="D973" s="38" t="n">
        <v>0</v>
      </c>
      <c r="E973" s="38" t="n">
        <v>0</v>
      </c>
      <c r="F973" s="36" t="n">
        <v>3.06</v>
      </c>
      <c r="G973" s="36" t="n">
        <v>1.576</v>
      </c>
      <c r="H973" s="36" t="n">
        <v>8</v>
      </c>
      <c r="I973" s="37" t="n">
        <v>0.6666666666666666</v>
      </c>
      <c r="J973" s="36" t="n">
        <v>0</v>
      </c>
      <c r="K973" s="37" t="n">
        <v>0</v>
      </c>
      <c r="L973" s="36" t="n">
        <v>8</v>
      </c>
      <c r="M973" s="37" t="n">
        <v>0.6666666666666666</v>
      </c>
      <c r="N973" s="36" t="n">
        <v>0</v>
      </c>
      <c r="O973" s="37" t="n">
        <v>0</v>
      </c>
      <c r="P973" s="36" t="n">
        <v>0</v>
      </c>
      <c r="Q973" s="37" t="n">
        <v>0</v>
      </c>
      <c r="R973" s="36" t="n">
        <v>12</v>
      </c>
      <c r="S973" s="37" t="n">
        <v>1</v>
      </c>
      <c r="T973" s="36" t="n">
        <v>4</v>
      </c>
      <c r="U973" s="37" t="n">
        <v>0.3333333333333333</v>
      </c>
      <c r="V973" s="38" t="n">
        <v>0</v>
      </c>
      <c r="W973" s="38" t="n">
        <v>5.142</v>
      </c>
      <c r="X973" s="38" t="n">
        <v>8.443</v>
      </c>
      <c r="Y973" s="38" t="n">
        <v>20.01400000000001</v>
      </c>
      <c r="Z973" s="38" t="n">
        <v>0</v>
      </c>
      <c r="AA973" s="36" t="n">
        <v>29</v>
      </c>
      <c r="AB973" s="37" t="n">
        <v>0.8529411764705882</v>
      </c>
      <c r="AC973" s="36" t="n">
        <v>6</v>
      </c>
      <c r="AD973" s="37" t="n">
        <v>0.8571428571428571</v>
      </c>
      <c r="AE973" s="36" t="n">
        <v>23</v>
      </c>
      <c r="AF973" s="37" t="n">
        <v>0.8518518518518519</v>
      </c>
      <c r="AG973" s="36" t="n">
        <v>3</v>
      </c>
      <c r="AH973" s="37" t="n">
        <v>0.5</v>
      </c>
    </row>
    <row r="974">
      <c r="A974" s="53" t="n">
        <v>45776</v>
      </c>
      <c r="B974" t="inlineStr">
        <is>
          <t>R05_Jawa Tengah DIY</t>
        </is>
      </c>
      <c r="C974" t="inlineStr">
        <is>
          <t>NOP SEMARANG</t>
        </is>
      </c>
      <c r="D974" s="38" t="n">
        <v>0.8460000000000001</v>
      </c>
      <c r="E974" s="38" t="n">
        <v>0</v>
      </c>
      <c r="F974" s="36" t="n">
        <v>3.42</v>
      </c>
      <c r="G974" s="36" t="n">
        <v>3.694</v>
      </c>
      <c r="H974" s="36" t="n">
        <v>9</v>
      </c>
      <c r="I974" s="37" t="n">
        <v>0.3461538461538461</v>
      </c>
      <c r="J974" s="36" t="n">
        <v>1</v>
      </c>
      <c r="K974" s="37" t="n">
        <v>0.5</v>
      </c>
      <c r="L974" s="36" t="n">
        <v>8</v>
      </c>
      <c r="M974" s="37" t="n">
        <v>0.3333333333333333</v>
      </c>
      <c r="N974" s="36" t="n">
        <v>1</v>
      </c>
      <c r="O974" s="37" t="n">
        <v>1</v>
      </c>
      <c r="P974" s="36" t="n">
        <v>1</v>
      </c>
      <c r="Q974" s="37" t="n">
        <v>1</v>
      </c>
      <c r="R974" s="36" t="n">
        <v>25</v>
      </c>
      <c r="S974" s="37" t="n">
        <v>0.9615384615384616</v>
      </c>
      <c r="T974" s="36" t="n">
        <v>7</v>
      </c>
      <c r="U974" s="37" t="n">
        <v>0.2692307692307692</v>
      </c>
      <c r="V974" s="38" t="n">
        <v>0.01</v>
      </c>
      <c r="W974" s="38" t="n">
        <v>4.640000000000004</v>
      </c>
      <c r="X974" s="38" t="n">
        <v>5.97</v>
      </c>
      <c r="Y974" s="38" t="n">
        <v>68.444</v>
      </c>
      <c r="Z974" s="38" t="n">
        <v>0</v>
      </c>
      <c r="AA974" s="36" t="n">
        <v>41</v>
      </c>
      <c r="AB974" s="37" t="n">
        <v>0.8367346938775511</v>
      </c>
      <c r="AC974" s="36" t="n">
        <v>14</v>
      </c>
      <c r="AD974" s="37" t="n">
        <v>0.7368421052631579</v>
      </c>
      <c r="AE974" s="36" t="n">
        <v>27</v>
      </c>
      <c r="AF974" s="37" t="n">
        <v>0.9</v>
      </c>
      <c r="AG974" s="36" t="n">
        <v>13</v>
      </c>
      <c r="AH974" s="37" t="n">
        <v>0.9285714285714286</v>
      </c>
    </row>
    <row r="975">
      <c r="A975" s="53" t="n">
        <v>45776</v>
      </c>
      <c r="B975" t="inlineStr">
        <is>
          <t>R05_Jawa Tengah DIY</t>
        </is>
      </c>
      <c r="C975" t="inlineStr">
        <is>
          <t>NOP SURAKARTA</t>
        </is>
      </c>
      <c r="D975" s="38" t="n">
        <v>1.614</v>
      </c>
      <c r="E975" s="38" t="n">
        <v>0</v>
      </c>
      <c r="F975" s="36" t="n">
        <v>4.46</v>
      </c>
      <c r="G975" s="36" t="n">
        <v>4.364</v>
      </c>
      <c r="H975" s="36" t="n">
        <v>36</v>
      </c>
      <c r="I975" s="37" t="n">
        <v>0.8571428571428571</v>
      </c>
      <c r="J975" s="36" t="n">
        <v>2</v>
      </c>
      <c r="K975" s="37" t="n">
        <v>0.6666666666666666</v>
      </c>
      <c r="L975" s="36" t="n">
        <v>34</v>
      </c>
      <c r="M975" s="37" t="n">
        <v>0.8717948717948718</v>
      </c>
      <c r="N975" s="36" t="n">
        <v>1</v>
      </c>
      <c r="O975" s="37" t="n">
        <v>0.5</v>
      </c>
      <c r="P975" s="36" t="n">
        <v>1</v>
      </c>
      <c r="Q975" s="37" t="n">
        <v>0.5</v>
      </c>
      <c r="R975" s="36" t="n">
        <v>41</v>
      </c>
      <c r="S975" s="37" t="n">
        <v>0.9761904761904762</v>
      </c>
      <c r="T975" s="36" t="n">
        <v>21</v>
      </c>
      <c r="U975" s="37" t="n">
        <v>0.5</v>
      </c>
      <c r="V975" s="38" t="n">
        <v>0</v>
      </c>
      <c r="W975" s="38" t="n">
        <v>10.166</v>
      </c>
      <c r="X975" s="38" t="n">
        <v>8.802</v>
      </c>
      <c r="Y975" s="38" t="n">
        <v>14.62</v>
      </c>
      <c r="Z975" s="38" t="n">
        <v>0</v>
      </c>
      <c r="AA975" s="36" t="n">
        <v>42</v>
      </c>
      <c r="AB975" s="37" t="n">
        <v>0.7777777777777778</v>
      </c>
      <c r="AC975" s="36" t="n">
        <v>8</v>
      </c>
      <c r="AD975" s="37" t="n">
        <v>0.8888888888888888</v>
      </c>
      <c r="AE975" s="36" t="n">
        <v>34</v>
      </c>
      <c r="AF975" s="37" t="n">
        <v>0.7555555555555555</v>
      </c>
      <c r="AG975" s="36" t="n">
        <v>3</v>
      </c>
      <c r="AH975" s="37" t="n">
        <v>0.375</v>
      </c>
    </row>
    <row r="976">
      <c r="A976" s="53" t="n">
        <v>45776</v>
      </c>
      <c r="B976" t="inlineStr">
        <is>
          <t>R05_Jawa Tengah DIY</t>
        </is>
      </c>
      <c r="C976" t="inlineStr">
        <is>
          <t>NOP YOGYAKARTA</t>
        </is>
      </c>
      <c r="D976" s="38" t="n">
        <v>0</v>
      </c>
      <c r="E976" s="38" t="n">
        <v>0</v>
      </c>
      <c r="F976" s="36" t="n">
        <v>1.66</v>
      </c>
      <c r="G976" s="36" t="n">
        <v>5.84</v>
      </c>
      <c r="H976" s="36" t="n">
        <v>13</v>
      </c>
      <c r="I976" s="37" t="n">
        <v>0.8666666666666667</v>
      </c>
      <c r="J976" s="36" t="n">
        <v>0</v>
      </c>
      <c r="K976" s="37" t="n">
        <v>0</v>
      </c>
      <c r="L976" s="36" t="n">
        <v>13</v>
      </c>
      <c r="M976" s="37" t="n">
        <v>0.8666666666666667</v>
      </c>
      <c r="N976" s="36" t="n">
        <v>0</v>
      </c>
      <c r="O976" s="37" t="n">
        <v>0</v>
      </c>
      <c r="P976" s="36" t="n">
        <v>0</v>
      </c>
      <c r="Q976" s="37" t="n">
        <v>0</v>
      </c>
      <c r="R976" s="36" t="n">
        <v>15</v>
      </c>
      <c r="S976" s="37" t="n">
        <v>1</v>
      </c>
      <c r="T976" s="36" t="n">
        <v>12</v>
      </c>
      <c r="U976" s="37" t="n">
        <v>0.8</v>
      </c>
      <c r="V976" s="38" t="n">
        <v>0</v>
      </c>
      <c r="W976" s="38" t="n">
        <v>2.405</v>
      </c>
      <c r="X976" s="38" t="n">
        <v>5.35</v>
      </c>
      <c r="Y976" s="38" t="n">
        <v>30.73600000000001</v>
      </c>
      <c r="Z976" s="38" t="n">
        <v>0</v>
      </c>
      <c r="AA976" s="36" t="n">
        <v>37</v>
      </c>
      <c r="AB976" s="37" t="n">
        <v>0.925</v>
      </c>
      <c r="AC976" s="36" t="n">
        <v>11</v>
      </c>
      <c r="AD976" s="37" t="n">
        <v>1</v>
      </c>
      <c r="AE976" s="36" t="n">
        <v>26</v>
      </c>
      <c r="AF976" s="37" t="n">
        <v>0.896551724137931</v>
      </c>
      <c r="AG976" s="36" t="n">
        <v>10</v>
      </c>
      <c r="AH976" s="37" t="n">
        <v>0.9090909090909091</v>
      </c>
    </row>
    <row r="977">
      <c r="A977" s="53" t="n">
        <v>45776</v>
      </c>
      <c r="B977" t="inlineStr">
        <is>
          <t>R06_Jawa Timur</t>
        </is>
      </c>
      <c r="C977" t="inlineStr">
        <is>
          <t>NOP JEMBER</t>
        </is>
      </c>
      <c r="D977" s="38" t="n">
        <v>1.839</v>
      </c>
      <c r="E977" s="38" t="n">
        <v>0</v>
      </c>
      <c r="F977" s="36" t="n">
        <v>8.119999999999999</v>
      </c>
      <c r="G977" s="36" t="n">
        <v>4.663</v>
      </c>
      <c r="H977" s="36" t="n">
        <v>14</v>
      </c>
      <c r="I977" s="37" t="n">
        <v>0.35</v>
      </c>
      <c r="J977" s="36" t="n">
        <v>2</v>
      </c>
      <c r="K977" s="37" t="n">
        <v>1</v>
      </c>
      <c r="L977" s="36" t="n">
        <v>12</v>
      </c>
      <c r="M977" s="37" t="n">
        <v>0.3157894736842105</v>
      </c>
      <c r="N977" s="36" t="n">
        <v>2</v>
      </c>
      <c r="O977" s="37" t="n">
        <v>1</v>
      </c>
      <c r="P977" s="36" t="n">
        <v>2</v>
      </c>
      <c r="Q977" s="37" t="n">
        <v>1</v>
      </c>
      <c r="R977" s="36" t="n">
        <v>39</v>
      </c>
      <c r="S977" s="37" t="n">
        <v>0.975</v>
      </c>
      <c r="T977" s="36" t="n">
        <v>9</v>
      </c>
      <c r="U977" s="37" t="n">
        <v>0.225</v>
      </c>
      <c r="V977" s="38" t="n">
        <v>0</v>
      </c>
      <c r="W977" s="38" t="n">
        <v>4.59</v>
      </c>
      <c r="X977" s="38" t="n">
        <v>6.643000000000001</v>
      </c>
      <c r="Y977" s="38" t="n">
        <v>371.748</v>
      </c>
      <c r="Z977" s="38" t="n">
        <v>0</v>
      </c>
      <c r="AA977" s="36" t="n">
        <v>17</v>
      </c>
      <c r="AB977" s="37" t="n">
        <v>0.6538461538461539</v>
      </c>
      <c r="AC977" s="36" t="n">
        <v>6</v>
      </c>
      <c r="AD977" s="37" t="n">
        <v>0.5</v>
      </c>
      <c r="AE977" s="36" t="n">
        <v>11</v>
      </c>
      <c r="AF977" s="37" t="n">
        <v>0.7857142857142857</v>
      </c>
      <c r="AG977" s="36" t="n">
        <v>4</v>
      </c>
      <c r="AH977" s="37" t="n">
        <v>0.6666666666666666</v>
      </c>
    </row>
    <row r="978">
      <c r="A978" s="53" t="n">
        <v>45776</v>
      </c>
      <c r="B978" t="inlineStr">
        <is>
          <t>R06_Jawa Timur</t>
        </is>
      </c>
      <c r="C978" t="inlineStr">
        <is>
          <t>NOP KEDIRI</t>
        </is>
      </c>
      <c r="D978" s="38" t="n">
        <v>0</v>
      </c>
      <c r="E978" s="38" t="n">
        <v>0.54</v>
      </c>
      <c r="F978" s="36" t="n">
        <v>2.32</v>
      </c>
      <c r="G978" s="36" t="n">
        <v>2.744</v>
      </c>
      <c r="H978" s="36" t="n">
        <v>11</v>
      </c>
      <c r="I978" s="37" t="n">
        <v>0.9166666666666666</v>
      </c>
      <c r="J978" s="36" t="n">
        <v>2</v>
      </c>
      <c r="K978" s="37" t="n">
        <v>1</v>
      </c>
      <c r="L978" s="36" t="n">
        <v>9</v>
      </c>
      <c r="M978" s="37" t="n">
        <v>0.9</v>
      </c>
      <c r="N978" s="36" t="n">
        <v>2</v>
      </c>
      <c r="O978" s="37" t="n">
        <v>1</v>
      </c>
      <c r="P978" s="36" t="n">
        <v>2</v>
      </c>
      <c r="Q978" s="37" t="n">
        <v>1</v>
      </c>
      <c r="R978" s="36" t="n">
        <v>12</v>
      </c>
      <c r="S978" s="37" t="n">
        <v>1</v>
      </c>
      <c r="T978" s="36" t="n">
        <v>8</v>
      </c>
      <c r="U978" s="37" t="n">
        <v>0.6666666666666666</v>
      </c>
      <c r="V978" s="38" t="n">
        <v>0</v>
      </c>
      <c r="W978" s="38" t="n">
        <v>1.89</v>
      </c>
      <c r="X978" s="38" t="n">
        <v>5.534</v>
      </c>
      <c r="Y978" s="38" t="n">
        <v>0</v>
      </c>
      <c r="Z978" s="38" t="n">
        <v>0</v>
      </c>
      <c r="AA978" s="36" t="n">
        <v>12</v>
      </c>
      <c r="AB978" s="37" t="n">
        <v>1</v>
      </c>
      <c r="AC978" s="36" t="n">
        <v>3</v>
      </c>
      <c r="AD978" s="37" t="n">
        <v>1</v>
      </c>
      <c r="AE978" s="36" t="n">
        <v>9</v>
      </c>
      <c r="AF978" s="37" t="n">
        <v>1</v>
      </c>
      <c r="AG978" s="36" t="n">
        <v>3</v>
      </c>
      <c r="AH978" s="37" t="n">
        <v>1</v>
      </c>
    </row>
    <row r="979">
      <c r="A979" s="53" t="n">
        <v>45776</v>
      </c>
      <c r="B979" t="inlineStr">
        <is>
          <t>R06_Jawa Timur</t>
        </is>
      </c>
      <c r="C979" t="inlineStr">
        <is>
          <t>NOP LAMONGAN</t>
        </is>
      </c>
      <c r="D979" s="38" t="n">
        <v>0.647</v>
      </c>
      <c r="E979" s="38" t="n">
        <v>0</v>
      </c>
      <c r="F979" s="36" t="n">
        <v>0.84</v>
      </c>
      <c r="G979" s="36" t="n">
        <v>3.229</v>
      </c>
      <c r="H979" s="36" t="n">
        <v>8</v>
      </c>
      <c r="I979" s="37" t="n">
        <v>0.7272727272727273</v>
      </c>
      <c r="J979" s="36" t="n">
        <v>1</v>
      </c>
      <c r="K979" s="37" t="n">
        <v>0.5</v>
      </c>
      <c r="L979" s="36" t="n">
        <v>7</v>
      </c>
      <c r="M979" s="37" t="n">
        <v>0.7777777777777778</v>
      </c>
      <c r="N979" s="36" t="n">
        <v>1</v>
      </c>
      <c r="O979" s="37" t="n">
        <v>1</v>
      </c>
      <c r="P979" s="36" t="n">
        <v>1</v>
      </c>
      <c r="Q979" s="37" t="n">
        <v>1</v>
      </c>
      <c r="R979" s="36" t="n">
        <v>11</v>
      </c>
      <c r="S979" s="37" t="n">
        <v>1</v>
      </c>
      <c r="T979" s="36" t="n">
        <v>7</v>
      </c>
      <c r="U979" s="37" t="n">
        <v>0.6363636363636364</v>
      </c>
      <c r="V979" s="38" t="n">
        <v>0</v>
      </c>
      <c r="W979" s="38" t="n">
        <v>0.41</v>
      </c>
      <c r="X979" s="38" t="n">
        <v>3.481</v>
      </c>
      <c r="Y979" s="38" t="n">
        <v>16.451</v>
      </c>
      <c r="Z979" s="38" t="n">
        <v>0</v>
      </c>
      <c r="AA979" s="36" t="n">
        <v>11</v>
      </c>
      <c r="AB979" s="37" t="n">
        <v>0.8461538461538461</v>
      </c>
      <c r="AC979" s="36" t="n">
        <v>1</v>
      </c>
      <c r="AD979" s="37" t="n">
        <v>1</v>
      </c>
      <c r="AE979" s="36" t="n">
        <v>10</v>
      </c>
      <c r="AF979" s="37" t="n">
        <v>0.8333333333333334</v>
      </c>
      <c r="AG979" s="36" t="n">
        <v>1</v>
      </c>
      <c r="AH979" s="37" t="n">
        <v>1</v>
      </c>
    </row>
    <row r="980">
      <c r="A980" s="53" t="n">
        <v>45776</v>
      </c>
      <c r="B980" t="inlineStr">
        <is>
          <t>R06_Jawa Timur</t>
        </is>
      </c>
      <c r="C980" t="inlineStr">
        <is>
          <t>NOP MADIUN</t>
        </is>
      </c>
      <c r="D980" s="38" t="n">
        <v>0</v>
      </c>
      <c r="E980" s="38" t="n">
        <v>0</v>
      </c>
      <c r="F980" s="36" t="n">
        <v>4.1</v>
      </c>
      <c r="G980" s="36" t="n">
        <v>2.06</v>
      </c>
      <c r="H980" s="36" t="n">
        <v>8</v>
      </c>
      <c r="I980" s="37" t="n">
        <v>0.7272727272727273</v>
      </c>
      <c r="J980" s="36" t="n">
        <v>0</v>
      </c>
      <c r="K980" s="37" t="n">
        <v>0</v>
      </c>
      <c r="L980" s="36" t="n">
        <v>8</v>
      </c>
      <c r="M980" s="37" t="n">
        <v>0.7272727272727273</v>
      </c>
      <c r="N980" s="36" t="n">
        <v>0</v>
      </c>
      <c r="O980" s="37" t="n">
        <v>0</v>
      </c>
      <c r="P980" s="36" t="n">
        <v>0</v>
      </c>
      <c r="Q980" s="37" t="n">
        <v>0</v>
      </c>
      <c r="R980" s="36" t="n">
        <v>11</v>
      </c>
      <c r="S980" s="37" t="n">
        <v>1</v>
      </c>
      <c r="T980" s="36" t="n">
        <v>6</v>
      </c>
      <c r="U980" s="37" t="n">
        <v>0.5454545454545454</v>
      </c>
      <c r="V980" s="38" t="n">
        <v>0</v>
      </c>
      <c r="W980" s="38" t="n">
        <v>1.366</v>
      </c>
      <c r="X980" s="38" t="n">
        <v>2.078</v>
      </c>
      <c r="Y980" s="38" t="n">
        <v>0</v>
      </c>
      <c r="Z980" s="38" t="n">
        <v>0</v>
      </c>
      <c r="AA980" s="36" t="n">
        <v>16</v>
      </c>
      <c r="AB980" s="37" t="n">
        <v>0.6666666666666666</v>
      </c>
      <c r="AC980" s="36" t="n">
        <v>6</v>
      </c>
      <c r="AD980" s="37" t="n">
        <v>0.6666666666666666</v>
      </c>
      <c r="AE980" s="36" t="n">
        <v>10</v>
      </c>
      <c r="AF980" s="37" t="n">
        <v>0.6666666666666666</v>
      </c>
      <c r="AG980" s="36" t="n">
        <v>6</v>
      </c>
      <c r="AH980" s="37" t="n">
        <v>1</v>
      </c>
    </row>
    <row r="981">
      <c r="A981" s="53" t="n">
        <v>45776</v>
      </c>
      <c r="B981" t="inlineStr">
        <is>
          <t>R06_Jawa Timur</t>
        </is>
      </c>
      <c r="C981" t="inlineStr">
        <is>
          <t>NOP MALANG</t>
        </is>
      </c>
      <c r="D981" s="38" t="n">
        <v>0</v>
      </c>
      <c r="E981" s="38" t="n">
        <v>0</v>
      </c>
      <c r="F981" s="36" t="n">
        <v>2.75</v>
      </c>
      <c r="G981" s="36" t="n">
        <v>2.621</v>
      </c>
      <c r="H981" s="36" t="n">
        <v>8</v>
      </c>
      <c r="I981" s="37" t="n">
        <v>0.7272727272727273</v>
      </c>
      <c r="J981" s="36" t="n">
        <v>0</v>
      </c>
      <c r="K981" s="37" t="n">
        <v>0</v>
      </c>
      <c r="L981" s="36" t="n">
        <v>8</v>
      </c>
      <c r="M981" s="37" t="n">
        <v>0.7272727272727273</v>
      </c>
      <c r="N981" s="36" t="n">
        <v>0</v>
      </c>
      <c r="O981" s="37" t="n">
        <v>0</v>
      </c>
      <c r="P981" s="36" t="n">
        <v>0</v>
      </c>
      <c r="Q981" s="37" t="n">
        <v>0</v>
      </c>
      <c r="R981" s="36" t="n">
        <v>11</v>
      </c>
      <c r="S981" s="37" t="n">
        <v>1</v>
      </c>
      <c r="T981" s="36" t="n">
        <v>7</v>
      </c>
      <c r="U981" s="37" t="n">
        <v>0.6363636363636364</v>
      </c>
      <c r="V981" s="38" t="n">
        <v>0</v>
      </c>
      <c r="W981" s="38" t="n">
        <v>3.15</v>
      </c>
      <c r="X981" s="38" t="n">
        <v>4.06</v>
      </c>
      <c r="Y981" s="38" t="n">
        <v>6.53</v>
      </c>
      <c r="Z981" s="38" t="n">
        <v>0</v>
      </c>
      <c r="AA981" s="36" t="n">
        <v>13</v>
      </c>
      <c r="AB981" s="37" t="n">
        <v>0.7647058823529411</v>
      </c>
      <c r="AC981" s="36" t="n">
        <v>8</v>
      </c>
      <c r="AD981" s="37" t="n">
        <v>0.6666666666666666</v>
      </c>
      <c r="AE981" s="36" t="n">
        <v>5</v>
      </c>
      <c r="AF981" s="37" t="n">
        <v>1</v>
      </c>
      <c r="AG981" s="36" t="n">
        <v>6</v>
      </c>
      <c r="AH981" s="37" t="n">
        <v>0.75</v>
      </c>
    </row>
    <row r="982">
      <c r="A982" s="53" t="n">
        <v>45776</v>
      </c>
      <c r="B982" t="inlineStr">
        <is>
          <t>R06_Jawa Timur</t>
        </is>
      </c>
      <c r="C982" t="inlineStr">
        <is>
          <t>NOP SIDOARJO</t>
        </is>
      </c>
      <c r="D982" s="38" t="n">
        <v>2.136</v>
      </c>
      <c r="E982" s="38" t="n">
        <v>0</v>
      </c>
      <c r="F982" s="36" t="n">
        <v>2.645</v>
      </c>
      <c r="G982" s="36" t="n">
        <v>1.59</v>
      </c>
      <c r="H982" s="36" t="n">
        <v>9</v>
      </c>
      <c r="I982" s="37" t="n">
        <v>0.391304347826087</v>
      </c>
      <c r="J982" s="36" t="n">
        <v>3</v>
      </c>
      <c r="K982" s="37" t="n">
        <v>1</v>
      </c>
      <c r="L982" s="36" t="n">
        <v>6</v>
      </c>
      <c r="M982" s="37" t="n">
        <v>0.3</v>
      </c>
      <c r="N982" s="36" t="n">
        <v>2</v>
      </c>
      <c r="O982" s="37" t="n">
        <v>0.6666666666666666</v>
      </c>
      <c r="P982" s="36" t="n">
        <v>2</v>
      </c>
      <c r="Q982" s="37" t="n">
        <v>0.6666666666666666</v>
      </c>
      <c r="R982" s="36" t="n">
        <v>21</v>
      </c>
      <c r="S982" s="37" t="n">
        <v>0.9130434782608695</v>
      </c>
      <c r="T982" s="36" t="n">
        <v>7</v>
      </c>
      <c r="U982" s="37" t="n">
        <v>0.3043478260869565</v>
      </c>
      <c r="V982" s="38" t="n">
        <v>0.01</v>
      </c>
      <c r="W982" s="38" t="n">
        <v>1.822</v>
      </c>
      <c r="X982" s="38" t="n">
        <v>3.458000000000001</v>
      </c>
      <c r="Y982" s="38" t="n">
        <v>14.75</v>
      </c>
      <c r="Z982" s="38" t="n">
        <v>0</v>
      </c>
      <c r="AA982" s="36" t="n">
        <v>18</v>
      </c>
      <c r="AB982" s="37" t="n">
        <v>0.75</v>
      </c>
      <c r="AC982" s="36" t="n">
        <v>7</v>
      </c>
      <c r="AD982" s="37" t="n">
        <v>0.7</v>
      </c>
      <c r="AE982" s="36" t="n">
        <v>11</v>
      </c>
      <c r="AF982" s="37" t="n">
        <v>0.7857142857142857</v>
      </c>
      <c r="AG982" s="36" t="n">
        <v>6</v>
      </c>
      <c r="AH982" s="37" t="n">
        <v>0.8571428571428571</v>
      </c>
    </row>
    <row r="983">
      <c r="A983" s="53" t="n">
        <v>45776</v>
      </c>
      <c r="B983" t="inlineStr">
        <is>
          <t>R06_Jawa Timur</t>
        </is>
      </c>
      <c r="C983" t="inlineStr">
        <is>
          <t>NOP SURABAYA</t>
        </is>
      </c>
      <c r="D983" s="38" t="n">
        <v>0.8859999999999999</v>
      </c>
      <c r="E983" s="38" t="n">
        <v>0</v>
      </c>
      <c r="F983" s="36" t="n">
        <v>1.643</v>
      </c>
      <c r="G983" s="36" t="n">
        <v>0.666</v>
      </c>
      <c r="H983" s="36" t="n">
        <v>8</v>
      </c>
      <c r="I983" s="37" t="n">
        <v>0.3809523809523809</v>
      </c>
      <c r="J983" s="36" t="n">
        <v>0</v>
      </c>
      <c r="K983" s="37" t="n">
        <v>0</v>
      </c>
      <c r="L983" s="36" t="n">
        <v>8</v>
      </c>
      <c r="M983" s="37" t="n">
        <v>0.4210526315789473</v>
      </c>
      <c r="N983" s="36" t="n">
        <v>0</v>
      </c>
      <c r="O983" s="37" t="n">
        <v>0</v>
      </c>
      <c r="P983" s="36" t="n">
        <v>0</v>
      </c>
      <c r="Q983" s="37" t="n">
        <v>0</v>
      </c>
      <c r="R983" s="36" t="n">
        <v>19</v>
      </c>
      <c r="S983" s="37" t="n">
        <v>0.9047619047619048</v>
      </c>
      <c r="T983" s="36" t="n">
        <v>7</v>
      </c>
      <c r="U983" s="37" t="n">
        <v>0.3333333333333333</v>
      </c>
      <c r="V983" s="38" t="n">
        <v>0</v>
      </c>
      <c r="W983" s="38" t="n">
        <v>2.79</v>
      </c>
      <c r="X983" s="38" t="n">
        <v>4.964</v>
      </c>
      <c r="Y983" s="38" t="n">
        <v>29.974</v>
      </c>
      <c r="Z983" s="38" t="n">
        <v>0</v>
      </c>
      <c r="AA983" s="36" t="n">
        <v>25</v>
      </c>
      <c r="AB983" s="37" t="n">
        <v>0.5813953488372093</v>
      </c>
      <c r="AC983" s="36" t="n">
        <v>3</v>
      </c>
      <c r="AD983" s="37" t="n">
        <v>0.4285714285714285</v>
      </c>
      <c r="AE983" s="36" t="n">
        <v>22</v>
      </c>
      <c r="AF983" s="37" t="n">
        <v>0.6111111111111112</v>
      </c>
      <c r="AG983" s="36" t="n">
        <v>2</v>
      </c>
      <c r="AH983" s="37" t="n">
        <v>0.6666666666666666</v>
      </c>
    </row>
    <row r="984">
      <c r="A984" s="53" t="n">
        <v>45776</v>
      </c>
      <c r="B984" t="inlineStr">
        <is>
          <t>R07_Bali Nusra</t>
        </is>
      </c>
      <c r="C984" t="inlineStr">
        <is>
          <t>NOP DENPASAR</t>
        </is>
      </c>
      <c r="D984" s="38" t="n">
        <v>2.958</v>
      </c>
      <c r="E984" s="38" t="n">
        <v>0</v>
      </c>
      <c r="F984" s="36" t="n">
        <v>0</v>
      </c>
      <c r="G984" s="36" t="n">
        <v>2.612</v>
      </c>
      <c r="H984" s="36" t="n">
        <v>7</v>
      </c>
      <c r="I984" s="37" t="n">
        <v>1</v>
      </c>
      <c r="J984" s="36" t="n">
        <v>3</v>
      </c>
      <c r="K984" s="37" t="n">
        <v>1</v>
      </c>
      <c r="L984" s="36" t="n">
        <v>4</v>
      </c>
      <c r="M984" s="37" t="n">
        <v>1</v>
      </c>
      <c r="N984" s="36" t="n">
        <v>3</v>
      </c>
      <c r="O984" s="37" t="n">
        <v>1</v>
      </c>
      <c r="P984" s="36" t="n">
        <v>3</v>
      </c>
      <c r="Q984" s="37" t="n">
        <v>1</v>
      </c>
      <c r="R984" s="36" t="n">
        <v>7</v>
      </c>
      <c r="S984" s="37" t="n">
        <v>1</v>
      </c>
      <c r="T984" s="36" t="n">
        <v>7</v>
      </c>
      <c r="U984" s="37" t="n">
        <v>1</v>
      </c>
      <c r="V984" s="38" t="n">
        <v>0</v>
      </c>
      <c r="W984" s="38" t="n">
        <v>3.545000000000001</v>
      </c>
      <c r="X984" s="38" t="n">
        <v>14.4</v>
      </c>
      <c r="Y984" s="38" t="n">
        <v>19.2</v>
      </c>
      <c r="Z984" s="38" t="n">
        <v>0</v>
      </c>
      <c r="AA984" s="36" t="n">
        <v>33</v>
      </c>
      <c r="AB984" s="37" t="n">
        <v>0.9166666666666666</v>
      </c>
      <c r="AC984" s="36" t="n">
        <v>22</v>
      </c>
      <c r="AD984" s="37" t="n">
        <v>1</v>
      </c>
      <c r="AE984" s="36" t="n">
        <v>11</v>
      </c>
      <c r="AF984" s="37" t="n">
        <v>0.7857142857142857</v>
      </c>
      <c r="AG984" s="36" t="n">
        <v>19</v>
      </c>
      <c r="AH984" s="37" t="n">
        <v>0.8636363636363636</v>
      </c>
    </row>
    <row r="985">
      <c r="A985" s="53" t="n">
        <v>45776</v>
      </c>
      <c r="B985" t="inlineStr">
        <is>
          <t>R07_Bali Nusra</t>
        </is>
      </c>
      <c r="C985" t="inlineStr">
        <is>
          <t>NOP FLORES</t>
        </is>
      </c>
      <c r="D985" s="38" t="n">
        <v>6.877999999999997</v>
      </c>
      <c r="E985" s="38" t="n">
        <v>4.205</v>
      </c>
      <c r="F985" s="36" t="n">
        <v>6.143999999999999</v>
      </c>
      <c r="G985" s="36" t="n">
        <v>7.197000000000005</v>
      </c>
      <c r="H985" s="36" t="n">
        <v>76</v>
      </c>
      <c r="I985" s="37" t="n">
        <v>0.8</v>
      </c>
      <c r="J985" s="36" t="n">
        <v>23</v>
      </c>
      <c r="K985" s="37" t="n">
        <v>0.8846153846153846</v>
      </c>
      <c r="L985" s="36" t="n">
        <v>53</v>
      </c>
      <c r="M985" s="37" t="n">
        <v>0.7681159420289855</v>
      </c>
      <c r="N985" s="36" t="n">
        <v>20</v>
      </c>
      <c r="O985" s="37" t="n">
        <v>0.8695652173913043</v>
      </c>
      <c r="P985" s="36" t="n">
        <v>20</v>
      </c>
      <c r="Q985" s="37" t="n">
        <v>0.8695652173913043</v>
      </c>
      <c r="R985" s="36" t="n">
        <v>95</v>
      </c>
      <c r="S985" s="37" t="n">
        <v>1</v>
      </c>
      <c r="T985" s="36" t="n">
        <v>64</v>
      </c>
      <c r="U985" s="37" t="n">
        <v>0.6736842105263158</v>
      </c>
      <c r="V985" s="38" t="n">
        <v>0.168</v>
      </c>
      <c r="W985" s="38" t="n">
        <v>9.730000000000002</v>
      </c>
      <c r="X985" s="38" t="n">
        <v>10.83</v>
      </c>
      <c r="Y985" s="38" t="n">
        <v>5.553</v>
      </c>
      <c r="Z985" s="38" t="n">
        <v>0</v>
      </c>
      <c r="AA985" s="36" t="n">
        <v>74</v>
      </c>
      <c r="AB985" s="37" t="n">
        <v>0.6851851851851852</v>
      </c>
      <c r="AC985" s="36" t="n">
        <v>59</v>
      </c>
      <c r="AD985" s="37" t="n">
        <v>0.7108433734939759</v>
      </c>
      <c r="AE985" s="36" t="n">
        <v>15</v>
      </c>
      <c r="AF985" s="37" t="n">
        <v>0.6</v>
      </c>
      <c r="AG985" s="36" t="n">
        <v>48</v>
      </c>
      <c r="AH985" s="37" t="n">
        <v>0.8135593220338984</v>
      </c>
    </row>
    <row r="986">
      <c r="A986" s="53" t="n">
        <v>45776</v>
      </c>
      <c r="B986" t="inlineStr">
        <is>
          <t>R07_Bali Nusra</t>
        </is>
      </c>
      <c r="C986" t="inlineStr">
        <is>
          <t>NOP KUPANG</t>
        </is>
      </c>
      <c r="D986" s="38" t="n">
        <v>0</v>
      </c>
      <c r="E986" s="38" t="n">
        <v>3.337</v>
      </c>
      <c r="F986" s="36" t="n">
        <v>7.69</v>
      </c>
      <c r="G986" s="36" t="n">
        <v>8.990000000000002</v>
      </c>
      <c r="H986" s="36" t="n">
        <v>32</v>
      </c>
      <c r="I986" s="37" t="n">
        <v>0.5</v>
      </c>
      <c r="J986" s="36" t="n">
        <v>4</v>
      </c>
      <c r="K986" s="37" t="n">
        <v>0.4</v>
      </c>
      <c r="L986" s="36" t="n">
        <v>28</v>
      </c>
      <c r="M986" s="37" t="n">
        <v>0.5185185185185185</v>
      </c>
      <c r="N986" s="36" t="n">
        <v>3</v>
      </c>
      <c r="O986" s="37" t="n">
        <v>0.75</v>
      </c>
      <c r="P986" s="36" t="n">
        <v>3</v>
      </c>
      <c r="Q986" s="37" t="n">
        <v>0.75</v>
      </c>
      <c r="R986" s="36" t="n">
        <v>62</v>
      </c>
      <c r="S986" s="37" t="n">
        <v>0.96875</v>
      </c>
      <c r="T986" s="36" t="n">
        <v>16</v>
      </c>
      <c r="U986" s="37" t="n">
        <v>0.25</v>
      </c>
      <c r="V986" s="38" t="n">
        <v>0.01</v>
      </c>
      <c r="W986" s="38" t="n">
        <v>7.454000000000002</v>
      </c>
      <c r="X986" s="38" t="n">
        <v>7.920000000000002</v>
      </c>
      <c r="Y986" s="38" t="n">
        <v>639.224</v>
      </c>
      <c r="Z986" s="38" t="n">
        <v>0</v>
      </c>
      <c r="AA986" s="36" t="n">
        <v>40</v>
      </c>
      <c r="AB986" s="37" t="n">
        <v>0.7407407407407407</v>
      </c>
      <c r="AC986" s="36" t="n">
        <v>22</v>
      </c>
      <c r="AD986" s="37" t="n">
        <v>0.7586206896551724</v>
      </c>
      <c r="AE986" s="36" t="n">
        <v>18</v>
      </c>
      <c r="AF986" s="37" t="n">
        <v>0.72</v>
      </c>
      <c r="AG986" s="36" t="n">
        <v>8</v>
      </c>
      <c r="AH986" s="37" t="n">
        <v>0.3636363636363636</v>
      </c>
    </row>
    <row r="987">
      <c r="A987" s="53" t="n">
        <v>45776</v>
      </c>
      <c r="B987" t="inlineStr">
        <is>
          <t>R07_Bali Nusra</t>
        </is>
      </c>
      <c r="C987" t="inlineStr">
        <is>
          <t>NOP MATARAM</t>
        </is>
      </c>
      <c r="D987" s="38" t="n">
        <v>0</v>
      </c>
      <c r="E987" s="38" t="n">
        <v>4.498</v>
      </c>
      <c r="F987" s="36" t="n">
        <v>5.49</v>
      </c>
      <c r="G987" s="36" t="n">
        <v>4.75</v>
      </c>
      <c r="H987" s="36" t="n">
        <v>35</v>
      </c>
      <c r="I987" s="37" t="n">
        <v>0.6140350877192983</v>
      </c>
      <c r="J987" s="36" t="n">
        <v>3</v>
      </c>
      <c r="K987" s="37" t="n">
        <v>0.4285714285714285</v>
      </c>
      <c r="L987" s="36" t="n">
        <v>32</v>
      </c>
      <c r="M987" s="37" t="n">
        <v>0.64</v>
      </c>
      <c r="N987" s="36" t="n">
        <v>3</v>
      </c>
      <c r="O987" s="37" t="n">
        <v>1</v>
      </c>
      <c r="P987" s="36" t="n">
        <v>3</v>
      </c>
      <c r="Q987" s="37" t="n">
        <v>1</v>
      </c>
      <c r="R987" s="36" t="n">
        <v>56</v>
      </c>
      <c r="S987" s="37" t="n">
        <v>0.9824561403508771</v>
      </c>
      <c r="T987" s="36" t="n">
        <v>15</v>
      </c>
      <c r="U987" s="37" t="n">
        <v>0.2631578947368421</v>
      </c>
      <c r="V987" s="38" t="n">
        <v>0.01</v>
      </c>
      <c r="W987" s="38" t="n">
        <v>21.79000000000001</v>
      </c>
      <c r="X987" s="38" t="n">
        <v>79.15699999999997</v>
      </c>
      <c r="Y987" s="38" t="n">
        <v>23.895</v>
      </c>
      <c r="Z987" s="38" t="n">
        <v>0</v>
      </c>
      <c r="AA987" s="36" t="n">
        <v>18</v>
      </c>
      <c r="AB987" s="37" t="n">
        <v>0.391304347826087</v>
      </c>
      <c r="AC987" s="36" t="n">
        <v>16</v>
      </c>
      <c r="AD987" s="37" t="n">
        <v>0.4444444444444444</v>
      </c>
      <c r="AE987" s="36" t="n">
        <v>2</v>
      </c>
      <c r="AF987" s="37" t="n">
        <v>0.2</v>
      </c>
      <c r="AG987" s="36" t="n">
        <v>6</v>
      </c>
      <c r="AH987" s="37" t="n">
        <v>0.375</v>
      </c>
    </row>
    <row r="988">
      <c r="A988" s="53" t="n">
        <v>45777</v>
      </c>
      <c r="B988" t="inlineStr">
        <is>
          <t>R01_Sumbagut</t>
        </is>
      </c>
      <c r="C988" t="inlineStr">
        <is>
          <t>NOP ACEH</t>
        </is>
      </c>
      <c r="D988" s="38" t="n">
        <v>1.31</v>
      </c>
      <c r="E988" s="38" t="n">
        <v>9.02</v>
      </c>
      <c r="F988" s="36" t="n">
        <v>9.619999999999999</v>
      </c>
      <c r="G988" s="36" t="n">
        <v>8.015000000000001</v>
      </c>
      <c r="H988" s="36" t="n">
        <v>147</v>
      </c>
      <c r="I988" s="37" t="n">
        <v>0.98</v>
      </c>
      <c r="J988" s="36" t="n">
        <v>32</v>
      </c>
      <c r="K988" s="37" t="n">
        <v>0.9411764705882353</v>
      </c>
      <c r="L988" s="36" t="n">
        <v>115</v>
      </c>
      <c r="M988" s="37" t="n">
        <v>0.9913793103448276</v>
      </c>
      <c r="N988" s="36" t="n">
        <v>18</v>
      </c>
      <c r="O988" s="37" t="n">
        <v>0.5625</v>
      </c>
      <c r="P988" s="36" t="n">
        <v>18</v>
      </c>
      <c r="Q988" s="37" t="n">
        <v>0.5625</v>
      </c>
      <c r="R988" s="36" t="n">
        <v>150</v>
      </c>
      <c r="S988" s="37" t="n">
        <v>1</v>
      </c>
      <c r="T988" s="36" t="n">
        <v>74</v>
      </c>
      <c r="U988" s="37" t="n">
        <v>0.4933333333333333</v>
      </c>
      <c r="V988" s="38" t="n">
        <v>0.02</v>
      </c>
      <c r="W988" s="38" t="n">
        <v>2.361</v>
      </c>
      <c r="X988" s="38" t="n">
        <v>86.32400000000011</v>
      </c>
      <c r="Y988" s="38" t="n">
        <v>115.1140000000001</v>
      </c>
      <c r="Z988" s="38" t="n">
        <v>0</v>
      </c>
      <c r="AA988" s="36" t="n">
        <v>391</v>
      </c>
      <c r="AB988" s="37" t="n">
        <v>0.9421686746987952</v>
      </c>
      <c r="AC988" s="36" t="n">
        <v>69</v>
      </c>
      <c r="AD988" s="37" t="n">
        <v>0.8117647058823529</v>
      </c>
      <c r="AE988" s="36" t="n">
        <v>319</v>
      </c>
      <c r="AF988" s="37" t="n">
        <v>0.9755351681957186</v>
      </c>
      <c r="AG988" s="36" t="n">
        <v>14</v>
      </c>
      <c r="AH988" s="37" t="n">
        <v>0.2028985507246377</v>
      </c>
    </row>
    <row r="989">
      <c r="A989" s="53" t="n">
        <v>45777</v>
      </c>
      <c r="B989" t="inlineStr">
        <is>
          <t>R01_Sumbagut</t>
        </is>
      </c>
      <c r="C989" t="inlineStr">
        <is>
          <t>NOP BINJAI</t>
        </is>
      </c>
      <c r="D989" s="38" t="n">
        <v>0.78</v>
      </c>
      <c r="E989" s="38" t="n">
        <v>3.662999999999996</v>
      </c>
      <c r="F989" s="36" t="n">
        <v>0.97</v>
      </c>
      <c r="G989" s="36" t="n">
        <v>4.995000000000004</v>
      </c>
      <c r="H989" s="36" t="n">
        <v>39</v>
      </c>
      <c r="I989" s="37" t="n">
        <v>0.8666666666666667</v>
      </c>
      <c r="J989" s="36" t="n">
        <v>13</v>
      </c>
      <c r="K989" s="37" t="n">
        <v>0.8666666666666667</v>
      </c>
      <c r="L989" s="36" t="n">
        <v>26</v>
      </c>
      <c r="M989" s="37" t="n">
        <v>0.8666666666666667</v>
      </c>
      <c r="N989" s="36" t="n">
        <v>8</v>
      </c>
      <c r="O989" s="37" t="n">
        <v>0.6153846153846154</v>
      </c>
      <c r="P989" s="36" t="n">
        <v>8</v>
      </c>
      <c r="Q989" s="37" t="n">
        <v>0.6153846153846154</v>
      </c>
      <c r="R989" s="36" t="n">
        <v>45</v>
      </c>
      <c r="S989" s="37" t="n">
        <v>1</v>
      </c>
      <c r="T989" s="36" t="n">
        <v>17</v>
      </c>
      <c r="U989" s="37" t="n">
        <v>0.3777777777777778</v>
      </c>
      <c r="V989" s="38" t="n">
        <v>0</v>
      </c>
      <c r="W989" s="38" t="n">
        <v>3.206</v>
      </c>
      <c r="X989" s="38" t="n">
        <v>72.15000000000001</v>
      </c>
      <c r="Y989" s="38" t="n">
        <v>87.84699999999999</v>
      </c>
      <c r="Z989" s="38" t="n">
        <v>0</v>
      </c>
      <c r="AA989" s="36" t="n">
        <v>57</v>
      </c>
      <c r="AB989" s="37" t="n">
        <v>0.7808219178082192</v>
      </c>
      <c r="AC989" s="36" t="n">
        <v>19</v>
      </c>
      <c r="AD989" s="37" t="n">
        <v>0.6551724137931034</v>
      </c>
      <c r="AE989" s="36" t="n">
        <v>37</v>
      </c>
      <c r="AF989" s="37" t="n">
        <v>0.8604651162790697</v>
      </c>
      <c r="AG989" s="36" t="n">
        <v>9</v>
      </c>
      <c r="AH989" s="37" t="n">
        <v>0.4736842105263158</v>
      </c>
    </row>
    <row r="990">
      <c r="A990" s="53" t="n">
        <v>45777</v>
      </c>
      <c r="B990" t="inlineStr">
        <is>
          <t>R01_Sumbagut</t>
        </is>
      </c>
      <c r="C990" t="inlineStr">
        <is>
          <t>NOP MEDAN</t>
        </is>
      </c>
      <c r="D990" s="38" t="n">
        <v>4.497</v>
      </c>
      <c r="E990" s="38" t="n">
        <v>4.119</v>
      </c>
      <c r="F990" s="36" t="n">
        <v>4.08</v>
      </c>
      <c r="G990" s="36" t="n">
        <v>3.439000000000001</v>
      </c>
      <c r="H990" s="36" t="n">
        <v>33</v>
      </c>
      <c r="I990" s="37" t="n">
        <v>0.2214765100671141</v>
      </c>
      <c r="J990" s="36" t="n">
        <v>14</v>
      </c>
      <c r="K990" s="37" t="n">
        <v>0.2</v>
      </c>
      <c r="L990" s="36" t="n">
        <v>19</v>
      </c>
      <c r="M990" s="37" t="n">
        <v>0.2405063291139241</v>
      </c>
      <c r="N990" s="36" t="n">
        <v>8</v>
      </c>
      <c r="O990" s="37" t="n">
        <v>0.5714285714285714</v>
      </c>
      <c r="P990" s="36" t="n">
        <v>8</v>
      </c>
      <c r="Q990" s="37" t="n">
        <v>0.6666666666666666</v>
      </c>
      <c r="R990" s="36" t="n">
        <v>149</v>
      </c>
      <c r="S990" s="37" t="n">
        <v>1</v>
      </c>
      <c r="T990" s="36" t="n">
        <v>18</v>
      </c>
      <c r="U990" s="37" t="n">
        <v>0.1208053691275168</v>
      </c>
      <c r="V990" s="38" t="n">
        <v>0</v>
      </c>
      <c r="W990" s="38" t="n">
        <v>5.439000000000012</v>
      </c>
      <c r="X990" s="38" t="n">
        <v>19.474</v>
      </c>
      <c r="Y990" s="38" t="n">
        <v>0.3810000000000001</v>
      </c>
      <c r="Z990" s="38" t="n">
        <v>0</v>
      </c>
      <c r="AA990" s="36" t="n">
        <v>22</v>
      </c>
      <c r="AB990" s="37" t="n">
        <v>0.2340425531914894</v>
      </c>
      <c r="AC990" s="36" t="n">
        <v>2</v>
      </c>
      <c r="AD990" s="37" t="n">
        <v>0.05263157894736842</v>
      </c>
      <c r="AE990" s="36" t="n">
        <v>18</v>
      </c>
      <c r="AF990" s="37" t="n">
        <v>0.36</v>
      </c>
      <c r="AG990" s="36" t="n">
        <v>2</v>
      </c>
      <c r="AH990" s="37" t="n">
        <v>1</v>
      </c>
    </row>
    <row r="991">
      <c r="A991" s="53" t="n">
        <v>45777</v>
      </c>
      <c r="B991" t="inlineStr">
        <is>
          <t>R01_Sumbagut</t>
        </is>
      </c>
      <c r="C991" t="inlineStr">
        <is>
          <t>NOP PADANG SIDEMPUAN</t>
        </is>
      </c>
      <c r="D991" s="38" t="n">
        <v>0</v>
      </c>
      <c r="E991" s="38" t="n">
        <v>3.959</v>
      </c>
      <c r="F991" s="36" t="n">
        <v>3.23</v>
      </c>
      <c r="G991" s="36" t="n">
        <v>4.785</v>
      </c>
      <c r="H991" s="36" t="n">
        <v>64</v>
      </c>
      <c r="I991" s="37" t="n">
        <v>0.5470085470085471</v>
      </c>
      <c r="J991" s="36" t="n">
        <v>6</v>
      </c>
      <c r="K991" s="37" t="n">
        <v>0.75</v>
      </c>
      <c r="L991" s="36" t="n">
        <v>58</v>
      </c>
      <c r="M991" s="37" t="n">
        <v>0.5321100917431193</v>
      </c>
      <c r="N991" s="36" t="n">
        <v>1</v>
      </c>
      <c r="O991" s="37" t="n">
        <v>0.1666666666666667</v>
      </c>
      <c r="P991" s="36" t="n">
        <v>1</v>
      </c>
      <c r="Q991" s="37" t="n">
        <v>0.1666666666666667</v>
      </c>
      <c r="R991" s="36" t="n">
        <v>117</v>
      </c>
      <c r="S991" s="37" t="n">
        <v>1</v>
      </c>
      <c r="T991" s="36" t="n">
        <v>20</v>
      </c>
      <c r="U991" s="37" t="n">
        <v>0.1709401709401709</v>
      </c>
      <c r="V991" s="38" t="n">
        <v>0</v>
      </c>
      <c r="W991" s="38" t="n">
        <v>2.604</v>
      </c>
      <c r="X991" s="38" t="n">
        <v>15.52</v>
      </c>
      <c r="Y991" s="38" t="n">
        <v>79.79400000000017</v>
      </c>
      <c r="Z991" s="38" t="n">
        <v>0</v>
      </c>
      <c r="AA991" s="36" t="n">
        <v>125</v>
      </c>
      <c r="AB991" s="37" t="n">
        <v>0.3581661891117479</v>
      </c>
      <c r="AC991" s="36" t="n">
        <v>32</v>
      </c>
      <c r="AD991" s="37" t="n">
        <v>0.3440860215053764</v>
      </c>
      <c r="AE991" s="36" t="n">
        <v>93</v>
      </c>
      <c r="AF991" s="37" t="n">
        <v>0.36328125</v>
      </c>
      <c r="AG991" s="36" t="n">
        <v>18</v>
      </c>
      <c r="AH991" s="37" t="n">
        <v>0.5625</v>
      </c>
    </row>
    <row r="992">
      <c r="A992" s="53" t="n">
        <v>45777</v>
      </c>
      <c r="B992" t="inlineStr">
        <is>
          <t>R01_Sumbagut</t>
        </is>
      </c>
      <c r="C992" t="inlineStr">
        <is>
          <t>NOP PEMATANG SIANTAR</t>
        </is>
      </c>
      <c r="D992" s="38" t="n">
        <v>5.8</v>
      </c>
      <c r="E992" s="38" t="n">
        <v>3.63</v>
      </c>
      <c r="F992" s="36" t="n">
        <v>2.98</v>
      </c>
      <c r="G992" s="36" t="n">
        <v>3.858000000000002</v>
      </c>
      <c r="H992" s="36" t="n">
        <v>33</v>
      </c>
      <c r="I992" s="37" t="n">
        <v>0.2</v>
      </c>
      <c r="J992" s="36" t="n">
        <v>9</v>
      </c>
      <c r="K992" s="37" t="n">
        <v>0.36</v>
      </c>
      <c r="L992" s="36" t="n">
        <v>24</v>
      </c>
      <c r="M992" s="37" t="n">
        <v>0.1714285714285714</v>
      </c>
      <c r="N992" s="36" t="n">
        <v>6</v>
      </c>
      <c r="O992" s="37" t="n">
        <v>0.6666666666666666</v>
      </c>
      <c r="P992" s="36" t="n">
        <v>6</v>
      </c>
      <c r="Q992" s="37" t="n">
        <v>0.6666666666666666</v>
      </c>
      <c r="R992" s="36" t="n">
        <v>161</v>
      </c>
      <c r="S992" s="37" t="n">
        <v>0.9757575757575757</v>
      </c>
      <c r="T992" s="36" t="n">
        <v>24</v>
      </c>
      <c r="U992" s="37" t="n">
        <v>0.1454545454545454</v>
      </c>
      <c r="V992" s="38" t="n">
        <v>0</v>
      </c>
      <c r="W992" s="38" t="n">
        <v>3.970000000000001</v>
      </c>
      <c r="X992" s="38" t="n">
        <v>193.9100000000002</v>
      </c>
      <c r="Y992" s="38" t="n">
        <v>118.06</v>
      </c>
      <c r="Z992" s="38" t="n">
        <v>0</v>
      </c>
      <c r="AA992" s="36" t="n">
        <v>49</v>
      </c>
      <c r="AB992" s="37" t="n">
        <v>0.1192214111922141</v>
      </c>
      <c r="AC992" s="36" t="n">
        <v>17</v>
      </c>
      <c r="AD992" s="37" t="n">
        <v>0.3090909090909091</v>
      </c>
      <c r="AE992" s="36" t="n">
        <v>29</v>
      </c>
      <c r="AF992" s="37" t="n">
        <v>0.0830945558739255</v>
      </c>
      <c r="AG992" s="36" t="n">
        <v>14</v>
      </c>
      <c r="AH992" s="37" t="n">
        <v>0.8235294117647058</v>
      </c>
    </row>
    <row r="993">
      <c r="A993" s="53" t="n">
        <v>45777</v>
      </c>
      <c r="B993" t="inlineStr">
        <is>
          <t>R01_Sumbagut</t>
        </is>
      </c>
      <c r="C993" t="inlineStr">
        <is>
          <t>NOP RANTAU PRAPAT</t>
        </is>
      </c>
      <c r="D993" s="38" t="n">
        <v>6.17</v>
      </c>
      <c r="E993" s="38" t="n">
        <v>7.860000000000008</v>
      </c>
      <c r="F993" s="36" t="n">
        <v>3.503000000000004</v>
      </c>
      <c r="G993" s="36" t="n">
        <v>7.055999999999997</v>
      </c>
      <c r="H993" s="36" t="n">
        <v>38</v>
      </c>
      <c r="I993" s="37" t="n">
        <v>0.2945736434108527</v>
      </c>
      <c r="J993" s="36" t="n">
        <v>10</v>
      </c>
      <c r="K993" s="37" t="n">
        <v>0.4166666666666667</v>
      </c>
      <c r="L993" s="36" t="n">
        <v>28</v>
      </c>
      <c r="M993" s="37" t="n">
        <v>0.2666666666666667</v>
      </c>
      <c r="N993" s="36" t="n">
        <v>6</v>
      </c>
      <c r="O993" s="37" t="n">
        <v>0.6</v>
      </c>
      <c r="P993" s="36" t="n">
        <v>6</v>
      </c>
      <c r="Q993" s="37" t="n">
        <v>0.6</v>
      </c>
      <c r="R993" s="36" t="n">
        <v>125</v>
      </c>
      <c r="S993" s="37" t="n">
        <v>0.9689922480620154</v>
      </c>
      <c r="T993" s="36" t="n">
        <v>29</v>
      </c>
      <c r="U993" s="37" t="n">
        <v>0.2248062015503876</v>
      </c>
      <c r="V993" s="38" t="n">
        <v>0.029</v>
      </c>
      <c r="W993" s="38" t="n">
        <v>3.412000000000001</v>
      </c>
      <c r="X993" s="38" t="n">
        <v>44.12</v>
      </c>
      <c r="Y993" s="38" t="n">
        <v>40.8</v>
      </c>
      <c r="Z993" s="38" t="n">
        <v>0</v>
      </c>
      <c r="AA993" s="36" t="n">
        <v>18</v>
      </c>
      <c r="AB993" s="37" t="n">
        <v>0.07171314741035857</v>
      </c>
      <c r="AC993" s="36" t="n">
        <v>3</v>
      </c>
      <c r="AD993" s="37" t="n">
        <v>0.07142857142857142</v>
      </c>
      <c r="AE993" s="36" t="n">
        <v>11</v>
      </c>
      <c r="AF993" s="37" t="n">
        <v>0.05583756345177665</v>
      </c>
      <c r="AG993" s="36" t="n">
        <v>3</v>
      </c>
      <c r="AH993" s="37" t="n">
        <v>1</v>
      </c>
    </row>
    <row r="994">
      <c r="A994" s="53" t="n">
        <v>45777</v>
      </c>
      <c r="B994" t="inlineStr">
        <is>
          <t>R10_Sumbagteng</t>
        </is>
      </c>
      <c r="C994" t="inlineStr">
        <is>
          <t>NOP BATAM</t>
        </is>
      </c>
      <c r="D994" s="38" t="n">
        <v>1.776</v>
      </c>
      <c r="E994" s="38" t="n">
        <v>8.946000000000002</v>
      </c>
      <c r="F994" s="36" t="n">
        <v>9.595999999999998</v>
      </c>
      <c r="G994" s="36" t="n">
        <v>8.064</v>
      </c>
      <c r="H994" s="36" t="n">
        <v>49</v>
      </c>
      <c r="I994" s="37" t="n">
        <v>0.3202614379084967</v>
      </c>
      <c r="J994" s="36" t="n">
        <v>11</v>
      </c>
      <c r="K994" s="37" t="n">
        <v>0.3055555555555556</v>
      </c>
      <c r="L994" s="36" t="n">
        <v>38</v>
      </c>
      <c r="M994" s="37" t="n">
        <v>0.3247863247863248</v>
      </c>
      <c r="N994" s="36" t="n">
        <v>5</v>
      </c>
      <c r="O994" s="37" t="n">
        <v>0.4545454545454545</v>
      </c>
      <c r="P994" s="36" t="n">
        <v>5</v>
      </c>
      <c r="Q994" s="37" t="n">
        <v>0.4545454545454545</v>
      </c>
      <c r="R994" s="36" t="n">
        <v>151</v>
      </c>
      <c r="S994" s="37" t="n">
        <v>0.9869281045751634</v>
      </c>
      <c r="T994" s="36" t="n">
        <v>27</v>
      </c>
      <c r="U994" s="37" t="n">
        <v>0.1764705882352941</v>
      </c>
      <c r="V994" s="38" t="n">
        <v>0</v>
      </c>
      <c r="W994" s="38" t="n">
        <v>6.54</v>
      </c>
      <c r="X994" s="38" t="n">
        <v>122.46</v>
      </c>
      <c r="Y994" s="38" t="n">
        <v>180.8449999999998</v>
      </c>
      <c r="Z994" s="38" t="n">
        <v>0</v>
      </c>
      <c r="AA994" s="36" t="n">
        <v>24</v>
      </c>
      <c r="AB994" s="37" t="n">
        <v>0.06936416184971098</v>
      </c>
      <c r="AC994" s="36" t="n">
        <v>5</v>
      </c>
      <c r="AD994" s="37" t="n">
        <v>0.08928571428571429</v>
      </c>
      <c r="AE994" s="36" t="n">
        <v>19</v>
      </c>
      <c r="AF994" s="37" t="n">
        <v>0.06574394463667819</v>
      </c>
      <c r="AG994" s="36" t="n">
        <v>5</v>
      </c>
      <c r="AH994" s="37" t="n">
        <v>1</v>
      </c>
    </row>
    <row r="995">
      <c r="A995" s="53" t="n">
        <v>45777</v>
      </c>
      <c r="B995" t="inlineStr">
        <is>
          <t>R10_Sumbagteng</t>
        </is>
      </c>
      <c r="C995" t="inlineStr">
        <is>
          <t>NOP BUKITTINGGI</t>
        </is>
      </c>
      <c r="D995" s="38" t="n">
        <v>1.02</v>
      </c>
      <c r="E995" s="38" t="n">
        <v>3.27</v>
      </c>
      <c r="F995" s="36" t="n">
        <v>2.722000000000001</v>
      </c>
      <c r="G995" s="36" t="n">
        <v>5.130000000000003</v>
      </c>
      <c r="H995" s="36" t="n">
        <v>69</v>
      </c>
      <c r="I995" s="37" t="n">
        <v>0.7666666666666667</v>
      </c>
      <c r="J995" s="36" t="n">
        <v>19</v>
      </c>
      <c r="K995" s="37" t="n">
        <v>0.8636363636363636</v>
      </c>
      <c r="L995" s="36" t="n">
        <v>50</v>
      </c>
      <c r="M995" s="37" t="n">
        <v>0.7352941176470589</v>
      </c>
      <c r="N995" s="36" t="n">
        <v>16</v>
      </c>
      <c r="O995" s="37" t="n">
        <v>0.8421052631578947</v>
      </c>
      <c r="P995" s="36" t="n">
        <v>11</v>
      </c>
      <c r="Q995" s="37" t="n">
        <v>0.8461538461538461</v>
      </c>
      <c r="R995" s="36" t="n">
        <v>79</v>
      </c>
      <c r="S995" s="37" t="n">
        <v>0.8777777777777778</v>
      </c>
      <c r="T995" s="36" t="n">
        <v>27</v>
      </c>
      <c r="U995" s="37" t="n">
        <v>0.3</v>
      </c>
      <c r="V995" s="38" t="n">
        <v>0</v>
      </c>
      <c r="W995" s="38" t="n">
        <v>11.67800000000001</v>
      </c>
      <c r="X995" s="38" t="n">
        <v>66.754</v>
      </c>
      <c r="Y995" s="38" t="n">
        <v>149.985</v>
      </c>
      <c r="Z995" s="38" t="n">
        <v>0</v>
      </c>
      <c r="AA995" s="36" t="n">
        <v>66</v>
      </c>
      <c r="AB995" s="37" t="n">
        <v>0.2946428571428572</v>
      </c>
      <c r="AC995" s="36" t="n">
        <v>21</v>
      </c>
      <c r="AD995" s="37" t="n">
        <v>0.84</v>
      </c>
      <c r="AE995" s="36" t="n">
        <v>44</v>
      </c>
      <c r="AF995" s="37" t="n">
        <v>0.2233502538071066</v>
      </c>
      <c r="AG995" s="36" t="n">
        <v>11</v>
      </c>
      <c r="AH995" s="37" t="n">
        <v>0.5238095238095238</v>
      </c>
    </row>
    <row r="996">
      <c r="A996" s="53" t="n">
        <v>45777</v>
      </c>
      <c r="B996" t="inlineStr">
        <is>
          <t>R10_Sumbagteng</t>
        </is>
      </c>
      <c r="C996" t="inlineStr">
        <is>
          <t>NOP DUMAI</t>
        </is>
      </c>
      <c r="D996" s="38" t="n">
        <v>3.31</v>
      </c>
      <c r="E996" s="38" t="n">
        <v>5.624000000000001</v>
      </c>
      <c r="F996" s="36" t="n">
        <v>3.839999999999999</v>
      </c>
      <c r="G996" s="36" t="n">
        <v>7.336000000000001</v>
      </c>
      <c r="H996" s="36" t="n">
        <v>131</v>
      </c>
      <c r="I996" s="37" t="n">
        <v>0.3721590909090909</v>
      </c>
      <c r="J996" s="36" t="n">
        <v>38</v>
      </c>
      <c r="K996" s="37" t="n">
        <v>0.4810126582278481</v>
      </c>
      <c r="L996" s="36" t="n">
        <v>93</v>
      </c>
      <c r="M996" s="37" t="n">
        <v>0.3406593406593407</v>
      </c>
      <c r="N996" s="36" t="n">
        <v>23</v>
      </c>
      <c r="O996" s="37" t="n">
        <v>0.6052631578947368</v>
      </c>
      <c r="P996" s="36" t="n">
        <v>23</v>
      </c>
      <c r="Q996" s="37" t="n">
        <v>0.6052631578947368</v>
      </c>
      <c r="R996" s="36" t="n">
        <v>336</v>
      </c>
      <c r="S996" s="37" t="n">
        <v>0.9545454545454546</v>
      </c>
      <c r="T996" s="36" t="n">
        <v>59</v>
      </c>
      <c r="U996" s="37" t="n">
        <v>0.1676136363636364</v>
      </c>
      <c r="V996" s="38" t="n">
        <v>0</v>
      </c>
      <c r="W996" s="38" t="n">
        <v>4.35</v>
      </c>
      <c r="X996" s="38" t="n">
        <v>56.25600000000001</v>
      </c>
      <c r="Y996" s="38" t="n">
        <v>188.957</v>
      </c>
      <c r="Z996" s="38" t="n">
        <v>0</v>
      </c>
      <c r="AA996" s="36" t="n">
        <v>108</v>
      </c>
      <c r="AB996" s="37" t="n">
        <v>0.2523364485981308</v>
      </c>
      <c r="AC996" s="36" t="n">
        <v>23</v>
      </c>
      <c r="AD996" s="37" t="n">
        <v>0.2674418604651163</v>
      </c>
      <c r="AE996" s="36" t="n">
        <v>84</v>
      </c>
      <c r="AF996" s="37" t="n">
        <v>0.2530120481927711</v>
      </c>
      <c r="AG996" s="36" t="n">
        <v>23</v>
      </c>
      <c r="AH996" s="37" t="n">
        <v>1</v>
      </c>
    </row>
    <row r="997">
      <c r="A997" s="53" t="n">
        <v>45777</v>
      </c>
      <c r="B997" t="inlineStr">
        <is>
          <t>R10_Sumbagteng</t>
        </is>
      </c>
      <c r="C997" t="inlineStr">
        <is>
          <t>NOP PADANG</t>
        </is>
      </c>
      <c r="D997" s="38" t="n">
        <v>0</v>
      </c>
      <c r="E997" s="38" t="n">
        <v>9.235000000000001</v>
      </c>
      <c r="F997" s="36" t="n">
        <v>1.955</v>
      </c>
      <c r="G997" s="36" t="n">
        <v>10.57399999999998</v>
      </c>
      <c r="H997" s="36" t="n">
        <v>42</v>
      </c>
      <c r="I997" s="37" t="n">
        <v>0.4421052631578947</v>
      </c>
      <c r="J997" s="36" t="n">
        <v>3</v>
      </c>
      <c r="K997" s="37" t="n">
        <v>0.5</v>
      </c>
      <c r="L997" s="36" t="n">
        <v>39</v>
      </c>
      <c r="M997" s="37" t="n">
        <v>0.4382022471910113</v>
      </c>
      <c r="N997" s="36" t="n">
        <v>2</v>
      </c>
      <c r="O997" s="37" t="n">
        <v>0.6666666666666666</v>
      </c>
      <c r="P997" s="36" t="n">
        <v>2</v>
      </c>
      <c r="Q997" s="37" t="n">
        <v>0.6666666666666666</v>
      </c>
      <c r="R997" s="36" t="n">
        <v>93</v>
      </c>
      <c r="S997" s="37" t="n">
        <v>0.9789473684210527</v>
      </c>
      <c r="T997" s="36" t="n">
        <v>23</v>
      </c>
      <c r="U997" s="37" t="n">
        <v>0.2421052631578947</v>
      </c>
      <c r="V997" s="38" t="n">
        <v>0</v>
      </c>
      <c r="W997" s="38" t="n">
        <v>0.9260000000000009</v>
      </c>
      <c r="X997" s="38" t="n">
        <v>67.11799999999999</v>
      </c>
      <c r="Y997" s="38" t="n">
        <v>22.96199999999998</v>
      </c>
      <c r="Z997" s="38" t="n">
        <v>0</v>
      </c>
      <c r="AA997" s="36" t="n">
        <v>181</v>
      </c>
      <c r="AB997" s="37" t="n">
        <v>0.551829268292683</v>
      </c>
      <c r="AC997" s="36" t="n">
        <v>13</v>
      </c>
      <c r="AD997" s="37" t="n">
        <v>0.3333333333333333</v>
      </c>
      <c r="AE997" s="36" t="n">
        <v>166</v>
      </c>
      <c r="AF997" s="37" t="n">
        <v>0.578397212543554</v>
      </c>
      <c r="AG997" s="36" t="n">
        <v>4</v>
      </c>
      <c r="AH997" s="37" t="n">
        <v>0.3076923076923077</v>
      </c>
    </row>
    <row r="998">
      <c r="A998" s="53" t="n">
        <v>45777</v>
      </c>
      <c r="B998" t="inlineStr">
        <is>
          <t>R10_Sumbagteng</t>
        </is>
      </c>
      <c r="C998" t="inlineStr">
        <is>
          <t>NOP PEKANBARU</t>
        </is>
      </c>
      <c r="D998" s="38" t="n">
        <v>6.47</v>
      </c>
      <c r="E998" s="38" t="n">
        <v>2.756</v>
      </c>
      <c r="F998" s="36" t="n">
        <v>22.756</v>
      </c>
      <c r="G998" s="36" t="n">
        <v>14.40800000000001</v>
      </c>
      <c r="H998" s="36" t="n">
        <v>204</v>
      </c>
      <c r="I998" s="37" t="n">
        <v>0.6163141993957704</v>
      </c>
      <c r="J998" s="36" t="n">
        <v>29</v>
      </c>
      <c r="K998" s="37" t="n">
        <v>0.6170212765957447</v>
      </c>
      <c r="L998" s="36" t="n">
        <v>175</v>
      </c>
      <c r="M998" s="37" t="n">
        <v>0.6161971830985915</v>
      </c>
      <c r="N998" s="36" t="n">
        <v>26</v>
      </c>
      <c r="O998" s="37" t="n">
        <v>0.896551724137931</v>
      </c>
      <c r="P998" s="36" t="n">
        <v>26</v>
      </c>
      <c r="Q998" s="37" t="n">
        <v>0.896551724137931</v>
      </c>
      <c r="R998" s="36" t="n">
        <v>322</v>
      </c>
      <c r="S998" s="37" t="n">
        <v>0.972809667673716</v>
      </c>
      <c r="T998" s="36" t="n">
        <v>93</v>
      </c>
      <c r="U998" s="37" t="n">
        <v>0.2809667673716012</v>
      </c>
      <c r="V998" s="38" t="n">
        <v>0.042</v>
      </c>
      <c r="W998" s="38" t="n">
        <v>2.767</v>
      </c>
      <c r="X998" s="38" t="n">
        <v>67.04600000000001</v>
      </c>
      <c r="Y998" s="38" t="n">
        <v>169.601</v>
      </c>
      <c r="Z998" s="38" t="n">
        <v>0</v>
      </c>
      <c r="AA998" s="36" t="n">
        <v>103</v>
      </c>
      <c r="AB998" s="37" t="n">
        <v>0.2861111111111111</v>
      </c>
      <c r="AC998" s="36" t="n">
        <v>35</v>
      </c>
      <c r="AD998" s="37" t="n">
        <v>0.2380952380952381</v>
      </c>
      <c r="AE998" s="36" t="n">
        <v>68</v>
      </c>
      <c r="AF998" s="37" t="n">
        <v>0.3366336633663367</v>
      </c>
      <c r="AG998" s="36" t="n">
        <v>23</v>
      </c>
      <c r="AH998" s="37" t="n">
        <v>0.6571428571428571</v>
      </c>
    </row>
    <row r="999">
      <c r="A999" s="53" t="n">
        <v>45777</v>
      </c>
      <c r="B999" t="inlineStr">
        <is>
          <t>R02_Sumbagsel</t>
        </is>
      </c>
      <c r="C999" t="inlineStr">
        <is>
          <t>NOP BENGKULU</t>
        </is>
      </c>
      <c r="D999" s="38" t="n">
        <v>2.89</v>
      </c>
      <c r="E999" s="38" t="n">
        <v>6.693999999999999</v>
      </c>
      <c r="F999" s="36" t="n">
        <v>5.912000000000005</v>
      </c>
      <c r="G999" s="36" t="n">
        <v>10.77</v>
      </c>
      <c r="H999" s="36" t="n">
        <v>39</v>
      </c>
      <c r="I999" s="37" t="n">
        <v>0.291044776119403</v>
      </c>
      <c r="J999" s="36" t="n">
        <v>23</v>
      </c>
      <c r="K999" s="37" t="n">
        <v>0.4259259259259259</v>
      </c>
      <c r="L999" s="36" t="n">
        <v>16</v>
      </c>
      <c r="M999" s="37" t="n">
        <v>0.2</v>
      </c>
      <c r="N999" s="36" t="n">
        <v>15</v>
      </c>
      <c r="O999" s="37" t="n">
        <v>0.6521739130434783</v>
      </c>
      <c r="P999" s="36" t="n">
        <v>15</v>
      </c>
      <c r="Q999" s="37" t="n">
        <v>0.6521739130434783</v>
      </c>
      <c r="R999" s="36" t="n">
        <v>134</v>
      </c>
      <c r="S999" s="37" t="n">
        <v>1</v>
      </c>
      <c r="T999" s="36" t="n">
        <v>24</v>
      </c>
      <c r="U999" s="37" t="n">
        <v>0.1791044776119403</v>
      </c>
      <c r="V999" s="38" t="n">
        <v>0</v>
      </c>
      <c r="W999" s="38" t="n">
        <v>6.576000000000001</v>
      </c>
      <c r="X999" s="38" t="n">
        <v>14.852</v>
      </c>
      <c r="Y999" s="38" t="n">
        <v>9.510000000000002</v>
      </c>
      <c r="Z999" s="38" t="n">
        <v>0</v>
      </c>
      <c r="AA999" s="36" t="n">
        <v>88</v>
      </c>
      <c r="AB999" s="37" t="n">
        <v>0.3424124513618677</v>
      </c>
      <c r="AC999" s="36" t="n">
        <v>58</v>
      </c>
      <c r="AD999" s="37" t="n">
        <v>0.3152173913043478</v>
      </c>
      <c r="AE999" s="36" t="n">
        <v>28</v>
      </c>
      <c r="AF999" s="37" t="n">
        <v>0.4827586206896552</v>
      </c>
      <c r="AG999" s="36" t="n">
        <v>50</v>
      </c>
      <c r="AH999" s="37" t="n">
        <v>0.8620689655172413</v>
      </c>
    </row>
    <row r="1000">
      <c r="A1000" s="53" t="n">
        <v>45777</v>
      </c>
      <c r="B1000" t="inlineStr">
        <is>
          <t>R02_Sumbagsel</t>
        </is>
      </c>
      <c r="C1000" t="inlineStr">
        <is>
          <t>NOP JAMBI</t>
        </is>
      </c>
      <c r="D1000" s="38" t="n">
        <v>2.191</v>
      </c>
      <c r="E1000" s="38" t="n">
        <v>6.215000000000001</v>
      </c>
      <c r="F1000" s="36" t="n">
        <v>7.55700000000001</v>
      </c>
      <c r="G1000" s="36" t="n">
        <v>10.975</v>
      </c>
      <c r="H1000" s="36" t="n">
        <v>171</v>
      </c>
      <c r="I1000" s="37" t="n">
        <v>0.5377358490566038</v>
      </c>
      <c r="J1000" s="36" t="n">
        <v>36</v>
      </c>
      <c r="K1000" s="37" t="n">
        <v>0.4285714285714285</v>
      </c>
      <c r="L1000" s="36" t="n">
        <v>135</v>
      </c>
      <c r="M1000" s="37" t="n">
        <v>0.5769230769230769</v>
      </c>
      <c r="N1000" s="36" t="n">
        <v>22</v>
      </c>
      <c r="O1000" s="37" t="n">
        <v>0.6111111111111112</v>
      </c>
      <c r="P1000" s="36" t="n">
        <v>22</v>
      </c>
      <c r="Q1000" s="37" t="n">
        <v>0.6111111111111112</v>
      </c>
      <c r="R1000" s="36" t="n">
        <v>318</v>
      </c>
      <c r="S1000" s="37" t="n">
        <v>1</v>
      </c>
      <c r="T1000" s="36" t="n">
        <v>75</v>
      </c>
      <c r="U1000" s="37" t="n">
        <v>0.2358490566037736</v>
      </c>
      <c r="V1000" s="38" t="n">
        <v>0</v>
      </c>
      <c r="W1000" s="38" t="n">
        <v>6.18</v>
      </c>
      <c r="X1000" s="38" t="n">
        <v>5.91</v>
      </c>
      <c r="Y1000" s="38" t="n">
        <v>21.76200000000001</v>
      </c>
      <c r="Z1000" s="38" t="n">
        <v>0</v>
      </c>
      <c r="AA1000" s="36" t="n">
        <v>170</v>
      </c>
      <c r="AB1000" s="37" t="n">
        <v>0.4632152588555858</v>
      </c>
      <c r="AC1000" s="36" t="n">
        <v>65</v>
      </c>
      <c r="AD1000" s="37" t="n">
        <v>0.3693181818181818</v>
      </c>
      <c r="AE1000" s="36" t="n">
        <v>87</v>
      </c>
      <c r="AF1000" s="37" t="n">
        <v>0.5117647058823529</v>
      </c>
      <c r="AG1000" s="36" t="n">
        <v>51</v>
      </c>
      <c r="AH1000" s="37" t="n">
        <v>0.7846153846153846</v>
      </c>
    </row>
    <row r="1001">
      <c r="A1001" s="53" t="n">
        <v>45777</v>
      </c>
      <c r="B1001" t="inlineStr">
        <is>
          <t>R02_Sumbagsel</t>
        </is>
      </c>
      <c r="C1001" t="inlineStr">
        <is>
          <t>NOP LAMPUNG</t>
        </is>
      </c>
      <c r="D1001" s="38" t="n">
        <v>0</v>
      </c>
      <c r="E1001" s="38" t="n">
        <v>4.81</v>
      </c>
      <c r="F1001" s="36" t="n">
        <v>3.85</v>
      </c>
      <c r="G1001" s="36" t="n">
        <v>4.183999999999999</v>
      </c>
      <c r="H1001" s="36" t="n">
        <v>27</v>
      </c>
      <c r="I1001" s="37" t="n">
        <v>0.675</v>
      </c>
      <c r="J1001" s="36" t="n">
        <v>11</v>
      </c>
      <c r="K1001" s="37" t="n">
        <v>1</v>
      </c>
      <c r="L1001" s="36" t="n">
        <v>16</v>
      </c>
      <c r="M1001" s="37" t="n">
        <v>0.5517241379310345</v>
      </c>
      <c r="N1001" s="36" t="n">
        <v>11</v>
      </c>
      <c r="O1001" s="37" t="n">
        <v>1</v>
      </c>
      <c r="P1001" s="36" t="n">
        <v>11</v>
      </c>
      <c r="Q1001" s="37" t="n">
        <v>1</v>
      </c>
      <c r="R1001" s="36" t="n">
        <v>40</v>
      </c>
      <c r="S1001" s="37" t="n">
        <v>1</v>
      </c>
      <c r="T1001" s="36" t="n">
        <v>23</v>
      </c>
      <c r="U1001" s="37" t="n">
        <v>0.575</v>
      </c>
      <c r="V1001" s="38" t="n">
        <v>0</v>
      </c>
      <c r="W1001" s="38" t="n">
        <v>3.369000000000001</v>
      </c>
      <c r="X1001" s="38" t="n">
        <v>6.323</v>
      </c>
      <c r="Y1001" s="38" t="n">
        <v>48.563</v>
      </c>
      <c r="Z1001" s="38" t="n">
        <v>0</v>
      </c>
      <c r="AA1001" s="36" t="n">
        <v>131</v>
      </c>
      <c r="AB1001" s="37" t="n">
        <v>0.9225352112676056</v>
      </c>
      <c r="AC1001" s="36" t="n">
        <v>24</v>
      </c>
      <c r="AD1001" s="37" t="n">
        <v>0.8</v>
      </c>
      <c r="AE1001" s="36" t="n">
        <v>100</v>
      </c>
      <c r="AF1001" s="37" t="n">
        <v>0.9615384615384616</v>
      </c>
      <c r="AG1001" s="36" t="n">
        <v>24</v>
      </c>
      <c r="AH1001" s="37" t="n">
        <v>1</v>
      </c>
    </row>
    <row r="1002">
      <c r="A1002" s="53" t="n">
        <v>45777</v>
      </c>
      <c r="B1002" t="inlineStr">
        <is>
          <t>R02_Sumbagsel</t>
        </is>
      </c>
      <c r="C1002" t="inlineStr">
        <is>
          <t>NOP MUARA ENIM</t>
        </is>
      </c>
      <c r="D1002" s="38" t="n">
        <v>2.58</v>
      </c>
      <c r="E1002" s="38" t="n">
        <v>4.514000000000001</v>
      </c>
      <c r="F1002" s="36" t="n">
        <v>3.467000000000001</v>
      </c>
      <c r="G1002" s="36" t="n">
        <v>2.9</v>
      </c>
      <c r="H1002" s="36" t="n">
        <v>46</v>
      </c>
      <c r="I1002" s="37" t="n">
        <v>0.4259259259259259</v>
      </c>
      <c r="J1002" s="36" t="n">
        <v>9</v>
      </c>
      <c r="K1002" s="37" t="n">
        <v>0.2142857142857143</v>
      </c>
      <c r="L1002" s="36" t="n">
        <v>37</v>
      </c>
      <c r="M1002" s="37" t="n">
        <v>0.5606060606060606</v>
      </c>
      <c r="N1002" s="36" t="n">
        <v>5</v>
      </c>
      <c r="O1002" s="37" t="n">
        <v>0.5555555555555556</v>
      </c>
      <c r="P1002" s="36" t="n">
        <v>5</v>
      </c>
      <c r="Q1002" s="37" t="n">
        <v>0.5555555555555556</v>
      </c>
      <c r="R1002" s="36" t="n">
        <v>107</v>
      </c>
      <c r="S1002" s="37" t="n">
        <v>0.9907407407407407</v>
      </c>
      <c r="T1002" s="36" t="n">
        <v>20</v>
      </c>
      <c r="U1002" s="37" t="n">
        <v>0.1851851851851852</v>
      </c>
      <c r="V1002" s="38" t="n">
        <v>0</v>
      </c>
      <c r="W1002" s="38" t="n">
        <v>24.566</v>
      </c>
      <c r="X1002" s="38" t="n">
        <v>6.21</v>
      </c>
      <c r="Y1002" s="38" t="n">
        <v>10</v>
      </c>
      <c r="Z1002" s="38" t="n">
        <v>0</v>
      </c>
      <c r="AA1002" s="36" t="n">
        <v>74</v>
      </c>
      <c r="AB1002" s="37" t="n">
        <v>0.4043715846994536</v>
      </c>
      <c r="AC1002" s="36" t="n">
        <v>27</v>
      </c>
      <c r="AD1002" s="37" t="n">
        <v>0.3648648648648649</v>
      </c>
      <c r="AE1002" s="36" t="n">
        <v>45</v>
      </c>
      <c r="AF1002" s="37" t="n">
        <v>0.5172413793103449</v>
      </c>
      <c r="AG1002" s="36" t="n">
        <v>27</v>
      </c>
      <c r="AH1002" s="37" t="n">
        <v>1</v>
      </c>
    </row>
    <row r="1003">
      <c r="A1003" s="53" t="n">
        <v>45777</v>
      </c>
      <c r="B1003" t="inlineStr">
        <is>
          <t>R02_Sumbagsel</t>
        </is>
      </c>
      <c r="C1003" t="inlineStr">
        <is>
          <t>NOP PALEMBANG</t>
        </is>
      </c>
      <c r="D1003" s="38" t="n">
        <v>1.46</v>
      </c>
      <c r="E1003" s="38" t="n">
        <v>4.174</v>
      </c>
      <c r="F1003" s="36" t="n">
        <v>4.721999999999998</v>
      </c>
      <c r="G1003" s="36" t="n">
        <v>6.254</v>
      </c>
      <c r="H1003" s="36" t="n">
        <v>31</v>
      </c>
      <c r="I1003" s="37" t="n">
        <v>0.2108843537414966</v>
      </c>
      <c r="J1003" s="36" t="n">
        <v>4</v>
      </c>
      <c r="K1003" s="37" t="n">
        <v>0.2105263157894737</v>
      </c>
      <c r="L1003" s="36" t="n">
        <v>27</v>
      </c>
      <c r="M1003" s="37" t="n">
        <v>0.2109375</v>
      </c>
      <c r="N1003" s="36" t="n">
        <v>2</v>
      </c>
      <c r="O1003" s="37" t="n">
        <v>0.5</v>
      </c>
      <c r="P1003" s="36" t="n">
        <v>2</v>
      </c>
      <c r="Q1003" s="37" t="n">
        <v>0.5</v>
      </c>
      <c r="R1003" s="36" t="n">
        <v>147</v>
      </c>
      <c r="S1003" s="37" t="n">
        <v>1</v>
      </c>
      <c r="T1003" s="36" t="n">
        <v>14</v>
      </c>
      <c r="U1003" s="37" t="n">
        <v>0.09523809523809523</v>
      </c>
      <c r="V1003" s="38" t="n">
        <v>0</v>
      </c>
      <c r="W1003" s="38" t="n">
        <v>3.732000000000009</v>
      </c>
      <c r="X1003" s="38" t="n">
        <v>20.83600000000002</v>
      </c>
      <c r="Y1003" s="38" t="n">
        <v>0.5530000000000023</v>
      </c>
      <c r="Z1003" s="38" t="n">
        <v>0</v>
      </c>
      <c r="AA1003" s="36" t="n">
        <v>97</v>
      </c>
      <c r="AB1003" s="37" t="n">
        <v>0.342756183745583</v>
      </c>
      <c r="AC1003" s="36" t="n">
        <v>17</v>
      </c>
      <c r="AD1003" s="37" t="n">
        <v>0.1619047619047619</v>
      </c>
      <c r="AE1003" s="36" t="n">
        <v>80</v>
      </c>
      <c r="AF1003" s="37" t="n">
        <v>0.5031446540880503</v>
      </c>
      <c r="AG1003" s="36" t="n">
        <v>11</v>
      </c>
      <c r="AH1003" s="37" t="n">
        <v>0.6470588235294118</v>
      </c>
    </row>
    <row r="1004">
      <c r="A1004" s="53" t="n">
        <v>45777</v>
      </c>
      <c r="B1004" t="inlineStr">
        <is>
          <t>R02_Sumbagsel</t>
        </is>
      </c>
      <c r="C1004" t="inlineStr">
        <is>
          <t>NOP PANGKAL PINANG</t>
        </is>
      </c>
      <c r="D1004" s="38" t="n">
        <v>0</v>
      </c>
      <c r="E1004" s="38" t="n">
        <v>1.52</v>
      </c>
      <c r="F1004" s="36" t="n">
        <v>7.01</v>
      </c>
      <c r="G1004" s="36" t="n">
        <v>7.305</v>
      </c>
      <c r="H1004" s="36" t="n">
        <v>28</v>
      </c>
      <c r="I1004" s="37" t="n">
        <v>0.7567567567567568</v>
      </c>
      <c r="J1004" s="36" t="n">
        <v>0</v>
      </c>
      <c r="K1004" s="37" t="n">
        <v>0</v>
      </c>
      <c r="L1004" s="36" t="n">
        <v>28</v>
      </c>
      <c r="M1004" s="37" t="n">
        <v>0.7777777777777778</v>
      </c>
      <c r="N1004" s="36" t="n">
        <v>0</v>
      </c>
      <c r="O1004" s="37" t="n">
        <v>0</v>
      </c>
      <c r="P1004" s="36" t="n">
        <v>0</v>
      </c>
      <c r="Q1004" s="37" t="n">
        <v>0</v>
      </c>
      <c r="R1004" s="36" t="n">
        <v>37</v>
      </c>
      <c r="S1004" s="37" t="n">
        <v>1</v>
      </c>
      <c r="T1004" s="36" t="n">
        <v>10</v>
      </c>
      <c r="U1004" s="37" t="n">
        <v>0.2702702702702703</v>
      </c>
      <c r="V1004" s="38" t="n">
        <v>0</v>
      </c>
      <c r="W1004" s="38" t="n">
        <v>2.167999999999999</v>
      </c>
      <c r="X1004" s="38" t="n">
        <v>8.372999999999998</v>
      </c>
      <c r="Y1004" s="38" t="n">
        <v>3.955</v>
      </c>
      <c r="Z1004" s="38" t="n">
        <v>0</v>
      </c>
      <c r="AA1004" s="36" t="n">
        <v>65</v>
      </c>
      <c r="AB1004" s="37" t="n">
        <v>0.7386363636363636</v>
      </c>
      <c r="AC1004" s="36" t="n">
        <v>16</v>
      </c>
      <c r="AD1004" s="37" t="n">
        <v>0.6666666666666666</v>
      </c>
      <c r="AE1004" s="36" t="n">
        <v>47</v>
      </c>
      <c r="AF1004" s="37" t="n">
        <v>0.7580645161290323</v>
      </c>
      <c r="AG1004" s="36" t="n">
        <v>5</v>
      </c>
      <c r="AH1004" s="37" t="n">
        <v>0.3125</v>
      </c>
    </row>
    <row r="1005">
      <c r="A1005" s="53" t="n">
        <v>45777</v>
      </c>
      <c r="B1005" t="inlineStr">
        <is>
          <t>R05_Jawa Tengah DIY</t>
        </is>
      </c>
      <c r="C1005" t="inlineStr">
        <is>
          <t>NOP MAGELANG</t>
        </is>
      </c>
      <c r="D1005" s="38" t="n">
        <v>0.754</v>
      </c>
      <c r="E1005" s="38" t="n">
        <v>0</v>
      </c>
      <c r="F1005" s="36" t="n">
        <v>2.449999999999999</v>
      </c>
      <c r="G1005" s="36" t="n">
        <v>2.944</v>
      </c>
      <c r="H1005" s="36" t="n">
        <v>19</v>
      </c>
      <c r="I1005" s="37" t="n">
        <v>0.9047619047619048</v>
      </c>
      <c r="J1005" s="36" t="n">
        <v>2</v>
      </c>
      <c r="K1005" s="37" t="n">
        <v>1</v>
      </c>
      <c r="L1005" s="36" t="n">
        <v>17</v>
      </c>
      <c r="M1005" s="37" t="n">
        <v>0.8947368421052632</v>
      </c>
      <c r="N1005" s="36" t="n">
        <v>1</v>
      </c>
      <c r="O1005" s="37" t="n">
        <v>0.5</v>
      </c>
      <c r="P1005" s="36" t="n">
        <v>1</v>
      </c>
      <c r="Q1005" s="37" t="n">
        <v>0.5</v>
      </c>
      <c r="R1005" s="36" t="n">
        <v>21</v>
      </c>
      <c r="S1005" s="37" t="n">
        <v>1</v>
      </c>
      <c r="T1005" s="36" t="n">
        <v>16</v>
      </c>
      <c r="U1005" s="37" t="n">
        <v>0.7619047619047619</v>
      </c>
      <c r="V1005" s="38" t="n">
        <v>0</v>
      </c>
      <c r="W1005" s="38" t="n">
        <v>1.679</v>
      </c>
      <c r="X1005" s="38" t="n">
        <v>6.241</v>
      </c>
      <c r="Y1005" s="38" t="n">
        <v>12.308</v>
      </c>
      <c r="Z1005" s="38" t="n">
        <v>0</v>
      </c>
      <c r="AA1005" s="36" t="n">
        <v>86</v>
      </c>
      <c r="AB1005" s="37" t="n">
        <v>0.9885057471264368</v>
      </c>
      <c r="AC1005" s="36" t="n">
        <v>24</v>
      </c>
      <c r="AD1005" s="37" t="n">
        <v>1</v>
      </c>
      <c r="AE1005" s="36" t="n">
        <v>62</v>
      </c>
      <c r="AF1005" s="37" t="n">
        <v>0.9841269841269841</v>
      </c>
      <c r="AG1005" s="36" t="n">
        <v>23</v>
      </c>
      <c r="AH1005" s="37" t="n">
        <v>0.9583333333333334</v>
      </c>
    </row>
    <row r="1006">
      <c r="A1006" s="53" t="n">
        <v>45777</v>
      </c>
      <c r="B1006" t="inlineStr">
        <is>
          <t>R05_Jawa Tengah DIY</t>
        </is>
      </c>
      <c r="C1006" t="inlineStr">
        <is>
          <t>NOP PEKALONGAN</t>
        </is>
      </c>
      <c r="D1006" s="38" t="n">
        <v>1.44</v>
      </c>
      <c r="E1006" s="38" t="n">
        <v>0</v>
      </c>
      <c r="F1006" s="36" t="n">
        <v>4.019000000000011</v>
      </c>
      <c r="G1006" s="36" t="n">
        <v>3.854000000000002</v>
      </c>
      <c r="H1006" s="36" t="n">
        <v>22</v>
      </c>
      <c r="I1006" s="37" t="n">
        <v>0.7333333333333333</v>
      </c>
      <c r="J1006" s="36" t="n">
        <v>2</v>
      </c>
      <c r="K1006" s="37" t="n">
        <v>0.6666666666666666</v>
      </c>
      <c r="L1006" s="36" t="n">
        <v>20</v>
      </c>
      <c r="M1006" s="37" t="n">
        <v>0.7407407407407407</v>
      </c>
      <c r="N1006" s="36" t="n">
        <v>2</v>
      </c>
      <c r="O1006" s="37" t="n">
        <v>1</v>
      </c>
      <c r="P1006" s="36" t="n">
        <v>2</v>
      </c>
      <c r="Q1006" s="37" t="n">
        <v>1</v>
      </c>
      <c r="R1006" s="36" t="n">
        <v>29</v>
      </c>
      <c r="S1006" s="37" t="n">
        <v>0.9666666666666667</v>
      </c>
      <c r="T1006" s="36" t="n">
        <v>15</v>
      </c>
      <c r="U1006" s="37" t="n">
        <v>0.5</v>
      </c>
      <c r="V1006" s="38" t="n">
        <v>0</v>
      </c>
      <c r="W1006" s="38" t="n">
        <v>2.349</v>
      </c>
      <c r="X1006" s="38" t="n">
        <v>7.082000000000002</v>
      </c>
      <c r="Y1006" s="38" t="n">
        <v>16.934</v>
      </c>
      <c r="Z1006" s="38" t="n">
        <v>0</v>
      </c>
      <c r="AA1006" s="36" t="n">
        <v>20</v>
      </c>
      <c r="AB1006" s="37" t="n">
        <v>0.7692307692307693</v>
      </c>
      <c r="AC1006" s="36" t="n">
        <v>4</v>
      </c>
      <c r="AD1006" s="37" t="n">
        <v>0.5</v>
      </c>
      <c r="AE1006" s="36" t="n">
        <v>16</v>
      </c>
      <c r="AF1006" s="37" t="n">
        <v>0.8888888888888888</v>
      </c>
      <c r="AG1006" s="36" t="n">
        <v>3</v>
      </c>
      <c r="AH1006" s="37" t="n">
        <v>0.75</v>
      </c>
    </row>
    <row r="1007">
      <c r="A1007" s="53" t="n">
        <v>45777</v>
      </c>
      <c r="B1007" t="inlineStr">
        <is>
          <t>R05_Jawa Tengah DIY</t>
        </is>
      </c>
      <c r="C1007" t="inlineStr">
        <is>
          <t>NOP PURWOKERTO</t>
        </is>
      </c>
      <c r="D1007" s="38" t="n">
        <v>0</v>
      </c>
      <c r="E1007" s="38" t="n">
        <v>0</v>
      </c>
      <c r="F1007" s="36" t="n">
        <v>3.26</v>
      </c>
      <c r="G1007" s="36" t="n">
        <v>3.85</v>
      </c>
      <c r="H1007" s="36" t="n">
        <v>15</v>
      </c>
      <c r="I1007" s="37" t="n">
        <v>0.9375</v>
      </c>
      <c r="J1007" s="36" t="n">
        <v>0</v>
      </c>
      <c r="K1007" s="37" t="n">
        <v>0</v>
      </c>
      <c r="L1007" s="36" t="n">
        <v>15</v>
      </c>
      <c r="M1007" s="37" t="n">
        <v>0.9375</v>
      </c>
      <c r="N1007" s="36" t="n">
        <v>0</v>
      </c>
      <c r="O1007" s="37" t="n">
        <v>0</v>
      </c>
      <c r="P1007" s="36" t="n">
        <v>0</v>
      </c>
      <c r="Q1007" s="37" t="n">
        <v>0</v>
      </c>
      <c r="R1007" s="36" t="n">
        <v>16</v>
      </c>
      <c r="S1007" s="37" t="n">
        <v>1</v>
      </c>
      <c r="T1007" s="36" t="n">
        <v>6</v>
      </c>
      <c r="U1007" s="37" t="n">
        <v>0.375</v>
      </c>
      <c r="V1007" s="38" t="n">
        <v>0.3930000000000001</v>
      </c>
      <c r="W1007" s="38" t="n">
        <v>4.376</v>
      </c>
      <c r="X1007" s="38" t="n">
        <v>7.654</v>
      </c>
      <c r="Y1007" s="38" t="n">
        <v>36.875</v>
      </c>
      <c r="Z1007" s="38" t="n">
        <v>0</v>
      </c>
      <c r="AA1007" s="36" t="n">
        <v>23</v>
      </c>
      <c r="AB1007" s="37" t="n">
        <v>0.9583333333333334</v>
      </c>
      <c r="AC1007" s="36" t="n">
        <v>12</v>
      </c>
      <c r="AD1007" s="37" t="n">
        <v>0.9230769230769231</v>
      </c>
      <c r="AE1007" s="36" t="n">
        <v>11</v>
      </c>
      <c r="AF1007" s="37" t="n">
        <v>1</v>
      </c>
      <c r="AG1007" s="36" t="n">
        <v>6</v>
      </c>
      <c r="AH1007" s="37" t="n">
        <v>0.5</v>
      </c>
    </row>
    <row r="1008">
      <c r="A1008" s="53" t="n">
        <v>45777</v>
      </c>
      <c r="B1008" t="inlineStr">
        <is>
          <t>R05_Jawa Tengah DIY</t>
        </is>
      </c>
      <c r="C1008" t="inlineStr">
        <is>
          <t>NOP SEMARANG</t>
        </is>
      </c>
      <c r="D1008" s="38" t="n">
        <v>1.048</v>
      </c>
      <c r="E1008" s="38" t="n">
        <v>0</v>
      </c>
      <c r="F1008" s="36" t="n">
        <v>3.87</v>
      </c>
      <c r="G1008" s="36" t="n">
        <v>2.98</v>
      </c>
      <c r="H1008" s="36" t="n">
        <v>12</v>
      </c>
      <c r="I1008" s="37" t="n">
        <v>0.3076923076923077</v>
      </c>
      <c r="J1008" s="36" t="n">
        <v>1</v>
      </c>
      <c r="K1008" s="37" t="n">
        <v>0.25</v>
      </c>
      <c r="L1008" s="36" t="n">
        <v>11</v>
      </c>
      <c r="M1008" s="37" t="n">
        <v>0.3142857142857143</v>
      </c>
      <c r="N1008" s="36" t="n">
        <v>1</v>
      </c>
      <c r="O1008" s="37" t="n">
        <v>1</v>
      </c>
      <c r="P1008" s="36" t="n">
        <v>1</v>
      </c>
      <c r="Q1008" s="37" t="n">
        <v>1</v>
      </c>
      <c r="R1008" s="36" t="n">
        <v>36</v>
      </c>
      <c r="S1008" s="37" t="n">
        <v>0.9230769230769231</v>
      </c>
      <c r="T1008" s="36" t="n">
        <v>10</v>
      </c>
      <c r="U1008" s="37" t="n">
        <v>0.2564102564102564</v>
      </c>
      <c r="V1008" s="38" t="n">
        <v>0.047</v>
      </c>
      <c r="W1008" s="38" t="n">
        <v>15.742</v>
      </c>
      <c r="X1008" s="38" t="n">
        <v>9.232999999999993</v>
      </c>
      <c r="Y1008" s="38" t="n">
        <v>33.55499999999997</v>
      </c>
      <c r="Z1008" s="38" t="n">
        <v>0</v>
      </c>
      <c r="AA1008" s="36" t="n">
        <v>23</v>
      </c>
      <c r="AB1008" s="37" t="n">
        <v>0.696969696969697</v>
      </c>
      <c r="AC1008" s="36" t="n">
        <v>8</v>
      </c>
      <c r="AD1008" s="37" t="n">
        <v>0.6153846153846154</v>
      </c>
      <c r="AE1008" s="36" t="n">
        <v>15</v>
      </c>
      <c r="AF1008" s="37" t="n">
        <v>0.75</v>
      </c>
      <c r="AG1008" s="36" t="n">
        <v>5</v>
      </c>
      <c r="AH1008" s="37" t="n">
        <v>0.625</v>
      </c>
    </row>
    <row r="1009">
      <c r="A1009" s="53" t="n">
        <v>45777</v>
      </c>
      <c r="B1009" t="inlineStr">
        <is>
          <t>R05_Jawa Tengah DIY</t>
        </is>
      </c>
      <c r="C1009" t="inlineStr">
        <is>
          <t>NOP SURAKARTA</t>
        </is>
      </c>
      <c r="D1009" s="38" t="n">
        <v>2.65</v>
      </c>
      <c r="E1009" s="38" t="n">
        <v>0</v>
      </c>
      <c r="F1009" s="36" t="n">
        <v>4.4</v>
      </c>
      <c r="G1009" s="36" t="n">
        <v>2.886</v>
      </c>
      <c r="H1009" s="36" t="n">
        <v>28</v>
      </c>
      <c r="I1009" s="37" t="n">
        <v>0.9333333333333333</v>
      </c>
      <c r="J1009" s="36" t="n">
        <v>5</v>
      </c>
      <c r="K1009" s="37" t="n">
        <v>1</v>
      </c>
      <c r="L1009" s="36" t="n">
        <v>23</v>
      </c>
      <c r="M1009" s="37" t="n">
        <v>0.92</v>
      </c>
      <c r="N1009" s="36" t="n">
        <v>5</v>
      </c>
      <c r="O1009" s="37" t="n">
        <v>1</v>
      </c>
      <c r="P1009" s="36" t="n">
        <v>5</v>
      </c>
      <c r="Q1009" s="37" t="n">
        <v>1</v>
      </c>
      <c r="R1009" s="36" t="n">
        <v>29</v>
      </c>
      <c r="S1009" s="37" t="n">
        <v>0.9666666666666667</v>
      </c>
      <c r="T1009" s="36" t="n">
        <v>21</v>
      </c>
      <c r="U1009" s="37" t="n">
        <v>0.7</v>
      </c>
      <c r="V1009" s="38" t="n">
        <v>0</v>
      </c>
      <c r="W1009" s="38" t="n">
        <v>40.54000000000001</v>
      </c>
      <c r="X1009" s="38" t="n">
        <v>6.609999999999999</v>
      </c>
      <c r="Y1009" s="38" t="n">
        <v>46.298</v>
      </c>
      <c r="Z1009" s="38" t="n">
        <v>0</v>
      </c>
      <c r="AA1009" s="36" t="n">
        <v>43</v>
      </c>
      <c r="AB1009" s="37" t="n">
        <v>0.8113207547169812</v>
      </c>
      <c r="AC1009" s="36" t="n">
        <v>12</v>
      </c>
      <c r="AD1009" s="37" t="n">
        <v>0.75</v>
      </c>
      <c r="AE1009" s="36" t="n">
        <v>31</v>
      </c>
      <c r="AF1009" s="37" t="n">
        <v>0.8378378378378378</v>
      </c>
      <c r="AG1009" s="36" t="n">
        <v>9</v>
      </c>
      <c r="AH1009" s="37" t="n">
        <v>0.75</v>
      </c>
    </row>
    <row r="1010">
      <c r="A1010" s="53" t="n">
        <v>45777</v>
      </c>
      <c r="B1010" t="inlineStr">
        <is>
          <t>R05_Jawa Tengah DIY</t>
        </is>
      </c>
      <c r="C1010" t="inlineStr">
        <is>
          <t>NOP YOGYAKARTA</t>
        </is>
      </c>
      <c r="D1010" s="38" t="n">
        <v>0</v>
      </c>
      <c r="E1010" s="38" t="n">
        <v>0</v>
      </c>
      <c r="F1010" s="36" t="n">
        <v>3.919</v>
      </c>
      <c r="G1010" s="36" t="n">
        <v>0.54</v>
      </c>
      <c r="H1010" s="36" t="n">
        <v>4</v>
      </c>
      <c r="I1010" s="37" t="n">
        <v>0.8</v>
      </c>
      <c r="J1010" s="36" t="n">
        <v>0</v>
      </c>
      <c r="K1010" s="37" t="n">
        <v>0</v>
      </c>
      <c r="L1010" s="36" t="n">
        <v>4</v>
      </c>
      <c r="M1010" s="37" t="n">
        <v>0.8</v>
      </c>
      <c r="N1010" s="36" t="n">
        <v>0</v>
      </c>
      <c r="O1010" s="37" t="n">
        <v>0</v>
      </c>
      <c r="P1010" s="36" t="n">
        <v>0</v>
      </c>
      <c r="Q1010" s="37" t="n">
        <v>0</v>
      </c>
      <c r="R1010" s="36" t="n">
        <v>5</v>
      </c>
      <c r="S1010" s="37" t="n">
        <v>1</v>
      </c>
      <c r="T1010" s="36" t="n">
        <v>4</v>
      </c>
      <c r="U1010" s="37" t="n">
        <v>0.8</v>
      </c>
      <c r="V1010" s="38" t="n">
        <v>0</v>
      </c>
      <c r="W1010" s="38" t="n">
        <v>1.63</v>
      </c>
      <c r="X1010" s="38" t="n">
        <v>7.451999999999999</v>
      </c>
      <c r="Y1010" s="38" t="n">
        <v>16.992</v>
      </c>
      <c r="Z1010" s="38" t="n">
        <v>0</v>
      </c>
      <c r="AA1010" s="36" t="n">
        <v>23</v>
      </c>
      <c r="AB1010" s="37" t="n">
        <v>1</v>
      </c>
      <c r="AC1010" s="36" t="n">
        <v>6</v>
      </c>
      <c r="AD1010" s="37" t="n">
        <v>1</v>
      </c>
      <c r="AE1010" s="36" t="n">
        <v>17</v>
      </c>
      <c r="AF1010" s="37" t="n">
        <v>1</v>
      </c>
      <c r="AG1010" s="36" t="n">
        <v>6</v>
      </c>
      <c r="AH1010" s="37" t="n">
        <v>1</v>
      </c>
    </row>
    <row r="1011">
      <c r="A1011" s="53" t="n">
        <v>45777</v>
      </c>
      <c r="B1011" t="inlineStr">
        <is>
          <t>R06_Jawa Timur</t>
        </is>
      </c>
      <c r="C1011" t="inlineStr">
        <is>
          <t>NOP JEMBER</t>
        </is>
      </c>
      <c r="D1011" s="38" t="n">
        <v>4.48</v>
      </c>
      <c r="E1011" s="38" t="n">
        <v>1.188</v>
      </c>
      <c r="F1011" s="36" t="n">
        <v>0</v>
      </c>
      <c r="G1011" s="36" t="n">
        <v>1.864</v>
      </c>
      <c r="H1011" s="36" t="n">
        <v>8</v>
      </c>
      <c r="I1011" s="37" t="n">
        <v>0.8888888888888888</v>
      </c>
      <c r="J1011" s="36" t="n">
        <v>4</v>
      </c>
      <c r="K1011" s="37" t="n">
        <v>1</v>
      </c>
      <c r="L1011" s="36" t="n">
        <v>4</v>
      </c>
      <c r="M1011" s="37" t="n">
        <v>0.8</v>
      </c>
      <c r="N1011" s="36" t="n">
        <v>3</v>
      </c>
      <c r="O1011" s="37" t="n">
        <v>0.75</v>
      </c>
      <c r="P1011" s="36" t="n">
        <v>3</v>
      </c>
      <c r="Q1011" s="37" t="n">
        <v>0.75</v>
      </c>
      <c r="R1011" s="36" t="n">
        <v>8</v>
      </c>
      <c r="S1011" s="37" t="n">
        <v>0.8888888888888888</v>
      </c>
      <c r="T1011" s="36" t="n">
        <v>6</v>
      </c>
      <c r="U1011" s="37" t="n">
        <v>0.6666666666666666</v>
      </c>
      <c r="V1011" s="38" t="n">
        <v>0</v>
      </c>
      <c r="W1011" s="38" t="n">
        <v>3.482</v>
      </c>
      <c r="X1011" s="38" t="n">
        <v>7.919999999999998</v>
      </c>
      <c r="Y1011" s="38" t="n">
        <v>8.07</v>
      </c>
      <c r="Z1011" s="38" t="n">
        <v>0</v>
      </c>
      <c r="AA1011" s="36" t="n">
        <v>26</v>
      </c>
      <c r="AB1011" s="37" t="n">
        <v>0.8387096774193549</v>
      </c>
      <c r="AC1011" s="36" t="n">
        <v>10</v>
      </c>
      <c r="AD1011" s="37" t="n">
        <v>0.6666666666666666</v>
      </c>
      <c r="AE1011" s="36" t="n">
        <v>16</v>
      </c>
      <c r="AF1011" s="37" t="n">
        <v>1</v>
      </c>
      <c r="AG1011" s="36" t="n">
        <v>10</v>
      </c>
      <c r="AH1011" s="37" t="n">
        <v>1</v>
      </c>
    </row>
    <row r="1012">
      <c r="A1012" s="53" t="n">
        <v>45777</v>
      </c>
      <c r="B1012" t="inlineStr">
        <is>
          <t>R06_Jawa Timur</t>
        </is>
      </c>
      <c r="C1012" t="inlineStr">
        <is>
          <t>NOP KEDIRI</t>
        </is>
      </c>
      <c r="D1012" s="38" t="n">
        <v>0</v>
      </c>
      <c r="E1012" s="38" t="n">
        <v>0</v>
      </c>
      <c r="F1012" s="36" t="n">
        <v>1.07</v>
      </c>
      <c r="G1012" s="36" t="n">
        <v>1.905</v>
      </c>
      <c r="H1012" s="36" t="n">
        <v>9</v>
      </c>
      <c r="I1012" s="37" t="n">
        <v>0.8181818181818182</v>
      </c>
      <c r="J1012" s="36" t="n">
        <v>0</v>
      </c>
      <c r="K1012" s="37" t="n">
        <v>0</v>
      </c>
      <c r="L1012" s="36" t="n">
        <v>9</v>
      </c>
      <c r="M1012" s="37" t="n">
        <v>0.8181818181818182</v>
      </c>
      <c r="N1012" s="36" t="n">
        <v>0</v>
      </c>
      <c r="O1012" s="37" t="n">
        <v>0</v>
      </c>
      <c r="P1012" s="36" t="n">
        <v>0</v>
      </c>
      <c r="Q1012" s="37" t="n">
        <v>0</v>
      </c>
      <c r="R1012" s="36" t="n">
        <v>11</v>
      </c>
      <c r="S1012" s="37" t="n">
        <v>1</v>
      </c>
      <c r="T1012" s="36" t="n">
        <v>7</v>
      </c>
      <c r="U1012" s="37" t="n">
        <v>0.6363636363636364</v>
      </c>
      <c r="V1012" s="38" t="n">
        <v>0</v>
      </c>
      <c r="W1012" s="38" t="n">
        <v>0.789</v>
      </c>
      <c r="X1012" s="38" t="n">
        <v>5.097</v>
      </c>
      <c r="Y1012" s="38" t="n">
        <v>0</v>
      </c>
      <c r="Z1012" s="38" t="n">
        <v>0</v>
      </c>
      <c r="AA1012" s="36" t="n">
        <v>11</v>
      </c>
      <c r="AB1012" s="37" t="n">
        <v>0.9166666666666666</v>
      </c>
      <c r="AC1012" s="36" t="n">
        <v>2</v>
      </c>
      <c r="AD1012" s="37" t="n">
        <v>1</v>
      </c>
      <c r="AE1012" s="36" t="n">
        <v>9</v>
      </c>
      <c r="AF1012" s="37" t="n">
        <v>0.9</v>
      </c>
      <c r="AG1012" s="36" t="n">
        <v>2</v>
      </c>
      <c r="AH1012" s="37" t="n">
        <v>1</v>
      </c>
    </row>
    <row r="1013">
      <c r="A1013" s="53" t="n">
        <v>45777</v>
      </c>
      <c r="B1013" t="inlineStr">
        <is>
          <t>R06_Jawa Timur</t>
        </is>
      </c>
      <c r="C1013" t="inlineStr">
        <is>
          <t>NOP LAMONGAN</t>
        </is>
      </c>
      <c r="D1013" s="38" t="n">
        <v>0</v>
      </c>
      <c r="E1013" s="38" t="n">
        <v>0</v>
      </c>
      <c r="F1013" s="36" t="n">
        <v>3</v>
      </c>
      <c r="G1013" s="36" t="n">
        <v>3.23</v>
      </c>
      <c r="H1013" s="36" t="n">
        <v>11</v>
      </c>
      <c r="I1013" s="37" t="n">
        <v>0.9166666666666666</v>
      </c>
      <c r="J1013" s="36" t="n">
        <v>0</v>
      </c>
      <c r="K1013" s="37" t="n">
        <v>0</v>
      </c>
      <c r="L1013" s="36" t="n">
        <v>11</v>
      </c>
      <c r="M1013" s="37" t="n">
        <v>0.9166666666666666</v>
      </c>
      <c r="N1013" s="36" t="n">
        <v>0</v>
      </c>
      <c r="O1013" s="37" t="n">
        <v>0</v>
      </c>
      <c r="P1013" s="36" t="n">
        <v>0</v>
      </c>
      <c r="Q1013" s="37" t="n">
        <v>0</v>
      </c>
      <c r="R1013" s="36" t="n">
        <v>12</v>
      </c>
      <c r="S1013" s="37" t="n">
        <v>1</v>
      </c>
      <c r="T1013" s="36" t="n">
        <v>10</v>
      </c>
      <c r="U1013" s="37" t="n">
        <v>0.8333333333333334</v>
      </c>
      <c r="V1013" s="38" t="n">
        <v>0</v>
      </c>
      <c r="W1013" s="38" t="n">
        <v>0.98</v>
      </c>
      <c r="X1013" s="38" t="n">
        <v>1.772</v>
      </c>
      <c r="Y1013" s="38" t="n">
        <v>12.264</v>
      </c>
      <c r="Z1013" s="38" t="n">
        <v>0</v>
      </c>
      <c r="AA1013" s="36" t="n">
        <v>4</v>
      </c>
      <c r="AB1013" s="37" t="n">
        <v>0.8</v>
      </c>
      <c r="AC1013" s="36" t="n">
        <v>1</v>
      </c>
      <c r="AD1013" s="37" t="n">
        <v>1</v>
      </c>
      <c r="AE1013" s="36" t="n">
        <v>3</v>
      </c>
      <c r="AF1013" s="37" t="n">
        <v>0.75</v>
      </c>
      <c r="AG1013" s="36" t="n">
        <v>1</v>
      </c>
      <c r="AH1013" s="37" t="n">
        <v>1</v>
      </c>
    </row>
    <row r="1014">
      <c r="A1014" s="53" t="n">
        <v>45777</v>
      </c>
      <c r="B1014" t="inlineStr">
        <is>
          <t>R06_Jawa Timur</t>
        </is>
      </c>
      <c r="C1014" t="inlineStr">
        <is>
          <t>NOP MADIUN</t>
        </is>
      </c>
      <c r="D1014" s="38" t="n">
        <v>0</v>
      </c>
      <c r="E1014" s="38" t="n">
        <v>0</v>
      </c>
      <c r="F1014" s="36" t="n">
        <v>2.514</v>
      </c>
      <c r="G1014" s="36" t="n">
        <v>1.855</v>
      </c>
      <c r="H1014" s="36" t="n">
        <v>9</v>
      </c>
      <c r="I1014" s="37" t="n">
        <v>0.6923076923076923</v>
      </c>
      <c r="J1014" s="36" t="n">
        <v>0</v>
      </c>
      <c r="K1014" s="37" t="n">
        <v>0</v>
      </c>
      <c r="L1014" s="36" t="n">
        <v>9</v>
      </c>
      <c r="M1014" s="37" t="n">
        <v>0.6923076923076923</v>
      </c>
      <c r="N1014" s="36" t="n">
        <v>0</v>
      </c>
      <c r="O1014" s="37" t="n">
        <v>0</v>
      </c>
      <c r="P1014" s="36" t="n">
        <v>0</v>
      </c>
      <c r="Q1014" s="37" t="n">
        <v>0</v>
      </c>
      <c r="R1014" s="36" t="n">
        <v>13</v>
      </c>
      <c r="S1014" s="37" t="n">
        <v>1</v>
      </c>
      <c r="T1014" s="36" t="n">
        <v>6</v>
      </c>
      <c r="U1014" s="37" t="n">
        <v>0.4615384615384616</v>
      </c>
      <c r="V1014" s="38" t="n">
        <v>0</v>
      </c>
      <c r="W1014" s="38" t="n">
        <v>2.242</v>
      </c>
      <c r="X1014" s="38" t="n">
        <v>4.085000000000001</v>
      </c>
      <c r="Y1014" s="38" t="n">
        <v>0</v>
      </c>
      <c r="Z1014" s="38" t="n">
        <v>0</v>
      </c>
      <c r="AA1014" s="36" t="n">
        <v>24</v>
      </c>
      <c r="AB1014" s="37" t="n">
        <v>0.9230769230769231</v>
      </c>
      <c r="AC1014" s="36" t="n">
        <v>13</v>
      </c>
      <c r="AD1014" s="37" t="n">
        <v>0.9285714285714286</v>
      </c>
      <c r="AE1014" s="36" t="n">
        <v>11</v>
      </c>
      <c r="AF1014" s="37" t="n">
        <v>0.9166666666666666</v>
      </c>
      <c r="AG1014" s="36" t="n">
        <v>13</v>
      </c>
      <c r="AH1014" s="37" t="n">
        <v>1</v>
      </c>
    </row>
    <row r="1015">
      <c r="A1015" s="53" t="n">
        <v>45777</v>
      </c>
      <c r="B1015" t="inlineStr">
        <is>
          <t>R06_Jawa Timur</t>
        </is>
      </c>
      <c r="C1015" t="inlineStr">
        <is>
          <t>NOP MALANG</t>
        </is>
      </c>
      <c r="D1015" s="38" t="n">
        <v>2.483</v>
      </c>
      <c r="E1015" s="38" t="n">
        <v>0</v>
      </c>
      <c r="F1015" s="36" t="n">
        <v>4.96</v>
      </c>
      <c r="G1015" s="36" t="n">
        <v>0.5549999999999999</v>
      </c>
      <c r="H1015" s="36" t="n">
        <v>9</v>
      </c>
      <c r="I1015" s="37" t="n">
        <v>0.4090909090909091</v>
      </c>
      <c r="J1015" s="36" t="n">
        <v>1</v>
      </c>
      <c r="K1015" s="37" t="n">
        <v>0.5</v>
      </c>
      <c r="L1015" s="36" t="n">
        <v>8</v>
      </c>
      <c r="M1015" s="37" t="n">
        <v>0.4</v>
      </c>
      <c r="N1015" s="36" t="n">
        <v>1</v>
      </c>
      <c r="O1015" s="37" t="n">
        <v>1</v>
      </c>
      <c r="P1015" s="36" t="n">
        <v>1</v>
      </c>
      <c r="Q1015" s="37" t="n">
        <v>1</v>
      </c>
      <c r="R1015" s="36" t="n">
        <v>22</v>
      </c>
      <c r="S1015" s="37" t="n">
        <v>1</v>
      </c>
      <c r="T1015" s="36" t="n">
        <v>8</v>
      </c>
      <c r="U1015" s="37" t="n">
        <v>0.3636363636363636</v>
      </c>
      <c r="V1015" s="38" t="n">
        <v>0</v>
      </c>
      <c r="W1015" s="38" t="n">
        <v>1.912</v>
      </c>
      <c r="X1015" s="38" t="n">
        <v>5.366000000000002</v>
      </c>
      <c r="Y1015" s="38" t="n">
        <v>30.8</v>
      </c>
      <c r="Z1015" s="38" t="n">
        <v>0</v>
      </c>
      <c r="AA1015" s="36" t="n">
        <v>8</v>
      </c>
      <c r="AB1015" s="37" t="n">
        <v>0.8</v>
      </c>
      <c r="AC1015" s="36" t="n">
        <v>1</v>
      </c>
      <c r="AD1015" s="37" t="n">
        <v>0.5</v>
      </c>
      <c r="AE1015" s="36" t="n">
        <v>7</v>
      </c>
      <c r="AF1015" s="37" t="n">
        <v>0.875</v>
      </c>
      <c r="AG1015" s="36" t="n">
        <v>1</v>
      </c>
      <c r="AH1015" s="37" t="n">
        <v>1</v>
      </c>
    </row>
    <row r="1016">
      <c r="A1016" s="53" t="n">
        <v>45777</v>
      </c>
      <c r="B1016" t="inlineStr">
        <is>
          <t>R06_Jawa Timur</t>
        </is>
      </c>
      <c r="C1016" t="inlineStr">
        <is>
          <t>NOP SIDOARJO</t>
        </is>
      </c>
      <c r="D1016" s="38" t="n">
        <v>0.481</v>
      </c>
      <c r="E1016" s="38" t="n">
        <v>0</v>
      </c>
      <c r="F1016" s="36" t="n">
        <v>2.616</v>
      </c>
      <c r="G1016" s="36" t="n">
        <v>0.58</v>
      </c>
      <c r="H1016" s="36" t="n">
        <v>6</v>
      </c>
      <c r="I1016" s="37" t="n">
        <v>0.75</v>
      </c>
      <c r="J1016" s="36" t="n">
        <v>1</v>
      </c>
      <c r="K1016" s="37" t="n">
        <v>0.5</v>
      </c>
      <c r="L1016" s="36" t="n">
        <v>5</v>
      </c>
      <c r="M1016" s="37" t="n">
        <v>0.8333333333333334</v>
      </c>
      <c r="N1016" s="36" t="n">
        <v>1</v>
      </c>
      <c r="O1016" s="37" t="n">
        <v>1</v>
      </c>
      <c r="P1016" s="36" t="n">
        <v>1</v>
      </c>
      <c r="Q1016" s="37" t="n">
        <v>1</v>
      </c>
      <c r="R1016" s="36" t="n">
        <v>7</v>
      </c>
      <c r="S1016" s="37" t="n">
        <v>0.875</v>
      </c>
      <c r="T1016" s="36" t="n">
        <v>5</v>
      </c>
      <c r="U1016" s="37" t="n">
        <v>0.625</v>
      </c>
      <c r="V1016" s="38" t="n">
        <v>0.139</v>
      </c>
      <c r="W1016" s="38" t="n">
        <v>4.238</v>
      </c>
      <c r="X1016" s="38" t="n">
        <v>2.789</v>
      </c>
      <c r="Y1016" s="38" t="n">
        <v>0</v>
      </c>
      <c r="Z1016" s="38" t="n">
        <v>0</v>
      </c>
      <c r="AA1016" s="36" t="n">
        <v>5</v>
      </c>
      <c r="AB1016" s="37" t="n">
        <v>0.8333333333333334</v>
      </c>
      <c r="AC1016" s="36" t="n">
        <v>3</v>
      </c>
      <c r="AD1016" s="37" t="n">
        <v>0.75</v>
      </c>
      <c r="AE1016" s="36" t="n">
        <v>2</v>
      </c>
      <c r="AF1016" s="37" t="n">
        <v>1</v>
      </c>
      <c r="AG1016" s="36" t="n">
        <v>3</v>
      </c>
      <c r="AH1016" s="37" t="n">
        <v>1</v>
      </c>
    </row>
    <row r="1017">
      <c r="A1017" s="53" t="n">
        <v>45777</v>
      </c>
      <c r="B1017" t="inlineStr">
        <is>
          <t>R06_Jawa Timur</t>
        </is>
      </c>
      <c r="C1017" t="inlineStr">
        <is>
          <t>NOP SURABAYA</t>
        </is>
      </c>
      <c r="D1017" s="38" t="n">
        <v>9.157999999999999</v>
      </c>
      <c r="E1017" s="38" t="n">
        <v>0</v>
      </c>
      <c r="F1017" s="36" t="n">
        <v>2.756</v>
      </c>
      <c r="G1017" s="36" t="n">
        <v>6.858000000000001</v>
      </c>
      <c r="H1017" s="36" t="n">
        <v>14</v>
      </c>
      <c r="I1017" s="37" t="n">
        <v>0.6666666666666666</v>
      </c>
      <c r="J1017" s="36" t="n">
        <v>1</v>
      </c>
      <c r="K1017" s="37" t="n">
        <v>0.3333333333333333</v>
      </c>
      <c r="L1017" s="36" t="n">
        <v>13</v>
      </c>
      <c r="M1017" s="37" t="n">
        <v>0.7222222222222222</v>
      </c>
      <c r="N1017" s="36" t="n">
        <v>1</v>
      </c>
      <c r="O1017" s="37" t="n">
        <v>1</v>
      </c>
      <c r="P1017" s="36" t="n">
        <v>1</v>
      </c>
      <c r="Q1017" s="37" t="n">
        <v>1</v>
      </c>
      <c r="R1017" s="36" t="n">
        <v>19</v>
      </c>
      <c r="S1017" s="37" t="n">
        <v>0.9047619047619048</v>
      </c>
      <c r="T1017" s="36" t="n">
        <v>12</v>
      </c>
      <c r="U1017" s="37" t="n">
        <v>0.5714285714285714</v>
      </c>
      <c r="V1017" s="38" t="n">
        <v>0</v>
      </c>
      <c r="W1017" s="38" t="n">
        <v>2.492</v>
      </c>
      <c r="X1017" s="38" t="n">
        <v>7.15</v>
      </c>
      <c r="Y1017" s="38" t="n">
        <v>52.665</v>
      </c>
      <c r="Z1017" s="38" t="n">
        <v>0</v>
      </c>
      <c r="AA1017" s="36" t="n">
        <v>24</v>
      </c>
      <c r="AB1017" s="37" t="n">
        <v>0.6</v>
      </c>
      <c r="AC1017" s="36" t="n">
        <v>4</v>
      </c>
      <c r="AD1017" s="37" t="n">
        <v>0.5714285714285714</v>
      </c>
      <c r="AE1017" s="36" t="n">
        <v>20</v>
      </c>
      <c r="AF1017" s="37" t="n">
        <v>0.6060606060606061</v>
      </c>
      <c r="AG1017" s="36" t="n">
        <v>3</v>
      </c>
      <c r="AH1017" s="37" t="n">
        <v>0.75</v>
      </c>
    </row>
    <row r="1018">
      <c r="A1018" s="53" t="n">
        <v>45777</v>
      </c>
      <c r="B1018" t="inlineStr">
        <is>
          <t>R07_Bali Nusra</t>
        </is>
      </c>
      <c r="C1018" t="inlineStr">
        <is>
          <t>NOP DENPASAR</t>
        </is>
      </c>
      <c r="D1018" s="38" t="n">
        <v>3.62</v>
      </c>
      <c r="E1018" s="38" t="n">
        <v>0</v>
      </c>
      <c r="F1018" s="36" t="n">
        <v>1.61</v>
      </c>
      <c r="G1018" s="36" t="n">
        <v>16.254</v>
      </c>
      <c r="H1018" s="36" t="n">
        <v>8</v>
      </c>
      <c r="I1018" s="37" t="n">
        <v>0.8888888888888888</v>
      </c>
      <c r="J1018" s="36" t="n">
        <v>3</v>
      </c>
      <c r="K1018" s="37" t="n">
        <v>1</v>
      </c>
      <c r="L1018" s="36" t="n">
        <v>5</v>
      </c>
      <c r="M1018" s="37" t="n">
        <v>0.8333333333333334</v>
      </c>
      <c r="N1018" s="36" t="n">
        <v>3</v>
      </c>
      <c r="O1018" s="37" t="n">
        <v>1</v>
      </c>
      <c r="P1018" s="36" t="n">
        <v>3</v>
      </c>
      <c r="Q1018" s="37" t="n">
        <v>1</v>
      </c>
      <c r="R1018" s="36" t="n">
        <v>9</v>
      </c>
      <c r="S1018" s="37" t="n">
        <v>1</v>
      </c>
      <c r="T1018" s="36" t="n">
        <v>9</v>
      </c>
      <c r="U1018" s="37" t="n">
        <v>1</v>
      </c>
      <c r="V1018" s="38" t="n">
        <v>0</v>
      </c>
      <c r="W1018" s="38" t="n">
        <v>2.792</v>
      </c>
      <c r="X1018" s="38" t="n">
        <v>10.666</v>
      </c>
      <c r="Y1018" s="38" t="n">
        <v>0</v>
      </c>
      <c r="Z1018" s="38" t="n">
        <v>0</v>
      </c>
      <c r="AA1018" s="36" t="n">
        <v>37</v>
      </c>
      <c r="AB1018" s="37" t="n">
        <v>0.9736842105263158</v>
      </c>
      <c r="AC1018" s="36" t="n">
        <v>23</v>
      </c>
      <c r="AD1018" s="37" t="n">
        <v>1</v>
      </c>
      <c r="AE1018" s="36" t="n">
        <v>14</v>
      </c>
      <c r="AF1018" s="37" t="n">
        <v>0.9333333333333333</v>
      </c>
      <c r="AG1018" s="36" t="n">
        <v>23</v>
      </c>
      <c r="AH1018" s="37" t="n">
        <v>1</v>
      </c>
    </row>
    <row r="1019">
      <c r="A1019" s="53" t="n">
        <v>45777</v>
      </c>
      <c r="B1019" t="inlineStr">
        <is>
          <t>R07_Bali Nusra</t>
        </is>
      </c>
      <c r="C1019" t="inlineStr">
        <is>
          <t>NOP FLORES</t>
        </is>
      </c>
      <c r="D1019" s="38" t="n">
        <v>0</v>
      </c>
      <c r="E1019" s="38" t="n">
        <v>5.139999999999993</v>
      </c>
      <c r="F1019" s="36" t="n">
        <v>2.94</v>
      </c>
      <c r="G1019" s="36" t="n">
        <v>11.982</v>
      </c>
      <c r="H1019" s="36" t="n">
        <v>36</v>
      </c>
      <c r="I1019" s="37" t="n">
        <v>0.7058823529411765</v>
      </c>
      <c r="J1019" s="36" t="n">
        <v>8</v>
      </c>
      <c r="K1019" s="37" t="n">
        <v>0.8</v>
      </c>
      <c r="L1019" s="36" t="n">
        <v>28</v>
      </c>
      <c r="M1019" s="37" t="n">
        <v>0.6829268292682927</v>
      </c>
      <c r="N1019" s="36" t="n">
        <v>6</v>
      </c>
      <c r="O1019" s="37" t="n">
        <v>0.75</v>
      </c>
      <c r="P1019" s="36" t="n">
        <v>6</v>
      </c>
      <c r="Q1019" s="37" t="n">
        <v>0.75</v>
      </c>
      <c r="R1019" s="36" t="n">
        <v>51</v>
      </c>
      <c r="S1019" s="37" t="n">
        <v>1</v>
      </c>
      <c r="T1019" s="36" t="n">
        <v>20</v>
      </c>
      <c r="U1019" s="37" t="n">
        <v>0.392156862745098</v>
      </c>
      <c r="V1019" s="38" t="n">
        <v>0.113</v>
      </c>
      <c r="W1019" s="38" t="n">
        <v>10.29</v>
      </c>
      <c r="X1019" s="38" t="n">
        <v>4.922000000000001</v>
      </c>
      <c r="Y1019" s="38" t="n">
        <v>79.86000000000001</v>
      </c>
      <c r="Z1019" s="38" t="n">
        <v>0</v>
      </c>
      <c r="AA1019" s="36" t="n">
        <v>62</v>
      </c>
      <c r="AB1019" s="37" t="n">
        <v>0.6391752577319587</v>
      </c>
      <c r="AC1019" s="36" t="n">
        <v>49</v>
      </c>
      <c r="AD1019" s="37" t="n">
        <v>0.6621621621621622</v>
      </c>
      <c r="AE1019" s="36" t="n">
        <v>13</v>
      </c>
      <c r="AF1019" s="37" t="n">
        <v>0.5652173913043478</v>
      </c>
      <c r="AG1019" s="36" t="n">
        <v>41</v>
      </c>
      <c r="AH1019" s="37" t="n">
        <v>0.8367346938775511</v>
      </c>
    </row>
    <row r="1020">
      <c r="A1020" s="53" t="n">
        <v>45777</v>
      </c>
      <c r="B1020" t="inlineStr">
        <is>
          <t>R07_Bali Nusra</t>
        </is>
      </c>
      <c r="C1020" t="inlineStr">
        <is>
          <t>NOP KUPANG</t>
        </is>
      </c>
      <c r="D1020" s="38" t="n">
        <v>0</v>
      </c>
      <c r="E1020" s="38" t="n">
        <v>4.665</v>
      </c>
      <c r="F1020" s="36" t="n">
        <v>13.78600000000002</v>
      </c>
      <c r="G1020" s="36" t="n">
        <v>10.20199999999999</v>
      </c>
      <c r="H1020" s="36" t="n">
        <v>55</v>
      </c>
      <c r="I1020" s="37" t="n">
        <v>0.6111111111111112</v>
      </c>
      <c r="J1020" s="36" t="n">
        <v>15</v>
      </c>
      <c r="K1020" s="37" t="n">
        <v>0.9375</v>
      </c>
      <c r="L1020" s="36" t="n">
        <v>40</v>
      </c>
      <c r="M1020" s="37" t="n">
        <v>0.5405405405405406</v>
      </c>
      <c r="N1020" s="36" t="n">
        <v>12</v>
      </c>
      <c r="O1020" s="37" t="n">
        <v>0.8</v>
      </c>
      <c r="P1020" s="36" t="n">
        <v>12</v>
      </c>
      <c r="Q1020" s="37" t="n">
        <v>0.8</v>
      </c>
      <c r="R1020" s="36" t="n">
        <v>90</v>
      </c>
      <c r="S1020" s="37" t="n">
        <v>1</v>
      </c>
      <c r="T1020" s="36" t="n">
        <v>40</v>
      </c>
      <c r="U1020" s="37" t="n">
        <v>0.4444444444444444</v>
      </c>
      <c r="V1020" s="38" t="n">
        <v>0</v>
      </c>
      <c r="W1020" s="38" t="n">
        <v>4.884</v>
      </c>
      <c r="X1020" s="38" t="n">
        <v>9.300000000000001</v>
      </c>
      <c r="Y1020" s="38" t="n">
        <v>118.748</v>
      </c>
      <c r="Z1020" s="38" t="n">
        <v>0</v>
      </c>
      <c r="AA1020" s="36" t="n">
        <v>80</v>
      </c>
      <c r="AB1020" s="37" t="n">
        <v>0.7079646017699115</v>
      </c>
      <c r="AC1020" s="36" t="n">
        <v>50</v>
      </c>
      <c r="AD1020" s="37" t="n">
        <v>0.7692307692307693</v>
      </c>
      <c r="AE1020" s="36" t="n">
        <v>30</v>
      </c>
      <c r="AF1020" s="37" t="n">
        <v>0.625</v>
      </c>
      <c r="AG1020" s="36" t="n">
        <v>45</v>
      </c>
      <c r="AH1020" s="37" t="n">
        <v>0.9</v>
      </c>
    </row>
    <row r="1021">
      <c r="A1021" s="53" t="n">
        <v>45777</v>
      </c>
      <c r="B1021" t="inlineStr">
        <is>
          <t>R07_Bali Nusra</t>
        </is>
      </c>
      <c r="C1021" t="inlineStr">
        <is>
          <t>NOP MATARAM</t>
        </is>
      </c>
      <c r="D1021" s="38" t="n">
        <v>5.78</v>
      </c>
      <c r="E1021" s="38" t="n">
        <v>9.5</v>
      </c>
      <c r="F1021" s="36" t="n">
        <v>8.210000000000001</v>
      </c>
      <c r="G1021" s="36" t="n">
        <v>5.670000000000002</v>
      </c>
      <c r="H1021" s="36" t="n">
        <v>37</v>
      </c>
      <c r="I1021" s="37" t="n">
        <v>0.6271186440677966</v>
      </c>
      <c r="J1021" s="36" t="n">
        <v>14</v>
      </c>
      <c r="K1021" s="37" t="n">
        <v>0.7368421052631579</v>
      </c>
      <c r="L1021" s="36" t="n">
        <v>23</v>
      </c>
      <c r="M1021" s="37" t="n">
        <v>0.575</v>
      </c>
      <c r="N1021" s="36" t="n">
        <v>8</v>
      </c>
      <c r="O1021" s="37" t="n">
        <v>0.5714285714285714</v>
      </c>
      <c r="P1021" s="36" t="n">
        <v>8</v>
      </c>
      <c r="Q1021" s="37" t="n">
        <v>0.5714285714285714</v>
      </c>
      <c r="R1021" s="36" t="n">
        <v>59</v>
      </c>
      <c r="S1021" s="37" t="n">
        <v>1</v>
      </c>
      <c r="T1021" s="36" t="n">
        <v>26</v>
      </c>
      <c r="U1021" s="37" t="n">
        <v>0.4406779661016949</v>
      </c>
      <c r="V1021" s="38" t="n">
        <v>0.415</v>
      </c>
      <c r="W1021" s="38" t="n">
        <v>24.526</v>
      </c>
      <c r="X1021" s="38" t="n">
        <v>62.32200000000005</v>
      </c>
      <c r="Y1021" s="38" t="n">
        <v>168</v>
      </c>
      <c r="Z1021" s="38" t="n">
        <v>0</v>
      </c>
      <c r="AA1021" s="36" t="n">
        <v>37</v>
      </c>
      <c r="AB1021" s="37" t="n">
        <v>0.4933333333333333</v>
      </c>
      <c r="AC1021" s="36" t="n">
        <v>25</v>
      </c>
      <c r="AD1021" s="37" t="n">
        <v>0.5102040816326531</v>
      </c>
      <c r="AE1021" s="36" t="n">
        <v>12</v>
      </c>
      <c r="AF1021" s="37" t="n">
        <v>0.4615384615384616</v>
      </c>
      <c r="AG1021" s="36" t="n">
        <v>12</v>
      </c>
      <c r="AH1021" s="37" t="n">
        <v>0.48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6933C"/>
    <outlinePr summaryBelow="1" summaryRight="1"/>
    <pageSetUpPr/>
  </sheetPr>
  <dimension ref="A1:W10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17" customWidth="1" min="4" max="4"/>
    <col width="14" customWidth="1" min="5" max="5"/>
    <col width="14" customWidth="1" min="6" max="6"/>
    <col width="1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0" customWidth="1" min="13" max="13"/>
    <col width="23" customWidth="1" min="14" max="14"/>
    <col width="17" customWidth="1" min="15" max="15"/>
    <col width="14" customWidth="1" min="16" max="16"/>
    <col width="14" customWidth="1" min="17" max="17"/>
    <col width="12" customWidth="1" min="18" max="18"/>
    <col width="17" customWidth="1" min="19" max="19"/>
    <col width="22" customWidth="1" min="20" max="20"/>
    <col width="21" customWidth="1" min="21" max="21"/>
    <col width="22" customWidth="1" min="22" max="22"/>
    <col width="21" customWidth="1" min="23" max="23"/>
  </cols>
  <sheetData>
    <row r="1">
      <c r="A1" s="41" t="inlineStr">
        <is>
          <t>Date</t>
        </is>
      </c>
      <c r="B1" s="41" t="inlineStr">
        <is>
          <t>Regional</t>
        </is>
      </c>
      <c r="C1" s="41" t="inlineStr">
        <is>
          <t>NOP</t>
        </is>
      </c>
      <c r="D1" s="51" t="inlineStr">
        <is>
          <t>IM-Critical-MTD</t>
        </is>
      </c>
      <c r="E1" s="51" t="inlineStr">
        <is>
          <t>IM-Major-MTD</t>
        </is>
      </c>
      <c r="F1" s="51" t="inlineStr">
        <is>
          <t>IM-Minor-MTD</t>
        </is>
      </c>
      <c r="G1" s="51" t="inlineStr">
        <is>
          <t>IM-Low-MTD</t>
        </is>
      </c>
      <c r="H1" s="51" t="inlineStr">
        <is>
          <t>IM-%TO-MTD</t>
        </is>
      </c>
      <c r="I1" s="51" t="inlineStr">
        <is>
          <t>IM-%TO-High-MTD</t>
        </is>
      </c>
      <c r="J1" s="51" t="inlineStr">
        <is>
          <t>IM-%TO-Low-MTD</t>
        </is>
      </c>
      <c r="K1" s="51" t="inlineStr">
        <is>
          <t>IM-%Visit-MTD</t>
        </is>
      </c>
      <c r="L1" s="51" t="inlineStr">
        <is>
          <t>IM-%Top5-MTD</t>
        </is>
      </c>
      <c r="M1" s="51" t="inlineStr">
        <is>
          <t>IM-%Closing-MTD</t>
        </is>
      </c>
      <c r="N1" s="51" t="inlineStr">
        <is>
          <t>IM-%RCAValidation-MTD</t>
        </is>
      </c>
      <c r="O1" s="52" t="inlineStr">
        <is>
          <t>EM-Critical-MTD</t>
        </is>
      </c>
      <c r="P1" s="52" t="inlineStr">
        <is>
          <t>EM-Major-MTD</t>
        </is>
      </c>
      <c r="Q1" s="52" t="inlineStr">
        <is>
          <t>EM-Minor-MTD</t>
        </is>
      </c>
      <c r="R1" s="52" t="inlineStr">
        <is>
          <t>EM-Low-MTD</t>
        </is>
      </c>
      <c r="S1" s="52" t="inlineStr">
        <is>
          <t>EM-Very Low-MTD</t>
        </is>
      </c>
      <c r="T1" s="52" t="inlineStr">
        <is>
          <t>EM-%TO-MTD</t>
        </is>
      </c>
      <c r="U1" s="52" t="inlineStr">
        <is>
          <t>EM-%TO-High-MTD</t>
        </is>
      </c>
      <c r="V1" s="52" t="inlineStr">
        <is>
          <t>EM-%TO-Low-MTD</t>
        </is>
      </c>
      <c r="W1" s="52" t="inlineStr">
        <is>
          <t>EM-%Visit-MTD</t>
        </is>
      </c>
    </row>
    <row r="2">
      <c r="A2" s="53" t="n">
        <v>45748</v>
      </c>
      <c r="B2" t="inlineStr">
        <is>
          <t>R01_Sumbagut</t>
        </is>
      </c>
      <c r="C2" t="inlineStr">
        <is>
          <t>NOP ACEH</t>
        </is>
      </c>
      <c r="D2" s="36" t="n">
        <v>2.45</v>
      </c>
      <c r="E2" s="36" t="n">
        <v>3.48</v>
      </c>
      <c r="F2" s="36" t="n">
        <v>2.25</v>
      </c>
      <c r="G2" s="36" t="n">
        <v>5.14</v>
      </c>
      <c r="H2" s="37" t="n">
        <v>0.8849557522123894</v>
      </c>
      <c r="I2" s="37" t="n">
        <v>1</v>
      </c>
      <c r="J2" s="37" t="n">
        <v>0.8488372093023255</v>
      </c>
      <c r="K2" s="37" t="n">
        <v>0.4074074074074074</v>
      </c>
      <c r="L2" s="37" t="n">
        <v>0.4074074074074074</v>
      </c>
      <c r="M2" s="37" t="n">
        <v>1</v>
      </c>
      <c r="N2" s="37" t="n">
        <v>0.2743362831858407</v>
      </c>
      <c r="O2" s="36" t="n">
        <v>0</v>
      </c>
      <c r="P2" s="36" t="n">
        <v>3.96</v>
      </c>
      <c r="Q2" s="36" t="n">
        <v>85.09999999999999</v>
      </c>
      <c r="R2" s="36" t="n">
        <v>113.4</v>
      </c>
      <c r="S2" s="36" t="n">
        <v>0</v>
      </c>
      <c r="T2" s="37" t="n">
        <v>0.8601190476190477</v>
      </c>
      <c r="U2" s="37" t="n">
        <v>0.8709677419354839</v>
      </c>
      <c r="V2" s="37" t="n">
        <v>0.8590163934426229</v>
      </c>
      <c r="W2" s="37" t="n">
        <v>0.2222222222222222</v>
      </c>
    </row>
    <row r="3">
      <c r="A3" s="53" t="n">
        <v>45748</v>
      </c>
      <c r="B3" t="inlineStr">
        <is>
          <t>R01_Sumbagut</t>
        </is>
      </c>
      <c r="C3" t="inlineStr">
        <is>
          <t>NOP BINJAI</t>
        </is>
      </c>
      <c r="D3" s="36" t="n">
        <v>0</v>
      </c>
      <c r="E3" s="36" t="n">
        <v>1.02</v>
      </c>
      <c r="F3" s="36" t="n">
        <v>3.48</v>
      </c>
      <c r="G3" s="36" t="n">
        <v>4.34</v>
      </c>
      <c r="H3" s="37" t="n">
        <v>0.6491228070175439</v>
      </c>
      <c r="I3" s="37" t="n">
        <v>0.5</v>
      </c>
      <c r="J3" s="37" t="n">
        <v>0.6666666666666666</v>
      </c>
      <c r="K3" s="37" t="n">
        <v>0</v>
      </c>
      <c r="L3" s="37" t="n">
        <v>0</v>
      </c>
      <c r="M3" s="37" t="n">
        <v>1</v>
      </c>
      <c r="N3" s="37" t="n">
        <v>0.3157894736842105</v>
      </c>
      <c r="O3" s="36" t="n">
        <v>0</v>
      </c>
      <c r="P3" s="36" t="n">
        <v>2.47</v>
      </c>
      <c r="Q3" s="36" t="n">
        <v>51.85</v>
      </c>
      <c r="R3" s="36" t="n">
        <v>83.02</v>
      </c>
      <c r="S3" s="36" t="n">
        <v>0</v>
      </c>
      <c r="T3" s="37" t="n">
        <v>0.4886363636363636</v>
      </c>
      <c r="U3" s="37" t="n">
        <v>0.5217391304347826</v>
      </c>
      <c r="V3" s="37" t="n">
        <v>0.4210526315789473</v>
      </c>
      <c r="W3" s="37" t="n">
        <v>0.4166666666666667</v>
      </c>
    </row>
    <row r="4">
      <c r="A4" s="53" t="n">
        <v>45748</v>
      </c>
      <c r="B4" t="inlineStr">
        <is>
          <t>R01_Sumbagut</t>
        </is>
      </c>
      <c r="C4" t="inlineStr">
        <is>
          <t>NOP MEDAN</t>
        </is>
      </c>
      <c r="D4" s="36" t="n">
        <v>0</v>
      </c>
      <c r="E4" s="36" t="n">
        <v>3.64</v>
      </c>
      <c r="F4" s="36" t="n">
        <v>1.55</v>
      </c>
      <c r="G4" s="36" t="n">
        <v>2.64</v>
      </c>
      <c r="H4" s="37" t="n">
        <v>0.1956521739130435</v>
      </c>
      <c r="I4" s="37" t="n">
        <v>0.5</v>
      </c>
      <c r="J4" s="37" t="n">
        <v>0.15</v>
      </c>
      <c r="K4" s="37" t="n">
        <v>1</v>
      </c>
      <c r="L4" s="37" t="n">
        <v>1</v>
      </c>
      <c r="M4" s="37" t="n">
        <v>1</v>
      </c>
      <c r="N4" s="37" t="n">
        <v>0.108695652173913</v>
      </c>
      <c r="O4" s="36" t="n">
        <v>0</v>
      </c>
      <c r="P4" s="36" t="n">
        <v>3.09</v>
      </c>
      <c r="Q4" s="36" t="n">
        <v>16.19</v>
      </c>
      <c r="R4" s="36" t="n">
        <v>3.19</v>
      </c>
      <c r="S4" s="36" t="n">
        <v>0</v>
      </c>
      <c r="T4" s="37" t="n">
        <v>0.1707317073170732</v>
      </c>
      <c r="U4" s="37" t="n">
        <v>0.1538461538461539</v>
      </c>
      <c r="V4" s="37" t="n">
        <v>0.1785714285714286</v>
      </c>
      <c r="W4" s="37" t="n">
        <v>1</v>
      </c>
    </row>
    <row r="5">
      <c r="A5" s="53" t="n">
        <v>45748</v>
      </c>
      <c r="B5" t="inlineStr">
        <is>
          <t>R01_Sumbagut</t>
        </is>
      </c>
      <c r="C5" t="inlineStr">
        <is>
          <t>NOP PADANG SIDEMPUAN</t>
        </is>
      </c>
      <c r="D5" s="36" t="n">
        <v>0</v>
      </c>
      <c r="E5" s="36" t="n">
        <v>1.72</v>
      </c>
      <c r="F5" s="36" t="n">
        <v>3.09</v>
      </c>
      <c r="G5" s="36" t="n">
        <v>1.81</v>
      </c>
      <c r="H5" s="37" t="n">
        <v>0.25</v>
      </c>
      <c r="I5" s="37" t="n">
        <v>0.5</v>
      </c>
      <c r="J5" s="37" t="n">
        <v>0.2166666666666667</v>
      </c>
      <c r="K5" s="37" t="n">
        <v>0.5</v>
      </c>
      <c r="L5" s="37" t="n">
        <v>0.5</v>
      </c>
      <c r="M5" s="37" t="n">
        <v>1</v>
      </c>
      <c r="N5" s="37" t="n">
        <v>0.1323529411764706</v>
      </c>
      <c r="O5" s="36" t="n">
        <v>0.01</v>
      </c>
      <c r="P5" s="36" t="n">
        <v>1.5</v>
      </c>
      <c r="Q5" s="36" t="n">
        <v>15.69</v>
      </c>
      <c r="R5" s="36" t="n">
        <v>24.4</v>
      </c>
      <c r="S5" s="36" t="n">
        <v>0</v>
      </c>
      <c r="T5" s="37" t="n">
        <v>0.2747747747747748</v>
      </c>
      <c r="U5" s="37" t="n">
        <v>0.3898305084745763</v>
      </c>
      <c r="V5" s="37" t="n">
        <v>0.228395061728395</v>
      </c>
      <c r="W5" s="37" t="n">
        <v>0.5217391304347826</v>
      </c>
    </row>
    <row r="6">
      <c r="A6" s="53" t="n">
        <v>45748</v>
      </c>
      <c r="B6" t="inlineStr">
        <is>
          <t>R01_Sumbagut</t>
        </is>
      </c>
      <c r="C6" t="inlineStr">
        <is>
          <t>NOP PEMATANG SIANTAR</t>
        </is>
      </c>
      <c r="D6" s="36" t="n">
        <v>0.91</v>
      </c>
      <c r="E6" s="36" t="n">
        <v>5.73</v>
      </c>
      <c r="F6" s="36" t="n">
        <v>4.52</v>
      </c>
      <c r="G6" s="36" t="n">
        <v>9.050000000000001</v>
      </c>
      <c r="H6" s="37" t="n">
        <v>0.1810344827586207</v>
      </c>
      <c r="I6" s="37" t="n">
        <v>0.2222222222222222</v>
      </c>
      <c r="J6" s="37" t="n">
        <v>0.1625</v>
      </c>
      <c r="K6" s="37" t="n">
        <v>0.875</v>
      </c>
      <c r="L6" s="37" t="n">
        <v>0.875</v>
      </c>
      <c r="M6" s="37" t="n">
        <v>0.9913793103448276</v>
      </c>
      <c r="N6" s="37" t="n">
        <v>0.1379310344827586</v>
      </c>
      <c r="O6" s="36" t="n">
        <v>0</v>
      </c>
      <c r="P6" s="36" t="n">
        <v>3.4</v>
      </c>
      <c r="Q6" s="36" t="n">
        <v>50.02</v>
      </c>
      <c r="R6" s="36" t="n">
        <v>51.46</v>
      </c>
      <c r="S6" s="36" t="n">
        <v>0</v>
      </c>
      <c r="T6" s="37" t="n">
        <v>0.1035294117647059</v>
      </c>
      <c r="U6" s="37" t="n">
        <v>0.2291666666666667</v>
      </c>
      <c r="V6" s="37" t="n">
        <v>0.08776595744680851</v>
      </c>
      <c r="W6" s="37" t="n">
        <v>1</v>
      </c>
    </row>
    <row r="7">
      <c r="A7" s="53" t="n">
        <v>45748</v>
      </c>
      <c r="B7" t="inlineStr">
        <is>
          <t>R01_Sumbagut</t>
        </is>
      </c>
      <c r="C7" t="inlineStr">
        <is>
          <t>NOP RANTAU PRAPAT</t>
        </is>
      </c>
      <c r="D7" s="36" t="n">
        <v>6.09</v>
      </c>
      <c r="E7" s="36" t="n">
        <v>6.78</v>
      </c>
      <c r="F7" s="36" t="n">
        <v>7.02</v>
      </c>
      <c r="G7" s="36" t="n">
        <v>3.13</v>
      </c>
      <c r="H7" s="37" t="n">
        <v>0.3009259259259259</v>
      </c>
      <c r="I7" s="37" t="n">
        <v>0.4038461538461539</v>
      </c>
      <c r="J7" s="37" t="n">
        <v>0.2682926829268293</v>
      </c>
      <c r="K7" s="37" t="n">
        <v>0.5238095238095238</v>
      </c>
      <c r="L7" s="37" t="n">
        <v>0.5238095238095238</v>
      </c>
      <c r="M7" s="37" t="n">
        <v>0.9768518518518519</v>
      </c>
      <c r="N7" s="37" t="n">
        <v>0.1481481481481481</v>
      </c>
      <c r="O7" s="36" t="n">
        <v>0</v>
      </c>
      <c r="P7" s="36" t="n">
        <v>4.31</v>
      </c>
      <c r="Q7" s="36" t="n">
        <v>22.87</v>
      </c>
      <c r="R7" s="36" t="n">
        <v>22.23</v>
      </c>
      <c r="S7" s="36" t="n">
        <v>0</v>
      </c>
      <c r="T7" s="37" t="n">
        <v>0.04567307692307692</v>
      </c>
      <c r="U7" s="37" t="n">
        <v>0.15</v>
      </c>
      <c r="V7" s="37" t="n">
        <v>0.02808988764044944</v>
      </c>
      <c r="W7" s="37" t="n">
        <v>0.2222222222222222</v>
      </c>
    </row>
    <row r="8">
      <c r="A8" s="53" t="n">
        <v>45748</v>
      </c>
      <c r="B8" t="inlineStr">
        <is>
          <t>R10_Sumbagteng</t>
        </is>
      </c>
      <c r="C8" t="inlineStr">
        <is>
          <t>NOP BATAM</t>
        </is>
      </c>
      <c r="D8" s="36" t="n">
        <v>0.68</v>
      </c>
      <c r="E8" s="36" t="n">
        <v>7.05</v>
      </c>
      <c r="F8" s="36" t="n">
        <v>7.74</v>
      </c>
      <c r="G8" s="36" t="n">
        <v>5.78</v>
      </c>
      <c r="H8" s="37" t="n">
        <v>0.1770833333333333</v>
      </c>
      <c r="I8" s="37" t="n">
        <v>0</v>
      </c>
      <c r="J8" s="37" t="n">
        <v>0.2</v>
      </c>
      <c r="K8" s="37" t="n">
        <v>0</v>
      </c>
      <c r="L8" s="37" t="n">
        <v>0</v>
      </c>
      <c r="M8" s="37" t="n">
        <v>1</v>
      </c>
      <c r="N8" s="37" t="n">
        <v>0.08333333333333333</v>
      </c>
      <c r="O8" s="36" t="n">
        <v>0</v>
      </c>
      <c r="P8" s="36" t="n">
        <v>5.27</v>
      </c>
      <c r="Q8" s="36" t="n">
        <v>20.66</v>
      </c>
      <c r="R8" s="36" t="n">
        <v>18.21</v>
      </c>
      <c r="S8" s="36" t="n">
        <v>0</v>
      </c>
      <c r="T8" s="37" t="n">
        <v>0.1299638989169675</v>
      </c>
      <c r="U8" s="37" t="n">
        <v>0.1428571428571428</v>
      </c>
      <c r="V8" s="37" t="n">
        <v>0.1277533039647577</v>
      </c>
      <c r="W8" s="37" t="n">
        <v>0.5714285714285714</v>
      </c>
    </row>
    <row r="9">
      <c r="A9" s="53" t="n">
        <v>45748</v>
      </c>
      <c r="B9" t="inlineStr">
        <is>
          <t>R10_Sumbagteng</t>
        </is>
      </c>
      <c r="C9" t="inlineStr">
        <is>
          <t>NOP BUKITTINGGI</t>
        </is>
      </c>
      <c r="D9" s="36" t="n">
        <v>0</v>
      </c>
      <c r="E9" s="36" t="n">
        <v>4.35</v>
      </c>
      <c r="F9" s="36" t="n">
        <v>3.2</v>
      </c>
      <c r="G9" s="36" t="n">
        <v>3.48</v>
      </c>
      <c r="H9" s="37" t="n">
        <v>0.65625</v>
      </c>
      <c r="I9" s="37" t="n">
        <v>0.75</v>
      </c>
      <c r="J9" s="37" t="n">
        <v>0.625</v>
      </c>
      <c r="K9" s="37" t="n">
        <v>0.8333333333333334</v>
      </c>
      <c r="L9" s="37" t="n">
        <v>0.8333333333333334</v>
      </c>
      <c r="M9" s="37" t="n">
        <v>1</v>
      </c>
      <c r="N9" s="37" t="n">
        <v>0.5</v>
      </c>
      <c r="O9" s="36" t="n">
        <v>0</v>
      </c>
      <c r="P9" s="36" t="n">
        <v>4.07</v>
      </c>
      <c r="Q9" s="36" t="n">
        <v>6.31</v>
      </c>
      <c r="R9" s="36" t="n">
        <v>77.67</v>
      </c>
      <c r="S9" s="36" t="n">
        <v>0</v>
      </c>
      <c r="T9" s="37" t="n">
        <v>0.3333333333333333</v>
      </c>
      <c r="U9" s="37" t="n">
        <v>0.9166666666666666</v>
      </c>
      <c r="V9" s="37" t="n">
        <v>0.2836879432624114</v>
      </c>
      <c r="W9" s="37" t="n">
        <v>0.5454545454545454</v>
      </c>
    </row>
    <row r="10">
      <c r="A10" s="53" t="n">
        <v>45748</v>
      </c>
      <c r="B10" t="inlineStr">
        <is>
          <t>R10_Sumbagteng</t>
        </is>
      </c>
      <c r="C10" t="inlineStr">
        <is>
          <t>NOP DUMAI</t>
        </is>
      </c>
      <c r="D10" s="36" t="n">
        <v>1.34</v>
      </c>
      <c r="E10" s="36" t="n">
        <v>2.77</v>
      </c>
      <c r="F10" s="36" t="n">
        <v>4.12</v>
      </c>
      <c r="G10" s="36" t="n">
        <v>4.99</v>
      </c>
      <c r="H10" s="37" t="n">
        <v>0.2873563218390804</v>
      </c>
      <c r="I10" s="37" t="n">
        <v>0.3666666666666666</v>
      </c>
      <c r="J10" s="37" t="n">
        <v>0.2708333333333333</v>
      </c>
      <c r="K10" s="37" t="n">
        <v>0.9090909090909091</v>
      </c>
      <c r="L10" s="37" t="n">
        <v>0.9090909090909091</v>
      </c>
      <c r="M10" s="37" t="n">
        <v>1</v>
      </c>
      <c r="N10" s="37" t="n">
        <v>0.264367816091954</v>
      </c>
      <c r="O10" s="36" t="n">
        <v>0.18</v>
      </c>
      <c r="P10" s="36" t="n">
        <v>3.87</v>
      </c>
      <c r="Q10" s="36" t="n">
        <v>42.08</v>
      </c>
      <c r="R10" s="36" t="n">
        <v>68.56</v>
      </c>
      <c r="S10" s="36" t="n">
        <v>0</v>
      </c>
      <c r="T10" s="37" t="n">
        <v>0.2192192192192192</v>
      </c>
      <c r="U10" s="37" t="n">
        <v>0.2717391304347826</v>
      </c>
      <c r="V10" s="37" t="n">
        <v>0.2</v>
      </c>
      <c r="W10" s="37" t="n">
        <v>0.92</v>
      </c>
    </row>
    <row r="11">
      <c r="A11" s="53" t="n">
        <v>45748</v>
      </c>
      <c r="B11" t="inlineStr">
        <is>
          <t>R10_Sumbagteng</t>
        </is>
      </c>
      <c r="C11" t="inlineStr">
        <is>
          <t>NOP PADANG</t>
        </is>
      </c>
      <c r="D11" s="36" t="n">
        <v>0</v>
      </c>
      <c r="E11" s="36" t="n">
        <v>0.79</v>
      </c>
      <c r="F11" s="36" t="n">
        <v>3.45</v>
      </c>
      <c r="G11" s="36" t="n">
        <v>3.15</v>
      </c>
      <c r="H11" s="37" t="n">
        <v>0.6060606060606061</v>
      </c>
      <c r="I11" s="37" t="n">
        <v>1</v>
      </c>
      <c r="J11" s="37" t="n">
        <v>0.5806451612903226</v>
      </c>
      <c r="K11" s="37" t="n">
        <v>0</v>
      </c>
      <c r="L11" s="37" t="n">
        <v>0</v>
      </c>
      <c r="M11" s="37" t="n">
        <v>1</v>
      </c>
      <c r="N11" s="37" t="n">
        <v>0.1515151515151515</v>
      </c>
      <c r="O11" s="36" t="n">
        <v>0</v>
      </c>
      <c r="P11" s="36" t="n">
        <v>9.609999999999999</v>
      </c>
      <c r="Q11" s="36" t="n">
        <v>46.96</v>
      </c>
      <c r="R11" s="36" t="n">
        <v>15.87</v>
      </c>
      <c r="S11" s="36" t="n">
        <v>0</v>
      </c>
      <c r="T11" s="37" t="n">
        <v>0.611353711790393</v>
      </c>
      <c r="U11" s="37" t="n">
        <v>0.52</v>
      </c>
      <c r="V11" s="37" t="n">
        <v>0.6188118811881188</v>
      </c>
      <c r="W11" s="37" t="n">
        <v>0.5384615384615384</v>
      </c>
    </row>
    <row r="12">
      <c r="A12" s="53" t="n">
        <v>45748</v>
      </c>
      <c r="B12" t="inlineStr">
        <is>
          <t>R10_Sumbagteng</t>
        </is>
      </c>
      <c r="C12" t="inlineStr">
        <is>
          <t>NOP PEKANBARU</t>
        </is>
      </c>
      <c r="D12" s="36" t="n">
        <v>0</v>
      </c>
      <c r="E12" s="36" t="n">
        <v>3.28</v>
      </c>
      <c r="F12" s="36" t="n">
        <v>3.64</v>
      </c>
      <c r="G12" s="36" t="n">
        <v>6.06</v>
      </c>
      <c r="H12" s="37" t="n">
        <v>0.2661290322580645</v>
      </c>
      <c r="I12" s="37" t="n">
        <v>0.5600000000000001</v>
      </c>
      <c r="J12" s="37" t="n">
        <v>0.1919191919191919</v>
      </c>
      <c r="K12" s="37" t="n">
        <v>0.6428571428571429</v>
      </c>
      <c r="L12" s="37" t="n">
        <v>0.6428571428571429</v>
      </c>
      <c r="M12" s="37" t="n">
        <v>1</v>
      </c>
      <c r="N12" s="37" t="n">
        <v>0.1370967741935484</v>
      </c>
      <c r="O12" s="36" t="n">
        <v>0</v>
      </c>
      <c r="P12" s="36" t="n">
        <v>3.76</v>
      </c>
      <c r="Q12" s="36" t="n">
        <v>55.16</v>
      </c>
      <c r="R12" s="36" t="n">
        <v>70.76000000000001</v>
      </c>
      <c r="S12" s="36" t="n">
        <v>0</v>
      </c>
      <c r="T12" s="37" t="n">
        <v>0.3978102189781022</v>
      </c>
      <c r="U12" s="37" t="n">
        <v>0.40625</v>
      </c>
      <c r="V12" s="37" t="n">
        <v>0.3952380952380952</v>
      </c>
      <c r="W12" s="37" t="n">
        <v>0.9230769230769231</v>
      </c>
    </row>
    <row r="13">
      <c r="A13" s="53" t="n">
        <v>45748</v>
      </c>
      <c r="B13" t="inlineStr">
        <is>
          <t>R02_Sumbagsel</t>
        </is>
      </c>
      <c r="C13" t="inlineStr">
        <is>
          <t>NOP BENGKULU</t>
        </is>
      </c>
      <c r="D13" s="36" t="n">
        <v>0.65</v>
      </c>
      <c r="E13" s="36" t="n">
        <v>1.87</v>
      </c>
      <c r="F13" s="36" t="n">
        <v>2.41</v>
      </c>
      <c r="G13" s="36" t="n">
        <v>2.51</v>
      </c>
      <c r="H13" s="37" t="n">
        <v>0.4148936170212766</v>
      </c>
      <c r="I13" s="37" t="n">
        <v>0.4285714285714285</v>
      </c>
      <c r="J13" s="37" t="n">
        <v>0.410958904109589</v>
      </c>
      <c r="K13" s="37" t="n">
        <v>0.5555555555555556</v>
      </c>
      <c r="L13" s="37" t="n">
        <v>0.5555555555555556</v>
      </c>
      <c r="M13" s="37" t="n">
        <v>1</v>
      </c>
      <c r="N13" s="37" t="n">
        <v>0.1702127659574468</v>
      </c>
      <c r="O13" s="36" t="n">
        <v>0</v>
      </c>
      <c r="P13" s="36" t="n">
        <v>4.26</v>
      </c>
      <c r="Q13" s="36" t="n">
        <v>4.1</v>
      </c>
      <c r="R13" s="36" t="n">
        <v>14</v>
      </c>
      <c r="S13" s="36" t="n">
        <v>0</v>
      </c>
      <c r="T13" s="37" t="n">
        <v>0.3204419889502763</v>
      </c>
      <c r="U13" s="37" t="n">
        <v>0.2966101694915254</v>
      </c>
      <c r="V13" s="37" t="n">
        <v>0.4107142857142857</v>
      </c>
      <c r="W13" s="37" t="n">
        <v>0.8285714285714286</v>
      </c>
    </row>
    <row r="14">
      <c r="A14" s="53" t="n">
        <v>45748</v>
      </c>
      <c r="B14" t="inlineStr">
        <is>
          <t>R02_Sumbagsel</t>
        </is>
      </c>
      <c r="C14" t="inlineStr">
        <is>
          <t>NOP JAMBI</t>
        </is>
      </c>
      <c r="D14" s="36" t="n">
        <v>3.44</v>
      </c>
      <c r="E14" s="36" t="n">
        <v>4.74</v>
      </c>
      <c r="F14" s="36" t="n">
        <v>6.77</v>
      </c>
      <c r="G14" s="36" t="n">
        <v>9.859999999999999</v>
      </c>
      <c r="H14" s="37" t="n">
        <v>0.5773809523809523</v>
      </c>
      <c r="I14" s="37" t="n">
        <v>0.5</v>
      </c>
      <c r="J14" s="37" t="n">
        <v>0.6160714285714286</v>
      </c>
      <c r="K14" s="37" t="n">
        <v>0.6785714285714286</v>
      </c>
      <c r="L14" s="37" t="n">
        <v>0.6785714285714286</v>
      </c>
      <c r="M14" s="37" t="n">
        <v>1</v>
      </c>
      <c r="N14" s="37" t="n">
        <v>0.2619047619047619</v>
      </c>
      <c r="O14" s="36" t="n">
        <v>0</v>
      </c>
      <c r="P14" s="36" t="n">
        <v>4.66</v>
      </c>
      <c r="Q14" s="36" t="n">
        <v>9.09</v>
      </c>
      <c r="R14" s="36" t="n">
        <v>17</v>
      </c>
      <c r="S14" s="36" t="n">
        <v>0</v>
      </c>
      <c r="T14" s="37" t="n">
        <v>0.5665529010238908</v>
      </c>
      <c r="U14" s="37" t="n">
        <v>0.5555555555555556</v>
      </c>
      <c r="V14" s="37" t="n">
        <v>0.6436781609195402</v>
      </c>
      <c r="W14" s="37" t="n">
        <v>0.6899999999999999</v>
      </c>
    </row>
    <row r="15">
      <c r="A15" s="53" t="n">
        <v>45748</v>
      </c>
      <c r="B15" t="inlineStr">
        <is>
          <t>R02_Sumbagsel</t>
        </is>
      </c>
      <c r="C15" t="inlineStr">
        <is>
          <t>NOP LAMPUNG</t>
        </is>
      </c>
      <c r="D15" s="36" t="n">
        <v>0</v>
      </c>
      <c r="E15" s="36" t="n">
        <v>2.62</v>
      </c>
      <c r="F15" s="36" t="n">
        <v>4.41</v>
      </c>
      <c r="G15" s="36" t="n">
        <v>2.62</v>
      </c>
      <c r="H15" s="37" t="n">
        <v>0.3478260869565217</v>
      </c>
      <c r="I15" s="37" t="n">
        <v>0.5</v>
      </c>
      <c r="J15" s="37" t="n">
        <v>0.325</v>
      </c>
      <c r="K15" s="37" t="n">
        <v>0.6666666666666666</v>
      </c>
      <c r="L15" s="37" t="n">
        <v>0.6666666666666666</v>
      </c>
      <c r="M15" s="37" t="n">
        <v>1</v>
      </c>
      <c r="N15" s="37" t="n">
        <v>0.2173913043478261</v>
      </c>
      <c r="O15" s="36" t="n">
        <v>0</v>
      </c>
      <c r="P15" s="36" t="n">
        <v>42.95</v>
      </c>
      <c r="Q15" s="36" t="n">
        <v>12.79</v>
      </c>
      <c r="R15" s="36" t="n">
        <v>103.2</v>
      </c>
      <c r="S15" s="36" t="n">
        <v>0</v>
      </c>
      <c r="T15" s="37" t="n">
        <v>0.7638888888888888</v>
      </c>
      <c r="U15" s="37" t="n">
        <v>0.6363636363636364</v>
      </c>
      <c r="V15" s="37" t="n">
        <v>0.8409090909090909</v>
      </c>
      <c r="W15" s="37" t="n">
        <v>0.6428571428571429</v>
      </c>
    </row>
    <row r="16">
      <c r="A16" s="53" t="n">
        <v>45748</v>
      </c>
      <c r="B16" t="inlineStr">
        <is>
          <t>R02_Sumbagsel</t>
        </is>
      </c>
      <c r="C16" t="inlineStr">
        <is>
          <t>NOP MUARA ENIM</t>
        </is>
      </c>
      <c r="D16" s="36" t="n">
        <v>2.57</v>
      </c>
      <c r="E16" s="36" t="n">
        <v>3.91</v>
      </c>
      <c r="F16" s="36" t="n">
        <v>2.55</v>
      </c>
      <c r="G16" s="36" t="n">
        <v>2.8</v>
      </c>
      <c r="H16" s="37" t="n">
        <v>0.3148148148148148</v>
      </c>
      <c r="I16" s="37" t="n">
        <v>0.125</v>
      </c>
      <c r="J16" s="37" t="n">
        <v>0.3947368421052632</v>
      </c>
      <c r="K16" s="37" t="n">
        <v>0.5</v>
      </c>
      <c r="L16" s="37" t="n">
        <v>0.5</v>
      </c>
      <c r="M16" s="37" t="n">
        <v>0.8888888888888888</v>
      </c>
      <c r="N16" s="37" t="n">
        <v>0.1203703703703704</v>
      </c>
      <c r="O16" s="36" t="n">
        <v>0</v>
      </c>
      <c r="P16" s="36" t="n">
        <v>9.82</v>
      </c>
      <c r="Q16" s="36" t="n">
        <v>7.32</v>
      </c>
      <c r="R16" s="36" t="n">
        <v>9.76</v>
      </c>
      <c r="S16" s="36" t="n">
        <v>0</v>
      </c>
      <c r="T16" s="37" t="n">
        <v>0.430939226519337</v>
      </c>
      <c r="U16" s="37" t="n">
        <v>0.4591836734693878</v>
      </c>
      <c r="V16" s="37" t="n">
        <v>0.6078431372549019</v>
      </c>
      <c r="W16" s="37" t="n">
        <v>0.7777777777777778</v>
      </c>
    </row>
    <row r="17">
      <c r="A17" s="53" t="n">
        <v>45748</v>
      </c>
      <c r="B17" t="inlineStr">
        <is>
          <t>R02_Sumbagsel</t>
        </is>
      </c>
      <c r="C17" t="inlineStr">
        <is>
          <t>NOP PALEMBANG</t>
        </is>
      </c>
      <c r="D17" s="36" t="n">
        <v>0</v>
      </c>
      <c r="E17" s="36" t="n">
        <v>5.4</v>
      </c>
      <c r="F17" s="36" t="n">
        <v>4.38</v>
      </c>
      <c r="G17" s="36" t="n">
        <v>4.93</v>
      </c>
      <c r="H17" s="37" t="n">
        <v>0.360655737704918</v>
      </c>
      <c r="I17" s="37" t="n">
        <v>0.75</v>
      </c>
      <c r="J17" s="37" t="n">
        <v>0.3333333333333333</v>
      </c>
      <c r="K17" s="37" t="n">
        <v>1</v>
      </c>
      <c r="L17" s="37" t="n">
        <v>1</v>
      </c>
      <c r="M17" s="37" t="n">
        <v>1</v>
      </c>
      <c r="N17" s="37" t="n">
        <v>0.2459016393442623</v>
      </c>
      <c r="O17" s="36" t="n">
        <v>0</v>
      </c>
      <c r="P17" s="36" t="n">
        <v>7.65</v>
      </c>
      <c r="Q17" s="36" t="n">
        <v>12.33</v>
      </c>
      <c r="R17" s="36" t="n">
        <v>14.92</v>
      </c>
      <c r="S17" s="36" t="n">
        <v>0</v>
      </c>
      <c r="T17" s="37" t="n">
        <v>0.2525252525252525</v>
      </c>
      <c r="U17" s="37" t="n">
        <v>0.2222222222222222</v>
      </c>
      <c r="V17" s="37" t="n">
        <v>0.3611111111111111</v>
      </c>
      <c r="W17" s="37" t="n">
        <v>0.8333333333333334</v>
      </c>
    </row>
    <row r="18">
      <c r="A18" s="53" t="n">
        <v>45748</v>
      </c>
      <c r="B18" t="inlineStr">
        <is>
          <t>R02_Sumbagsel</t>
        </is>
      </c>
      <c r="C18" t="inlineStr">
        <is>
          <t>NOP PANGKAL PINANG</t>
        </is>
      </c>
      <c r="D18" s="36" t="n">
        <v>0</v>
      </c>
      <c r="E18" s="36" t="n">
        <v>0</v>
      </c>
      <c r="F18" s="36" t="n">
        <v>0.99</v>
      </c>
      <c r="G18" s="36" t="n">
        <v>7.54</v>
      </c>
      <c r="H18" s="37" t="n">
        <v>0.3636363636363636</v>
      </c>
      <c r="I18" s="37" t="n">
        <v>0</v>
      </c>
      <c r="J18" s="37" t="n">
        <v>0.3636363636363636</v>
      </c>
      <c r="K18" s="37" t="n">
        <v>0</v>
      </c>
      <c r="L18" s="37" t="n">
        <v>0</v>
      </c>
      <c r="M18" s="37" t="n">
        <v>1</v>
      </c>
      <c r="N18" s="37" t="n">
        <v>0.3636363636363636</v>
      </c>
      <c r="O18" s="36" t="n">
        <v>0</v>
      </c>
      <c r="P18" s="36" t="n">
        <v>4</v>
      </c>
      <c r="Q18" s="36" t="n">
        <v>5.99</v>
      </c>
      <c r="R18" s="36" t="n">
        <v>7.97</v>
      </c>
      <c r="S18" s="36" t="n">
        <v>0</v>
      </c>
      <c r="T18" s="37" t="n">
        <v>0.7</v>
      </c>
      <c r="U18" s="37" t="n">
        <v>1</v>
      </c>
      <c r="V18" s="37" t="n">
        <v>0.6</v>
      </c>
      <c r="W18" s="37" t="n">
        <v>1</v>
      </c>
    </row>
    <row r="19">
      <c r="A19" s="53" t="n">
        <v>45748</v>
      </c>
      <c r="B19" t="inlineStr">
        <is>
          <t>R05_Jawa Tengah DIY</t>
        </is>
      </c>
      <c r="C19" t="inlineStr">
        <is>
          <t>NOP MAGELANG</t>
        </is>
      </c>
      <c r="D19" s="36" t="n">
        <v>2.89</v>
      </c>
      <c r="E19" s="36" t="n">
        <v>0</v>
      </c>
      <c r="F19" s="36" t="n">
        <v>4.58</v>
      </c>
      <c r="G19" s="36" t="n">
        <v>2.35</v>
      </c>
      <c r="H19" s="37" t="n">
        <v>0.5</v>
      </c>
      <c r="I19" s="37" t="n">
        <v>0.5</v>
      </c>
      <c r="J19" s="37" t="n">
        <v>0.5</v>
      </c>
      <c r="K19" s="37" t="n">
        <v>1</v>
      </c>
      <c r="L19" s="37" t="n">
        <v>1</v>
      </c>
      <c r="M19" s="37" t="n">
        <v>1</v>
      </c>
      <c r="N19" s="37" t="n">
        <v>0.4444444444444444</v>
      </c>
      <c r="O19" s="36" t="n">
        <v>0</v>
      </c>
      <c r="P19" s="36" t="n">
        <v>16.71</v>
      </c>
      <c r="Q19" s="36" t="n">
        <v>28.49</v>
      </c>
      <c r="R19" s="36" t="n">
        <v>27.6</v>
      </c>
      <c r="S19" s="36" t="n">
        <v>0</v>
      </c>
      <c r="T19" s="37" t="n">
        <v>0.9333333333333333</v>
      </c>
      <c r="U19" s="37" t="n">
        <v>0.75</v>
      </c>
      <c r="V19" s="37" t="n">
        <v>0.9615384615384616</v>
      </c>
      <c r="W19" s="37" t="n">
        <v>0.3333333333333333</v>
      </c>
    </row>
    <row r="20">
      <c r="A20" s="53" t="n">
        <v>45748</v>
      </c>
      <c r="B20" t="inlineStr">
        <is>
          <t>R05_Jawa Tengah DIY</t>
        </is>
      </c>
      <c r="C20" t="inlineStr">
        <is>
          <t>NOP PEKALONGAN</t>
        </is>
      </c>
      <c r="D20" s="36" t="n">
        <v>0</v>
      </c>
      <c r="E20" s="36" t="n">
        <v>0</v>
      </c>
      <c r="F20" s="36" t="n">
        <v>2.38</v>
      </c>
      <c r="G20" s="36" t="n">
        <v>0.72</v>
      </c>
      <c r="H20" s="37" t="n">
        <v>0.3125</v>
      </c>
      <c r="I20" s="37" t="n">
        <v>0</v>
      </c>
      <c r="J20" s="37" t="n">
        <v>0.3125</v>
      </c>
      <c r="K20" s="37" t="n">
        <v>0</v>
      </c>
      <c r="L20" s="37" t="n">
        <v>0</v>
      </c>
      <c r="M20" s="37" t="n">
        <v>1</v>
      </c>
      <c r="N20" s="37" t="n">
        <v>0.375</v>
      </c>
      <c r="O20" s="36" t="n">
        <v>0</v>
      </c>
      <c r="P20" s="36" t="n">
        <v>3.19</v>
      </c>
      <c r="Q20" s="36" t="n">
        <v>4.48</v>
      </c>
      <c r="R20" s="36" t="n">
        <v>55.26</v>
      </c>
      <c r="S20" s="36" t="n">
        <v>0</v>
      </c>
      <c r="T20" s="37" t="n">
        <v>0.8461538461538461</v>
      </c>
      <c r="U20" s="37" t="n">
        <v>0.5714285714285714</v>
      </c>
      <c r="V20" s="37" t="n">
        <v>0.9473684210526315</v>
      </c>
      <c r="W20" s="37" t="n">
        <v>0.5</v>
      </c>
    </row>
    <row r="21">
      <c r="A21" s="53" t="n">
        <v>45748</v>
      </c>
      <c r="B21" t="inlineStr">
        <is>
          <t>R05_Jawa Tengah DIY</t>
        </is>
      </c>
      <c r="C21" t="inlineStr">
        <is>
          <t>NOP PURWOKERTO</t>
        </is>
      </c>
      <c r="D21" s="36" t="n">
        <v>0</v>
      </c>
      <c r="E21" s="36" t="n">
        <v>0</v>
      </c>
      <c r="F21" s="36" t="n">
        <v>2.17</v>
      </c>
      <c r="G21" s="36" t="n">
        <v>3.22</v>
      </c>
      <c r="H21" s="37" t="n">
        <v>0.9259259259259259</v>
      </c>
      <c r="I21" s="37" t="n">
        <v>0</v>
      </c>
      <c r="J21" s="37" t="n">
        <v>0.9259259259259259</v>
      </c>
      <c r="K21" s="37" t="n">
        <v>0</v>
      </c>
      <c r="L21" s="37" t="n">
        <v>0</v>
      </c>
      <c r="M21" s="37" t="n">
        <v>1</v>
      </c>
      <c r="N21" s="37" t="n">
        <v>0.6666666666666666</v>
      </c>
      <c r="O21" s="36" t="n">
        <v>0</v>
      </c>
      <c r="P21" s="36" t="n">
        <v>6.08</v>
      </c>
      <c r="Q21" s="36" t="n">
        <v>5.18</v>
      </c>
      <c r="R21" s="36" t="n">
        <v>23.97</v>
      </c>
      <c r="S21" s="36" t="n">
        <v>0</v>
      </c>
      <c r="T21" s="37" t="n">
        <v>0.7777777777777778</v>
      </c>
      <c r="U21" s="37" t="n">
        <v>0.8333333333333334</v>
      </c>
      <c r="V21" s="37" t="n">
        <v>0.75</v>
      </c>
      <c r="W21" s="37" t="n">
        <v>0.4</v>
      </c>
    </row>
    <row r="22">
      <c r="A22" s="53" t="n">
        <v>45748</v>
      </c>
      <c r="B22" t="inlineStr">
        <is>
          <t>R05_Jawa Tengah DIY</t>
        </is>
      </c>
      <c r="C22" t="inlineStr">
        <is>
          <t>NOP SEMARANG</t>
        </is>
      </c>
      <c r="D22" s="36" t="n">
        <v>0</v>
      </c>
      <c r="E22" s="36" t="n">
        <v>0</v>
      </c>
      <c r="F22" s="36" t="n">
        <v>2.77</v>
      </c>
      <c r="G22" s="36" t="n">
        <v>3.07</v>
      </c>
      <c r="H22" s="37" t="n">
        <v>0.4</v>
      </c>
      <c r="I22" s="37" t="n">
        <v>0</v>
      </c>
      <c r="J22" s="37" t="n">
        <v>0.4</v>
      </c>
      <c r="K22" s="37" t="n">
        <v>0</v>
      </c>
      <c r="L22" s="37" t="n">
        <v>0</v>
      </c>
      <c r="M22" s="37" t="n">
        <v>1</v>
      </c>
      <c r="N22" s="37" t="n">
        <v>0.3333333333333333</v>
      </c>
      <c r="O22" s="36" t="n">
        <v>0</v>
      </c>
      <c r="P22" s="36" t="n">
        <v>1.89</v>
      </c>
      <c r="Q22" s="36" t="n">
        <v>11.29</v>
      </c>
      <c r="R22" s="36" t="n">
        <v>16.95</v>
      </c>
      <c r="S22" s="36" t="n">
        <v>0</v>
      </c>
      <c r="T22" s="37" t="n">
        <v>0.375</v>
      </c>
      <c r="U22" s="37" t="n">
        <v>0.2307692307692308</v>
      </c>
      <c r="V22" s="37" t="n">
        <v>0.6</v>
      </c>
      <c r="W22" s="37" t="n">
        <v>0.6666666666666666</v>
      </c>
    </row>
    <row r="23">
      <c r="A23" s="53" t="n">
        <v>45748</v>
      </c>
      <c r="B23" t="inlineStr">
        <is>
          <t>R05_Jawa Tengah DIY</t>
        </is>
      </c>
      <c r="C23" t="inlineStr">
        <is>
          <t>NOP SURAKARTA</t>
        </is>
      </c>
      <c r="D23" s="36" t="n">
        <v>3.72</v>
      </c>
      <c r="E23" s="36" t="n">
        <v>0</v>
      </c>
      <c r="F23" s="36" t="n">
        <v>2.8</v>
      </c>
      <c r="G23" s="36" t="n">
        <v>3.94</v>
      </c>
      <c r="H23" s="37" t="n">
        <v>0.6923076923076923</v>
      </c>
      <c r="I23" s="37" t="n">
        <v>0.8</v>
      </c>
      <c r="J23" s="37" t="n">
        <v>0.6666666666666666</v>
      </c>
      <c r="K23" s="37" t="n">
        <v>1</v>
      </c>
      <c r="L23" s="37" t="n">
        <v>1</v>
      </c>
      <c r="M23" s="37" t="n">
        <v>0.9615384615384616</v>
      </c>
      <c r="N23" s="37" t="n">
        <v>0.5769230769230769</v>
      </c>
      <c r="O23" s="36" t="n">
        <v>0</v>
      </c>
      <c r="P23" s="36" t="n">
        <v>4.03</v>
      </c>
      <c r="Q23" s="36" t="n">
        <v>6.64</v>
      </c>
      <c r="R23" s="36" t="n">
        <v>11.7</v>
      </c>
      <c r="S23" s="36" t="n">
        <v>0</v>
      </c>
      <c r="T23" s="37" t="n">
        <v>0.8125</v>
      </c>
      <c r="U23" s="37" t="n">
        <v>0.8888888888888888</v>
      </c>
      <c r="V23" s="37" t="n">
        <v>0.7826086956521739</v>
      </c>
      <c r="W23" s="37" t="n">
        <v>0.75</v>
      </c>
    </row>
    <row r="24">
      <c r="A24" s="53" t="n">
        <v>45748</v>
      </c>
      <c r="B24" t="inlineStr">
        <is>
          <t>R05_Jawa Tengah DIY</t>
        </is>
      </c>
      <c r="C24" t="inlineStr">
        <is>
          <t>NOP YOGYAKARTA</t>
        </is>
      </c>
      <c r="D24" s="36" t="n">
        <v>0.51</v>
      </c>
      <c r="E24" s="36" t="n">
        <v>0</v>
      </c>
      <c r="F24" s="36" t="n">
        <v>1.78</v>
      </c>
      <c r="G24" s="36" t="n">
        <v>1.78</v>
      </c>
      <c r="H24" s="37" t="n">
        <v>0.8888888888888888</v>
      </c>
      <c r="I24" s="37" t="n">
        <v>1</v>
      </c>
      <c r="J24" s="37" t="n">
        <v>0.875</v>
      </c>
      <c r="K24" s="37" t="n">
        <v>1</v>
      </c>
      <c r="L24" s="37" t="n">
        <v>1</v>
      </c>
      <c r="M24" s="37" t="n">
        <v>1</v>
      </c>
      <c r="N24" s="37" t="n">
        <v>0.8888888888888888</v>
      </c>
      <c r="O24" s="36" t="n">
        <v>0</v>
      </c>
      <c r="P24" s="36" t="n">
        <v>1.83</v>
      </c>
      <c r="Q24" s="36" t="n">
        <v>23.44</v>
      </c>
      <c r="R24" s="36" t="n">
        <v>35.33</v>
      </c>
      <c r="S24" s="36" t="n">
        <v>0</v>
      </c>
      <c r="T24" s="37" t="n">
        <v>0.8461538461538461</v>
      </c>
      <c r="U24" s="37" t="n">
        <v>1</v>
      </c>
      <c r="V24" s="37" t="n">
        <v>0.8378378378378378</v>
      </c>
      <c r="W24" s="37" t="n">
        <v>1</v>
      </c>
    </row>
    <row r="25">
      <c r="A25" s="53" t="n">
        <v>45748</v>
      </c>
      <c r="B25" t="inlineStr">
        <is>
          <t>R06_Jawa Timur</t>
        </is>
      </c>
      <c r="C25" t="inlineStr">
        <is>
          <t>NOP JEMBER</t>
        </is>
      </c>
      <c r="D25" s="36" t="n">
        <v>2.08</v>
      </c>
      <c r="E25" s="36" t="n">
        <v>0</v>
      </c>
      <c r="F25" s="36" t="n">
        <v>1.37</v>
      </c>
      <c r="G25" s="36" t="n">
        <v>3.12</v>
      </c>
      <c r="H25" s="37" t="n">
        <v>0.5555555555555556</v>
      </c>
      <c r="I25" s="37" t="n">
        <v>1</v>
      </c>
      <c r="J25" s="37" t="n">
        <v>0.5294117647058824</v>
      </c>
      <c r="K25" s="37" t="n">
        <v>1</v>
      </c>
      <c r="L25" s="37" t="n">
        <v>1</v>
      </c>
      <c r="M25" s="37" t="n">
        <v>1</v>
      </c>
      <c r="N25" s="37" t="n">
        <v>0.1666666666666667</v>
      </c>
      <c r="O25" s="36" t="n">
        <v>0</v>
      </c>
      <c r="P25" s="36" t="n">
        <v>1.8</v>
      </c>
      <c r="Q25" s="36" t="n">
        <v>5.13</v>
      </c>
      <c r="R25" s="36" t="n">
        <v>36.09</v>
      </c>
      <c r="S25" s="36" t="n">
        <v>0</v>
      </c>
      <c r="T25" s="37" t="n">
        <v>0.7727272727272727</v>
      </c>
      <c r="U25" s="37" t="n">
        <v>1</v>
      </c>
      <c r="V25" s="37" t="n">
        <v>0.7222222222222222</v>
      </c>
      <c r="W25" s="37" t="n">
        <v>0.75</v>
      </c>
    </row>
    <row r="26">
      <c r="A26" s="53" t="n">
        <v>45748</v>
      </c>
      <c r="B26" t="inlineStr">
        <is>
          <t>R06_Jawa Timur</t>
        </is>
      </c>
      <c r="C26" t="inlineStr">
        <is>
          <t>NOP KEDIRI</t>
        </is>
      </c>
      <c r="D26" s="36" t="n">
        <v>0</v>
      </c>
      <c r="E26" s="36" t="n">
        <v>0.7</v>
      </c>
      <c r="F26" s="36" t="n">
        <v>1.29</v>
      </c>
      <c r="G26" s="36" t="n">
        <v>0.5600000000000001</v>
      </c>
      <c r="H26" s="37" t="n">
        <v>0.96</v>
      </c>
      <c r="I26" s="37" t="n">
        <v>1</v>
      </c>
      <c r="J26" s="37" t="n">
        <v>0.9565217391304348</v>
      </c>
      <c r="K26" s="37" t="n">
        <v>0.5</v>
      </c>
      <c r="L26" s="37" t="n">
        <v>0.5</v>
      </c>
      <c r="M26" s="37" t="n">
        <v>1</v>
      </c>
      <c r="N26" s="37" t="n">
        <v>0.52</v>
      </c>
      <c r="O26" s="36" t="n">
        <v>0</v>
      </c>
      <c r="P26" s="36" t="n">
        <v>2.24</v>
      </c>
      <c r="Q26" s="36" t="n">
        <v>3.5</v>
      </c>
      <c r="R26" s="36" t="n">
        <v>0</v>
      </c>
      <c r="S26" s="36" t="n">
        <v>0</v>
      </c>
      <c r="T26" s="37" t="n">
        <v>1</v>
      </c>
      <c r="U26" s="37" t="n">
        <v>1</v>
      </c>
      <c r="V26" s="37" t="n">
        <v>1</v>
      </c>
      <c r="W26" s="37" t="n">
        <v>0.75</v>
      </c>
    </row>
    <row r="27">
      <c r="A27" s="53" t="n">
        <v>45748</v>
      </c>
      <c r="B27" t="inlineStr">
        <is>
          <t>R06_Jawa Timur</t>
        </is>
      </c>
      <c r="C27" t="inlineStr">
        <is>
          <t>NOP LAMONGAN</t>
        </is>
      </c>
      <c r="D27" s="36" t="n">
        <v>0.98</v>
      </c>
      <c r="E27" s="36" t="n">
        <v>0</v>
      </c>
      <c r="F27" s="36" t="n">
        <v>0.99</v>
      </c>
      <c r="G27" s="36" t="n">
        <v>0</v>
      </c>
      <c r="H27" s="37" t="n">
        <v>1</v>
      </c>
      <c r="I27" s="37" t="n">
        <v>1</v>
      </c>
      <c r="J27" s="37" t="n">
        <v>1</v>
      </c>
      <c r="K27" s="37" t="n">
        <v>1</v>
      </c>
      <c r="L27" s="37" t="n">
        <v>1</v>
      </c>
      <c r="M27" s="37" t="n">
        <v>1</v>
      </c>
      <c r="N27" s="37" t="n">
        <v>0.875</v>
      </c>
      <c r="O27" s="36" t="n">
        <v>0</v>
      </c>
      <c r="P27" s="36" t="n">
        <v>1.88</v>
      </c>
      <c r="Q27" s="36" t="n">
        <v>1.71</v>
      </c>
      <c r="R27" s="36" t="n">
        <v>29.24</v>
      </c>
      <c r="S27" s="36" t="n">
        <v>0</v>
      </c>
      <c r="T27" s="37" t="n">
        <v>1</v>
      </c>
      <c r="U27" s="37" t="n">
        <v>1</v>
      </c>
      <c r="V27" s="37" t="n">
        <v>1</v>
      </c>
      <c r="W27" s="37" t="n">
        <v>1</v>
      </c>
    </row>
    <row r="28">
      <c r="A28" s="53" t="n">
        <v>45748</v>
      </c>
      <c r="B28" t="inlineStr">
        <is>
          <t>R06_Jawa Timur</t>
        </is>
      </c>
      <c r="C28" t="inlineStr">
        <is>
          <t>NOP MADIUN</t>
        </is>
      </c>
      <c r="D28" s="36" t="n">
        <v>0</v>
      </c>
      <c r="E28" s="36" t="n">
        <v>0</v>
      </c>
      <c r="F28" s="36" t="n">
        <v>3.65</v>
      </c>
      <c r="G28" s="36" t="n">
        <v>2.08</v>
      </c>
      <c r="H28" s="37" t="n">
        <v>0.8666666666666667</v>
      </c>
      <c r="I28" s="37" t="n">
        <v>0</v>
      </c>
      <c r="J28" s="37" t="n">
        <v>0.8666666666666667</v>
      </c>
      <c r="K28" s="37" t="n">
        <v>0</v>
      </c>
      <c r="L28" s="37" t="n">
        <v>0</v>
      </c>
      <c r="M28" s="37" t="n">
        <v>1</v>
      </c>
      <c r="N28" s="37" t="n">
        <v>0.5333333333333333</v>
      </c>
      <c r="O28" s="36" t="n">
        <v>0</v>
      </c>
      <c r="P28" s="36" t="n">
        <v>3.14</v>
      </c>
      <c r="Q28" s="36" t="n">
        <v>16.15</v>
      </c>
      <c r="R28" s="36" t="n">
        <v>8.130000000000001</v>
      </c>
      <c r="S28" s="36" t="n">
        <v>0</v>
      </c>
      <c r="T28" s="37" t="n">
        <v>0.8571428571428571</v>
      </c>
      <c r="U28" s="37" t="n">
        <v>0.6666666666666666</v>
      </c>
      <c r="V28" s="37" t="n">
        <v>1</v>
      </c>
      <c r="W28" s="37" t="n">
        <v>0.5</v>
      </c>
    </row>
    <row r="29">
      <c r="A29" s="53" t="n">
        <v>45748</v>
      </c>
      <c r="B29" t="inlineStr">
        <is>
          <t>R06_Jawa Timur</t>
        </is>
      </c>
      <c r="C29" t="inlineStr">
        <is>
          <t>NOP MALANG</t>
        </is>
      </c>
      <c r="D29" s="36" t="n">
        <v>0</v>
      </c>
      <c r="E29" s="36" t="n">
        <v>0</v>
      </c>
      <c r="F29" s="36" t="n">
        <v>3.37</v>
      </c>
      <c r="G29" s="36" t="n">
        <v>2.24</v>
      </c>
      <c r="H29" s="37" t="n">
        <v>0.8</v>
      </c>
      <c r="I29" s="37" t="n">
        <v>0</v>
      </c>
      <c r="J29" s="37" t="n">
        <v>0.8</v>
      </c>
      <c r="K29" s="37" t="n">
        <v>0</v>
      </c>
      <c r="L29" s="37" t="n">
        <v>0</v>
      </c>
      <c r="M29" s="37" t="n">
        <v>1</v>
      </c>
      <c r="N29" s="37" t="n">
        <v>0.7</v>
      </c>
      <c r="O29" s="36" t="n">
        <v>0</v>
      </c>
      <c r="P29" s="36" t="n">
        <v>0</v>
      </c>
      <c r="Q29" s="36" t="n">
        <v>3.47</v>
      </c>
      <c r="R29" s="36" t="n">
        <v>27.99</v>
      </c>
      <c r="S29" s="36" t="n">
        <v>0</v>
      </c>
      <c r="T29" s="37" t="n">
        <v>0.7142857142857143</v>
      </c>
      <c r="U29" s="37" t="n">
        <v>0</v>
      </c>
      <c r="V29" s="37" t="n">
        <v>0.7142857142857143</v>
      </c>
      <c r="W29" s="37" t="n">
        <v>0</v>
      </c>
    </row>
    <row r="30">
      <c r="A30" s="53" t="n">
        <v>45748</v>
      </c>
      <c r="B30" t="inlineStr">
        <is>
          <t>R06_Jawa Timur</t>
        </is>
      </c>
      <c r="C30" t="inlineStr">
        <is>
          <t>NOP SIDOARJO</t>
        </is>
      </c>
      <c r="D30" s="36" t="n">
        <v>4.02</v>
      </c>
      <c r="E30" s="36" t="n">
        <v>0</v>
      </c>
      <c r="F30" s="36" t="n">
        <v>2.77</v>
      </c>
      <c r="G30" s="36" t="n">
        <v>1.77</v>
      </c>
      <c r="H30" s="37" t="n">
        <v>0.8181818181818182</v>
      </c>
      <c r="I30" s="37" t="n">
        <v>1</v>
      </c>
      <c r="J30" s="37" t="n">
        <v>0.75</v>
      </c>
      <c r="K30" s="37" t="n">
        <v>1</v>
      </c>
      <c r="L30" s="37" t="n">
        <v>1</v>
      </c>
      <c r="M30" s="37" t="n">
        <v>1</v>
      </c>
      <c r="N30" s="37" t="n">
        <v>0.5454545454545454</v>
      </c>
      <c r="O30" s="36" t="n">
        <v>0</v>
      </c>
      <c r="P30" s="36" t="n">
        <v>209.14</v>
      </c>
      <c r="Q30" s="36" t="n">
        <v>2.83</v>
      </c>
      <c r="R30" s="36" t="n">
        <v>96.73999999999999</v>
      </c>
      <c r="S30" s="36" t="n">
        <v>0</v>
      </c>
      <c r="T30" s="37" t="n">
        <v>0.7619047619047619</v>
      </c>
      <c r="U30" s="37" t="n">
        <v>1</v>
      </c>
      <c r="V30" s="37" t="n">
        <v>0.75</v>
      </c>
      <c r="W30" s="37" t="n">
        <v>1</v>
      </c>
    </row>
    <row r="31">
      <c r="A31" s="53" t="n">
        <v>45748</v>
      </c>
      <c r="B31" t="inlineStr">
        <is>
          <t>R06_Jawa Timur</t>
        </is>
      </c>
      <c r="C31" t="inlineStr">
        <is>
          <t>NOP SURABAYA</t>
        </is>
      </c>
      <c r="D31" s="36" t="n">
        <v>3.17</v>
      </c>
      <c r="E31" s="36" t="n">
        <v>0</v>
      </c>
      <c r="F31" s="36" t="n">
        <v>0.64</v>
      </c>
      <c r="G31" s="36" t="n">
        <v>2.09</v>
      </c>
      <c r="H31" s="37" t="n">
        <v>0.4166666666666667</v>
      </c>
      <c r="I31" s="37" t="n">
        <v>0.3333333333333333</v>
      </c>
      <c r="J31" s="37" t="n">
        <v>0.4444444444444444</v>
      </c>
      <c r="K31" s="37" t="n">
        <v>1</v>
      </c>
      <c r="L31" s="37" t="n">
        <v>1</v>
      </c>
      <c r="M31" s="37" t="n">
        <v>1</v>
      </c>
      <c r="N31" s="37" t="n">
        <v>0.08333333333333333</v>
      </c>
      <c r="O31" s="36" t="n">
        <v>0.04</v>
      </c>
      <c r="P31" s="36" t="n">
        <v>0.88</v>
      </c>
      <c r="Q31" s="36" t="n">
        <v>7.39</v>
      </c>
      <c r="R31" s="36" t="n">
        <v>21.84</v>
      </c>
      <c r="S31" s="36" t="n">
        <v>0</v>
      </c>
      <c r="T31" s="37" t="n">
        <v>0.6666666666666666</v>
      </c>
      <c r="U31" s="37" t="n">
        <v>0.25</v>
      </c>
      <c r="V31" s="37" t="n">
        <v>0.7307692307692307</v>
      </c>
      <c r="W31" s="37" t="n">
        <v>1</v>
      </c>
    </row>
    <row r="32">
      <c r="A32" s="53" t="n">
        <v>45748</v>
      </c>
      <c r="B32" t="inlineStr">
        <is>
          <t>R07_Bali Nusra</t>
        </is>
      </c>
      <c r="C32" t="inlineStr">
        <is>
          <t>NOP DENPASAR</t>
        </is>
      </c>
      <c r="D32" s="36" t="n">
        <v>1.23</v>
      </c>
      <c r="E32" s="36" t="n">
        <v>0</v>
      </c>
      <c r="F32" s="36" t="n">
        <v>1.25</v>
      </c>
      <c r="G32" s="36" t="n">
        <v>4.31</v>
      </c>
      <c r="H32" s="37" t="n">
        <v>0.9230769230769231</v>
      </c>
      <c r="I32" s="37" t="n">
        <v>0.75</v>
      </c>
      <c r="J32" s="37" t="n">
        <v>1</v>
      </c>
      <c r="K32" s="37" t="n">
        <v>1</v>
      </c>
      <c r="L32" s="37" t="n">
        <v>1</v>
      </c>
      <c r="M32" s="37" t="n">
        <v>0.9230769230769231</v>
      </c>
      <c r="N32" s="37" t="n">
        <v>1</v>
      </c>
      <c r="O32" s="36" t="n">
        <v>0</v>
      </c>
      <c r="P32" s="36" t="n">
        <v>13.32</v>
      </c>
      <c r="Q32" s="36" t="n">
        <v>117.47</v>
      </c>
      <c r="R32" s="36" t="n">
        <v>7.57</v>
      </c>
      <c r="S32" s="36" t="n">
        <v>0</v>
      </c>
      <c r="T32" s="37" t="n">
        <v>0.8947368421052632</v>
      </c>
      <c r="U32" s="37" t="n">
        <v>0.875</v>
      </c>
      <c r="V32" s="37" t="n">
        <v>0.9090909090909091</v>
      </c>
      <c r="W32" s="37" t="n">
        <v>0.7142857142857143</v>
      </c>
    </row>
    <row r="33">
      <c r="A33" s="53" t="n">
        <v>45748</v>
      </c>
      <c r="B33" t="inlineStr">
        <is>
          <t>R07_Bali Nusra</t>
        </is>
      </c>
      <c r="C33" t="inlineStr">
        <is>
          <t>NOP FLORES</t>
        </is>
      </c>
      <c r="D33" s="36" t="n">
        <v>3.83</v>
      </c>
      <c r="E33" s="36" t="n">
        <v>2.18</v>
      </c>
      <c r="F33" s="36" t="n">
        <v>9.17</v>
      </c>
      <c r="G33" s="36" t="n">
        <v>8.26</v>
      </c>
      <c r="H33" s="37" t="n">
        <v>0.3928571428571428</v>
      </c>
      <c r="I33" s="37" t="n">
        <v>0.4444444444444444</v>
      </c>
      <c r="J33" s="37" t="n">
        <v>0.3829787234042553</v>
      </c>
      <c r="K33" s="37" t="n">
        <v>0.75</v>
      </c>
      <c r="L33" s="37" t="n">
        <v>0.75</v>
      </c>
      <c r="M33" s="37" t="n">
        <v>1</v>
      </c>
      <c r="N33" s="37" t="n">
        <v>0.2142857142857143</v>
      </c>
      <c r="O33" s="36" t="n">
        <v>0.17</v>
      </c>
      <c r="P33" s="36" t="n">
        <v>21.14</v>
      </c>
      <c r="Q33" s="36" t="n">
        <v>10.07</v>
      </c>
      <c r="R33" s="36" t="n">
        <v>62.14</v>
      </c>
      <c r="S33" s="36" t="n">
        <v>0</v>
      </c>
      <c r="T33" s="37" t="n">
        <v>0.3627450980392157</v>
      </c>
      <c r="U33" s="37" t="n">
        <v>0.4090909090909091</v>
      </c>
      <c r="V33" s="37" t="n">
        <v>0.2777777777777778</v>
      </c>
      <c r="W33" s="37" t="n">
        <v>0.5925925925925926</v>
      </c>
    </row>
    <row r="34">
      <c r="A34" s="53" t="n">
        <v>45748</v>
      </c>
      <c r="B34" t="inlineStr">
        <is>
          <t>R07_Bali Nusra</t>
        </is>
      </c>
      <c r="C34" t="inlineStr">
        <is>
          <t>NOP KUPANG</t>
        </is>
      </c>
      <c r="D34" s="36" t="n">
        <v>0</v>
      </c>
      <c r="E34" s="36" t="n">
        <v>0</v>
      </c>
      <c r="F34" s="36" t="n">
        <v>1.46</v>
      </c>
      <c r="G34" s="36" t="n">
        <v>3.9</v>
      </c>
      <c r="H34" s="37" t="n">
        <v>0.1724137931034483</v>
      </c>
      <c r="I34" s="37" t="n">
        <v>0</v>
      </c>
      <c r="J34" s="37" t="n">
        <v>0.1724137931034483</v>
      </c>
      <c r="K34" s="37" t="n">
        <v>0</v>
      </c>
      <c r="L34" s="37" t="n">
        <v>0</v>
      </c>
      <c r="M34" s="37" t="n">
        <v>0.9655172413793104</v>
      </c>
      <c r="N34" s="37" t="n">
        <v>0.1379310344827586</v>
      </c>
      <c r="O34" s="36" t="n">
        <v>0</v>
      </c>
      <c r="P34" s="36" t="n">
        <v>35.15</v>
      </c>
      <c r="Q34" s="36" t="n">
        <v>42.64</v>
      </c>
      <c r="R34" s="36" t="n">
        <v>457.46</v>
      </c>
      <c r="S34" s="36" t="n">
        <v>0</v>
      </c>
      <c r="T34" s="37" t="n">
        <v>0.4878048780487805</v>
      </c>
      <c r="U34" s="37" t="n">
        <v>0.5185185185185185</v>
      </c>
      <c r="V34" s="37" t="n">
        <v>0.4285714285714285</v>
      </c>
      <c r="W34" s="37" t="n">
        <v>0.4285714285714285</v>
      </c>
    </row>
    <row r="35">
      <c r="A35" s="53" t="n">
        <v>45748</v>
      </c>
      <c r="B35" t="inlineStr">
        <is>
          <t>R07_Bali Nusra</t>
        </is>
      </c>
      <c r="C35" t="inlineStr">
        <is>
          <t>NOP MATARAM</t>
        </is>
      </c>
      <c r="D35" s="36" t="n">
        <v>0</v>
      </c>
      <c r="E35" s="36" t="n">
        <v>0</v>
      </c>
      <c r="F35" s="36" t="n">
        <v>0.48</v>
      </c>
      <c r="G35" s="36" t="n">
        <v>9.859999999999999</v>
      </c>
      <c r="H35" s="37" t="n">
        <v>0.625</v>
      </c>
      <c r="I35" s="37" t="n">
        <v>0</v>
      </c>
      <c r="J35" s="37" t="n">
        <v>0.625</v>
      </c>
      <c r="K35" s="37" t="n">
        <v>0</v>
      </c>
      <c r="L35" s="37" t="n">
        <v>0</v>
      </c>
      <c r="M35" s="37" t="n">
        <v>1</v>
      </c>
      <c r="N35" s="37" t="n">
        <v>0.375</v>
      </c>
      <c r="O35" s="36" t="n">
        <v>0</v>
      </c>
      <c r="P35" s="36" t="n">
        <v>20.95</v>
      </c>
      <c r="Q35" s="36" t="n">
        <v>9.06</v>
      </c>
      <c r="R35" s="36" t="n">
        <v>140.88</v>
      </c>
      <c r="S35" s="36" t="n">
        <v>0</v>
      </c>
      <c r="T35" s="37" t="n">
        <v>0.2222222222222222</v>
      </c>
      <c r="U35" s="37" t="n">
        <v>0.2727272727272727</v>
      </c>
      <c r="V35" s="37" t="n">
        <v>0.1739130434782609</v>
      </c>
      <c r="W35" s="37" t="n">
        <v>0.6666666666666666</v>
      </c>
    </row>
    <row r="36">
      <c r="A36" s="53" t="n">
        <v>45749</v>
      </c>
      <c r="B36" t="inlineStr">
        <is>
          <t>R01_Sumbagut</t>
        </is>
      </c>
      <c r="C36" t="inlineStr">
        <is>
          <t>NOP ACEH</t>
        </is>
      </c>
      <c r="D36" s="36" t="n">
        <v>2.45</v>
      </c>
      <c r="E36" s="36" t="n">
        <v>4.77</v>
      </c>
      <c r="F36" s="36" t="n">
        <v>4.27</v>
      </c>
      <c r="G36" s="36" t="n">
        <v>4.68</v>
      </c>
      <c r="H36" s="37" t="n">
        <v>0.8415300546448088</v>
      </c>
      <c r="I36" s="37" t="n">
        <v>0.8909090909090909</v>
      </c>
      <c r="J36" s="37" t="n">
        <v>0.8203125</v>
      </c>
      <c r="K36" s="37" t="n">
        <v>0.3469387755102041</v>
      </c>
      <c r="L36" s="37" t="n">
        <v>0.3541666666666667</v>
      </c>
      <c r="M36" s="37" t="n">
        <v>1</v>
      </c>
      <c r="N36" s="37" t="n">
        <v>0.2677595628415301</v>
      </c>
      <c r="O36" s="36" t="n">
        <v>0.03</v>
      </c>
      <c r="P36" s="36" t="n">
        <v>2.57</v>
      </c>
      <c r="Q36" s="36" t="n">
        <v>41.68</v>
      </c>
      <c r="R36" s="36" t="n">
        <v>113.36</v>
      </c>
      <c r="S36" s="36" t="n">
        <v>0</v>
      </c>
      <c r="T36" s="37" t="n">
        <v>0.8667664670658682</v>
      </c>
      <c r="U36" s="37" t="n">
        <v>0.6933333333333334</v>
      </c>
      <c r="V36" s="37" t="n">
        <v>0.8887015177065767</v>
      </c>
      <c r="W36" s="37" t="n">
        <v>0.1538461538461539</v>
      </c>
    </row>
    <row r="37">
      <c r="A37" s="53" t="n">
        <v>45749</v>
      </c>
      <c r="B37" t="inlineStr">
        <is>
          <t>R01_Sumbagut</t>
        </is>
      </c>
      <c r="C37" t="inlineStr">
        <is>
          <t>NOP BINJAI</t>
        </is>
      </c>
      <c r="D37" s="36" t="n">
        <v>0</v>
      </c>
      <c r="E37" s="36" t="n">
        <v>5.49</v>
      </c>
      <c r="F37" s="36" t="n">
        <v>3.01</v>
      </c>
      <c r="G37" s="36" t="n">
        <v>4.25</v>
      </c>
      <c r="H37" s="37" t="n">
        <v>0.5903614457831325</v>
      </c>
      <c r="I37" s="37" t="n">
        <v>0.7272727272727273</v>
      </c>
      <c r="J37" s="37" t="n">
        <v>0.5694444444444444</v>
      </c>
      <c r="K37" s="37" t="n">
        <v>0.5</v>
      </c>
      <c r="L37" s="37" t="n">
        <v>0.5</v>
      </c>
      <c r="M37" s="37" t="n">
        <v>1</v>
      </c>
      <c r="N37" s="37" t="n">
        <v>0.3493975903614458</v>
      </c>
      <c r="O37" s="36" t="n">
        <v>0</v>
      </c>
      <c r="P37" s="36" t="n">
        <v>2.8</v>
      </c>
      <c r="Q37" s="36" t="n">
        <v>61.66</v>
      </c>
      <c r="R37" s="36" t="n">
        <v>86.68000000000001</v>
      </c>
      <c r="S37" s="36" t="n">
        <v>0</v>
      </c>
      <c r="T37" s="37" t="n">
        <v>0.5182926829268293</v>
      </c>
      <c r="U37" s="37" t="n">
        <v>0.5</v>
      </c>
      <c r="V37" s="37" t="n">
        <v>0.5</v>
      </c>
      <c r="W37" s="37" t="n">
        <v>0.5</v>
      </c>
    </row>
    <row r="38">
      <c r="A38" s="53" t="n">
        <v>45749</v>
      </c>
      <c r="B38" t="inlineStr">
        <is>
          <t>R01_Sumbagut</t>
        </is>
      </c>
      <c r="C38" t="inlineStr">
        <is>
          <t>NOP MEDAN</t>
        </is>
      </c>
      <c r="D38" s="36" t="n">
        <v>0</v>
      </c>
      <c r="E38" s="36" t="n">
        <v>3.64</v>
      </c>
      <c r="F38" s="36" t="n">
        <v>2.37</v>
      </c>
      <c r="G38" s="36" t="n">
        <v>3.37</v>
      </c>
      <c r="H38" s="37" t="n">
        <v>0.1666666666666667</v>
      </c>
      <c r="I38" s="37" t="n">
        <v>0.5</v>
      </c>
      <c r="J38" s="37" t="n">
        <v>0.125</v>
      </c>
      <c r="K38" s="37" t="n">
        <v>1</v>
      </c>
      <c r="L38" s="37" t="n">
        <v>1</v>
      </c>
      <c r="M38" s="37" t="n">
        <v>1</v>
      </c>
      <c r="N38" s="37" t="n">
        <v>0.09259259259259259</v>
      </c>
      <c r="O38" s="36" t="n">
        <v>0</v>
      </c>
      <c r="P38" s="36" t="n">
        <v>3</v>
      </c>
      <c r="Q38" s="36" t="n">
        <v>12.08</v>
      </c>
      <c r="R38" s="36" t="n">
        <v>5.49</v>
      </c>
      <c r="S38" s="36" t="n">
        <v>0</v>
      </c>
      <c r="T38" s="37" t="n">
        <v>0.2295081967213115</v>
      </c>
      <c r="U38" s="37" t="n">
        <v>0.1875</v>
      </c>
      <c r="V38" s="37" t="n">
        <v>0.2444444444444444</v>
      </c>
      <c r="W38" s="37" t="n">
        <v>1</v>
      </c>
    </row>
    <row r="39">
      <c r="A39" s="53" t="n">
        <v>45749</v>
      </c>
      <c r="B39" t="inlineStr">
        <is>
          <t>R01_Sumbagut</t>
        </is>
      </c>
      <c r="C39" t="inlineStr">
        <is>
          <t>NOP PADANG SIDEMPUAN</t>
        </is>
      </c>
      <c r="D39" s="36" t="n">
        <v>0</v>
      </c>
      <c r="E39" s="36" t="n">
        <v>2.41</v>
      </c>
      <c r="F39" s="36" t="n">
        <v>3.42</v>
      </c>
      <c r="G39" s="36" t="n">
        <v>2.82</v>
      </c>
      <c r="H39" s="37" t="n">
        <v>0.3253968253968254</v>
      </c>
      <c r="I39" s="37" t="n">
        <v>0.6363636363636364</v>
      </c>
      <c r="J39" s="37" t="n">
        <v>0.2956521739130435</v>
      </c>
      <c r="K39" s="37" t="n">
        <v>0.5714285714285714</v>
      </c>
      <c r="L39" s="37" t="n">
        <v>0.5714285714285714</v>
      </c>
      <c r="M39" s="37" t="n">
        <v>1</v>
      </c>
      <c r="N39" s="37" t="n">
        <v>0.1349206349206349</v>
      </c>
      <c r="O39" s="36" t="n">
        <v>0.01</v>
      </c>
      <c r="P39" s="36" t="n">
        <v>1.44</v>
      </c>
      <c r="Q39" s="36" t="n">
        <v>13.36</v>
      </c>
      <c r="R39" s="36" t="n">
        <v>66.09999999999999</v>
      </c>
      <c r="S39" s="36" t="n">
        <v>0</v>
      </c>
      <c r="T39" s="37" t="n">
        <v>0.2536082474226804</v>
      </c>
      <c r="U39" s="37" t="n">
        <v>0.4660194174757282</v>
      </c>
      <c r="V39" s="37" t="n">
        <v>0.1942257217847769</v>
      </c>
      <c r="W39" s="37" t="n">
        <v>0.4791666666666667</v>
      </c>
    </row>
    <row r="40">
      <c r="A40" s="53" t="n">
        <v>45749</v>
      </c>
      <c r="B40" t="inlineStr">
        <is>
          <t>R01_Sumbagut</t>
        </is>
      </c>
      <c r="C40" t="inlineStr">
        <is>
          <t>NOP PEMATANG SIANTAR</t>
        </is>
      </c>
      <c r="D40" s="36" t="n">
        <v>1.07</v>
      </c>
      <c r="E40" s="36" t="n">
        <v>5.86</v>
      </c>
      <c r="F40" s="36" t="n">
        <v>4.48</v>
      </c>
      <c r="G40" s="36" t="n">
        <v>5.44</v>
      </c>
      <c r="H40" s="37" t="n">
        <v>0.2133333333333333</v>
      </c>
      <c r="I40" s="37" t="n">
        <v>0.2765957446808511</v>
      </c>
      <c r="J40" s="37" t="n">
        <v>0.1844660194174757</v>
      </c>
      <c r="K40" s="37" t="n">
        <v>0.8461538461538461</v>
      </c>
      <c r="L40" s="37" t="n">
        <v>0.8461538461538461</v>
      </c>
      <c r="M40" s="37" t="n">
        <v>0.9933333333333333</v>
      </c>
      <c r="N40" s="37" t="n">
        <v>0.1666666666666667</v>
      </c>
      <c r="O40" s="36" t="n">
        <v>0</v>
      </c>
      <c r="P40" s="36" t="n">
        <v>3.39</v>
      </c>
      <c r="Q40" s="36" t="n">
        <v>64.73</v>
      </c>
      <c r="R40" s="36" t="n">
        <v>58.68</v>
      </c>
      <c r="S40" s="36" t="n">
        <v>0</v>
      </c>
      <c r="T40" s="37" t="n">
        <v>0.09781209781209781</v>
      </c>
      <c r="U40" s="37" t="n">
        <v>0.2151898734177215</v>
      </c>
      <c r="V40" s="37" t="n">
        <v>0.08464849354375897</v>
      </c>
      <c r="W40" s="37" t="n">
        <v>0.9411764705882353</v>
      </c>
    </row>
    <row r="41">
      <c r="A41" s="53" t="n">
        <v>45749</v>
      </c>
      <c r="B41" t="inlineStr">
        <is>
          <t>R01_Sumbagut</t>
        </is>
      </c>
      <c r="C41" t="inlineStr">
        <is>
          <t>NOP RANTAU PRAPAT</t>
        </is>
      </c>
      <c r="D41" s="36" t="n">
        <v>3.99</v>
      </c>
      <c r="E41" s="36" t="n">
        <v>5.99</v>
      </c>
      <c r="F41" s="36" t="n">
        <v>5.85</v>
      </c>
      <c r="G41" s="36" t="n">
        <v>3.43</v>
      </c>
      <c r="H41" s="37" t="n">
        <v>0.2544080604534005</v>
      </c>
      <c r="I41" s="37" t="n">
        <v>0.3163265306122449</v>
      </c>
      <c r="J41" s="37" t="n">
        <v>0.234113712374582</v>
      </c>
      <c r="K41" s="37" t="n">
        <v>0.4838709677419355</v>
      </c>
      <c r="L41" s="37" t="n">
        <v>0.4838709677419355</v>
      </c>
      <c r="M41" s="37" t="n">
        <v>0.9874055415617129</v>
      </c>
      <c r="N41" s="37" t="n">
        <v>0.1360201511335013</v>
      </c>
      <c r="O41" s="36" t="n">
        <v>0</v>
      </c>
      <c r="P41" s="36" t="n">
        <v>4.29</v>
      </c>
      <c r="Q41" s="36" t="n">
        <v>23.26</v>
      </c>
      <c r="R41" s="36" t="n">
        <v>20.82</v>
      </c>
      <c r="S41" s="36" t="n">
        <v>0</v>
      </c>
      <c r="T41" s="37" t="n">
        <v>0.05402298850574713</v>
      </c>
      <c r="U41" s="37" t="n">
        <v>0.1415929203539823</v>
      </c>
      <c r="V41" s="37" t="n">
        <v>0.03713527851458886</v>
      </c>
      <c r="W41" s="37" t="n">
        <v>0.4375</v>
      </c>
    </row>
    <row r="42">
      <c r="A42" s="53" t="n">
        <v>45749</v>
      </c>
      <c r="B42" t="inlineStr">
        <is>
          <t>R10_Sumbagteng</t>
        </is>
      </c>
      <c r="C42" t="inlineStr">
        <is>
          <t>NOP BATAM</t>
        </is>
      </c>
      <c r="D42" s="36" t="n">
        <v>0.68</v>
      </c>
      <c r="E42" s="36" t="n">
        <v>5.71</v>
      </c>
      <c r="F42" s="36" t="n">
        <v>7.49</v>
      </c>
      <c r="G42" s="36" t="n">
        <v>6.22</v>
      </c>
      <c r="H42" s="37" t="n">
        <v>0.2105263157894737</v>
      </c>
      <c r="I42" s="37" t="n">
        <v>0.08</v>
      </c>
      <c r="J42" s="37" t="n">
        <v>0.2282608695652174</v>
      </c>
      <c r="K42" s="37" t="n">
        <v>0.5</v>
      </c>
      <c r="L42" s="37" t="n">
        <v>0.5</v>
      </c>
      <c r="M42" s="37" t="n">
        <v>1</v>
      </c>
      <c r="N42" s="37" t="n">
        <v>0.06698564593301436</v>
      </c>
      <c r="O42" s="36" t="n">
        <v>0</v>
      </c>
      <c r="P42" s="36" t="n">
        <v>6.58</v>
      </c>
      <c r="Q42" s="36" t="n">
        <v>24.92</v>
      </c>
      <c r="R42" s="36" t="n">
        <v>20.33</v>
      </c>
      <c r="S42" s="36" t="n">
        <v>0</v>
      </c>
      <c r="T42" s="37" t="n">
        <v>0.1071428571428571</v>
      </c>
      <c r="U42" s="37" t="n">
        <v>0.1</v>
      </c>
      <c r="V42" s="37" t="n">
        <v>0.1091314031180401</v>
      </c>
      <c r="W42" s="37" t="n">
        <v>0.6363636363636364</v>
      </c>
    </row>
    <row r="43">
      <c r="A43" s="53" t="n">
        <v>45749</v>
      </c>
      <c r="B43" t="inlineStr">
        <is>
          <t>R10_Sumbagteng</t>
        </is>
      </c>
      <c r="C43" t="inlineStr">
        <is>
          <t>NOP BUKITTINGGI</t>
        </is>
      </c>
      <c r="D43" s="36" t="n">
        <v>0</v>
      </c>
      <c r="E43" s="36" t="n">
        <v>8.800000000000001</v>
      </c>
      <c r="F43" s="36" t="n">
        <v>3.2</v>
      </c>
      <c r="G43" s="36" t="n">
        <v>5.38</v>
      </c>
      <c r="H43" s="37" t="n">
        <v>0.603448275862069</v>
      </c>
      <c r="I43" s="37" t="n">
        <v>0.8181818181818182</v>
      </c>
      <c r="J43" s="37" t="n">
        <v>0.5531914893617021</v>
      </c>
      <c r="K43" s="37" t="n">
        <v>0.7777777777777778</v>
      </c>
      <c r="L43" s="37" t="n">
        <v>0.7777777777777778</v>
      </c>
      <c r="M43" s="37" t="n">
        <v>1</v>
      </c>
      <c r="N43" s="37" t="n">
        <v>0.4137931034482759</v>
      </c>
      <c r="O43" s="36" t="n">
        <v>0</v>
      </c>
      <c r="P43" s="36" t="n">
        <v>4.75</v>
      </c>
      <c r="Q43" s="36" t="n">
        <v>6.57</v>
      </c>
      <c r="R43" s="36" t="n">
        <v>77.7</v>
      </c>
      <c r="S43" s="36" t="n">
        <v>0</v>
      </c>
      <c r="T43" s="37" t="n">
        <v>0.3248407643312102</v>
      </c>
      <c r="U43" s="37" t="n">
        <v>0.8333333333333334</v>
      </c>
      <c r="V43" s="37" t="n">
        <v>0.2837370242214533</v>
      </c>
      <c r="W43" s="37" t="n">
        <v>0.6</v>
      </c>
    </row>
    <row r="44">
      <c r="A44" s="53" t="n">
        <v>45749</v>
      </c>
      <c r="B44" t="inlineStr">
        <is>
          <t>R10_Sumbagteng</t>
        </is>
      </c>
      <c r="C44" t="inlineStr">
        <is>
          <t>NOP DUMAI</t>
        </is>
      </c>
      <c r="D44" s="36" t="n">
        <v>5.81</v>
      </c>
      <c r="E44" s="36" t="n">
        <v>4.04</v>
      </c>
      <c r="F44" s="36" t="n">
        <v>5.27</v>
      </c>
      <c r="G44" s="36" t="n">
        <v>5.73</v>
      </c>
      <c r="H44" s="37" t="n">
        <v>0.4674698795180723</v>
      </c>
      <c r="I44" s="37" t="n">
        <v>0.5301204819277109</v>
      </c>
      <c r="J44" s="37" t="n">
        <v>0.4518072289156627</v>
      </c>
      <c r="K44" s="37" t="n">
        <v>0.6590909090909091</v>
      </c>
      <c r="L44" s="37" t="n">
        <v>0.717948717948718</v>
      </c>
      <c r="M44" s="37" t="n">
        <v>0.9734939759036144</v>
      </c>
      <c r="N44" s="37" t="n">
        <v>0.2650602409638554</v>
      </c>
      <c r="O44" s="36" t="n">
        <v>0.18</v>
      </c>
      <c r="P44" s="36" t="n">
        <v>6.53</v>
      </c>
      <c r="Q44" s="36" t="n">
        <v>42.25</v>
      </c>
      <c r="R44" s="36" t="n">
        <v>74.20999999999999</v>
      </c>
      <c r="S44" s="36" t="n">
        <v>0</v>
      </c>
      <c r="T44" s="37" t="n">
        <v>0.2397163120567376</v>
      </c>
      <c r="U44" s="37" t="n">
        <v>0.3109756097560976</v>
      </c>
      <c r="V44" s="37" t="n">
        <v>0.2185185185185185</v>
      </c>
      <c r="W44" s="37" t="n">
        <v>0.9411764705882353</v>
      </c>
    </row>
    <row r="45">
      <c r="A45" s="53" t="n">
        <v>45749</v>
      </c>
      <c r="B45" t="inlineStr">
        <is>
          <t>R10_Sumbagteng</t>
        </is>
      </c>
      <c r="C45" t="inlineStr">
        <is>
          <t>NOP PADANG</t>
        </is>
      </c>
      <c r="D45" s="36" t="n">
        <v>0</v>
      </c>
      <c r="E45" s="36" t="n">
        <v>5.68</v>
      </c>
      <c r="F45" s="36" t="n">
        <v>4.2</v>
      </c>
      <c r="G45" s="36" t="n">
        <v>5.02</v>
      </c>
      <c r="H45" s="37" t="n">
        <v>0.6666666666666666</v>
      </c>
      <c r="I45" s="37" t="n">
        <v>0.7</v>
      </c>
      <c r="J45" s="37" t="n">
        <v>0.6612903225806451</v>
      </c>
      <c r="K45" s="37" t="n">
        <v>0.4285714285714285</v>
      </c>
      <c r="L45" s="37" t="n">
        <v>0.4285714285714285</v>
      </c>
      <c r="M45" s="37" t="n">
        <v>1</v>
      </c>
      <c r="N45" s="37" t="n">
        <v>0.2777777777777778</v>
      </c>
      <c r="O45" s="36" t="n">
        <v>0</v>
      </c>
      <c r="P45" s="36" t="n">
        <v>7.68</v>
      </c>
      <c r="Q45" s="36" t="n">
        <v>52.9</v>
      </c>
      <c r="R45" s="36" t="n">
        <v>48.83</v>
      </c>
      <c r="S45" s="36" t="n">
        <v>0</v>
      </c>
      <c r="T45" s="37" t="n">
        <v>0.649812734082397</v>
      </c>
      <c r="U45" s="37" t="n">
        <v>0.53125</v>
      </c>
      <c r="V45" s="37" t="n">
        <v>0.6645299145299145</v>
      </c>
      <c r="W45" s="37" t="n">
        <v>0.5882352941176471</v>
      </c>
    </row>
    <row r="46">
      <c r="A46" s="53" t="n">
        <v>45749</v>
      </c>
      <c r="B46" t="inlineStr">
        <is>
          <t>R10_Sumbagteng</t>
        </is>
      </c>
      <c r="C46" t="inlineStr">
        <is>
          <t>NOP PEKANBARU</t>
        </is>
      </c>
      <c r="D46" s="36" t="n">
        <v>5.69</v>
      </c>
      <c r="E46" s="36" t="n">
        <v>5.58</v>
      </c>
      <c r="F46" s="36" t="n">
        <v>4.61</v>
      </c>
      <c r="G46" s="36" t="n">
        <v>6.33</v>
      </c>
      <c r="H46" s="37" t="n">
        <v>0.3198847262247839</v>
      </c>
      <c r="I46" s="37" t="n">
        <v>0.543859649122807</v>
      </c>
      <c r="J46" s="37" t="n">
        <v>0.2758620689655172</v>
      </c>
      <c r="K46" s="37" t="n">
        <v>0.6129032258064516</v>
      </c>
      <c r="L46" s="37" t="n">
        <v>0.6551724137931034</v>
      </c>
      <c r="M46" s="37" t="n">
        <v>0.9827089337175793</v>
      </c>
      <c r="N46" s="37" t="n">
        <v>0.170028818443804</v>
      </c>
      <c r="O46" s="36" t="n">
        <v>0</v>
      </c>
      <c r="P46" s="36" t="n">
        <v>4.89</v>
      </c>
      <c r="Q46" s="36" t="n">
        <v>53.21</v>
      </c>
      <c r="R46" s="36" t="n">
        <v>71.84</v>
      </c>
      <c r="S46" s="36" t="n">
        <v>0</v>
      </c>
      <c r="T46" s="37" t="n">
        <v>0.349112426035503</v>
      </c>
      <c r="U46" s="37" t="n">
        <v>0.3560606060606061</v>
      </c>
      <c r="V46" s="37" t="n">
        <v>0.3440860215053764</v>
      </c>
      <c r="W46" s="37" t="n">
        <v>0.8723404255319149</v>
      </c>
    </row>
    <row r="47">
      <c r="A47" s="53" t="n">
        <v>45749</v>
      </c>
      <c r="B47" t="inlineStr">
        <is>
          <t>R02_Sumbagsel</t>
        </is>
      </c>
      <c r="C47" t="inlineStr">
        <is>
          <t>NOP BENGKULU</t>
        </is>
      </c>
      <c r="D47" s="36" t="n">
        <v>1.29</v>
      </c>
      <c r="E47" s="36" t="n">
        <v>5.32</v>
      </c>
      <c r="F47" s="36" t="n">
        <v>2.47</v>
      </c>
      <c r="G47" s="36" t="n">
        <v>7.1</v>
      </c>
      <c r="H47" s="37" t="n">
        <v>0.4266666666666667</v>
      </c>
      <c r="I47" s="37" t="n">
        <v>0.4905660377358491</v>
      </c>
      <c r="J47" s="37" t="n">
        <v>0.4069767441860465</v>
      </c>
      <c r="K47" s="37" t="n">
        <v>0.6153846153846154</v>
      </c>
      <c r="L47" s="37" t="n">
        <v>0.6153846153846154</v>
      </c>
      <c r="M47" s="37" t="n">
        <v>1</v>
      </c>
      <c r="N47" s="37" t="n">
        <v>0.1911111111111111</v>
      </c>
      <c r="O47" s="36" t="n">
        <v>0</v>
      </c>
      <c r="P47" s="36" t="n">
        <v>3.79</v>
      </c>
      <c r="Q47" s="36" t="n">
        <v>7.35</v>
      </c>
      <c r="R47" s="36" t="n">
        <v>16</v>
      </c>
      <c r="S47" s="36" t="n">
        <v>0</v>
      </c>
      <c r="T47" s="37" t="n">
        <v>0.3159144893111639</v>
      </c>
      <c r="U47" s="37" t="n">
        <v>0.2576271186440678</v>
      </c>
      <c r="V47" s="37" t="n">
        <v>0.46875</v>
      </c>
      <c r="W47" s="37" t="n">
        <v>0.8552631578947368</v>
      </c>
    </row>
    <row r="48">
      <c r="A48" s="53" t="n">
        <v>45749</v>
      </c>
      <c r="B48" t="inlineStr">
        <is>
          <t>R02_Sumbagsel</t>
        </is>
      </c>
      <c r="C48" t="inlineStr">
        <is>
          <t>NOP JAMBI</t>
        </is>
      </c>
      <c r="D48" s="36" t="n">
        <v>3.24</v>
      </c>
      <c r="E48" s="36" t="n">
        <v>4.8</v>
      </c>
      <c r="F48" s="36" t="n">
        <v>7.12</v>
      </c>
      <c r="G48" s="36" t="n">
        <v>6.38</v>
      </c>
      <c r="H48" s="37" t="n">
        <v>0.559322033898305</v>
      </c>
      <c r="I48" s="37" t="n">
        <v>0.4719101123595505</v>
      </c>
      <c r="J48" s="37" t="n">
        <v>0.5970873786407767</v>
      </c>
      <c r="K48" s="37" t="n">
        <v>0.7380952380952381</v>
      </c>
      <c r="L48" s="37" t="n">
        <v>0.7380952380952381</v>
      </c>
      <c r="M48" s="37" t="n">
        <v>1</v>
      </c>
      <c r="N48" s="37" t="n">
        <v>0.2474576271186441</v>
      </c>
      <c r="O48" s="36" t="n">
        <v>0</v>
      </c>
      <c r="P48" s="36" t="n">
        <v>4.74</v>
      </c>
      <c r="Q48" s="36" t="n">
        <v>15.8</v>
      </c>
      <c r="R48" s="36" t="n">
        <v>18</v>
      </c>
      <c r="S48" s="36" t="n">
        <v>0</v>
      </c>
      <c r="T48" s="37" t="n">
        <v>0.5853174603174603</v>
      </c>
      <c r="U48" s="37" t="n">
        <v>0.5539568345323741</v>
      </c>
      <c r="V48" s="37" t="n">
        <v>0.6613756613756614</v>
      </c>
      <c r="W48" s="37" t="n">
        <v>0.6558441558441559</v>
      </c>
    </row>
    <row r="49">
      <c r="A49" s="53" t="n">
        <v>45749</v>
      </c>
      <c r="B49" t="inlineStr">
        <is>
          <t>R02_Sumbagsel</t>
        </is>
      </c>
      <c r="C49" t="inlineStr">
        <is>
          <t>NOP LAMPUNG</t>
        </is>
      </c>
      <c r="D49" s="36" t="n">
        <v>1.31</v>
      </c>
      <c r="E49" s="36" t="n">
        <v>5.46</v>
      </c>
      <c r="F49" s="36" t="n">
        <v>4.62</v>
      </c>
      <c r="G49" s="36" t="n">
        <v>3.68</v>
      </c>
      <c r="H49" s="37" t="n">
        <v>0.4351851851851852</v>
      </c>
      <c r="I49" s="37" t="n">
        <v>0.6666666666666666</v>
      </c>
      <c r="J49" s="37" t="n">
        <v>0.3580246913580247</v>
      </c>
      <c r="K49" s="37" t="n">
        <v>0.4444444444444444</v>
      </c>
      <c r="L49" s="37" t="n">
        <v>0.4444444444444444</v>
      </c>
      <c r="M49" s="37" t="n">
        <v>1</v>
      </c>
      <c r="N49" s="37" t="n">
        <v>0.2314814814814815</v>
      </c>
      <c r="O49" s="36" t="n">
        <v>0</v>
      </c>
      <c r="P49" s="36" t="n">
        <v>38.4</v>
      </c>
      <c r="Q49" s="36" t="n">
        <v>7.35</v>
      </c>
      <c r="R49" s="36" t="n">
        <v>80.02</v>
      </c>
      <c r="S49" s="36" t="n">
        <v>0</v>
      </c>
      <c r="T49" s="37" t="n">
        <v>0.8181818181818182</v>
      </c>
      <c r="U49" s="37" t="n">
        <v>0.6724137931034483</v>
      </c>
      <c r="V49" s="37" t="n">
        <v>0.881578947368421</v>
      </c>
      <c r="W49" s="37" t="n">
        <v>0.7435897435897436</v>
      </c>
    </row>
    <row r="50">
      <c r="A50" s="53" t="n">
        <v>45749</v>
      </c>
      <c r="B50" t="inlineStr">
        <is>
          <t>R02_Sumbagsel</t>
        </is>
      </c>
      <c r="C50" t="inlineStr">
        <is>
          <t>NOP MUARA ENIM</t>
        </is>
      </c>
      <c r="D50" s="36" t="n">
        <v>2.5</v>
      </c>
      <c r="E50" s="36" t="n">
        <v>2.99</v>
      </c>
      <c r="F50" s="36" t="n">
        <v>3.89</v>
      </c>
      <c r="G50" s="36" t="n">
        <v>3.53</v>
      </c>
      <c r="H50" s="37" t="n">
        <v>0.3944954128440367</v>
      </c>
      <c r="I50" s="37" t="n">
        <v>0.2291666666666667</v>
      </c>
      <c r="J50" s="37" t="n">
        <v>0.4411764705882353</v>
      </c>
      <c r="K50" s="37" t="n">
        <v>0.4545454545454545</v>
      </c>
      <c r="L50" s="37" t="n">
        <v>0.4545454545454545</v>
      </c>
      <c r="M50" s="37" t="n">
        <v>0.944954128440367</v>
      </c>
      <c r="N50" s="37" t="n">
        <v>0.1697247706422018</v>
      </c>
      <c r="O50" s="36" t="n">
        <v>0</v>
      </c>
      <c r="P50" s="36" t="n">
        <v>8.289999999999999</v>
      </c>
      <c r="Q50" s="36" t="n">
        <v>7.42</v>
      </c>
      <c r="R50" s="36" t="n">
        <v>12.96</v>
      </c>
      <c r="S50" s="36" t="n">
        <v>0</v>
      </c>
      <c r="T50" s="37" t="n">
        <v>0.4579945799457995</v>
      </c>
      <c r="U50" s="37" t="n">
        <v>0.4583333333333333</v>
      </c>
      <c r="V50" s="37" t="n">
        <v>0.6302521008403361</v>
      </c>
      <c r="W50" s="37" t="n">
        <v>0.7840909090909091</v>
      </c>
    </row>
    <row r="51">
      <c r="A51" s="53" t="n">
        <v>45749</v>
      </c>
      <c r="B51" t="inlineStr">
        <is>
          <t>R02_Sumbagsel</t>
        </is>
      </c>
      <c r="C51" t="inlineStr">
        <is>
          <t>NOP PALEMBANG</t>
        </is>
      </c>
      <c r="D51" s="36" t="n">
        <v>0</v>
      </c>
      <c r="E51" s="36" t="n">
        <v>7.8</v>
      </c>
      <c r="F51" s="36" t="n">
        <v>6.06</v>
      </c>
      <c r="G51" s="36" t="n">
        <v>5.33</v>
      </c>
      <c r="H51" s="37" t="n">
        <v>0.3708609271523179</v>
      </c>
      <c r="I51" s="37" t="n">
        <v>0.4210526315789473</v>
      </c>
      <c r="J51" s="37" t="n">
        <v>0.3636363636363636</v>
      </c>
      <c r="K51" s="37" t="n">
        <v>0.75</v>
      </c>
      <c r="L51" s="37" t="n">
        <v>0.75</v>
      </c>
      <c r="M51" s="37" t="n">
        <v>1</v>
      </c>
      <c r="N51" s="37" t="n">
        <v>0.2450331125827815</v>
      </c>
      <c r="O51" s="36" t="n">
        <v>0</v>
      </c>
      <c r="P51" s="36" t="n">
        <v>9.449999999999999</v>
      </c>
      <c r="Q51" s="36" t="n">
        <v>13.3</v>
      </c>
      <c r="R51" s="36" t="n">
        <v>16</v>
      </c>
      <c r="S51" s="36" t="n">
        <v>0</v>
      </c>
      <c r="T51" s="37" t="n">
        <v>0.2663934426229508</v>
      </c>
      <c r="U51" s="37" t="n">
        <v>0.2155172413793103</v>
      </c>
      <c r="V51" s="37" t="n">
        <v>0.4</v>
      </c>
      <c r="W51" s="37" t="n">
        <v>0.5600000000000001</v>
      </c>
    </row>
    <row r="52">
      <c r="A52" s="53" t="n">
        <v>45749</v>
      </c>
      <c r="B52" t="inlineStr">
        <is>
          <t>R02_Sumbagsel</t>
        </is>
      </c>
      <c r="C52" t="inlineStr">
        <is>
          <t>NOP PANGKAL PINANG</t>
        </is>
      </c>
      <c r="D52" s="36" t="n">
        <v>0</v>
      </c>
      <c r="E52" s="36" t="n">
        <v>1.38</v>
      </c>
      <c r="F52" s="36" t="n">
        <v>0.99</v>
      </c>
      <c r="G52" s="36" t="n">
        <v>6.52</v>
      </c>
      <c r="H52" s="37" t="n">
        <v>0.46875</v>
      </c>
      <c r="I52" s="37" t="n">
        <v>1</v>
      </c>
      <c r="J52" s="37" t="n">
        <v>0.4333333333333333</v>
      </c>
      <c r="K52" s="37" t="n">
        <v>0.5</v>
      </c>
      <c r="L52" s="37" t="n">
        <v>0.5</v>
      </c>
      <c r="M52" s="37" t="n">
        <v>1</v>
      </c>
      <c r="N52" s="37" t="n">
        <v>0.34375</v>
      </c>
      <c r="O52" s="36" t="n">
        <v>0</v>
      </c>
      <c r="P52" s="36" t="n">
        <v>4.53</v>
      </c>
      <c r="Q52" s="36" t="n">
        <v>8.029999999999999</v>
      </c>
      <c r="R52" s="36" t="n">
        <v>7.97</v>
      </c>
      <c r="S52" s="36" t="n">
        <v>0</v>
      </c>
      <c r="T52" s="37" t="n">
        <v>0.8113207547169812</v>
      </c>
      <c r="U52" s="37" t="n">
        <v>0.85</v>
      </c>
      <c r="V52" s="37" t="n">
        <v>0.896551724137931</v>
      </c>
      <c r="W52" s="37" t="n">
        <v>0.7647058823529411</v>
      </c>
    </row>
    <row r="53">
      <c r="A53" s="53" t="n">
        <v>45749</v>
      </c>
      <c r="B53" t="inlineStr">
        <is>
          <t>R05_Jawa Tengah DIY</t>
        </is>
      </c>
      <c r="C53" t="inlineStr">
        <is>
          <t>NOP MAGELANG</t>
        </is>
      </c>
      <c r="D53" s="36" t="n">
        <v>2.48</v>
      </c>
      <c r="E53" s="36" t="n">
        <v>0</v>
      </c>
      <c r="F53" s="36" t="n">
        <v>3.74</v>
      </c>
      <c r="G53" s="36" t="n">
        <v>3.07</v>
      </c>
      <c r="H53" s="37" t="n">
        <v>0.525</v>
      </c>
      <c r="I53" s="37" t="n">
        <v>0.75</v>
      </c>
      <c r="J53" s="37" t="n">
        <v>0.5</v>
      </c>
      <c r="K53" s="37" t="n">
        <v>0.6666666666666666</v>
      </c>
      <c r="L53" s="37" t="n">
        <v>0.6666666666666666</v>
      </c>
      <c r="M53" s="37" t="n">
        <v>1</v>
      </c>
      <c r="N53" s="37" t="n">
        <v>0.5</v>
      </c>
      <c r="O53" s="36" t="n">
        <v>0</v>
      </c>
      <c r="P53" s="36" t="n">
        <v>13.21</v>
      </c>
      <c r="Q53" s="36" t="n">
        <v>28.73</v>
      </c>
      <c r="R53" s="36" t="n">
        <v>82.76000000000001</v>
      </c>
      <c r="S53" s="36" t="n">
        <v>0</v>
      </c>
      <c r="T53" s="37" t="n">
        <v>0.9402985074626866</v>
      </c>
      <c r="U53" s="37" t="n">
        <v>0.8571428571428571</v>
      </c>
      <c r="V53" s="37" t="n">
        <v>0.95</v>
      </c>
      <c r="W53" s="37" t="n">
        <v>0.6666666666666666</v>
      </c>
    </row>
    <row r="54">
      <c r="A54" s="53" t="n">
        <v>45749</v>
      </c>
      <c r="B54" t="inlineStr">
        <is>
          <t>R05_Jawa Tengah DIY</t>
        </is>
      </c>
      <c r="C54" t="inlineStr">
        <is>
          <t>NOP PEKALONGAN</t>
        </is>
      </c>
      <c r="D54" s="36" t="n">
        <v>4.47</v>
      </c>
      <c r="E54" s="36" t="n">
        <v>0</v>
      </c>
      <c r="F54" s="36" t="n">
        <v>2.38</v>
      </c>
      <c r="G54" s="36" t="n">
        <v>2.08</v>
      </c>
      <c r="H54" s="37" t="n">
        <v>0.5517241379310345</v>
      </c>
      <c r="I54" s="37" t="n">
        <v>1</v>
      </c>
      <c r="J54" s="37" t="n">
        <v>0.48</v>
      </c>
      <c r="K54" s="37" t="n">
        <v>1</v>
      </c>
      <c r="L54" s="37" t="n">
        <v>1</v>
      </c>
      <c r="M54" s="37" t="n">
        <v>1</v>
      </c>
      <c r="N54" s="37" t="n">
        <v>0.5517241379310345</v>
      </c>
      <c r="O54" s="36" t="n">
        <v>0</v>
      </c>
      <c r="P54" s="36" t="n">
        <v>2.71</v>
      </c>
      <c r="Q54" s="36" t="n">
        <v>5.67</v>
      </c>
      <c r="R54" s="36" t="n">
        <v>55.25</v>
      </c>
      <c r="S54" s="36" t="n">
        <v>0</v>
      </c>
      <c r="T54" s="37" t="n">
        <v>0.8888888888888888</v>
      </c>
      <c r="U54" s="37" t="n">
        <v>0.7142857142857143</v>
      </c>
      <c r="V54" s="37" t="n">
        <v>0.95</v>
      </c>
      <c r="W54" s="37" t="n">
        <v>0.7</v>
      </c>
    </row>
    <row r="55">
      <c r="A55" s="53" t="n">
        <v>45749</v>
      </c>
      <c r="B55" t="inlineStr">
        <is>
          <t>R05_Jawa Tengah DIY</t>
        </is>
      </c>
      <c r="C55" t="inlineStr">
        <is>
          <t>NOP PURWOKERTO</t>
        </is>
      </c>
      <c r="D55" s="36" t="n">
        <v>1.8</v>
      </c>
      <c r="E55" s="36" t="n">
        <v>0</v>
      </c>
      <c r="F55" s="36" t="n">
        <v>2.97</v>
      </c>
      <c r="G55" s="36" t="n">
        <v>3.22</v>
      </c>
      <c r="H55" s="37" t="n">
        <v>0.9423076923076923</v>
      </c>
      <c r="I55" s="37" t="n">
        <v>1</v>
      </c>
      <c r="J55" s="37" t="n">
        <v>0.9399999999999999</v>
      </c>
      <c r="K55" s="37" t="n">
        <v>1</v>
      </c>
      <c r="L55" s="37" t="n">
        <v>1</v>
      </c>
      <c r="M55" s="37" t="n">
        <v>1</v>
      </c>
      <c r="N55" s="37" t="n">
        <v>0.5</v>
      </c>
      <c r="O55" s="36" t="n">
        <v>0</v>
      </c>
      <c r="P55" s="36" t="n">
        <v>4.96</v>
      </c>
      <c r="Q55" s="36" t="n">
        <v>6.33</v>
      </c>
      <c r="R55" s="36" t="n">
        <v>32.08</v>
      </c>
      <c r="S55" s="36" t="n">
        <v>0</v>
      </c>
      <c r="T55" s="37" t="n">
        <v>0.8</v>
      </c>
      <c r="U55" s="37" t="n">
        <v>0.7647058823529411</v>
      </c>
      <c r="V55" s="37" t="n">
        <v>0.8157894736842105</v>
      </c>
      <c r="W55" s="37" t="n">
        <v>0.4615384615384616</v>
      </c>
    </row>
    <row r="56">
      <c r="A56" s="53" t="n">
        <v>45749</v>
      </c>
      <c r="B56" t="inlineStr">
        <is>
          <t>R05_Jawa Tengah DIY</t>
        </is>
      </c>
      <c r="C56" t="inlineStr">
        <is>
          <t>NOP SEMARANG</t>
        </is>
      </c>
      <c r="D56" s="36" t="n">
        <v>1.31</v>
      </c>
      <c r="E56" s="36" t="n">
        <v>0</v>
      </c>
      <c r="F56" s="36" t="n">
        <v>3.12</v>
      </c>
      <c r="G56" s="36" t="n">
        <v>1.79</v>
      </c>
      <c r="H56" s="37" t="n">
        <v>0.5526315789473685</v>
      </c>
      <c r="I56" s="37" t="n">
        <v>1</v>
      </c>
      <c r="J56" s="37" t="n">
        <v>0.5405405405405406</v>
      </c>
      <c r="K56" s="37" t="n">
        <v>1</v>
      </c>
      <c r="L56" s="37" t="n">
        <v>1</v>
      </c>
      <c r="M56" s="37" t="n">
        <v>1</v>
      </c>
      <c r="N56" s="37" t="n">
        <v>0.2894736842105263</v>
      </c>
      <c r="O56" s="36" t="n">
        <v>0</v>
      </c>
      <c r="P56" s="36" t="n">
        <v>1.35</v>
      </c>
      <c r="Q56" s="36" t="n">
        <v>21.84</v>
      </c>
      <c r="R56" s="36" t="n">
        <v>81.94</v>
      </c>
      <c r="S56" s="36" t="n">
        <v>0</v>
      </c>
      <c r="T56" s="37" t="n">
        <v>0.4461538461538462</v>
      </c>
      <c r="U56" s="37" t="n">
        <v>0.2236842105263158</v>
      </c>
      <c r="V56" s="37" t="n">
        <v>0.7592592592592593</v>
      </c>
      <c r="W56" s="37" t="n">
        <v>0.7647058823529411</v>
      </c>
    </row>
    <row r="57">
      <c r="A57" s="53" t="n">
        <v>45749</v>
      </c>
      <c r="B57" t="inlineStr">
        <is>
          <t>R05_Jawa Tengah DIY</t>
        </is>
      </c>
      <c r="C57" t="inlineStr">
        <is>
          <t>NOP SURAKARTA</t>
        </is>
      </c>
      <c r="D57" s="36" t="n">
        <v>4.31</v>
      </c>
      <c r="E57" s="36" t="n">
        <v>0</v>
      </c>
      <c r="F57" s="36" t="n">
        <v>2.8</v>
      </c>
      <c r="G57" s="36" t="n">
        <v>4.8</v>
      </c>
      <c r="H57" s="37" t="n">
        <v>0.5789473684210527</v>
      </c>
      <c r="I57" s="37" t="n">
        <v>0.8333333333333334</v>
      </c>
      <c r="J57" s="37" t="n">
        <v>0.5490196078431373</v>
      </c>
      <c r="K57" s="37" t="n">
        <v>1</v>
      </c>
      <c r="L57" s="37" t="n">
        <v>1</v>
      </c>
      <c r="M57" s="37" t="n">
        <v>0.9824561403508771</v>
      </c>
      <c r="N57" s="37" t="n">
        <v>0.4736842105263158</v>
      </c>
      <c r="O57" s="36" t="n">
        <v>0</v>
      </c>
      <c r="P57" s="36" t="n">
        <v>3.21</v>
      </c>
      <c r="Q57" s="36" t="n">
        <v>8.109999999999999</v>
      </c>
      <c r="R57" s="36" t="n">
        <v>150.31</v>
      </c>
      <c r="S57" s="36" t="n">
        <v>0</v>
      </c>
      <c r="T57" s="37" t="n">
        <v>0.8767123287671232</v>
      </c>
      <c r="U57" s="37" t="n">
        <v>0.85</v>
      </c>
      <c r="V57" s="37" t="n">
        <v>0.8867924528301887</v>
      </c>
      <c r="W57" s="37" t="n">
        <v>0.8823529411764706</v>
      </c>
    </row>
    <row r="58">
      <c r="A58" s="53" t="n">
        <v>45749</v>
      </c>
      <c r="B58" t="inlineStr">
        <is>
          <t>R05_Jawa Tengah DIY</t>
        </is>
      </c>
      <c r="C58" t="inlineStr">
        <is>
          <t>NOP YOGYAKARTA</t>
        </is>
      </c>
      <c r="D58" s="36" t="n">
        <v>2.74</v>
      </c>
      <c r="E58" s="36" t="n">
        <v>0</v>
      </c>
      <c r="F58" s="36" t="n">
        <v>1.78</v>
      </c>
      <c r="G58" s="36" t="n">
        <v>1.92</v>
      </c>
      <c r="H58" s="37" t="n">
        <v>0.6363636363636364</v>
      </c>
      <c r="I58" s="37" t="n">
        <v>1</v>
      </c>
      <c r="J58" s="37" t="n">
        <v>0.6</v>
      </c>
      <c r="K58" s="37" t="n">
        <v>1</v>
      </c>
      <c r="L58" s="37" t="n">
        <v>1</v>
      </c>
      <c r="M58" s="37" t="n">
        <v>1</v>
      </c>
      <c r="N58" s="37" t="n">
        <v>0.5</v>
      </c>
      <c r="O58" s="36" t="n">
        <v>0</v>
      </c>
      <c r="P58" s="36" t="n">
        <v>1.93</v>
      </c>
      <c r="Q58" s="36" t="n">
        <v>14.06</v>
      </c>
      <c r="R58" s="36" t="n">
        <v>34.22</v>
      </c>
      <c r="S58" s="36" t="n">
        <v>0</v>
      </c>
      <c r="T58" s="37" t="n">
        <v>0.8860759493670886</v>
      </c>
      <c r="U58" s="37" t="n">
        <v>0.75</v>
      </c>
      <c r="V58" s="37" t="n">
        <v>0.9014084507042254</v>
      </c>
      <c r="W58" s="37" t="n">
        <v>0.8333333333333334</v>
      </c>
    </row>
    <row r="59">
      <c r="A59" s="53" t="n">
        <v>45749</v>
      </c>
      <c r="B59" t="inlineStr">
        <is>
          <t>R06_Jawa Timur</t>
        </is>
      </c>
      <c r="C59" t="inlineStr">
        <is>
          <t>NOP JEMBER</t>
        </is>
      </c>
      <c r="D59" s="36" t="n">
        <v>2.05</v>
      </c>
      <c r="E59" s="36" t="n">
        <v>1.77</v>
      </c>
      <c r="F59" s="36" t="n">
        <v>1.58</v>
      </c>
      <c r="G59" s="36" t="n">
        <v>2.71</v>
      </c>
      <c r="H59" s="37" t="n">
        <v>0.6206896551724138</v>
      </c>
      <c r="I59" s="37" t="n">
        <v>1</v>
      </c>
      <c r="J59" s="37" t="n">
        <v>0.5769230769230769</v>
      </c>
      <c r="K59" s="37" t="n">
        <v>0.3333333333333333</v>
      </c>
      <c r="L59" s="37" t="n">
        <v>0.3333333333333333</v>
      </c>
      <c r="M59" s="37" t="n">
        <v>1</v>
      </c>
      <c r="N59" s="37" t="n">
        <v>0.2413793103448276</v>
      </c>
      <c r="O59" s="36" t="n">
        <v>0</v>
      </c>
      <c r="P59" s="36" t="n">
        <v>2.14</v>
      </c>
      <c r="Q59" s="36" t="n">
        <v>3.35</v>
      </c>
      <c r="R59" s="36" t="n">
        <v>36.09</v>
      </c>
      <c r="S59" s="36" t="n">
        <v>0</v>
      </c>
      <c r="T59" s="37" t="n">
        <v>0.7708333333333334</v>
      </c>
      <c r="U59" s="37" t="n">
        <v>1</v>
      </c>
      <c r="V59" s="37" t="n">
        <v>0.717948717948718</v>
      </c>
      <c r="W59" s="37" t="n">
        <v>0.8888888888888888</v>
      </c>
    </row>
    <row r="60">
      <c r="A60" s="53" t="n">
        <v>45749</v>
      </c>
      <c r="B60" t="inlineStr">
        <is>
          <t>R06_Jawa Timur</t>
        </is>
      </c>
      <c r="C60" t="inlineStr">
        <is>
          <t>NOP KEDIRI</t>
        </is>
      </c>
      <c r="D60" s="36" t="n">
        <v>0</v>
      </c>
      <c r="E60" s="36" t="n">
        <v>0.7</v>
      </c>
      <c r="F60" s="36" t="n">
        <v>1.29</v>
      </c>
      <c r="G60" s="36" t="n">
        <v>0.88</v>
      </c>
      <c r="H60" s="37" t="n">
        <v>0.8947368421052632</v>
      </c>
      <c r="I60" s="37" t="n">
        <v>1</v>
      </c>
      <c r="J60" s="37" t="n">
        <v>0.8888888888888888</v>
      </c>
      <c r="K60" s="37" t="n">
        <v>0.5</v>
      </c>
      <c r="L60" s="37" t="n">
        <v>0.5</v>
      </c>
      <c r="M60" s="37" t="n">
        <v>1</v>
      </c>
      <c r="N60" s="37" t="n">
        <v>0.4210526315789473</v>
      </c>
      <c r="O60" s="36" t="n">
        <v>0</v>
      </c>
      <c r="P60" s="36" t="n">
        <v>2.24</v>
      </c>
      <c r="Q60" s="36" t="n">
        <v>3.59</v>
      </c>
      <c r="R60" s="36" t="n">
        <v>13.8</v>
      </c>
      <c r="S60" s="36" t="n">
        <v>0</v>
      </c>
      <c r="T60" s="37" t="n">
        <v>0.9285714285714286</v>
      </c>
      <c r="U60" s="37" t="n">
        <v>1</v>
      </c>
      <c r="V60" s="37" t="n">
        <v>0.9166666666666666</v>
      </c>
      <c r="W60" s="37" t="n">
        <v>0.75</v>
      </c>
    </row>
    <row r="61">
      <c r="A61" s="53" t="n">
        <v>45749</v>
      </c>
      <c r="B61" t="inlineStr">
        <is>
          <t>R06_Jawa Timur</t>
        </is>
      </c>
      <c r="C61" t="inlineStr">
        <is>
          <t>NOP LAMONGAN</t>
        </is>
      </c>
      <c r="D61" s="36" t="n">
        <v>0.98</v>
      </c>
      <c r="E61" s="36" t="n">
        <v>0</v>
      </c>
      <c r="F61" s="36" t="n">
        <v>0.99</v>
      </c>
      <c r="G61" s="36" t="n">
        <v>2.12</v>
      </c>
      <c r="H61" s="37" t="n">
        <v>1</v>
      </c>
      <c r="I61" s="37" t="n">
        <v>1</v>
      </c>
      <c r="J61" s="37" t="n">
        <v>1</v>
      </c>
      <c r="K61" s="37" t="n">
        <v>1</v>
      </c>
      <c r="L61" s="37" t="n">
        <v>1</v>
      </c>
      <c r="M61" s="37" t="n">
        <v>1</v>
      </c>
      <c r="N61" s="37" t="n">
        <v>0.8333333333333334</v>
      </c>
      <c r="O61" s="36" t="n">
        <v>0</v>
      </c>
      <c r="P61" s="36" t="n">
        <v>1.84</v>
      </c>
      <c r="Q61" s="36" t="n">
        <v>1.93</v>
      </c>
      <c r="R61" s="36" t="n">
        <v>27.06</v>
      </c>
      <c r="S61" s="36" t="n">
        <v>0</v>
      </c>
      <c r="T61" s="37" t="n">
        <v>0.9333333333333333</v>
      </c>
      <c r="U61" s="37" t="n">
        <v>0.8888888888888888</v>
      </c>
      <c r="V61" s="37" t="n">
        <v>1</v>
      </c>
      <c r="W61" s="37" t="n">
        <v>1</v>
      </c>
    </row>
    <row r="62">
      <c r="A62" s="53" t="n">
        <v>45749</v>
      </c>
      <c r="B62" t="inlineStr">
        <is>
          <t>R06_Jawa Timur</t>
        </is>
      </c>
      <c r="C62" t="inlineStr">
        <is>
          <t>NOP MADIUN</t>
        </is>
      </c>
      <c r="D62" s="36" t="n">
        <v>0</v>
      </c>
      <c r="E62" s="36" t="n">
        <v>0</v>
      </c>
      <c r="F62" s="36" t="n">
        <v>3.37</v>
      </c>
      <c r="G62" s="36" t="n">
        <v>1.46</v>
      </c>
      <c r="H62" s="37" t="n">
        <v>0.8333333333333334</v>
      </c>
      <c r="I62" s="37" t="n">
        <v>0</v>
      </c>
      <c r="J62" s="37" t="n">
        <v>0.8333333333333334</v>
      </c>
      <c r="K62" s="37" t="n">
        <v>0</v>
      </c>
      <c r="L62" s="37" t="n">
        <v>0</v>
      </c>
      <c r="M62" s="37" t="n">
        <v>1</v>
      </c>
      <c r="N62" s="37" t="n">
        <v>0.4583333333333333</v>
      </c>
      <c r="O62" s="36" t="n">
        <v>0</v>
      </c>
      <c r="P62" s="36" t="n">
        <v>3.25</v>
      </c>
      <c r="Q62" s="36" t="n">
        <v>20.6</v>
      </c>
      <c r="R62" s="36" t="n">
        <v>8.16</v>
      </c>
      <c r="S62" s="36" t="n">
        <v>0</v>
      </c>
      <c r="T62" s="37" t="n">
        <v>0.6363636363636364</v>
      </c>
      <c r="U62" s="37" t="n">
        <v>0.5</v>
      </c>
      <c r="V62" s="37" t="n">
        <v>0.75</v>
      </c>
      <c r="W62" s="37" t="n">
        <v>0.8</v>
      </c>
    </row>
    <row r="63">
      <c r="A63" s="53" t="n">
        <v>45749</v>
      </c>
      <c r="B63" t="inlineStr">
        <is>
          <t>R06_Jawa Timur</t>
        </is>
      </c>
      <c r="C63" t="inlineStr">
        <is>
          <t>NOP MALANG</t>
        </is>
      </c>
      <c r="D63" s="36" t="n">
        <v>0</v>
      </c>
      <c r="E63" s="36" t="n">
        <v>0</v>
      </c>
      <c r="F63" s="36" t="n">
        <v>2.03</v>
      </c>
      <c r="G63" s="36" t="n">
        <v>2.65</v>
      </c>
      <c r="H63" s="37" t="n">
        <v>0.8333333333333334</v>
      </c>
      <c r="I63" s="37" t="n">
        <v>0</v>
      </c>
      <c r="J63" s="37" t="n">
        <v>0.8333333333333334</v>
      </c>
      <c r="K63" s="37" t="n">
        <v>0</v>
      </c>
      <c r="L63" s="37" t="n">
        <v>0</v>
      </c>
      <c r="M63" s="37" t="n">
        <v>1</v>
      </c>
      <c r="N63" s="37" t="n">
        <v>0.6875</v>
      </c>
      <c r="O63" s="36" t="n">
        <v>0.02</v>
      </c>
      <c r="P63" s="36" t="n">
        <v>3.09</v>
      </c>
      <c r="Q63" s="36" t="n">
        <v>2.74</v>
      </c>
      <c r="R63" s="36" t="n">
        <v>58.49</v>
      </c>
      <c r="S63" s="36" t="n">
        <v>0</v>
      </c>
      <c r="T63" s="37" t="n">
        <v>0.7777777777777778</v>
      </c>
      <c r="U63" s="37" t="n">
        <v>0.6</v>
      </c>
      <c r="V63" s="37" t="n">
        <v>0.8461538461538461</v>
      </c>
      <c r="W63" s="37" t="n">
        <v>0.6666666666666666</v>
      </c>
    </row>
    <row r="64">
      <c r="A64" s="53" t="n">
        <v>45749</v>
      </c>
      <c r="B64" t="inlineStr">
        <is>
          <t>R06_Jawa Timur</t>
        </is>
      </c>
      <c r="C64" t="inlineStr">
        <is>
          <t>NOP SIDOARJO</t>
        </is>
      </c>
      <c r="D64" s="36" t="n">
        <v>3.71</v>
      </c>
      <c r="E64" s="36" t="n">
        <v>0</v>
      </c>
      <c r="F64" s="36" t="n">
        <v>2.77</v>
      </c>
      <c r="G64" s="36" t="n">
        <v>2.34</v>
      </c>
      <c r="H64" s="37" t="n">
        <v>0.8</v>
      </c>
      <c r="I64" s="37" t="n">
        <v>1</v>
      </c>
      <c r="J64" s="37" t="n">
        <v>0.7272727272727273</v>
      </c>
      <c r="K64" s="37" t="n">
        <v>0.75</v>
      </c>
      <c r="L64" s="37" t="n">
        <v>0.75</v>
      </c>
      <c r="M64" s="37" t="n">
        <v>1</v>
      </c>
      <c r="N64" s="37" t="n">
        <v>0.5333333333333333</v>
      </c>
      <c r="O64" s="36" t="n">
        <v>0</v>
      </c>
      <c r="P64" s="36" t="n">
        <v>188.37</v>
      </c>
      <c r="Q64" s="36" t="n">
        <v>2.88</v>
      </c>
      <c r="R64" s="36" t="n">
        <v>95.45999999999999</v>
      </c>
      <c r="S64" s="36" t="n">
        <v>0</v>
      </c>
      <c r="T64" s="37" t="n">
        <v>0.7419354838709677</v>
      </c>
      <c r="U64" s="37" t="n">
        <v>0.5</v>
      </c>
      <c r="V64" s="37" t="n">
        <v>0.7586206896551724</v>
      </c>
      <c r="W64" s="37" t="n">
        <v>1</v>
      </c>
    </row>
    <row r="65">
      <c r="A65" s="53" t="n">
        <v>45749</v>
      </c>
      <c r="B65" t="inlineStr">
        <is>
          <t>R06_Jawa Timur</t>
        </is>
      </c>
      <c r="C65" t="inlineStr">
        <is>
          <t>NOP SURABAYA</t>
        </is>
      </c>
      <c r="D65" s="36" t="n">
        <v>3.17</v>
      </c>
      <c r="E65" s="36" t="n">
        <v>0</v>
      </c>
      <c r="F65" s="36" t="n">
        <v>1.91</v>
      </c>
      <c r="G65" s="36" t="n">
        <v>2.41</v>
      </c>
      <c r="H65" s="37" t="n">
        <v>0.5263157894736842</v>
      </c>
      <c r="I65" s="37" t="n">
        <v>0.3333333333333333</v>
      </c>
      <c r="J65" s="37" t="n">
        <v>0.5625</v>
      </c>
      <c r="K65" s="37" t="n">
        <v>1</v>
      </c>
      <c r="L65" s="37" t="n">
        <v>1</v>
      </c>
      <c r="M65" s="37" t="n">
        <v>1</v>
      </c>
      <c r="N65" s="37" t="n">
        <v>0.2105263157894737</v>
      </c>
      <c r="O65" s="36" t="n">
        <v>0.04</v>
      </c>
      <c r="P65" s="36" t="n">
        <v>0.83</v>
      </c>
      <c r="Q65" s="36" t="n">
        <v>7.4</v>
      </c>
      <c r="R65" s="36" t="n">
        <v>18</v>
      </c>
      <c r="S65" s="36" t="n">
        <v>0</v>
      </c>
      <c r="T65" s="37" t="n">
        <v>0.5818181818181818</v>
      </c>
      <c r="U65" s="37" t="n">
        <v>0.3333333333333333</v>
      </c>
      <c r="V65" s="37" t="n">
        <v>0.6122448979591837</v>
      </c>
      <c r="W65" s="37" t="n">
        <v>0.5</v>
      </c>
    </row>
    <row r="66">
      <c r="A66" s="53" t="n">
        <v>45749</v>
      </c>
      <c r="B66" t="inlineStr">
        <is>
          <t>R07_Bali Nusra</t>
        </is>
      </c>
      <c r="C66" t="inlineStr">
        <is>
          <t>NOP DENPASAR</t>
        </is>
      </c>
      <c r="D66" s="36" t="n">
        <v>1.91</v>
      </c>
      <c r="E66" s="36" t="n">
        <v>0</v>
      </c>
      <c r="F66" s="36" t="n">
        <v>1.25</v>
      </c>
      <c r="G66" s="36" t="n">
        <v>4.45</v>
      </c>
      <c r="H66" s="37" t="n">
        <v>0.9090909090909091</v>
      </c>
      <c r="I66" s="37" t="n">
        <v>0.8571428571428571</v>
      </c>
      <c r="J66" s="37" t="n">
        <v>0.9333333333333333</v>
      </c>
      <c r="K66" s="37" t="n">
        <v>1</v>
      </c>
      <c r="L66" s="37" t="n">
        <v>1</v>
      </c>
      <c r="M66" s="37" t="n">
        <v>0.9545454545454546</v>
      </c>
      <c r="N66" s="37" t="n">
        <v>1</v>
      </c>
      <c r="O66" s="36" t="n">
        <v>0</v>
      </c>
      <c r="P66" s="36" t="n">
        <v>80.02</v>
      </c>
      <c r="Q66" s="36" t="n">
        <v>38.57</v>
      </c>
      <c r="R66" s="36" t="n">
        <v>13.89</v>
      </c>
      <c r="S66" s="36" t="n">
        <v>0</v>
      </c>
      <c r="T66" s="37" t="n">
        <v>0.8888888888888888</v>
      </c>
      <c r="U66" s="37" t="n">
        <v>0.8</v>
      </c>
      <c r="V66" s="37" t="n">
        <v>0.9230769230769231</v>
      </c>
      <c r="W66" s="37" t="n">
        <v>0.75</v>
      </c>
    </row>
    <row r="67">
      <c r="A67" s="53" t="n">
        <v>45749</v>
      </c>
      <c r="B67" t="inlineStr">
        <is>
          <t>R07_Bali Nusra</t>
        </is>
      </c>
      <c r="C67" t="inlineStr">
        <is>
          <t>NOP FLORES</t>
        </is>
      </c>
      <c r="D67" s="36" t="n">
        <v>3.45</v>
      </c>
      <c r="E67" s="36" t="n">
        <v>2.89</v>
      </c>
      <c r="F67" s="36" t="n">
        <v>13</v>
      </c>
      <c r="G67" s="36" t="n">
        <v>7.73</v>
      </c>
      <c r="H67" s="37" t="n">
        <v>0.3587786259541985</v>
      </c>
      <c r="I67" s="37" t="n">
        <v>0.375</v>
      </c>
      <c r="J67" s="37" t="n">
        <v>0.3551401869158878</v>
      </c>
      <c r="K67" s="37" t="n">
        <v>0.5555555555555556</v>
      </c>
      <c r="L67" s="37" t="n">
        <v>0.5555555555555556</v>
      </c>
      <c r="M67" s="37" t="n">
        <v>0.9923664122137404</v>
      </c>
      <c r="N67" s="37" t="n">
        <v>0.1984732824427481</v>
      </c>
      <c r="O67" s="36" t="n">
        <v>0.17</v>
      </c>
      <c r="P67" s="36" t="n">
        <v>17.69</v>
      </c>
      <c r="Q67" s="36" t="n">
        <v>8.99</v>
      </c>
      <c r="R67" s="36" t="n">
        <v>56.17</v>
      </c>
      <c r="S67" s="36" t="n">
        <v>0</v>
      </c>
      <c r="T67" s="37" t="n">
        <v>0.3726415094339622</v>
      </c>
      <c r="U67" s="37" t="n">
        <v>0.4014598540145985</v>
      </c>
      <c r="V67" s="37" t="n">
        <v>0.32</v>
      </c>
      <c r="W67" s="37" t="n">
        <v>0.6181818181818182</v>
      </c>
    </row>
    <row r="68">
      <c r="A68" s="53" t="n">
        <v>45749</v>
      </c>
      <c r="B68" t="inlineStr">
        <is>
          <t>R07_Bali Nusra</t>
        </is>
      </c>
      <c r="C68" t="inlineStr">
        <is>
          <t>NOP KUPANG</t>
        </is>
      </c>
      <c r="D68" s="36" t="n">
        <v>0</v>
      </c>
      <c r="E68" s="36" t="n">
        <v>1.35</v>
      </c>
      <c r="F68" s="36" t="n">
        <v>4.11</v>
      </c>
      <c r="G68" s="36" t="n">
        <v>5.2</v>
      </c>
      <c r="H68" s="37" t="n">
        <v>0.4038461538461539</v>
      </c>
      <c r="I68" s="37" t="n">
        <v>0.4</v>
      </c>
      <c r="J68" s="37" t="n">
        <v>0.4042553191489361</v>
      </c>
      <c r="K68" s="37" t="n">
        <v>0.5</v>
      </c>
      <c r="L68" s="37" t="n">
        <v>0.5</v>
      </c>
      <c r="M68" s="37" t="n">
        <v>0.9807692307692307</v>
      </c>
      <c r="N68" s="37" t="n">
        <v>0.1538461538461539</v>
      </c>
      <c r="O68" s="36" t="n">
        <v>0</v>
      </c>
      <c r="P68" s="36" t="n">
        <v>23.53</v>
      </c>
      <c r="Q68" s="36" t="n">
        <v>43.15</v>
      </c>
      <c r="R68" s="36" t="n">
        <v>185</v>
      </c>
      <c r="S68" s="36" t="n">
        <v>0</v>
      </c>
      <c r="T68" s="37" t="n">
        <v>0.618421052631579</v>
      </c>
      <c r="U68" s="37" t="n">
        <v>0.6530612244897959</v>
      </c>
      <c r="V68" s="37" t="n">
        <v>0.5555555555555556</v>
      </c>
      <c r="W68" s="37" t="n">
        <v>0.46875</v>
      </c>
    </row>
    <row r="69">
      <c r="A69" s="53" t="n">
        <v>45749</v>
      </c>
      <c r="B69" t="inlineStr">
        <is>
          <t>R07_Bali Nusra</t>
        </is>
      </c>
      <c r="C69" t="inlineStr">
        <is>
          <t>NOP MATARAM</t>
        </is>
      </c>
      <c r="D69" s="36" t="n">
        <v>0</v>
      </c>
      <c r="E69" s="36" t="n">
        <v>6.78</v>
      </c>
      <c r="F69" s="36" t="n">
        <v>0.9399999999999999</v>
      </c>
      <c r="G69" s="36" t="n">
        <v>9.23</v>
      </c>
      <c r="H69" s="37" t="n">
        <v>0.5</v>
      </c>
      <c r="I69" s="37" t="n">
        <v>1</v>
      </c>
      <c r="J69" s="37" t="n">
        <v>0.4545454545454545</v>
      </c>
      <c r="K69" s="37" t="n">
        <v>0</v>
      </c>
      <c r="L69" s="37" t="n">
        <v>0</v>
      </c>
      <c r="M69" s="37" t="n">
        <v>1</v>
      </c>
      <c r="N69" s="37" t="n">
        <v>0.3333333333333333</v>
      </c>
      <c r="O69" s="36" t="n">
        <v>0</v>
      </c>
      <c r="P69" s="36" t="n">
        <v>13.84</v>
      </c>
      <c r="Q69" s="36" t="n">
        <v>9.9</v>
      </c>
      <c r="R69" s="36" t="n">
        <v>123.16</v>
      </c>
      <c r="S69" s="36" t="n">
        <v>0</v>
      </c>
      <c r="T69" s="37" t="n">
        <v>0.2325581395348837</v>
      </c>
      <c r="U69" s="37" t="n">
        <v>0.2553191489361702</v>
      </c>
      <c r="V69" s="37" t="n">
        <v>0.2051282051282051</v>
      </c>
      <c r="W69" s="37" t="n">
        <v>0.8333333333333334</v>
      </c>
    </row>
    <row r="70">
      <c r="A70" s="53" t="n">
        <v>45750</v>
      </c>
      <c r="B70" t="inlineStr">
        <is>
          <t>R01_Sumbagut</t>
        </is>
      </c>
      <c r="C70" t="inlineStr">
        <is>
          <t>NOP ACEH</t>
        </is>
      </c>
      <c r="D70" s="36" t="n">
        <v>2.45</v>
      </c>
      <c r="E70" s="36" t="n">
        <v>4.75</v>
      </c>
      <c r="F70" s="36" t="n">
        <v>9.99</v>
      </c>
      <c r="G70" s="36" t="n">
        <v>4.72</v>
      </c>
      <c r="H70" s="37" t="n">
        <v>0.8338762214983714</v>
      </c>
      <c r="I70" s="37" t="n">
        <v>0.8850574712643678</v>
      </c>
      <c r="J70" s="37" t="n">
        <v>0.8136363636363636</v>
      </c>
      <c r="K70" s="37" t="n">
        <v>0.4155844155844156</v>
      </c>
      <c r="L70" s="37" t="n">
        <v>0.4210526315789473</v>
      </c>
      <c r="M70" s="37" t="n">
        <v>1</v>
      </c>
      <c r="N70" s="37" t="n">
        <v>0.3257328990228013</v>
      </c>
      <c r="O70" s="36" t="n">
        <v>0.03</v>
      </c>
      <c r="P70" s="36" t="n">
        <v>3.61</v>
      </c>
      <c r="Q70" s="36" t="n">
        <v>57.1</v>
      </c>
      <c r="R70" s="36" t="n">
        <v>112.36</v>
      </c>
      <c r="S70" s="36" t="n">
        <v>0</v>
      </c>
      <c r="T70" s="37" t="n">
        <v>0.8729227761485826</v>
      </c>
      <c r="U70" s="37" t="n">
        <v>0.7410714285714286</v>
      </c>
      <c r="V70" s="37" t="n">
        <v>0.889132821075741</v>
      </c>
      <c r="W70" s="37" t="n">
        <v>0.2409638554216867</v>
      </c>
    </row>
    <row r="71">
      <c r="A71" s="53" t="n">
        <v>45750</v>
      </c>
      <c r="B71" t="inlineStr">
        <is>
          <t>R01_Sumbagut</t>
        </is>
      </c>
      <c r="C71" t="inlineStr">
        <is>
          <t>NOP BINJAI</t>
        </is>
      </c>
      <c r="D71" s="36" t="n">
        <v>0</v>
      </c>
      <c r="E71" s="36" t="n">
        <v>6.68</v>
      </c>
      <c r="F71" s="36" t="n">
        <v>3.31</v>
      </c>
      <c r="G71" s="36" t="n">
        <v>4.18</v>
      </c>
      <c r="H71" s="37" t="n">
        <v>0.5877862595419847</v>
      </c>
      <c r="I71" s="37" t="n">
        <v>0.7894736842105263</v>
      </c>
      <c r="J71" s="37" t="n">
        <v>0.5535714285714286</v>
      </c>
      <c r="K71" s="37" t="n">
        <v>0.4666666666666667</v>
      </c>
      <c r="L71" s="37" t="n">
        <v>0.4666666666666667</v>
      </c>
      <c r="M71" s="37" t="n">
        <v>1</v>
      </c>
      <c r="N71" s="37" t="n">
        <v>0.3053435114503817</v>
      </c>
      <c r="O71" s="36" t="n">
        <v>0</v>
      </c>
      <c r="P71" s="36" t="n">
        <v>3.14</v>
      </c>
      <c r="Q71" s="36" t="n">
        <v>43.65</v>
      </c>
      <c r="R71" s="36" t="n">
        <v>68.39</v>
      </c>
      <c r="S71" s="36" t="n">
        <v>0</v>
      </c>
      <c r="T71" s="37" t="n">
        <v>0.5961538461538461</v>
      </c>
      <c r="U71" s="37" t="n">
        <v>0.6101694915254238</v>
      </c>
      <c r="V71" s="37" t="n">
        <v>0.5803108808290155</v>
      </c>
      <c r="W71" s="37" t="n">
        <v>0.4722222222222222</v>
      </c>
    </row>
    <row r="72">
      <c r="A72" s="53" t="n">
        <v>45750</v>
      </c>
      <c r="B72" t="inlineStr">
        <is>
          <t>R01_Sumbagut</t>
        </is>
      </c>
      <c r="C72" t="inlineStr">
        <is>
          <t>NOP MEDAN</t>
        </is>
      </c>
      <c r="D72" s="36" t="n">
        <v>0</v>
      </c>
      <c r="E72" s="36" t="n">
        <v>4.24</v>
      </c>
      <c r="F72" s="36" t="n">
        <v>2.15</v>
      </c>
      <c r="G72" s="36" t="n">
        <v>3.04</v>
      </c>
      <c r="H72" s="37" t="n">
        <v>0.3092783505154639</v>
      </c>
      <c r="I72" s="37" t="n">
        <v>0.5294117647058824</v>
      </c>
      <c r="J72" s="37" t="n">
        <v>0.2625</v>
      </c>
      <c r="K72" s="37" t="n">
        <v>0.8888888888888888</v>
      </c>
      <c r="L72" s="37" t="n">
        <v>0.8888888888888888</v>
      </c>
      <c r="M72" s="37" t="n">
        <v>1</v>
      </c>
      <c r="N72" s="37" t="n">
        <v>0.1649484536082474</v>
      </c>
      <c r="O72" s="36" t="n">
        <v>0</v>
      </c>
      <c r="P72" s="36" t="n">
        <v>2.63</v>
      </c>
      <c r="Q72" s="36" t="n">
        <v>16.21</v>
      </c>
      <c r="R72" s="36" t="n">
        <v>8.35</v>
      </c>
      <c r="S72" s="36" t="n">
        <v>0</v>
      </c>
      <c r="T72" s="37" t="n">
        <v>0.2571428571428571</v>
      </c>
      <c r="U72" s="37" t="n">
        <v>0.1621621621621622</v>
      </c>
      <c r="V72" s="37" t="n">
        <v>0.3134328358208955</v>
      </c>
      <c r="W72" s="37" t="n">
        <v>1</v>
      </c>
    </row>
    <row r="73">
      <c r="A73" s="53" t="n">
        <v>45750</v>
      </c>
      <c r="B73" t="inlineStr">
        <is>
          <t>R01_Sumbagut</t>
        </is>
      </c>
      <c r="C73" t="inlineStr">
        <is>
          <t>NOP PADANG SIDEMPUAN</t>
        </is>
      </c>
      <c r="D73" s="36" t="n">
        <v>0</v>
      </c>
      <c r="E73" s="36" t="n">
        <v>2.51</v>
      </c>
      <c r="F73" s="36" t="n">
        <v>3.31</v>
      </c>
      <c r="G73" s="36" t="n">
        <v>3.29</v>
      </c>
      <c r="H73" s="37" t="n">
        <v>0.2878048780487805</v>
      </c>
      <c r="I73" s="37" t="n">
        <v>0.55</v>
      </c>
      <c r="J73" s="37" t="n">
        <v>0.2594594594594595</v>
      </c>
      <c r="K73" s="37" t="n">
        <v>0.4545454545454545</v>
      </c>
      <c r="L73" s="37" t="n">
        <v>0.4545454545454545</v>
      </c>
      <c r="M73" s="37" t="n">
        <v>0.9951219512195122</v>
      </c>
      <c r="N73" s="37" t="n">
        <v>0.1170731707317073</v>
      </c>
      <c r="O73" s="36" t="n">
        <v>0.01</v>
      </c>
      <c r="P73" s="36" t="n">
        <v>1.88</v>
      </c>
      <c r="Q73" s="36" t="n">
        <v>12.91</v>
      </c>
      <c r="R73" s="36" t="n">
        <v>66.81999999999999</v>
      </c>
      <c r="S73" s="36" t="n">
        <v>0</v>
      </c>
      <c r="T73" s="37" t="n">
        <v>0.2336814621409922</v>
      </c>
      <c r="U73" s="37" t="n">
        <v>0.4269662921348314</v>
      </c>
      <c r="V73" s="37" t="n">
        <v>0.174061433447099</v>
      </c>
      <c r="W73" s="37" t="n">
        <v>0.5131578947368421</v>
      </c>
    </row>
    <row r="74">
      <c r="A74" s="53" t="n">
        <v>45750</v>
      </c>
      <c r="B74" t="inlineStr">
        <is>
          <t>R01_Sumbagut</t>
        </is>
      </c>
      <c r="C74" t="inlineStr">
        <is>
          <t>NOP PEMATANG SIANTAR</t>
        </is>
      </c>
      <c r="D74" s="36" t="n">
        <v>1.87</v>
      </c>
      <c r="E74" s="36" t="n">
        <v>7.66</v>
      </c>
      <c r="F74" s="36" t="n">
        <v>4.7</v>
      </c>
      <c r="G74" s="36" t="n">
        <v>5.42</v>
      </c>
      <c r="H74" s="37" t="n">
        <v>0.2867647058823529</v>
      </c>
      <c r="I74" s="37" t="n">
        <v>0.3116883116883117</v>
      </c>
      <c r="J74" s="37" t="n">
        <v>0.2769230769230769</v>
      </c>
      <c r="K74" s="37" t="n">
        <v>0.75</v>
      </c>
      <c r="L74" s="37" t="n">
        <v>0.75</v>
      </c>
      <c r="M74" s="37" t="n">
        <v>0.9963235294117647</v>
      </c>
      <c r="N74" s="37" t="n">
        <v>0.1801470588235294</v>
      </c>
      <c r="O74" s="36" t="n">
        <v>0</v>
      </c>
      <c r="P74" s="36" t="n">
        <v>3.15</v>
      </c>
      <c r="Q74" s="36" t="n">
        <v>64.15000000000001</v>
      </c>
      <c r="R74" s="36" t="n">
        <v>44.64</v>
      </c>
      <c r="S74" s="36" t="n">
        <v>0</v>
      </c>
      <c r="T74" s="37" t="n">
        <v>0.1005818786367415</v>
      </c>
      <c r="U74" s="37" t="n">
        <v>0.2824427480916031</v>
      </c>
      <c r="V74" s="37" t="n">
        <v>0.07850467289719626</v>
      </c>
      <c r="W74" s="37" t="n">
        <v>0.918918918918919</v>
      </c>
    </row>
    <row r="75">
      <c r="A75" s="53" t="n">
        <v>45750</v>
      </c>
      <c r="B75" t="inlineStr">
        <is>
          <t>R01_Sumbagut</t>
        </is>
      </c>
      <c r="C75" t="inlineStr">
        <is>
          <t>NOP RANTAU PRAPAT</t>
        </is>
      </c>
      <c r="D75" s="36" t="n">
        <v>5.92</v>
      </c>
      <c r="E75" s="36" t="n">
        <v>6.03</v>
      </c>
      <c r="F75" s="36" t="n">
        <v>5.83</v>
      </c>
      <c r="G75" s="36" t="n">
        <v>6.35</v>
      </c>
      <c r="H75" s="37" t="n">
        <v>0.2298456260720412</v>
      </c>
      <c r="I75" s="37" t="n">
        <v>0.2653061224489796</v>
      </c>
      <c r="J75" s="37" t="n">
        <v>0.2178899082568807</v>
      </c>
      <c r="K75" s="37" t="n">
        <v>0.4358974358974359</v>
      </c>
      <c r="L75" s="37" t="n">
        <v>0.4358974358974359</v>
      </c>
      <c r="M75" s="37" t="n">
        <v>0.9862778730703259</v>
      </c>
      <c r="N75" s="37" t="n">
        <v>0.1286449399656947</v>
      </c>
      <c r="O75" s="36" t="n">
        <v>0</v>
      </c>
      <c r="P75" s="36" t="n">
        <v>4.44</v>
      </c>
      <c r="Q75" s="36" t="n">
        <v>23.28</v>
      </c>
      <c r="R75" s="36" t="n">
        <v>21.39</v>
      </c>
      <c r="S75" s="36" t="n">
        <v>0</v>
      </c>
      <c r="T75" s="37" t="n">
        <v>0.05577376276512176</v>
      </c>
      <c r="U75" s="37" t="n">
        <v>0.1324503311258278</v>
      </c>
      <c r="V75" s="37" t="n">
        <v>0.04118173679498657</v>
      </c>
      <c r="W75" s="37" t="n">
        <v>0.5</v>
      </c>
    </row>
    <row r="76">
      <c r="A76" s="53" t="n">
        <v>45750</v>
      </c>
      <c r="B76" t="inlineStr">
        <is>
          <t>R10_Sumbagteng</t>
        </is>
      </c>
      <c r="C76" t="inlineStr">
        <is>
          <t>NOP BATAM</t>
        </is>
      </c>
      <c r="D76" s="36" t="n">
        <v>0.68</v>
      </c>
      <c r="E76" s="36" t="n">
        <v>5.2</v>
      </c>
      <c r="F76" s="36" t="n">
        <v>6.39</v>
      </c>
      <c r="G76" s="36" t="n">
        <v>6.31</v>
      </c>
      <c r="H76" s="37" t="n">
        <v>0.224188790560472</v>
      </c>
      <c r="I76" s="37" t="n">
        <v>0.2553191489361702</v>
      </c>
      <c r="J76" s="37" t="n">
        <v>0.2191780821917808</v>
      </c>
      <c r="K76" s="37" t="n">
        <v>0.5</v>
      </c>
      <c r="L76" s="37" t="n">
        <v>0.5</v>
      </c>
      <c r="M76" s="37" t="n">
        <v>0.9970501474926253</v>
      </c>
      <c r="N76" s="37" t="n">
        <v>0.1061946902654867</v>
      </c>
      <c r="O76" s="36" t="n">
        <v>0</v>
      </c>
      <c r="P76" s="36" t="n">
        <v>6.95</v>
      </c>
      <c r="Q76" s="36" t="n">
        <v>24.43</v>
      </c>
      <c r="R76" s="36" t="n">
        <v>41.43</v>
      </c>
      <c r="S76" s="36" t="n">
        <v>0</v>
      </c>
      <c r="T76" s="37" t="n">
        <v>0.1028248587570621</v>
      </c>
      <c r="U76" s="37" t="n">
        <v>0.1436781609195402</v>
      </c>
      <c r="V76" s="37" t="n">
        <v>0.0930888575458392</v>
      </c>
      <c r="W76" s="37" t="n">
        <v>0.76</v>
      </c>
    </row>
    <row r="77">
      <c r="A77" s="53" t="n">
        <v>45750</v>
      </c>
      <c r="B77" t="inlineStr">
        <is>
          <t>R10_Sumbagteng</t>
        </is>
      </c>
      <c r="C77" t="inlineStr">
        <is>
          <t>NOP BUKITTINGGI</t>
        </is>
      </c>
      <c r="D77" s="36" t="n">
        <v>0.57</v>
      </c>
      <c r="E77" s="36" t="n">
        <v>8.289999999999999</v>
      </c>
      <c r="F77" s="36" t="n">
        <v>3.2</v>
      </c>
      <c r="G77" s="36" t="n">
        <v>4.23</v>
      </c>
      <c r="H77" s="37" t="n">
        <v>0.6666666666666666</v>
      </c>
      <c r="I77" s="37" t="n">
        <v>0.8571428571428571</v>
      </c>
      <c r="J77" s="37" t="n">
        <v>0.6329113924050633</v>
      </c>
      <c r="K77" s="37" t="n">
        <v>0.8333333333333334</v>
      </c>
      <c r="L77" s="37" t="n">
        <v>0.8333333333333334</v>
      </c>
      <c r="M77" s="37" t="n">
        <v>1</v>
      </c>
      <c r="N77" s="37" t="n">
        <v>0.4193548387096774</v>
      </c>
      <c r="O77" s="36" t="n">
        <v>0</v>
      </c>
      <c r="P77" s="36" t="n">
        <v>6.71</v>
      </c>
      <c r="Q77" s="36" t="n">
        <v>7</v>
      </c>
      <c r="R77" s="36" t="n">
        <v>154.81</v>
      </c>
      <c r="S77" s="36" t="n">
        <v>0</v>
      </c>
      <c r="T77" s="37" t="n">
        <v>0.356687898089172</v>
      </c>
      <c r="U77" s="37" t="n">
        <v>0.8333333333333334</v>
      </c>
      <c r="V77" s="37" t="n">
        <v>0.3179723502304148</v>
      </c>
      <c r="W77" s="37" t="n">
        <v>0.5666666666666667</v>
      </c>
    </row>
    <row r="78">
      <c r="A78" s="53" t="n">
        <v>45750</v>
      </c>
      <c r="B78" t="inlineStr">
        <is>
          <t>R10_Sumbagteng</t>
        </is>
      </c>
      <c r="C78" t="inlineStr">
        <is>
          <t>NOP DUMAI</t>
        </is>
      </c>
      <c r="D78" s="36" t="n">
        <v>5.63</v>
      </c>
      <c r="E78" s="36" t="n">
        <v>6.32</v>
      </c>
      <c r="F78" s="36" t="n">
        <v>5.38</v>
      </c>
      <c r="G78" s="36" t="n">
        <v>6.6</v>
      </c>
      <c r="H78" s="37" t="n">
        <v>0.4413702239789196</v>
      </c>
      <c r="I78" s="37" t="n">
        <v>0.4814814814814815</v>
      </c>
      <c r="J78" s="37" t="n">
        <v>0.4304857621440536</v>
      </c>
      <c r="K78" s="37" t="n">
        <v>0.6794871794871795</v>
      </c>
      <c r="L78" s="37" t="n">
        <v>0.7123287671232876</v>
      </c>
      <c r="M78" s="37" t="n">
        <v>0.9670619235836627</v>
      </c>
      <c r="N78" s="37" t="n">
        <v>0.2266139657444005</v>
      </c>
      <c r="O78" s="36" t="n">
        <v>0.15</v>
      </c>
      <c r="P78" s="36" t="n">
        <v>8.9</v>
      </c>
      <c r="Q78" s="36" t="n">
        <v>49.37</v>
      </c>
      <c r="R78" s="36" t="n">
        <v>75.31999999999999</v>
      </c>
      <c r="S78" s="36" t="n">
        <v>0</v>
      </c>
      <c r="T78" s="37" t="n">
        <v>0.2356521739130435</v>
      </c>
      <c r="U78" s="37" t="n">
        <v>0.2897526501766785</v>
      </c>
      <c r="V78" s="37" t="n">
        <v>0.2171893147502904</v>
      </c>
      <c r="W78" s="37" t="n">
        <v>0.9146341463414634</v>
      </c>
    </row>
    <row r="79">
      <c r="A79" s="53" t="n">
        <v>45750</v>
      </c>
      <c r="B79" t="inlineStr">
        <is>
          <t>R10_Sumbagteng</t>
        </is>
      </c>
      <c r="C79" t="inlineStr">
        <is>
          <t>NOP PADANG</t>
        </is>
      </c>
      <c r="D79" s="36" t="n">
        <v>0</v>
      </c>
      <c r="E79" s="36" t="n">
        <v>6.3</v>
      </c>
      <c r="F79" s="36" t="n">
        <v>4.21</v>
      </c>
      <c r="G79" s="36" t="n">
        <v>2.91</v>
      </c>
      <c r="H79" s="37" t="n">
        <v>0.5546218487394958</v>
      </c>
      <c r="I79" s="37" t="n">
        <v>0.5555555555555556</v>
      </c>
      <c r="J79" s="37" t="n">
        <v>0.5544554455445545</v>
      </c>
      <c r="K79" s="37" t="n">
        <v>0.3</v>
      </c>
      <c r="L79" s="37" t="n">
        <v>0.3</v>
      </c>
      <c r="M79" s="37" t="n">
        <v>1</v>
      </c>
      <c r="N79" s="37" t="n">
        <v>0.226890756302521</v>
      </c>
      <c r="O79" s="36" t="n">
        <v>0</v>
      </c>
      <c r="P79" s="36" t="n">
        <v>9.08</v>
      </c>
      <c r="Q79" s="36" t="n">
        <v>50.49</v>
      </c>
      <c r="R79" s="36" t="n">
        <v>32.58</v>
      </c>
      <c r="S79" s="36" t="n">
        <v>0</v>
      </c>
      <c r="T79" s="37" t="n">
        <v>0.608</v>
      </c>
      <c r="U79" s="37" t="n">
        <v>0.5348837209302325</v>
      </c>
      <c r="V79" s="37" t="n">
        <v>0.6163141993957704</v>
      </c>
      <c r="W79" s="37" t="n">
        <v>0.5869565217391305</v>
      </c>
    </row>
    <row r="80">
      <c r="A80" s="53" t="n">
        <v>45750</v>
      </c>
      <c r="B80" t="inlineStr">
        <is>
          <t>R10_Sumbagteng</t>
        </is>
      </c>
      <c r="C80" t="inlineStr">
        <is>
          <t>NOP PEKANBARU</t>
        </is>
      </c>
      <c r="D80" s="36" t="n">
        <v>5.66</v>
      </c>
      <c r="E80" s="36" t="n">
        <v>5.52</v>
      </c>
      <c r="F80" s="36" t="n">
        <v>6.08</v>
      </c>
      <c r="G80" s="36" t="n">
        <v>9.039999999999999</v>
      </c>
      <c r="H80" s="37" t="n">
        <v>0.3015267175572519</v>
      </c>
      <c r="I80" s="37" t="n">
        <v>0.4457831325301205</v>
      </c>
      <c r="J80" s="37" t="n">
        <v>0.2743764172335601</v>
      </c>
      <c r="K80" s="37" t="n">
        <v>0.6756756756756757</v>
      </c>
      <c r="L80" s="37" t="n">
        <v>0.7142857142857143</v>
      </c>
      <c r="M80" s="37" t="n">
        <v>0.9885496183206107</v>
      </c>
      <c r="N80" s="37" t="n">
        <v>0.1564885496183206</v>
      </c>
      <c r="O80" s="36" t="n">
        <v>0.01</v>
      </c>
      <c r="P80" s="36" t="n">
        <v>3.02</v>
      </c>
      <c r="Q80" s="36" t="n">
        <v>49.2</v>
      </c>
      <c r="R80" s="36" t="n">
        <v>74.13</v>
      </c>
      <c r="S80" s="36" t="n">
        <v>0</v>
      </c>
      <c r="T80" s="37" t="n">
        <v>0.3264563106796117</v>
      </c>
      <c r="U80" s="37" t="n">
        <v>0.3181818181818182</v>
      </c>
      <c r="V80" s="37" t="n">
        <v>0.3267148014440433</v>
      </c>
      <c r="W80" s="37" t="n">
        <v>0.8690476190476191</v>
      </c>
    </row>
    <row r="81">
      <c r="A81" s="53" t="n">
        <v>45750</v>
      </c>
      <c r="B81" t="inlineStr">
        <is>
          <t>R02_Sumbagsel</t>
        </is>
      </c>
      <c r="C81" t="inlineStr">
        <is>
          <t>NOP BENGKULU</t>
        </is>
      </c>
      <c r="D81" s="36" t="n">
        <v>1.29</v>
      </c>
      <c r="E81" s="36" t="n">
        <v>4.77</v>
      </c>
      <c r="F81" s="36" t="n">
        <v>2.58</v>
      </c>
      <c r="G81" s="36" t="n">
        <v>5.07</v>
      </c>
      <c r="H81" s="37" t="n">
        <v>0.3954248366013072</v>
      </c>
      <c r="I81" s="37" t="n">
        <v>0.4202898550724637</v>
      </c>
      <c r="J81" s="37" t="n">
        <v>0.3881856540084388</v>
      </c>
      <c r="K81" s="37" t="n">
        <v>0.6206896551724138</v>
      </c>
      <c r="L81" s="37" t="n">
        <v>0.6206896551724138</v>
      </c>
      <c r="M81" s="37" t="n">
        <v>1</v>
      </c>
      <c r="N81" s="37" t="n">
        <v>0.1895424836601307</v>
      </c>
      <c r="O81" s="36" t="n">
        <v>0</v>
      </c>
      <c r="P81" s="36" t="n">
        <v>4.68</v>
      </c>
      <c r="Q81" s="36" t="n">
        <v>7.77</v>
      </c>
      <c r="R81" s="36" t="n">
        <v>16</v>
      </c>
      <c r="S81" s="36" t="n">
        <v>0</v>
      </c>
      <c r="T81" s="37" t="n">
        <v>0.3823008849557522</v>
      </c>
      <c r="U81" s="37" t="n">
        <v>0.298941798941799</v>
      </c>
      <c r="V81" s="37" t="n">
        <v>0.5960264900662252</v>
      </c>
      <c r="W81" s="37" t="n">
        <v>0.8495575221238938</v>
      </c>
    </row>
    <row r="82">
      <c r="A82" s="53" t="n">
        <v>45750</v>
      </c>
      <c r="B82" t="inlineStr">
        <is>
          <t>R02_Sumbagsel</t>
        </is>
      </c>
      <c r="C82" t="inlineStr">
        <is>
          <t>NOP JAMBI</t>
        </is>
      </c>
      <c r="D82" s="36" t="n">
        <v>3.24</v>
      </c>
      <c r="E82" s="36" t="n">
        <v>4.55</v>
      </c>
      <c r="F82" s="36" t="n">
        <v>6.77</v>
      </c>
      <c r="G82" s="36" t="n">
        <v>6.08</v>
      </c>
      <c r="H82" s="37" t="n">
        <v>0.5236842105263158</v>
      </c>
      <c r="I82" s="37" t="n">
        <v>0.4608695652173913</v>
      </c>
      <c r="J82" s="37" t="n">
        <v>0.5509433962264151</v>
      </c>
      <c r="K82" s="37" t="n">
        <v>0.7735849056603774</v>
      </c>
      <c r="L82" s="37" t="n">
        <v>0.7735849056603774</v>
      </c>
      <c r="M82" s="37" t="n">
        <v>1</v>
      </c>
      <c r="N82" s="37" t="n">
        <v>0.2552631578947369</v>
      </c>
      <c r="O82" s="36" t="n">
        <v>0</v>
      </c>
      <c r="P82" s="36" t="n">
        <v>5.72</v>
      </c>
      <c r="Q82" s="36" t="n">
        <v>16.25</v>
      </c>
      <c r="R82" s="36" t="n">
        <v>18</v>
      </c>
      <c r="S82" s="36" t="n">
        <v>0</v>
      </c>
      <c r="T82" s="37" t="n">
        <v>0.59375</v>
      </c>
      <c r="U82" s="37" t="n">
        <v>0.5552631578947368</v>
      </c>
      <c r="V82" s="37" t="n">
        <v>0.6666666666666666</v>
      </c>
      <c r="W82" s="37" t="n">
        <v>0.6682464454976303</v>
      </c>
    </row>
    <row r="83">
      <c r="A83" s="53" t="n">
        <v>45750</v>
      </c>
      <c r="B83" t="inlineStr">
        <is>
          <t>R02_Sumbagsel</t>
        </is>
      </c>
      <c r="C83" t="inlineStr">
        <is>
          <t>NOP LAMPUNG</t>
        </is>
      </c>
      <c r="D83" s="36" t="n">
        <v>1.31</v>
      </c>
      <c r="E83" s="36" t="n">
        <v>6.97</v>
      </c>
      <c r="F83" s="36" t="n">
        <v>4.48</v>
      </c>
      <c r="G83" s="36" t="n">
        <v>3.68</v>
      </c>
      <c r="H83" s="37" t="n">
        <v>0.4429530201342282</v>
      </c>
      <c r="I83" s="37" t="n">
        <v>0.6756756756756757</v>
      </c>
      <c r="J83" s="37" t="n">
        <v>0.3660714285714285</v>
      </c>
      <c r="K83" s="37" t="n">
        <v>0.48</v>
      </c>
      <c r="L83" s="37" t="n">
        <v>0.48</v>
      </c>
      <c r="M83" s="37" t="n">
        <v>1</v>
      </c>
      <c r="N83" s="37" t="n">
        <v>0.2550335570469799</v>
      </c>
      <c r="O83" s="36" t="n">
        <v>0</v>
      </c>
      <c r="P83" s="36" t="n">
        <v>22.02</v>
      </c>
      <c r="Q83" s="36" t="n">
        <v>7.19</v>
      </c>
      <c r="R83" s="36" t="n">
        <v>68.45999999999999</v>
      </c>
      <c r="S83" s="36" t="n">
        <v>0</v>
      </c>
      <c r="T83" s="37" t="n">
        <v>0.8575581395348837</v>
      </c>
      <c r="U83" s="37" t="n">
        <v>0.7241379310344828</v>
      </c>
      <c r="V83" s="37" t="n">
        <v>0.9142857142857143</v>
      </c>
      <c r="W83" s="37" t="n">
        <v>0.7777777777777778</v>
      </c>
    </row>
    <row r="84">
      <c r="A84" s="53" t="n">
        <v>45750</v>
      </c>
      <c r="B84" t="inlineStr">
        <is>
          <t>R02_Sumbagsel</t>
        </is>
      </c>
      <c r="C84" t="inlineStr">
        <is>
          <t>NOP MUARA ENIM</t>
        </is>
      </c>
      <c r="D84" s="36" t="n">
        <v>2.5</v>
      </c>
      <c r="E84" s="36" t="n">
        <v>3.82</v>
      </c>
      <c r="F84" s="36" t="n">
        <v>4.03</v>
      </c>
      <c r="G84" s="36" t="n">
        <v>4.14</v>
      </c>
      <c r="H84" s="37" t="n">
        <v>0.3853820598006645</v>
      </c>
      <c r="I84" s="37" t="n">
        <v>0.2222222222222222</v>
      </c>
      <c r="J84" s="37" t="n">
        <v>0.4285714285714285</v>
      </c>
      <c r="K84" s="37" t="n">
        <v>0.4285714285714285</v>
      </c>
      <c r="L84" s="37" t="n">
        <v>0.4285714285714285</v>
      </c>
      <c r="M84" s="37" t="n">
        <v>0.9601328903654485</v>
      </c>
      <c r="N84" s="37" t="n">
        <v>0.1727574750830565</v>
      </c>
      <c r="O84" s="36" t="n">
        <v>0</v>
      </c>
      <c r="P84" s="36" t="n">
        <v>8.32</v>
      </c>
      <c r="Q84" s="36" t="n">
        <v>7.32</v>
      </c>
      <c r="R84" s="36" t="n">
        <v>13.83</v>
      </c>
      <c r="S84" s="36" t="n">
        <v>0</v>
      </c>
      <c r="T84" s="37" t="n">
        <v>0.4933333333333333</v>
      </c>
      <c r="U84" s="37" t="n">
        <v>0.4904942965779467</v>
      </c>
      <c r="V84" s="37" t="n">
        <v>0.6276595744680851</v>
      </c>
      <c r="W84" s="37" t="n">
        <v>0.8062015503875969</v>
      </c>
    </row>
    <row r="85">
      <c r="A85" s="53" t="n">
        <v>45750</v>
      </c>
      <c r="B85" t="inlineStr">
        <is>
          <t>R02_Sumbagsel</t>
        </is>
      </c>
      <c r="C85" t="inlineStr">
        <is>
          <t>NOP PALEMBANG</t>
        </is>
      </c>
      <c r="D85" s="36" t="n">
        <v>0</v>
      </c>
      <c r="E85" s="36" t="n">
        <v>9.779999999999999</v>
      </c>
      <c r="F85" s="36" t="n">
        <v>13.59</v>
      </c>
      <c r="G85" s="36" t="n">
        <v>11.79</v>
      </c>
      <c r="H85" s="37" t="n">
        <v>0.2874493927125506</v>
      </c>
      <c r="I85" s="37" t="n">
        <v>0.3214285714285715</v>
      </c>
      <c r="J85" s="37" t="n">
        <v>0.2831050228310502</v>
      </c>
      <c r="K85" s="37" t="n">
        <v>0.7777777777777778</v>
      </c>
      <c r="L85" s="37" t="n">
        <v>0.7777777777777778</v>
      </c>
      <c r="M85" s="37" t="n">
        <v>1</v>
      </c>
      <c r="N85" s="37" t="n">
        <v>0.194331983805668</v>
      </c>
      <c r="O85" s="36" t="n">
        <v>0</v>
      </c>
      <c r="P85" s="36" t="n">
        <v>9.51</v>
      </c>
      <c r="Q85" s="36" t="n">
        <v>13.05</v>
      </c>
      <c r="R85" s="36" t="n">
        <v>14.43</v>
      </c>
      <c r="S85" s="36" t="n">
        <v>0</v>
      </c>
      <c r="T85" s="37" t="n">
        <v>0.2644836272040302</v>
      </c>
      <c r="U85" s="37" t="n">
        <v>0.2164948453608248</v>
      </c>
      <c r="V85" s="37" t="n">
        <v>0.3987341772151899</v>
      </c>
      <c r="W85" s="37" t="n">
        <v>0.4285714285714285</v>
      </c>
    </row>
    <row r="86">
      <c r="A86" s="53" t="n">
        <v>45750</v>
      </c>
      <c r="B86" t="inlineStr">
        <is>
          <t>R02_Sumbagsel</t>
        </is>
      </c>
      <c r="C86" t="inlineStr">
        <is>
          <t>NOP PANGKAL PINANG</t>
        </is>
      </c>
      <c r="D86" s="36" t="n">
        <v>0</v>
      </c>
      <c r="E86" s="36" t="n">
        <v>1.38</v>
      </c>
      <c r="F86" s="36" t="n">
        <v>0.95</v>
      </c>
      <c r="G86" s="36" t="n">
        <v>7.05</v>
      </c>
      <c r="H86" s="37" t="n">
        <v>0.5106382978723404</v>
      </c>
      <c r="I86" s="37" t="n">
        <v>1</v>
      </c>
      <c r="J86" s="37" t="n">
        <v>0.4888888888888889</v>
      </c>
      <c r="K86" s="37" t="n">
        <v>0.5</v>
      </c>
      <c r="L86" s="37" t="n">
        <v>0.5</v>
      </c>
      <c r="M86" s="37" t="n">
        <v>1</v>
      </c>
      <c r="N86" s="37" t="n">
        <v>0.3191489361702128</v>
      </c>
      <c r="O86" s="36" t="n">
        <v>0</v>
      </c>
      <c r="P86" s="36" t="n">
        <v>4.27</v>
      </c>
      <c r="Q86" s="36" t="n">
        <v>5.81</v>
      </c>
      <c r="R86" s="36" t="n">
        <v>7.5</v>
      </c>
      <c r="S86" s="36" t="n">
        <v>0</v>
      </c>
      <c r="T86" s="37" t="n">
        <v>0.7678571428571429</v>
      </c>
      <c r="U86" s="37" t="n">
        <v>0.7169811320754716</v>
      </c>
      <c r="V86" s="37" t="n">
        <v>0.8888888888888888</v>
      </c>
      <c r="W86" s="37" t="n">
        <v>0.5789473684210527</v>
      </c>
    </row>
    <row r="87">
      <c r="A87" s="53" t="n">
        <v>45750</v>
      </c>
      <c r="B87" t="inlineStr">
        <is>
          <t>R05_Jawa Tengah DIY</t>
        </is>
      </c>
      <c r="C87" t="inlineStr">
        <is>
          <t>NOP MAGELANG</t>
        </is>
      </c>
      <c r="D87" s="36" t="n">
        <v>4.11</v>
      </c>
      <c r="E87" s="36" t="n">
        <v>0</v>
      </c>
      <c r="F87" s="36" t="n">
        <v>6.2</v>
      </c>
      <c r="G87" s="36" t="n">
        <v>2.76</v>
      </c>
      <c r="H87" s="37" t="n">
        <v>0.6266666666666667</v>
      </c>
      <c r="I87" s="37" t="n">
        <v>0.875</v>
      </c>
      <c r="J87" s="37" t="n">
        <v>0.5970149253731343</v>
      </c>
      <c r="K87" s="37" t="n">
        <v>0.5714285714285714</v>
      </c>
      <c r="L87" s="37" t="n">
        <v>0.5714285714285714</v>
      </c>
      <c r="M87" s="37" t="n">
        <v>1</v>
      </c>
      <c r="N87" s="37" t="n">
        <v>0.5866666666666667</v>
      </c>
      <c r="O87" s="36" t="n">
        <v>0</v>
      </c>
      <c r="P87" s="36" t="n">
        <v>8.550000000000001</v>
      </c>
      <c r="Q87" s="36" t="n">
        <v>28.66</v>
      </c>
      <c r="R87" s="36" t="n">
        <v>64.87</v>
      </c>
      <c r="S87" s="36" t="n">
        <v>0</v>
      </c>
      <c r="T87" s="37" t="n">
        <v>0.8934426229508197</v>
      </c>
      <c r="U87" s="37" t="n">
        <v>0.9090909090909091</v>
      </c>
      <c r="V87" s="37" t="n">
        <v>0.8918918918918919</v>
      </c>
      <c r="W87" s="37" t="n">
        <v>0.8</v>
      </c>
    </row>
    <row r="88">
      <c r="A88" s="53" t="n">
        <v>45750</v>
      </c>
      <c r="B88" t="inlineStr">
        <is>
          <t>R05_Jawa Tengah DIY</t>
        </is>
      </c>
      <c r="C88" t="inlineStr">
        <is>
          <t>NOP PEKALONGAN</t>
        </is>
      </c>
      <c r="D88" s="36" t="n">
        <v>4.05</v>
      </c>
      <c r="E88" s="36" t="n">
        <v>0</v>
      </c>
      <c r="F88" s="36" t="n">
        <v>2.38</v>
      </c>
      <c r="G88" s="36" t="n">
        <v>2.13</v>
      </c>
      <c r="H88" s="37" t="n">
        <v>0.5128205128205128</v>
      </c>
      <c r="I88" s="37" t="n">
        <v>1</v>
      </c>
      <c r="J88" s="37" t="n">
        <v>0.4411764705882353</v>
      </c>
      <c r="K88" s="37" t="n">
        <v>1</v>
      </c>
      <c r="L88" s="37" t="n">
        <v>1</v>
      </c>
      <c r="M88" s="37" t="n">
        <v>1</v>
      </c>
      <c r="N88" s="37" t="n">
        <v>0.5641025641025641</v>
      </c>
      <c r="O88" s="36" t="n">
        <v>0</v>
      </c>
      <c r="P88" s="36" t="n">
        <v>2.71</v>
      </c>
      <c r="Q88" s="36" t="n">
        <v>4.42</v>
      </c>
      <c r="R88" s="36" t="n">
        <v>65.41</v>
      </c>
      <c r="S88" s="36" t="n">
        <v>0</v>
      </c>
      <c r="T88" s="37" t="n">
        <v>0.8918918918918919</v>
      </c>
      <c r="U88" s="37" t="n">
        <v>0.6875</v>
      </c>
      <c r="V88" s="37" t="n">
        <v>0.9482758620689655</v>
      </c>
      <c r="W88" s="37" t="n">
        <v>0.7272727272727273</v>
      </c>
    </row>
    <row r="89">
      <c r="A89" s="53" t="n">
        <v>45750</v>
      </c>
      <c r="B89" t="inlineStr">
        <is>
          <t>R05_Jawa Tengah DIY</t>
        </is>
      </c>
      <c r="C89" t="inlineStr">
        <is>
          <t>NOP PURWOKERTO</t>
        </is>
      </c>
      <c r="D89" s="36" t="n">
        <v>1.85</v>
      </c>
      <c r="E89" s="36" t="n">
        <v>0</v>
      </c>
      <c r="F89" s="36" t="n">
        <v>3.54</v>
      </c>
      <c r="G89" s="36" t="n">
        <v>4.37</v>
      </c>
      <c r="H89" s="37" t="n">
        <v>0.8428571428571429</v>
      </c>
      <c r="I89" s="37" t="n">
        <v>0.4</v>
      </c>
      <c r="J89" s="37" t="n">
        <v>0.8769230769230769</v>
      </c>
      <c r="K89" s="37" t="n">
        <v>1</v>
      </c>
      <c r="L89" s="37" t="n">
        <v>1</v>
      </c>
      <c r="M89" s="37" t="n">
        <v>0.9571428571428572</v>
      </c>
      <c r="N89" s="37" t="n">
        <v>0.5</v>
      </c>
      <c r="O89" s="36" t="n">
        <v>0</v>
      </c>
      <c r="P89" s="36" t="n">
        <v>4.15</v>
      </c>
      <c r="Q89" s="36" t="n">
        <v>5.21</v>
      </c>
      <c r="R89" s="36" t="n">
        <v>20.96</v>
      </c>
      <c r="S89" s="36" t="n">
        <v>0</v>
      </c>
      <c r="T89" s="37" t="n">
        <v>0.72</v>
      </c>
      <c r="U89" s="37" t="n">
        <v>0.7</v>
      </c>
      <c r="V89" s="37" t="n">
        <v>0.7272727272727273</v>
      </c>
      <c r="W89" s="37" t="n">
        <v>0.5</v>
      </c>
    </row>
    <row r="90">
      <c r="A90" s="53" t="n">
        <v>45750</v>
      </c>
      <c r="B90" t="inlineStr">
        <is>
          <t>R05_Jawa Tengah DIY</t>
        </is>
      </c>
      <c r="C90" t="inlineStr">
        <is>
          <t>NOP SEMARANG</t>
        </is>
      </c>
      <c r="D90" s="36" t="n">
        <v>1.3</v>
      </c>
      <c r="E90" s="36" t="n">
        <v>0</v>
      </c>
      <c r="F90" s="36" t="n">
        <v>3.56</v>
      </c>
      <c r="G90" s="36" t="n">
        <v>4.27</v>
      </c>
      <c r="H90" s="37" t="n">
        <v>0.5490196078431373</v>
      </c>
      <c r="I90" s="37" t="n">
        <v>1</v>
      </c>
      <c r="J90" s="37" t="n">
        <v>0.5306122448979592</v>
      </c>
      <c r="K90" s="37" t="n">
        <v>1</v>
      </c>
      <c r="L90" s="37" t="n">
        <v>1</v>
      </c>
      <c r="M90" s="37" t="n">
        <v>1</v>
      </c>
      <c r="N90" s="37" t="n">
        <v>0.3529411764705883</v>
      </c>
      <c r="O90" s="36" t="n">
        <v>0</v>
      </c>
      <c r="P90" s="36" t="n">
        <v>1.46</v>
      </c>
      <c r="Q90" s="36" t="n">
        <v>22.54</v>
      </c>
      <c r="R90" s="36" t="n">
        <v>55.33</v>
      </c>
      <c r="S90" s="36" t="n">
        <v>0</v>
      </c>
      <c r="T90" s="37" t="n">
        <v>0.4767441860465116</v>
      </c>
      <c r="U90" s="37" t="n">
        <v>0.2448979591836735</v>
      </c>
      <c r="V90" s="37" t="n">
        <v>0.7837837837837838</v>
      </c>
      <c r="W90" s="37" t="n">
        <v>0.8333333333333334</v>
      </c>
    </row>
    <row r="91">
      <c r="A91" s="53" t="n">
        <v>45750</v>
      </c>
      <c r="B91" t="inlineStr">
        <is>
          <t>R05_Jawa Tengah DIY</t>
        </is>
      </c>
      <c r="C91" t="inlineStr">
        <is>
          <t>NOP SURAKARTA</t>
        </is>
      </c>
      <c r="D91" s="36" t="n">
        <v>4.24</v>
      </c>
      <c r="E91" s="36" t="n">
        <v>0</v>
      </c>
      <c r="F91" s="36" t="n">
        <v>2.8</v>
      </c>
      <c r="G91" s="36" t="n">
        <v>6.57</v>
      </c>
      <c r="H91" s="37" t="n">
        <v>0.6279069767441861</v>
      </c>
      <c r="I91" s="37" t="n">
        <v>0.8571428571428571</v>
      </c>
      <c r="J91" s="37" t="n">
        <v>0.6075949367088608</v>
      </c>
      <c r="K91" s="37" t="n">
        <v>1</v>
      </c>
      <c r="L91" s="37" t="n">
        <v>1</v>
      </c>
      <c r="M91" s="37" t="n">
        <v>0.9883720930232558</v>
      </c>
      <c r="N91" s="37" t="n">
        <v>0.4883720930232558</v>
      </c>
      <c r="O91" s="36" t="n">
        <v>0</v>
      </c>
      <c r="P91" s="36" t="n">
        <v>3.17</v>
      </c>
      <c r="Q91" s="36" t="n">
        <v>6.55</v>
      </c>
      <c r="R91" s="36" t="n">
        <v>142.33</v>
      </c>
      <c r="S91" s="36" t="n">
        <v>0</v>
      </c>
      <c r="T91" s="37" t="n">
        <v>0.8484848484848485</v>
      </c>
      <c r="U91" s="37" t="n">
        <v>0.8064516129032258</v>
      </c>
      <c r="V91" s="37" t="n">
        <v>0.8676470588235294</v>
      </c>
      <c r="W91" s="37" t="n">
        <v>0.84</v>
      </c>
    </row>
    <row r="92">
      <c r="A92" s="53" t="n">
        <v>45750</v>
      </c>
      <c r="B92" t="inlineStr">
        <is>
          <t>R05_Jawa Tengah DIY</t>
        </is>
      </c>
      <c r="C92" t="inlineStr">
        <is>
          <t>NOP YOGYAKARTA</t>
        </is>
      </c>
      <c r="D92" s="36" t="n">
        <v>2.74</v>
      </c>
      <c r="E92" s="36" t="n">
        <v>0</v>
      </c>
      <c r="F92" s="36" t="n">
        <v>1.85</v>
      </c>
      <c r="G92" s="36" t="n">
        <v>4.26</v>
      </c>
      <c r="H92" s="37" t="n">
        <v>0.5806451612903226</v>
      </c>
      <c r="I92" s="37" t="n">
        <v>1</v>
      </c>
      <c r="J92" s="37" t="n">
        <v>0.5517241379310345</v>
      </c>
      <c r="K92" s="37" t="n">
        <v>1</v>
      </c>
      <c r="L92" s="37" t="n">
        <v>1</v>
      </c>
      <c r="M92" s="37" t="n">
        <v>1</v>
      </c>
      <c r="N92" s="37" t="n">
        <v>0.4838709677419355</v>
      </c>
      <c r="O92" s="36" t="n">
        <v>0</v>
      </c>
      <c r="P92" s="36" t="n">
        <v>2.92</v>
      </c>
      <c r="Q92" s="36" t="n">
        <v>13.75</v>
      </c>
      <c r="R92" s="36" t="n">
        <v>37.71</v>
      </c>
      <c r="S92" s="36" t="n">
        <v>0</v>
      </c>
      <c r="T92" s="37" t="n">
        <v>0.9295774647887324</v>
      </c>
      <c r="U92" s="37" t="n">
        <v>0.7857142857142857</v>
      </c>
      <c r="V92" s="37" t="n">
        <v>0.9453125</v>
      </c>
      <c r="W92" s="37" t="n">
        <v>0.9090909090909091</v>
      </c>
    </row>
    <row r="93">
      <c r="A93" s="53" t="n">
        <v>45750</v>
      </c>
      <c r="B93" t="inlineStr">
        <is>
          <t>R06_Jawa Timur</t>
        </is>
      </c>
      <c r="C93" t="inlineStr">
        <is>
          <t>NOP JEMBER</t>
        </is>
      </c>
      <c r="D93" s="36" t="n">
        <v>2.1</v>
      </c>
      <c r="E93" s="36" t="n">
        <v>1.77</v>
      </c>
      <c r="F93" s="36" t="n">
        <v>1.72</v>
      </c>
      <c r="G93" s="36" t="n">
        <v>2.94</v>
      </c>
      <c r="H93" s="37" t="n">
        <v>0.7073170731707317</v>
      </c>
      <c r="I93" s="37" t="n">
        <v>1</v>
      </c>
      <c r="J93" s="37" t="n">
        <v>0.6756756756756757</v>
      </c>
      <c r="K93" s="37" t="n">
        <v>0.5</v>
      </c>
      <c r="L93" s="37" t="n">
        <v>0.5</v>
      </c>
      <c r="M93" s="37" t="n">
        <v>1</v>
      </c>
      <c r="N93" s="37" t="n">
        <v>0.3170731707317073</v>
      </c>
      <c r="O93" s="36" t="n">
        <v>0</v>
      </c>
      <c r="P93" s="36" t="n">
        <v>1.98</v>
      </c>
      <c r="Q93" s="36" t="n">
        <v>5.1</v>
      </c>
      <c r="R93" s="36" t="n">
        <v>136.47</v>
      </c>
      <c r="S93" s="36" t="n">
        <v>0</v>
      </c>
      <c r="T93" s="37" t="n">
        <v>0.8169014084507042</v>
      </c>
      <c r="U93" s="37" t="n">
        <v>0.9333333333333333</v>
      </c>
      <c r="V93" s="37" t="n">
        <v>0.7857142857142857</v>
      </c>
      <c r="W93" s="37" t="n">
        <v>0.7857142857142857</v>
      </c>
    </row>
    <row r="94">
      <c r="A94" s="53" t="n">
        <v>45750</v>
      </c>
      <c r="B94" t="inlineStr">
        <is>
          <t>R06_Jawa Timur</t>
        </is>
      </c>
      <c r="C94" t="inlineStr">
        <is>
          <t>NOP KEDIRI</t>
        </is>
      </c>
      <c r="D94" s="36" t="n">
        <v>0</v>
      </c>
      <c r="E94" s="36" t="n">
        <v>0.7</v>
      </c>
      <c r="F94" s="36" t="n">
        <v>1.29</v>
      </c>
      <c r="G94" s="36" t="n">
        <v>0.99</v>
      </c>
      <c r="H94" s="37" t="n">
        <v>0.9</v>
      </c>
      <c r="I94" s="37" t="n">
        <v>1</v>
      </c>
      <c r="J94" s="37" t="n">
        <v>0.8947368421052632</v>
      </c>
      <c r="K94" s="37" t="n">
        <v>0.5</v>
      </c>
      <c r="L94" s="37" t="n">
        <v>0.5</v>
      </c>
      <c r="M94" s="37" t="n">
        <v>1</v>
      </c>
      <c r="N94" s="37" t="n">
        <v>0.45</v>
      </c>
      <c r="O94" s="36" t="n">
        <v>0</v>
      </c>
      <c r="P94" s="36" t="n">
        <v>2.21</v>
      </c>
      <c r="Q94" s="36" t="n">
        <v>3.67</v>
      </c>
      <c r="R94" s="36" t="n">
        <v>13.8</v>
      </c>
      <c r="S94" s="36" t="n">
        <v>0</v>
      </c>
      <c r="T94" s="37" t="n">
        <v>0.9354838709677419</v>
      </c>
      <c r="U94" s="37" t="n">
        <v>1</v>
      </c>
      <c r="V94" s="37" t="n">
        <v>0.9230769230769231</v>
      </c>
      <c r="W94" s="37" t="n">
        <v>0.8</v>
      </c>
    </row>
    <row r="95">
      <c r="A95" s="53" t="n">
        <v>45750</v>
      </c>
      <c r="B95" t="inlineStr">
        <is>
          <t>R06_Jawa Timur</t>
        </is>
      </c>
      <c r="C95" t="inlineStr">
        <is>
          <t>NOP LAMONGAN</t>
        </is>
      </c>
      <c r="D95" s="36" t="n">
        <v>0.97</v>
      </c>
      <c r="E95" s="36" t="n">
        <v>1.01</v>
      </c>
      <c r="F95" s="36" t="n">
        <v>3.22</v>
      </c>
      <c r="G95" s="36" t="n">
        <v>1.7</v>
      </c>
      <c r="H95" s="37" t="n">
        <v>0.8484848484848485</v>
      </c>
      <c r="I95" s="37" t="n">
        <v>1</v>
      </c>
      <c r="J95" s="37" t="n">
        <v>0.8214285714285714</v>
      </c>
      <c r="K95" s="37" t="n">
        <v>0.8</v>
      </c>
      <c r="L95" s="37" t="n">
        <v>0.8</v>
      </c>
      <c r="M95" s="37" t="n">
        <v>1</v>
      </c>
      <c r="N95" s="37" t="n">
        <v>0.7575757575757576</v>
      </c>
      <c r="O95" s="36" t="n">
        <v>0</v>
      </c>
      <c r="P95" s="36" t="n">
        <v>2.64</v>
      </c>
      <c r="Q95" s="36" t="n">
        <v>3.09</v>
      </c>
      <c r="R95" s="36" t="n">
        <v>34.1</v>
      </c>
      <c r="S95" s="36" t="n">
        <v>0</v>
      </c>
      <c r="T95" s="37" t="n">
        <v>0.9310344827586207</v>
      </c>
      <c r="U95" s="37" t="n">
        <v>0.8666666666666667</v>
      </c>
      <c r="V95" s="37" t="n">
        <v>1</v>
      </c>
      <c r="W95" s="37" t="n">
        <v>0.9230769230769231</v>
      </c>
    </row>
    <row r="96">
      <c r="A96" s="53" t="n">
        <v>45750</v>
      </c>
      <c r="B96" t="inlineStr">
        <is>
          <t>R06_Jawa Timur</t>
        </is>
      </c>
      <c r="C96" t="inlineStr">
        <is>
          <t>NOP MADIUN</t>
        </is>
      </c>
      <c r="D96" s="36" t="n">
        <v>0</v>
      </c>
      <c r="E96" s="36" t="n">
        <v>0</v>
      </c>
      <c r="F96" s="36" t="n">
        <v>3.65</v>
      </c>
      <c r="G96" s="36" t="n">
        <v>2.29</v>
      </c>
      <c r="H96" s="37" t="n">
        <v>0.7352941176470589</v>
      </c>
      <c r="I96" s="37" t="n">
        <v>0</v>
      </c>
      <c r="J96" s="37" t="n">
        <v>0.7352941176470589</v>
      </c>
      <c r="K96" s="37" t="n">
        <v>0</v>
      </c>
      <c r="L96" s="37" t="n">
        <v>0</v>
      </c>
      <c r="M96" s="37" t="n">
        <v>1</v>
      </c>
      <c r="N96" s="37" t="n">
        <v>0.4705882352941176</v>
      </c>
      <c r="O96" s="36" t="n">
        <v>0</v>
      </c>
      <c r="P96" s="36" t="n">
        <v>3.03</v>
      </c>
      <c r="Q96" s="36" t="n">
        <v>14.92</v>
      </c>
      <c r="R96" s="36" t="n">
        <v>31.16</v>
      </c>
      <c r="S96" s="36" t="n">
        <v>0</v>
      </c>
      <c r="T96" s="37" t="n">
        <v>0.5945945945945946</v>
      </c>
      <c r="U96" s="37" t="n">
        <v>0.5833333333333334</v>
      </c>
      <c r="V96" s="37" t="n">
        <v>0.6</v>
      </c>
      <c r="W96" s="37" t="n">
        <v>0.7142857142857143</v>
      </c>
    </row>
    <row r="97">
      <c r="A97" s="53" t="n">
        <v>45750</v>
      </c>
      <c r="B97" t="inlineStr">
        <is>
          <t>R06_Jawa Timur</t>
        </is>
      </c>
      <c r="C97" t="inlineStr">
        <is>
          <t>NOP MALANG</t>
        </is>
      </c>
      <c r="D97" s="36" t="n">
        <v>0</v>
      </c>
      <c r="E97" s="36" t="n">
        <v>0</v>
      </c>
      <c r="F97" s="36" t="n">
        <v>2.09</v>
      </c>
      <c r="G97" s="36" t="n">
        <v>2.49</v>
      </c>
      <c r="H97" s="37" t="n">
        <v>0.8461538461538461</v>
      </c>
      <c r="I97" s="37" t="n">
        <v>0</v>
      </c>
      <c r="J97" s="37" t="n">
        <v>0.8461538461538461</v>
      </c>
      <c r="K97" s="37" t="n">
        <v>0</v>
      </c>
      <c r="L97" s="37" t="n">
        <v>0</v>
      </c>
      <c r="M97" s="37" t="n">
        <v>1</v>
      </c>
      <c r="N97" s="37" t="n">
        <v>0.6923076923076923</v>
      </c>
      <c r="O97" s="36" t="n">
        <v>0.02</v>
      </c>
      <c r="P97" s="36" t="n">
        <v>3.08</v>
      </c>
      <c r="Q97" s="36" t="n">
        <v>2.51</v>
      </c>
      <c r="R97" s="36" t="n">
        <v>54.67</v>
      </c>
      <c r="S97" s="36" t="n">
        <v>0</v>
      </c>
      <c r="T97" s="37" t="n">
        <v>0.7391304347826086</v>
      </c>
      <c r="U97" s="37" t="n">
        <v>0.5</v>
      </c>
      <c r="V97" s="37" t="n">
        <v>0.8666666666666667</v>
      </c>
      <c r="W97" s="37" t="n">
        <v>0.5</v>
      </c>
    </row>
    <row r="98">
      <c r="A98" s="53" t="n">
        <v>45750</v>
      </c>
      <c r="B98" t="inlineStr">
        <is>
          <t>R06_Jawa Timur</t>
        </is>
      </c>
      <c r="C98" t="inlineStr">
        <is>
          <t>NOP SIDOARJO</t>
        </is>
      </c>
      <c r="D98" s="36" t="n">
        <v>4.24</v>
      </c>
      <c r="E98" s="36" t="n">
        <v>0</v>
      </c>
      <c r="F98" s="36" t="n">
        <v>4.78</v>
      </c>
      <c r="G98" s="36" t="n">
        <v>3.42</v>
      </c>
      <c r="H98" s="37" t="n">
        <v>0.8064516129032258</v>
      </c>
      <c r="I98" s="37" t="n">
        <v>1</v>
      </c>
      <c r="J98" s="37" t="n">
        <v>0.76</v>
      </c>
      <c r="K98" s="37" t="n">
        <v>0.8333333333333334</v>
      </c>
      <c r="L98" s="37" t="n">
        <v>0.8333333333333334</v>
      </c>
      <c r="M98" s="37" t="n">
        <v>1</v>
      </c>
      <c r="N98" s="37" t="n">
        <v>0.6129032258064516</v>
      </c>
      <c r="O98" s="36" t="n">
        <v>0</v>
      </c>
      <c r="P98" s="36" t="n">
        <v>184.08</v>
      </c>
      <c r="Q98" s="36" t="n">
        <v>4.84</v>
      </c>
      <c r="R98" s="36" t="n">
        <v>94.83</v>
      </c>
      <c r="S98" s="36" t="n">
        <v>0</v>
      </c>
      <c r="T98" s="37" t="n">
        <v>0.72</v>
      </c>
      <c r="U98" s="37" t="n">
        <v>0.5714285714285714</v>
      </c>
      <c r="V98" s="37" t="n">
        <v>0.7441860465116279</v>
      </c>
      <c r="W98" s="37" t="n">
        <v>0.75</v>
      </c>
    </row>
    <row r="99">
      <c r="A99" s="53" t="n">
        <v>45750</v>
      </c>
      <c r="B99" t="inlineStr">
        <is>
          <t>R06_Jawa Timur</t>
        </is>
      </c>
      <c r="C99" t="inlineStr">
        <is>
          <t>NOP SURABAYA</t>
        </is>
      </c>
      <c r="D99" s="36" t="n">
        <v>2.3</v>
      </c>
      <c r="E99" s="36" t="n">
        <v>0</v>
      </c>
      <c r="F99" s="36" t="n">
        <v>1.91</v>
      </c>
      <c r="G99" s="36" t="n">
        <v>2.78</v>
      </c>
      <c r="H99" s="37" t="n">
        <v>0.4666666666666667</v>
      </c>
      <c r="I99" s="37" t="n">
        <v>0.2857142857142857</v>
      </c>
      <c r="J99" s="37" t="n">
        <v>0.5</v>
      </c>
      <c r="K99" s="37" t="n">
        <v>1</v>
      </c>
      <c r="L99" s="37" t="n">
        <v>1</v>
      </c>
      <c r="M99" s="37" t="n">
        <v>0.9777777777777777</v>
      </c>
      <c r="N99" s="37" t="n">
        <v>0.2444444444444444</v>
      </c>
      <c r="O99" s="36" t="n">
        <v>0.04</v>
      </c>
      <c r="P99" s="36" t="n">
        <v>2.51</v>
      </c>
      <c r="Q99" s="36" t="n">
        <v>7.22</v>
      </c>
      <c r="R99" s="36" t="n">
        <v>20.57</v>
      </c>
      <c r="S99" s="36" t="n">
        <v>0</v>
      </c>
      <c r="T99" s="37" t="n">
        <v>0.6481481481481481</v>
      </c>
      <c r="U99" s="37" t="n">
        <v>0.3846153846153846</v>
      </c>
      <c r="V99" s="37" t="n">
        <v>0.6842105263157895</v>
      </c>
      <c r="W99" s="37" t="n">
        <v>0.4</v>
      </c>
    </row>
    <row r="100">
      <c r="A100" s="53" t="n">
        <v>45750</v>
      </c>
      <c r="B100" t="inlineStr">
        <is>
          <t>R07_Bali Nusra</t>
        </is>
      </c>
      <c r="C100" t="inlineStr">
        <is>
          <t>NOP DENPASAR</t>
        </is>
      </c>
      <c r="D100" s="36" t="n">
        <v>2</v>
      </c>
      <c r="E100" s="36" t="n">
        <v>0</v>
      </c>
      <c r="F100" s="36" t="n">
        <v>2.07</v>
      </c>
      <c r="G100" s="36" t="n">
        <v>4.34</v>
      </c>
      <c r="H100" s="37" t="n">
        <v>0.9310344827586207</v>
      </c>
      <c r="I100" s="37" t="n">
        <v>0.8888888888888888</v>
      </c>
      <c r="J100" s="37" t="n">
        <v>0.95</v>
      </c>
      <c r="K100" s="37" t="n">
        <v>1</v>
      </c>
      <c r="L100" s="37" t="n">
        <v>1</v>
      </c>
      <c r="M100" s="37" t="n">
        <v>0.9655172413793104</v>
      </c>
      <c r="N100" s="37" t="n">
        <v>0.896551724137931</v>
      </c>
      <c r="O100" s="36" t="n">
        <v>0</v>
      </c>
      <c r="P100" s="36" t="n">
        <v>29.36</v>
      </c>
      <c r="Q100" s="36" t="n">
        <v>46.7</v>
      </c>
      <c r="R100" s="36" t="n">
        <v>13.38</v>
      </c>
      <c r="S100" s="36" t="n">
        <v>0</v>
      </c>
      <c r="T100" s="37" t="n">
        <v>0.8627450980392157</v>
      </c>
      <c r="U100" s="37" t="n">
        <v>0.7333333333333333</v>
      </c>
      <c r="V100" s="37" t="n">
        <v>0.9166666666666666</v>
      </c>
      <c r="W100" s="37" t="n">
        <v>0.5454545454545454</v>
      </c>
    </row>
    <row r="101">
      <c r="A101" s="53" t="n">
        <v>45750</v>
      </c>
      <c r="B101" t="inlineStr">
        <is>
          <t>R07_Bali Nusra</t>
        </is>
      </c>
      <c r="C101" t="inlineStr">
        <is>
          <t>NOP FLORES</t>
        </is>
      </c>
      <c r="D101" s="36" t="n">
        <v>3.76</v>
      </c>
      <c r="E101" s="36" t="n">
        <v>3.86</v>
      </c>
      <c r="F101" s="36" t="n">
        <v>10.72</v>
      </c>
      <c r="G101" s="36" t="n">
        <v>8.44</v>
      </c>
      <c r="H101" s="37" t="n">
        <v>0.3786407766990291</v>
      </c>
      <c r="I101" s="37" t="n">
        <v>0.5384615384615384</v>
      </c>
      <c r="J101" s="37" t="n">
        <v>0.3413173652694611</v>
      </c>
      <c r="K101" s="37" t="n">
        <v>0.5714285714285714</v>
      </c>
      <c r="L101" s="37" t="n">
        <v>0.5714285714285714</v>
      </c>
      <c r="M101" s="37" t="n">
        <v>0.9951456310679612</v>
      </c>
      <c r="N101" s="37" t="n">
        <v>0.2087378640776699</v>
      </c>
      <c r="O101" s="36" t="n">
        <v>0.17</v>
      </c>
      <c r="P101" s="36" t="n">
        <v>15.69</v>
      </c>
      <c r="Q101" s="36" t="n">
        <v>8.390000000000001</v>
      </c>
      <c r="R101" s="36" t="n">
        <v>45.26</v>
      </c>
      <c r="S101" s="36" t="n">
        <v>0</v>
      </c>
      <c r="T101" s="37" t="n">
        <v>0.4012539184952978</v>
      </c>
      <c r="U101" s="37" t="n">
        <v>0.4439252336448598</v>
      </c>
      <c r="V101" s="37" t="n">
        <v>0.3142857142857143</v>
      </c>
      <c r="W101" s="37" t="n">
        <v>0.6736842105263158</v>
      </c>
    </row>
    <row r="102">
      <c r="A102" s="53" t="n">
        <v>45750</v>
      </c>
      <c r="B102" t="inlineStr">
        <is>
          <t>R07_Bali Nusra</t>
        </is>
      </c>
      <c r="C102" t="inlineStr">
        <is>
          <t>NOP KUPANG</t>
        </is>
      </c>
      <c r="D102" s="36" t="n">
        <v>0</v>
      </c>
      <c r="E102" s="36" t="n">
        <v>0.92</v>
      </c>
      <c r="F102" s="36" t="n">
        <v>4.04</v>
      </c>
      <c r="G102" s="36" t="n">
        <v>5.72</v>
      </c>
      <c r="H102" s="37" t="n">
        <v>0.3846153846153846</v>
      </c>
      <c r="I102" s="37" t="n">
        <v>0.4444444444444444</v>
      </c>
      <c r="J102" s="37" t="n">
        <v>0.3768115942028986</v>
      </c>
      <c r="K102" s="37" t="n">
        <v>0.75</v>
      </c>
      <c r="L102" s="37" t="n">
        <v>0.75</v>
      </c>
      <c r="M102" s="37" t="n">
        <v>0.9871794871794872</v>
      </c>
      <c r="N102" s="37" t="n">
        <v>0.141025641025641</v>
      </c>
      <c r="O102" s="36" t="n">
        <v>0.01</v>
      </c>
      <c r="P102" s="36" t="n">
        <v>24.03</v>
      </c>
      <c r="Q102" s="36" t="n">
        <v>14.96</v>
      </c>
      <c r="R102" s="36" t="n">
        <v>158.75</v>
      </c>
      <c r="S102" s="36" t="n">
        <v>0</v>
      </c>
      <c r="T102" s="37" t="n">
        <v>0.5779816513761468</v>
      </c>
      <c r="U102" s="37" t="n">
        <v>0.640625</v>
      </c>
      <c r="V102" s="37" t="n">
        <v>0.4888888888888889</v>
      </c>
      <c r="W102" s="37" t="n">
        <v>0.5609756097560976</v>
      </c>
    </row>
    <row r="103">
      <c r="A103" s="53" t="n">
        <v>45750</v>
      </c>
      <c r="B103" t="inlineStr">
        <is>
          <t>R07_Bali Nusra</t>
        </is>
      </c>
      <c r="C103" t="inlineStr">
        <is>
          <t>NOP MATARAM</t>
        </is>
      </c>
      <c r="D103" s="36" t="n">
        <v>4.95</v>
      </c>
      <c r="E103" s="36" t="n">
        <v>6.18</v>
      </c>
      <c r="F103" s="36" t="n">
        <v>2.21</v>
      </c>
      <c r="G103" s="36" t="n">
        <v>8.960000000000001</v>
      </c>
      <c r="H103" s="37" t="n">
        <v>0.40625</v>
      </c>
      <c r="I103" s="37" t="n">
        <v>0.3333333333333333</v>
      </c>
      <c r="J103" s="37" t="n">
        <v>0.4137931034482759</v>
      </c>
      <c r="K103" s="37" t="n">
        <v>0</v>
      </c>
      <c r="L103" s="37" t="n">
        <v>0</v>
      </c>
      <c r="M103" s="37" t="n">
        <v>1</v>
      </c>
      <c r="N103" s="37" t="n">
        <v>0.25</v>
      </c>
      <c r="O103" s="36" t="n">
        <v>0</v>
      </c>
      <c r="P103" s="36" t="n">
        <v>16.68</v>
      </c>
      <c r="Q103" s="36" t="n">
        <v>10.07</v>
      </c>
      <c r="R103" s="36" t="n">
        <v>22.5</v>
      </c>
      <c r="S103" s="36" t="n">
        <v>0</v>
      </c>
      <c r="T103" s="37" t="n">
        <v>0.2945736434108527</v>
      </c>
      <c r="U103" s="37" t="n">
        <v>0.3076923076923077</v>
      </c>
      <c r="V103" s="37" t="n">
        <v>0.28125</v>
      </c>
      <c r="W103" s="37" t="n">
        <v>0.8</v>
      </c>
    </row>
    <row r="104">
      <c r="A104" s="53" t="n">
        <v>45751</v>
      </c>
      <c r="B104" t="inlineStr">
        <is>
          <t>R01_Sumbagut</t>
        </is>
      </c>
      <c r="C104" t="inlineStr">
        <is>
          <t>NOP ACEH</t>
        </is>
      </c>
      <c r="D104" s="36" t="n">
        <v>2.45</v>
      </c>
      <c r="E104" s="36" t="n">
        <v>4.62</v>
      </c>
      <c r="F104" s="36" t="n">
        <v>10.02</v>
      </c>
      <c r="G104" s="36" t="n">
        <v>7.77</v>
      </c>
      <c r="H104" s="37" t="n">
        <v>0.8274111675126904</v>
      </c>
      <c r="I104" s="37" t="n">
        <v>0.8803418803418803</v>
      </c>
      <c r="J104" s="37" t="n">
        <v>0.8050541516245487</v>
      </c>
      <c r="K104" s="37" t="n">
        <v>0.3495145631067961</v>
      </c>
      <c r="L104" s="37" t="n">
        <v>0.3529411764705883</v>
      </c>
      <c r="M104" s="37" t="n">
        <v>1</v>
      </c>
      <c r="N104" s="37" t="n">
        <v>0.2817258883248731</v>
      </c>
      <c r="O104" s="36" t="n">
        <v>0.03</v>
      </c>
      <c r="P104" s="36" t="n">
        <v>4.08</v>
      </c>
      <c r="Q104" s="36" t="n">
        <v>66.55</v>
      </c>
      <c r="R104" s="36" t="n">
        <v>116.24</v>
      </c>
      <c r="S104" s="36" t="n">
        <v>0</v>
      </c>
      <c r="T104" s="37" t="n">
        <v>0.8761371588523443</v>
      </c>
      <c r="U104" s="37" t="n">
        <v>0.7532467532467533</v>
      </c>
      <c r="V104" s="37" t="n">
        <v>0.8909803921568628</v>
      </c>
      <c r="W104" s="37" t="n">
        <v>0.1724137931034483</v>
      </c>
    </row>
    <row r="105">
      <c r="A105" s="53" t="n">
        <v>45751</v>
      </c>
      <c r="B105" t="inlineStr">
        <is>
          <t>R01_Sumbagut</t>
        </is>
      </c>
      <c r="C105" t="inlineStr">
        <is>
          <t>NOP BINJAI</t>
        </is>
      </c>
      <c r="D105" s="36" t="n">
        <v>0</v>
      </c>
      <c r="E105" s="36" t="n">
        <v>6.01</v>
      </c>
      <c r="F105" s="36" t="n">
        <v>3.38</v>
      </c>
      <c r="G105" s="36" t="n">
        <v>4.18</v>
      </c>
      <c r="H105" s="37" t="n">
        <v>0.5459770114942529</v>
      </c>
      <c r="I105" s="37" t="n">
        <v>0.7586206896551724</v>
      </c>
      <c r="J105" s="37" t="n">
        <v>0.503448275862069</v>
      </c>
      <c r="K105" s="37" t="n">
        <v>0.5454545454545454</v>
      </c>
      <c r="L105" s="37" t="n">
        <v>0.5454545454545454</v>
      </c>
      <c r="M105" s="37" t="n">
        <v>1</v>
      </c>
      <c r="N105" s="37" t="n">
        <v>0.3045977011494253</v>
      </c>
      <c r="O105" s="36" t="n">
        <v>0</v>
      </c>
      <c r="P105" s="36" t="n">
        <v>3.16</v>
      </c>
      <c r="Q105" s="36" t="n">
        <v>30.42</v>
      </c>
      <c r="R105" s="36" t="n">
        <v>58.12</v>
      </c>
      <c r="S105" s="36" t="n">
        <v>0</v>
      </c>
      <c r="T105" s="37" t="n">
        <v>0.5877192982456141</v>
      </c>
      <c r="U105" s="37" t="n">
        <v>0.6153846153846154</v>
      </c>
      <c r="V105" s="37" t="n">
        <v>0.5737051792828686</v>
      </c>
      <c r="W105" s="37" t="n">
        <v>0.4791666666666667</v>
      </c>
    </row>
    <row r="106">
      <c r="A106" s="53" t="n">
        <v>45751</v>
      </c>
      <c r="B106" t="inlineStr">
        <is>
          <t>R01_Sumbagut</t>
        </is>
      </c>
      <c r="C106" t="inlineStr">
        <is>
          <t>NOP MEDAN</t>
        </is>
      </c>
      <c r="D106" s="36" t="n">
        <v>0</v>
      </c>
      <c r="E106" s="36" t="n">
        <v>4.24</v>
      </c>
      <c r="F106" s="36" t="n">
        <v>2.09</v>
      </c>
      <c r="G106" s="36" t="n">
        <v>3.2</v>
      </c>
      <c r="H106" s="37" t="n">
        <v>0.3027522935779817</v>
      </c>
      <c r="I106" s="37" t="n">
        <v>0.5555555555555556</v>
      </c>
      <c r="J106" s="37" t="n">
        <v>0.2527472527472527</v>
      </c>
      <c r="K106" s="37" t="n">
        <v>0.9</v>
      </c>
      <c r="L106" s="37" t="n">
        <v>0.9</v>
      </c>
      <c r="M106" s="37" t="n">
        <v>1</v>
      </c>
      <c r="N106" s="37" t="n">
        <v>0.1743119266055046</v>
      </c>
      <c r="O106" s="36" t="n">
        <v>0</v>
      </c>
      <c r="P106" s="36" t="n">
        <v>2.78</v>
      </c>
      <c r="Q106" s="36" t="n">
        <v>18.39</v>
      </c>
      <c r="R106" s="36" t="n">
        <v>4.57</v>
      </c>
      <c r="S106" s="36" t="n">
        <v>0</v>
      </c>
      <c r="T106" s="37" t="n">
        <v>0.2595419847328244</v>
      </c>
      <c r="U106" s="37" t="n">
        <v>0.1818181818181818</v>
      </c>
      <c r="V106" s="37" t="n">
        <v>0.3023255813953488</v>
      </c>
      <c r="W106" s="37" t="n">
        <v>1</v>
      </c>
    </row>
    <row r="107">
      <c r="A107" s="53" t="n">
        <v>45751</v>
      </c>
      <c r="B107" t="inlineStr">
        <is>
          <t>R01_Sumbagut</t>
        </is>
      </c>
      <c r="C107" t="inlineStr">
        <is>
          <t>NOP PADANG SIDEMPUAN</t>
        </is>
      </c>
      <c r="D107" s="36" t="n">
        <v>0</v>
      </c>
      <c r="E107" s="36" t="n">
        <v>2.71</v>
      </c>
      <c r="F107" s="36" t="n">
        <v>3.42</v>
      </c>
      <c r="G107" s="36" t="n">
        <v>4.73</v>
      </c>
      <c r="H107" s="37" t="n">
        <v>0.2777777777777778</v>
      </c>
      <c r="I107" s="37" t="n">
        <v>0.5789473684210527</v>
      </c>
      <c r="J107" s="37" t="n">
        <v>0.2350746268656717</v>
      </c>
      <c r="K107" s="37" t="n">
        <v>0.4090909090909091</v>
      </c>
      <c r="L107" s="37" t="n">
        <v>0.4090909090909091</v>
      </c>
      <c r="M107" s="37" t="n">
        <v>0.9967320261437909</v>
      </c>
      <c r="N107" s="37" t="n">
        <v>0.1209150326797386</v>
      </c>
      <c r="O107" s="36" t="n">
        <v>0.01</v>
      </c>
      <c r="P107" s="36" t="n">
        <v>1.96</v>
      </c>
      <c r="Q107" s="36" t="n">
        <v>13.28</v>
      </c>
      <c r="R107" s="36" t="n">
        <v>68.3</v>
      </c>
      <c r="S107" s="36" t="n">
        <v>0</v>
      </c>
      <c r="T107" s="37" t="n">
        <v>0.2409867172675522</v>
      </c>
      <c r="U107" s="37" t="n">
        <v>0.4291044776119403</v>
      </c>
      <c r="V107" s="37" t="n">
        <v>0.1762452107279693</v>
      </c>
      <c r="W107" s="37" t="n">
        <v>0.5043478260869565</v>
      </c>
    </row>
    <row r="108">
      <c r="A108" s="53" t="n">
        <v>45751</v>
      </c>
      <c r="B108" t="inlineStr">
        <is>
          <t>R01_Sumbagut</t>
        </is>
      </c>
      <c r="C108" t="inlineStr">
        <is>
          <t>NOP PEMATANG SIANTAR</t>
        </is>
      </c>
      <c r="D108" s="36" t="n">
        <v>0.97</v>
      </c>
      <c r="E108" s="36" t="n">
        <v>5.86</v>
      </c>
      <c r="F108" s="36" t="n">
        <v>4.68</v>
      </c>
      <c r="G108" s="36" t="n">
        <v>5.39</v>
      </c>
      <c r="H108" s="37" t="n">
        <v>0.293103448275862</v>
      </c>
      <c r="I108" s="37" t="n">
        <v>0.297029702970297</v>
      </c>
      <c r="J108" s="37" t="n">
        <v>0.291497975708502</v>
      </c>
      <c r="K108" s="37" t="n">
        <v>0.7666666666666667</v>
      </c>
      <c r="L108" s="37" t="n">
        <v>0.7666666666666667</v>
      </c>
      <c r="M108" s="37" t="n">
        <v>0.9971264367816092</v>
      </c>
      <c r="N108" s="37" t="n">
        <v>0.1752873563218391</v>
      </c>
      <c r="O108" s="36" t="n">
        <v>0.01</v>
      </c>
      <c r="P108" s="36" t="n">
        <v>3.11</v>
      </c>
      <c r="Q108" s="36" t="n">
        <v>65.41</v>
      </c>
      <c r="R108" s="36" t="n">
        <v>47.99</v>
      </c>
      <c r="S108" s="36" t="n">
        <v>0</v>
      </c>
      <c r="T108" s="37" t="n">
        <v>0.09026128266033254</v>
      </c>
      <c r="U108" s="37" t="n">
        <v>0.2909090909090909</v>
      </c>
      <c r="V108" s="37" t="n">
        <v>0.06732673267326733</v>
      </c>
      <c r="W108" s="37" t="n">
        <v>0.9166666666666666</v>
      </c>
    </row>
    <row r="109">
      <c r="A109" s="53" t="n">
        <v>45751</v>
      </c>
      <c r="B109" t="inlineStr">
        <is>
          <t>R01_Sumbagut</t>
        </is>
      </c>
      <c r="C109" t="inlineStr">
        <is>
          <t>NOP RANTAU PRAPAT</t>
        </is>
      </c>
      <c r="D109" s="36" t="n">
        <v>3.24</v>
      </c>
      <c r="E109" s="36" t="n">
        <v>6.14</v>
      </c>
      <c r="F109" s="36" t="n">
        <v>5.89</v>
      </c>
      <c r="G109" s="36" t="n">
        <v>7.76</v>
      </c>
      <c r="H109" s="37" t="n">
        <v>0.2352168199737188</v>
      </c>
      <c r="I109" s="37" t="n">
        <v>0.2380952380952381</v>
      </c>
      <c r="J109" s="37" t="n">
        <v>0.2342657342657343</v>
      </c>
      <c r="K109" s="37" t="n">
        <v>0.4444444444444444</v>
      </c>
      <c r="L109" s="37" t="n">
        <v>0.4444444444444444</v>
      </c>
      <c r="M109" s="37" t="n">
        <v>0.9829172141918529</v>
      </c>
      <c r="N109" s="37" t="n">
        <v>0.1327201051248357</v>
      </c>
      <c r="O109" s="36" t="n">
        <v>0</v>
      </c>
      <c r="P109" s="36" t="n">
        <v>4.88</v>
      </c>
      <c r="Q109" s="36" t="n">
        <v>23.5</v>
      </c>
      <c r="R109" s="36" t="n">
        <v>21.92</v>
      </c>
      <c r="S109" s="36" t="n">
        <v>0</v>
      </c>
      <c r="T109" s="37" t="n">
        <v>0.05606337599024985</v>
      </c>
      <c r="U109" s="37" t="n">
        <v>0.1443850267379679</v>
      </c>
      <c r="V109" s="37" t="n">
        <v>0.0401106500691563</v>
      </c>
      <c r="W109" s="37" t="n">
        <v>0.5555555555555556</v>
      </c>
    </row>
    <row r="110">
      <c r="A110" s="53" t="n">
        <v>45751</v>
      </c>
      <c r="B110" t="inlineStr">
        <is>
          <t>R10_Sumbagteng</t>
        </is>
      </c>
      <c r="C110" t="inlineStr">
        <is>
          <t>NOP BATAM</t>
        </is>
      </c>
      <c r="D110" s="36" t="n">
        <v>0.68</v>
      </c>
      <c r="E110" s="36" t="n">
        <v>6.11</v>
      </c>
      <c r="F110" s="36" t="n">
        <v>6.04</v>
      </c>
      <c r="G110" s="36" t="n">
        <v>6.71</v>
      </c>
      <c r="H110" s="37" t="n">
        <v>0.227364185110664</v>
      </c>
      <c r="I110" s="37" t="n">
        <v>0.2253521126760563</v>
      </c>
      <c r="J110" s="37" t="n">
        <v>0.2276995305164319</v>
      </c>
      <c r="K110" s="37" t="n">
        <v>0.625</v>
      </c>
      <c r="L110" s="37" t="n">
        <v>0.625</v>
      </c>
      <c r="M110" s="37" t="n">
        <v>0.993963782696177</v>
      </c>
      <c r="N110" s="37" t="n">
        <v>0.1046277665995976</v>
      </c>
      <c r="O110" s="36" t="n">
        <v>0</v>
      </c>
      <c r="P110" s="36" t="n">
        <v>9.119999999999999</v>
      </c>
      <c r="Q110" s="36" t="n">
        <v>26.5</v>
      </c>
      <c r="R110" s="36" t="n">
        <v>45.63</v>
      </c>
      <c r="S110" s="36" t="n">
        <v>0</v>
      </c>
      <c r="T110" s="37" t="n">
        <v>0.1016949152542373</v>
      </c>
      <c r="U110" s="37" t="n">
        <v>0.1651785714285714</v>
      </c>
      <c r="V110" s="37" t="n">
        <v>0.0870020964360587</v>
      </c>
      <c r="W110" s="37" t="n">
        <v>0.7837837837837838</v>
      </c>
    </row>
    <row r="111">
      <c r="A111" s="53" t="n">
        <v>45751</v>
      </c>
      <c r="B111" t="inlineStr">
        <is>
          <t>R10_Sumbagteng</t>
        </is>
      </c>
      <c r="C111" t="inlineStr">
        <is>
          <t>NOP BUKITTINGGI</t>
        </is>
      </c>
      <c r="D111" s="36" t="n">
        <v>1.15</v>
      </c>
      <c r="E111" s="36" t="n">
        <v>3.65</v>
      </c>
      <c r="F111" s="36" t="n">
        <v>3.34</v>
      </c>
      <c r="G111" s="36" t="n">
        <v>4.34</v>
      </c>
      <c r="H111" s="37" t="n">
        <v>0.7215909090909091</v>
      </c>
      <c r="I111" s="37" t="n">
        <v>0.8333333333333334</v>
      </c>
      <c r="J111" s="37" t="n">
        <v>0.6986301369863014</v>
      </c>
      <c r="K111" s="37" t="n">
        <v>0.84</v>
      </c>
      <c r="L111" s="37" t="n">
        <v>0.84</v>
      </c>
      <c r="M111" s="37" t="n">
        <v>0.9943181818181818</v>
      </c>
      <c r="N111" s="37" t="n">
        <v>0.4261363636363636</v>
      </c>
      <c r="O111" s="36" t="n">
        <v>0</v>
      </c>
      <c r="P111" s="36" t="n">
        <v>5.05</v>
      </c>
      <c r="Q111" s="36" t="n">
        <v>7</v>
      </c>
      <c r="R111" s="36" t="n">
        <v>143.47</v>
      </c>
      <c r="S111" s="36" t="n">
        <v>0</v>
      </c>
      <c r="T111" s="37" t="n">
        <v>0.3648854961832061</v>
      </c>
      <c r="U111" s="37" t="n">
        <v>0.8545454545454545</v>
      </c>
      <c r="V111" s="37" t="n">
        <v>0.3193979933110368</v>
      </c>
      <c r="W111" s="37" t="n">
        <v>0.6170212765957447</v>
      </c>
    </row>
    <row r="112">
      <c r="A112" s="53" t="n">
        <v>45751</v>
      </c>
      <c r="B112" t="inlineStr">
        <is>
          <t>R10_Sumbagteng</t>
        </is>
      </c>
      <c r="C112" t="inlineStr">
        <is>
          <t>NOP DUMAI</t>
        </is>
      </c>
      <c r="D112" s="36" t="n">
        <v>5.11</v>
      </c>
      <c r="E112" s="36" t="n">
        <v>7.52</v>
      </c>
      <c r="F112" s="36" t="n">
        <v>5.59</v>
      </c>
      <c r="G112" s="36" t="n">
        <v>6.3</v>
      </c>
      <c r="H112" s="37" t="n">
        <v>0.4316702819956616</v>
      </c>
      <c r="I112" s="37" t="n">
        <v>0.4858490566037736</v>
      </c>
      <c r="J112" s="37" t="n">
        <v>0.4154929577464789</v>
      </c>
      <c r="K112" s="37" t="n">
        <v>0.7184466019417476</v>
      </c>
      <c r="L112" s="37" t="n">
        <v>0.7448979591836735</v>
      </c>
      <c r="M112" s="37" t="n">
        <v>0.9685466377440347</v>
      </c>
      <c r="N112" s="37" t="n">
        <v>0.2299349240780911</v>
      </c>
      <c r="O112" s="36" t="n">
        <v>0.19</v>
      </c>
      <c r="P112" s="36" t="n">
        <v>8.279999999999999</v>
      </c>
      <c r="Q112" s="36" t="n">
        <v>48.35</v>
      </c>
      <c r="R112" s="36" t="n">
        <v>132.35</v>
      </c>
      <c r="S112" s="36" t="n">
        <v>0</v>
      </c>
      <c r="T112" s="37" t="n">
        <v>0.2392344497607655</v>
      </c>
      <c r="U112" s="37" t="n">
        <v>0.2822822822822823</v>
      </c>
      <c r="V112" s="37" t="n">
        <v>0.2258928571428571</v>
      </c>
      <c r="W112" s="37" t="n">
        <v>0.925531914893617</v>
      </c>
    </row>
    <row r="113">
      <c r="A113" s="53" t="n">
        <v>45751</v>
      </c>
      <c r="B113" t="inlineStr">
        <is>
          <t>R10_Sumbagteng</t>
        </is>
      </c>
      <c r="C113" t="inlineStr">
        <is>
          <t>NOP PADANG</t>
        </is>
      </c>
      <c r="D113" s="36" t="n">
        <v>0</v>
      </c>
      <c r="E113" s="36" t="n">
        <v>3.81</v>
      </c>
      <c r="F113" s="36" t="n">
        <v>4.19</v>
      </c>
      <c r="G113" s="36" t="n">
        <v>8.48</v>
      </c>
      <c r="H113" s="37" t="n">
        <v>0.6544502617801047</v>
      </c>
      <c r="I113" s="37" t="n">
        <v>0.48</v>
      </c>
      <c r="J113" s="37" t="n">
        <v>0.6807228915662651</v>
      </c>
      <c r="K113" s="37" t="n">
        <v>0.25</v>
      </c>
      <c r="L113" s="37" t="n">
        <v>0.25</v>
      </c>
      <c r="M113" s="37" t="n">
        <v>1</v>
      </c>
      <c r="N113" s="37" t="n">
        <v>0.2670157068062827</v>
      </c>
      <c r="O113" s="36" t="n">
        <v>0</v>
      </c>
      <c r="P113" s="36" t="n">
        <v>7.39</v>
      </c>
      <c r="Q113" s="36" t="n">
        <v>50.64</v>
      </c>
      <c r="R113" s="36" t="n">
        <v>48.39</v>
      </c>
      <c r="S113" s="36" t="n">
        <v>0</v>
      </c>
      <c r="T113" s="37" t="n">
        <v>0.6489563567362429</v>
      </c>
      <c r="U113" s="37" t="n">
        <v>0.5912408759124088</v>
      </c>
      <c r="V113" s="37" t="n">
        <v>0.6568306010928961</v>
      </c>
      <c r="W113" s="37" t="n">
        <v>0.5061728395061729</v>
      </c>
    </row>
    <row r="114">
      <c r="A114" s="53" t="n">
        <v>45751</v>
      </c>
      <c r="B114" t="inlineStr">
        <is>
          <t>R10_Sumbagteng</t>
        </is>
      </c>
      <c r="C114" t="inlineStr">
        <is>
          <t>NOP PEKANBARU</t>
        </is>
      </c>
      <c r="D114" s="36" t="n">
        <v>15.75</v>
      </c>
      <c r="E114" s="36" t="n">
        <v>5.63</v>
      </c>
      <c r="F114" s="36" t="n">
        <v>6.14</v>
      </c>
      <c r="G114" s="36" t="n">
        <v>7.81</v>
      </c>
      <c r="H114" s="37" t="n">
        <v>0.3132867132867133</v>
      </c>
      <c r="I114" s="37" t="n">
        <v>0.4587155963302753</v>
      </c>
      <c r="J114" s="37" t="n">
        <v>0.2871287128712871</v>
      </c>
      <c r="K114" s="37" t="n">
        <v>0.68</v>
      </c>
      <c r="L114" s="37" t="n">
        <v>0.7083333333333334</v>
      </c>
      <c r="M114" s="37" t="n">
        <v>0.9916083916083916</v>
      </c>
      <c r="N114" s="37" t="n">
        <v>0.1678321678321678</v>
      </c>
      <c r="O114" s="36" t="n">
        <v>0.01</v>
      </c>
      <c r="P114" s="36" t="n">
        <v>3.22</v>
      </c>
      <c r="Q114" s="36" t="n">
        <v>46.8</v>
      </c>
      <c r="R114" s="36" t="n">
        <v>73.91</v>
      </c>
      <c r="S114" s="36" t="n">
        <v>0</v>
      </c>
      <c r="T114" s="37" t="n">
        <v>0.3181818181818182</v>
      </c>
      <c r="U114" s="37" t="n">
        <v>0.3083333333333333</v>
      </c>
      <c r="V114" s="37" t="n">
        <v>0.3191763191763192</v>
      </c>
      <c r="W114" s="37" t="n">
        <v>0.8648648648648649</v>
      </c>
    </row>
    <row r="115">
      <c r="A115" s="53" t="n">
        <v>45751</v>
      </c>
      <c r="B115" t="inlineStr">
        <is>
          <t>R02_Sumbagsel</t>
        </is>
      </c>
      <c r="C115" t="inlineStr">
        <is>
          <t>NOP BENGKULU</t>
        </is>
      </c>
      <c r="D115" s="36" t="n">
        <v>1.28</v>
      </c>
      <c r="E115" s="36" t="n">
        <v>3.91</v>
      </c>
      <c r="F115" s="36" t="n">
        <v>2.7</v>
      </c>
      <c r="G115" s="36" t="n">
        <v>6.82</v>
      </c>
      <c r="H115" s="37" t="n">
        <v>0.3964194373401534</v>
      </c>
      <c r="I115" s="37" t="n">
        <v>0.4444444444444444</v>
      </c>
      <c r="J115" s="37" t="n">
        <v>0.3838709677419355</v>
      </c>
      <c r="K115" s="37" t="n">
        <v>0.5833333333333334</v>
      </c>
      <c r="L115" s="37" t="n">
        <v>0.5833333333333334</v>
      </c>
      <c r="M115" s="37" t="n">
        <v>1</v>
      </c>
      <c r="N115" s="37" t="n">
        <v>0.1841432225063939</v>
      </c>
      <c r="O115" s="36" t="n">
        <v>0</v>
      </c>
      <c r="P115" s="36" t="n">
        <v>4.55</v>
      </c>
      <c r="Q115" s="36" t="n">
        <v>9.16</v>
      </c>
      <c r="R115" s="36" t="n">
        <v>16.94</v>
      </c>
      <c r="S115" s="36" t="n">
        <v>0</v>
      </c>
      <c r="T115" s="37" t="n">
        <v>0.3735408560311284</v>
      </c>
      <c r="U115" s="37" t="n">
        <v>0.29182156133829</v>
      </c>
      <c r="V115" s="37" t="n">
        <v>0.6210526315789474</v>
      </c>
      <c r="W115" s="37" t="n">
        <v>0.8726114649681529</v>
      </c>
    </row>
    <row r="116">
      <c r="A116" s="53" t="n">
        <v>45751</v>
      </c>
      <c r="B116" t="inlineStr">
        <is>
          <t>R02_Sumbagsel</t>
        </is>
      </c>
      <c r="C116" t="inlineStr">
        <is>
          <t>NOP JAMBI</t>
        </is>
      </c>
      <c r="D116" s="36" t="n">
        <v>3.24</v>
      </c>
      <c r="E116" s="36" t="n">
        <v>4.43</v>
      </c>
      <c r="F116" s="36" t="n">
        <v>6.56</v>
      </c>
      <c r="G116" s="36" t="n">
        <v>5.92</v>
      </c>
      <c r="H116" s="37" t="n">
        <v>0.4702380952380952</v>
      </c>
      <c r="I116" s="37" t="n">
        <v>0.4431137724550898</v>
      </c>
      <c r="J116" s="37" t="n">
        <v>0.4836795252225519</v>
      </c>
      <c r="K116" s="37" t="n">
        <v>0.7297297297297297</v>
      </c>
      <c r="L116" s="37" t="n">
        <v>0.7297297297297297</v>
      </c>
      <c r="M116" s="37" t="n">
        <v>1</v>
      </c>
      <c r="N116" s="37" t="n">
        <v>0.2380952380952381</v>
      </c>
      <c r="O116" s="36" t="n">
        <v>0</v>
      </c>
      <c r="P116" s="36" t="n">
        <v>5.73</v>
      </c>
      <c r="Q116" s="36" t="n">
        <v>15.96</v>
      </c>
      <c r="R116" s="36" t="n">
        <v>18.3</v>
      </c>
      <c r="S116" s="36" t="n">
        <v>0</v>
      </c>
      <c r="T116" s="37" t="n">
        <v>0.6267682263329706</v>
      </c>
      <c r="U116" s="37" t="n">
        <v>0.6090373280943026</v>
      </c>
      <c r="V116" s="37" t="n">
        <v>0.6964285714285714</v>
      </c>
      <c r="W116" s="37" t="n">
        <v>0.6967741935483871</v>
      </c>
    </row>
    <row r="117">
      <c r="A117" s="53" t="n">
        <v>45751</v>
      </c>
      <c r="B117" t="inlineStr">
        <is>
          <t>R02_Sumbagsel</t>
        </is>
      </c>
      <c r="C117" t="inlineStr">
        <is>
          <t>NOP LAMPUNG</t>
        </is>
      </c>
      <c r="D117" s="36" t="n">
        <v>1.25</v>
      </c>
      <c r="E117" s="36" t="n">
        <v>7.49</v>
      </c>
      <c r="F117" s="36" t="n">
        <v>5.02</v>
      </c>
      <c r="G117" s="36" t="n">
        <v>4.66</v>
      </c>
      <c r="H117" s="37" t="n">
        <v>0.4358974358974359</v>
      </c>
      <c r="I117" s="37" t="n">
        <v>0.7058823529411765</v>
      </c>
      <c r="J117" s="37" t="n">
        <v>0.3402777777777778</v>
      </c>
      <c r="K117" s="37" t="n">
        <v>0.5555555555555556</v>
      </c>
      <c r="L117" s="37" t="n">
        <v>0.5555555555555556</v>
      </c>
      <c r="M117" s="37" t="n">
        <v>1</v>
      </c>
      <c r="N117" s="37" t="n">
        <v>0.2666666666666667</v>
      </c>
      <c r="O117" s="36" t="n">
        <v>0</v>
      </c>
      <c r="P117" s="36" t="n">
        <v>15.51</v>
      </c>
      <c r="Q117" s="36" t="n">
        <v>9.050000000000001</v>
      </c>
      <c r="R117" s="36" t="n">
        <v>49.2</v>
      </c>
      <c r="S117" s="36" t="n">
        <v>0</v>
      </c>
      <c r="T117" s="37" t="n">
        <v>0.8640167364016736</v>
      </c>
      <c r="U117" s="37" t="n">
        <v>0.7481481481481481</v>
      </c>
      <c r="V117" s="37" t="n">
        <v>0.9207317073170732</v>
      </c>
      <c r="W117" s="37" t="n">
        <v>0.8217821782178217</v>
      </c>
    </row>
    <row r="118">
      <c r="A118" s="53" t="n">
        <v>45751</v>
      </c>
      <c r="B118" t="inlineStr">
        <is>
          <t>R02_Sumbagsel</t>
        </is>
      </c>
      <c r="C118" t="inlineStr">
        <is>
          <t>NOP MUARA ENIM</t>
        </is>
      </c>
      <c r="D118" s="36" t="n">
        <v>2.91</v>
      </c>
      <c r="E118" s="36" t="n">
        <v>4.36</v>
      </c>
      <c r="F118" s="36" t="n">
        <v>3.87</v>
      </c>
      <c r="G118" s="36" t="n">
        <v>4.55</v>
      </c>
      <c r="H118" s="37" t="n">
        <v>0.3758542141230068</v>
      </c>
      <c r="I118" s="37" t="n">
        <v>0.2234042553191489</v>
      </c>
      <c r="J118" s="37" t="n">
        <v>0.4173913043478261</v>
      </c>
      <c r="K118" s="37" t="n">
        <v>0.5238095238095238</v>
      </c>
      <c r="L118" s="37" t="n">
        <v>0.5238095238095238</v>
      </c>
      <c r="M118" s="37" t="n">
        <v>0.9635535307517085</v>
      </c>
      <c r="N118" s="37" t="n">
        <v>0.1685649202733485</v>
      </c>
      <c r="O118" s="36" t="n">
        <v>0</v>
      </c>
      <c r="P118" s="36" t="n">
        <v>5.07</v>
      </c>
      <c r="Q118" s="36" t="n">
        <v>6.9</v>
      </c>
      <c r="R118" s="36" t="n">
        <v>11.56</v>
      </c>
      <c r="S118" s="36" t="n">
        <v>0</v>
      </c>
      <c r="T118" s="37" t="n">
        <v>0.4973474801061008</v>
      </c>
      <c r="U118" s="37" t="n">
        <v>0.4897959183673469</v>
      </c>
      <c r="V118" s="37" t="n">
        <v>0.6259541984732825</v>
      </c>
      <c r="W118" s="37" t="n">
        <v>0.796875</v>
      </c>
    </row>
    <row r="119">
      <c r="A119" s="53" t="n">
        <v>45751</v>
      </c>
      <c r="B119" t="inlineStr">
        <is>
          <t>R02_Sumbagsel</t>
        </is>
      </c>
      <c r="C119" t="inlineStr">
        <is>
          <t>NOP PALEMBANG</t>
        </is>
      </c>
      <c r="D119" s="36" t="n">
        <v>2.39</v>
      </c>
      <c r="E119" s="36" t="n">
        <v>7.72</v>
      </c>
      <c r="F119" s="36" t="n">
        <v>12.36</v>
      </c>
      <c r="G119" s="36" t="n">
        <v>8.94</v>
      </c>
      <c r="H119" s="37" t="n">
        <v>0.282051282051282</v>
      </c>
      <c r="I119" s="37" t="n">
        <v>0.3928571428571428</v>
      </c>
      <c r="J119" s="37" t="n">
        <v>0.2634730538922156</v>
      </c>
      <c r="K119" s="37" t="n">
        <v>0.5454545454545454</v>
      </c>
      <c r="L119" s="37" t="n">
        <v>0.5454545454545454</v>
      </c>
      <c r="M119" s="37" t="n">
        <v>1</v>
      </c>
      <c r="N119" s="37" t="n">
        <v>0.182051282051282</v>
      </c>
      <c r="O119" s="36" t="n">
        <v>0</v>
      </c>
      <c r="P119" s="36" t="n">
        <v>6.85</v>
      </c>
      <c r="Q119" s="36" t="n">
        <v>11.82</v>
      </c>
      <c r="R119" s="36" t="n">
        <v>15.49</v>
      </c>
      <c r="S119" s="36" t="n">
        <v>0</v>
      </c>
      <c r="T119" s="37" t="n">
        <v>0.2602739726027397</v>
      </c>
      <c r="U119" s="37" t="n">
        <v>0.2202797202797203</v>
      </c>
      <c r="V119" s="37" t="n">
        <v>0.413953488372093</v>
      </c>
      <c r="W119" s="37" t="n">
        <v>0.4603174603174603</v>
      </c>
    </row>
    <row r="120">
      <c r="A120" s="53" t="n">
        <v>45751</v>
      </c>
      <c r="B120" t="inlineStr">
        <is>
          <t>R02_Sumbagsel</t>
        </is>
      </c>
      <c r="C120" t="inlineStr">
        <is>
          <t>NOP PANGKAL PINANG</t>
        </is>
      </c>
      <c r="D120" s="36" t="n">
        <v>0</v>
      </c>
      <c r="E120" s="36" t="n">
        <v>1.38</v>
      </c>
      <c r="F120" s="36" t="n">
        <v>2.22</v>
      </c>
      <c r="G120" s="36" t="n">
        <v>7.15</v>
      </c>
      <c r="H120" s="37" t="n">
        <v>0.5538461538461539</v>
      </c>
      <c r="I120" s="37" t="n">
        <v>1</v>
      </c>
      <c r="J120" s="37" t="n">
        <v>0.5396825396825397</v>
      </c>
      <c r="K120" s="37" t="n">
        <v>0.5</v>
      </c>
      <c r="L120" s="37" t="n">
        <v>0.5</v>
      </c>
      <c r="M120" s="37" t="n">
        <v>1</v>
      </c>
      <c r="N120" s="37" t="n">
        <v>0.3076923076923077</v>
      </c>
      <c r="O120" s="36" t="n">
        <v>0</v>
      </c>
      <c r="P120" s="36" t="n">
        <v>4.7</v>
      </c>
      <c r="Q120" s="36" t="n">
        <v>9.31</v>
      </c>
      <c r="R120" s="36" t="n">
        <v>7.43</v>
      </c>
      <c r="S120" s="36" t="n">
        <v>0</v>
      </c>
      <c r="T120" s="37" t="n">
        <v>0.7218934911242604</v>
      </c>
      <c r="U120" s="37" t="n">
        <v>0.7162162162162162</v>
      </c>
      <c r="V120" s="37" t="n">
        <v>0.7816091954022989</v>
      </c>
      <c r="W120" s="37" t="n">
        <v>0.6226415094339622</v>
      </c>
    </row>
    <row r="121">
      <c r="A121" s="53" t="n">
        <v>45751</v>
      </c>
      <c r="B121" t="inlineStr">
        <is>
          <t>R05_Jawa Tengah DIY</t>
        </is>
      </c>
      <c r="C121" t="inlineStr">
        <is>
          <t>NOP MAGELANG</t>
        </is>
      </c>
      <c r="D121" s="36" t="n">
        <v>6.59</v>
      </c>
      <c r="E121" s="36" t="n">
        <v>0</v>
      </c>
      <c r="F121" s="36" t="n">
        <v>5.79</v>
      </c>
      <c r="G121" s="36" t="n">
        <v>2.87</v>
      </c>
      <c r="H121" s="37" t="n">
        <v>0.6428571428571429</v>
      </c>
      <c r="I121" s="37" t="n">
        <v>0.9</v>
      </c>
      <c r="J121" s="37" t="n">
        <v>0.6081081081081081</v>
      </c>
      <c r="K121" s="37" t="n">
        <v>0.4444444444444444</v>
      </c>
      <c r="L121" s="37" t="n">
        <v>0.4444444444444444</v>
      </c>
      <c r="M121" s="37" t="n">
        <v>1</v>
      </c>
      <c r="N121" s="37" t="n">
        <v>0.5952380952380952</v>
      </c>
      <c r="O121" s="36" t="n">
        <v>0</v>
      </c>
      <c r="P121" s="36" t="n">
        <v>44.3</v>
      </c>
      <c r="Q121" s="36" t="n">
        <v>28.59</v>
      </c>
      <c r="R121" s="36" t="n">
        <v>54.09</v>
      </c>
      <c r="S121" s="36" t="n">
        <v>0</v>
      </c>
      <c r="T121" s="37" t="n">
        <v>0.8636363636363636</v>
      </c>
      <c r="U121" s="37" t="n">
        <v>0.9333333333333333</v>
      </c>
      <c r="V121" s="37" t="n">
        <v>0.8561151079136691</v>
      </c>
      <c r="W121" s="37" t="n">
        <v>0.8571428571428571</v>
      </c>
    </row>
    <row r="122">
      <c r="A122" s="53" t="n">
        <v>45751</v>
      </c>
      <c r="B122" t="inlineStr">
        <is>
          <t>R05_Jawa Tengah DIY</t>
        </is>
      </c>
      <c r="C122" t="inlineStr">
        <is>
          <t>NOP PEKALONGAN</t>
        </is>
      </c>
      <c r="D122" s="36" t="n">
        <v>3.71</v>
      </c>
      <c r="E122" s="36" t="n">
        <v>0</v>
      </c>
      <c r="F122" s="36" t="n">
        <v>3</v>
      </c>
      <c r="G122" s="36" t="n">
        <v>2.29</v>
      </c>
      <c r="H122" s="37" t="n">
        <v>0.5740740740740741</v>
      </c>
      <c r="I122" s="37" t="n">
        <v>1</v>
      </c>
      <c r="J122" s="37" t="n">
        <v>0.5106382978723404</v>
      </c>
      <c r="K122" s="37" t="n">
        <v>1</v>
      </c>
      <c r="L122" s="37" t="n">
        <v>1</v>
      </c>
      <c r="M122" s="37" t="n">
        <v>1</v>
      </c>
      <c r="N122" s="37" t="n">
        <v>0.6296296296296297</v>
      </c>
      <c r="O122" s="36" t="n">
        <v>0</v>
      </c>
      <c r="P122" s="36" t="n">
        <v>2.71</v>
      </c>
      <c r="Q122" s="36" t="n">
        <v>5.25</v>
      </c>
      <c r="R122" s="36" t="n">
        <v>63.03</v>
      </c>
      <c r="S122" s="36" t="n">
        <v>0</v>
      </c>
      <c r="T122" s="37" t="n">
        <v>0.8686868686868687</v>
      </c>
      <c r="U122" s="37" t="n">
        <v>0.6666666666666666</v>
      </c>
      <c r="V122" s="37" t="n">
        <v>0.9135802469135802</v>
      </c>
      <c r="W122" s="37" t="n">
        <v>0.75</v>
      </c>
    </row>
    <row r="123">
      <c r="A123" s="53" t="n">
        <v>45751</v>
      </c>
      <c r="B123" t="inlineStr">
        <is>
          <t>R05_Jawa Tengah DIY</t>
        </is>
      </c>
      <c r="C123" t="inlineStr">
        <is>
          <t>NOP PURWOKERTO</t>
        </is>
      </c>
      <c r="D123" s="36" t="n">
        <v>2.07</v>
      </c>
      <c r="E123" s="36" t="n">
        <v>0</v>
      </c>
      <c r="F123" s="36" t="n">
        <v>3.54</v>
      </c>
      <c r="G123" s="36" t="n">
        <v>4.37</v>
      </c>
      <c r="H123" s="37" t="n">
        <v>0.8148148148148148</v>
      </c>
      <c r="I123" s="37" t="n">
        <v>0.4444444444444444</v>
      </c>
      <c r="J123" s="37" t="n">
        <v>0.8611111111111112</v>
      </c>
      <c r="K123" s="37" t="n">
        <v>1</v>
      </c>
      <c r="L123" s="37" t="n">
        <v>1</v>
      </c>
      <c r="M123" s="37" t="n">
        <v>0.9382716049382716</v>
      </c>
      <c r="N123" s="37" t="n">
        <v>0.5185185185185185</v>
      </c>
      <c r="O123" s="36" t="n">
        <v>0</v>
      </c>
      <c r="P123" s="36" t="n">
        <v>5.5</v>
      </c>
      <c r="Q123" s="36" t="n">
        <v>6.06</v>
      </c>
      <c r="R123" s="36" t="n">
        <v>46.09</v>
      </c>
      <c r="S123" s="36" t="n">
        <v>0</v>
      </c>
      <c r="T123" s="37" t="n">
        <v>0.6923076923076923</v>
      </c>
      <c r="U123" s="37" t="n">
        <v>0.68</v>
      </c>
      <c r="V123" s="37" t="n">
        <v>0.6962025316455697</v>
      </c>
      <c r="W123" s="37" t="n">
        <v>0.5882352941176471</v>
      </c>
    </row>
    <row r="124">
      <c r="A124" s="53" t="n">
        <v>45751</v>
      </c>
      <c r="B124" t="inlineStr">
        <is>
          <t>R05_Jawa Tengah DIY</t>
        </is>
      </c>
      <c r="C124" t="inlineStr">
        <is>
          <t>NOP SEMARANG</t>
        </is>
      </c>
      <c r="D124" s="36" t="n">
        <v>1.28</v>
      </c>
      <c r="E124" s="36" t="n">
        <v>0</v>
      </c>
      <c r="F124" s="36" t="n">
        <v>3.52</v>
      </c>
      <c r="G124" s="36" t="n">
        <v>4.24</v>
      </c>
      <c r="H124" s="37" t="n">
        <v>0.6</v>
      </c>
      <c r="I124" s="37" t="n">
        <v>1</v>
      </c>
      <c r="J124" s="37" t="n">
        <v>0.5789473684210527</v>
      </c>
      <c r="K124" s="37" t="n">
        <v>1</v>
      </c>
      <c r="L124" s="37" t="n">
        <v>1</v>
      </c>
      <c r="M124" s="37" t="n">
        <v>1</v>
      </c>
      <c r="N124" s="37" t="n">
        <v>0.4166666666666667</v>
      </c>
      <c r="O124" s="36" t="n">
        <v>0</v>
      </c>
      <c r="P124" s="36" t="n">
        <v>1.59</v>
      </c>
      <c r="Q124" s="36" t="n">
        <v>19.82</v>
      </c>
      <c r="R124" s="36" t="n">
        <v>64.56999999999999</v>
      </c>
      <c r="S124" s="36" t="n">
        <v>0</v>
      </c>
      <c r="T124" s="37" t="n">
        <v>0.5103092783505154</v>
      </c>
      <c r="U124" s="37" t="n">
        <v>0.2427184466019418</v>
      </c>
      <c r="V124" s="37" t="n">
        <v>0.8131868131868132</v>
      </c>
      <c r="W124" s="37" t="n">
        <v>0.84</v>
      </c>
    </row>
    <row r="125">
      <c r="A125" s="53" t="n">
        <v>45751</v>
      </c>
      <c r="B125" t="inlineStr">
        <is>
          <t>R05_Jawa Tengah DIY</t>
        </is>
      </c>
      <c r="C125" t="inlineStr">
        <is>
          <t>NOP SURAKARTA</t>
        </is>
      </c>
      <c r="D125" s="36" t="n">
        <v>4.1</v>
      </c>
      <c r="E125" s="36" t="n">
        <v>0</v>
      </c>
      <c r="F125" s="36" t="n">
        <v>2.8</v>
      </c>
      <c r="G125" s="36" t="n">
        <v>6.03</v>
      </c>
      <c r="H125" s="37" t="n">
        <v>0.6666666666666666</v>
      </c>
      <c r="I125" s="37" t="n">
        <v>0.8888888888888888</v>
      </c>
      <c r="J125" s="37" t="n">
        <v>0.6458333333333334</v>
      </c>
      <c r="K125" s="37" t="n">
        <v>1</v>
      </c>
      <c r="L125" s="37" t="n">
        <v>1</v>
      </c>
      <c r="M125" s="37" t="n">
        <v>0.9904761904761905</v>
      </c>
      <c r="N125" s="37" t="n">
        <v>0.5142857142857142</v>
      </c>
      <c r="O125" s="36" t="n">
        <v>0.1</v>
      </c>
      <c r="P125" s="36" t="n">
        <v>3.36</v>
      </c>
      <c r="Q125" s="36" t="n">
        <v>7</v>
      </c>
      <c r="R125" s="36" t="n">
        <v>130.98</v>
      </c>
      <c r="S125" s="36" t="n">
        <v>0</v>
      </c>
      <c r="T125" s="37" t="n">
        <v>0.8384615384615385</v>
      </c>
      <c r="U125" s="37" t="n">
        <v>0.7391304347826086</v>
      </c>
      <c r="V125" s="37" t="n">
        <v>0.8928571428571429</v>
      </c>
      <c r="W125" s="37" t="n">
        <v>0.7941176470588235</v>
      </c>
    </row>
    <row r="126">
      <c r="A126" s="53" t="n">
        <v>45751</v>
      </c>
      <c r="B126" t="inlineStr">
        <is>
          <t>R05_Jawa Tengah DIY</t>
        </is>
      </c>
      <c r="C126" t="inlineStr">
        <is>
          <t>NOP YOGYAKARTA</t>
        </is>
      </c>
      <c r="D126" s="36" t="n">
        <v>2.74</v>
      </c>
      <c r="E126" s="36" t="n">
        <v>0</v>
      </c>
      <c r="F126" s="36" t="n">
        <v>1.85</v>
      </c>
      <c r="G126" s="36" t="n">
        <v>3.29</v>
      </c>
      <c r="H126" s="37" t="n">
        <v>0.5882352941176471</v>
      </c>
      <c r="I126" s="37" t="n">
        <v>1</v>
      </c>
      <c r="J126" s="37" t="n">
        <v>0.5625</v>
      </c>
      <c r="K126" s="37" t="n">
        <v>1</v>
      </c>
      <c r="L126" s="37" t="n">
        <v>1</v>
      </c>
      <c r="M126" s="37" t="n">
        <v>1</v>
      </c>
      <c r="N126" s="37" t="n">
        <v>0.5</v>
      </c>
      <c r="O126" s="36" t="n">
        <v>0</v>
      </c>
      <c r="P126" s="36" t="n">
        <v>2.75</v>
      </c>
      <c r="Q126" s="36" t="n">
        <v>14.45</v>
      </c>
      <c r="R126" s="36" t="n">
        <v>41.03</v>
      </c>
      <c r="S126" s="36" t="n">
        <v>0</v>
      </c>
      <c r="T126" s="37" t="n">
        <v>0.9090909090909091</v>
      </c>
      <c r="U126" s="37" t="n">
        <v>0.6875</v>
      </c>
      <c r="V126" s="37" t="n">
        <v>0.9298245614035088</v>
      </c>
      <c r="W126" s="37" t="n">
        <v>0.9090909090909091</v>
      </c>
    </row>
    <row r="127">
      <c r="A127" s="53" t="n">
        <v>45751</v>
      </c>
      <c r="B127" t="inlineStr">
        <is>
          <t>R06_Jawa Timur</t>
        </is>
      </c>
      <c r="C127" t="inlineStr">
        <is>
          <t>NOP JEMBER</t>
        </is>
      </c>
      <c r="D127" s="36" t="n">
        <v>2.1</v>
      </c>
      <c r="E127" s="36" t="n">
        <v>1.64</v>
      </c>
      <c r="F127" s="36" t="n">
        <v>1.65</v>
      </c>
      <c r="G127" s="36" t="n">
        <v>2.93</v>
      </c>
      <c r="H127" s="37" t="n">
        <v>0.6595744680851063</v>
      </c>
      <c r="I127" s="37" t="n">
        <v>0.6666666666666666</v>
      </c>
      <c r="J127" s="37" t="n">
        <v>0.6585365853658537</v>
      </c>
      <c r="K127" s="37" t="n">
        <v>0.5</v>
      </c>
      <c r="L127" s="37" t="n">
        <v>0.5</v>
      </c>
      <c r="M127" s="37" t="n">
        <v>1</v>
      </c>
      <c r="N127" s="37" t="n">
        <v>0.2765957446808511</v>
      </c>
      <c r="O127" s="36" t="n">
        <v>0</v>
      </c>
      <c r="P127" s="36" t="n">
        <v>2.38</v>
      </c>
      <c r="Q127" s="36" t="n">
        <v>6.92</v>
      </c>
      <c r="R127" s="36" t="n">
        <v>241.12</v>
      </c>
      <c r="S127" s="36" t="n">
        <v>0</v>
      </c>
      <c r="T127" s="37" t="n">
        <v>0.8526315789473684</v>
      </c>
      <c r="U127" s="37" t="n">
        <v>0.9090909090909091</v>
      </c>
      <c r="V127" s="37" t="n">
        <v>0.8356164383561644</v>
      </c>
      <c r="W127" s="37" t="n">
        <v>0.7</v>
      </c>
    </row>
    <row r="128">
      <c r="A128" s="53" t="n">
        <v>45751</v>
      </c>
      <c r="B128" t="inlineStr">
        <is>
          <t>R06_Jawa Timur</t>
        </is>
      </c>
      <c r="C128" t="inlineStr">
        <is>
          <t>NOP KEDIRI</t>
        </is>
      </c>
      <c r="D128" s="36" t="n">
        <v>0</v>
      </c>
      <c r="E128" s="36" t="n">
        <v>0.7</v>
      </c>
      <c r="F128" s="36" t="n">
        <v>1.76</v>
      </c>
      <c r="G128" s="36" t="n">
        <v>0.97</v>
      </c>
      <c r="H128" s="37" t="n">
        <v>0.9111111111111111</v>
      </c>
      <c r="I128" s="37" t="n">
        <v>1</v>
      </c>
      <c r="J128" s="37" t="n">
        <v>0.9069767441860465</v>
      </c>
      <c r="K128" s="37" t="n">
        <v>0.5</v>
      </c>
      <c r="L128" s="37" t="n">
        <v>0.5</v>
      </c>
      <c r="M128" s="37" t="n">
        <v>1</v>
      </c>
      <c r="N128" s="37" t="n">
        <v>0.4666666666666667</v>
      </c>
      <c r="O128" s="36" t="n">
        <v>0</v>
      </c>
      <c r="P128" s="36" t="n">
        <v>2.06</v>
      </c>
      <c r="Q128" s="36" t="n">
        <v>3.64</v>
      </c>
      <c r="R128" s="36" t="n">
        <v>13.72</v>
      </c>
      <c r="S128" s="36" t="n">
        <v>0</v>
      </c>
      <c r="T128" s="37" t="n">
        <v>0.925</v>
      </c>
      <c r="U128" s="37" t="n">
        <v>0.8888888888888888</v>
      </c>
      <c r="V128" s="37" t="n">
        <v>0.9354838709677419</v>
      </c>
      <c r="W128" s="37" t="n">
        <v>0.875</v>
      </c>
    </row>
    <row r="129">
      <c r="A129" s="53" t="n">
        <v>45751</v>
      </c>
      <c r="B129" t="inlineStr">
        <is>
          <t>R06_Jawa Timur</t>
        </is>
      </c>
      <c r="C129" t="inlineStr">
        <is>
          <t>NOP LAMONGAN</t>
        </is>
      </c>
      <c r="D129" s="36" t="n">
        <v>0.97</v>
      </c>
      <c r="E129" s="36" t="n">
        <v>1.01</v>
      </c>
      <c r="F129" s="36" t="n">
        <v>3.22</v>
      </c>
      <c r="G129" s="36" t="n">
        <v>2.82</v>
      </c>
      <c r="H129" s="37" t="n">
        <v>0.868421052631579</v>
      </c>
      <c r="I129" s="37" t="n">
        <v>1</v>
      </c>
      <c r="J129" s="37" t="n">
        <v>0.8484848484848485</v>
      </c>
      <c r="K129" s="37" t="n">
        <v>0.8</v>
      </c>
      <c r="L129" s="37" t="n">
        <v>0.8</v>
      </c>
      <c r="M129" s="37" t="n">
        <v>1</v>
      </c>
      <c r="N129" s="37" t="n">
        <v>0.7631578947368421</v>
      </c>
      <c r="O129" s="36" t="n">
        <v>0</v>
      </c>
      <c r="P129" s="36" t="n">
        <v>2.62</v>
      </c>
      <c r="Q129" s="36" t="n">
        <v>6.95</v>
      </c>
      <c r="R129" s="36" t="n">
        <v>41.24</v>
      </c>
      <c r="S129" s="36" t="n">
        <v>0</v>
      </c>
      <c r="T129" s="37" t="n">
        <v>0.8372093023255814</v>
      </c>
      <c r="U129" s="37" t="n">
        <v>0.8823529411764706</v>
      </c>
      <c r="V129" s="37" t="n">
        <v>0.8076923076923077</v>
      </c>
      <c r="W129" s="37" t="n">
        <v>0.9333333333333333</v>
      </c>
    </row>
    <row r="130">
      <c r="A130" s="53" t="n">
        <v>45751</v>
      </c>
      <c r="B130" t="inlineStr">
        <is>
          <t>R06_Jawa Timur</t>
        </is>
      </c>
      <c r="C130" t="inlineStr">
        <is>
          <t>NOP MADIUN</t>
        </is>
      </c>
      <c r="D130" s="36" t="n">
        <v>0</v>
      </c>
      <c r="E130" s="36" t="n">
        <v>0</v>
      </c>
      <c r="F130" s="36" t="n">
        <v>3.65</v>
      </c>
      <c r="G130" s="36" t="n">
        <v>3.16</v>
      </c>
      <c r="H130" s="37" t="n">
        <v>0.7222222222222222</v>
      </c>
      <c r="I130" s="37" t="n">
        <v>0</v>
      </c>
      <c r="J130" s="37" t="n">
        <v>0.7222222222222222</v>
      </c>
      <c r="K130" s="37" t="n">
        <v>0</v>
      </c>
      <c r="L130" s="37" t="n">
        <v>0</v>
      </c>
      <c r="M130" s="37" t="n">
        <v>1</v>
      </c>
      <c r="N130" s="37" t="n">
        <v>0.4722222222222222</v>
      </c>
      <c r="O130" s="36" t="n">
        <v>0</v>
      </c>
      <c r="P130" s="36" t="n">
        <v>2.99</v>
      </c>
      <c r="Q130" s="36" t="n">
        <v>14.36</v>
      </c>
      <c r="R130" s="36" t="n">
        <v>31.16</v>
      </c>
      <c r="S130" s="36" t="n">
        <v>0</v>
      </c>
      <c r="T130" s="37" t="n">
        <v>0.7115384615384616</v>
      </c>
      <c r="U130" s="37" t="n">
        <v>0.6428571428571429</v>
      </c>
      <c r="V130" s="37" t="n">
        <v>0.7368421052631579</v>
      </c>
      <c r="W130" s="37" t="n">
        <v>0.7777777777777778</v>
      </c>
    </row>
    <row r="131">
      <c r="A131" s="53" t="n">
        <v>45751</v>
      </c>
      <c r="B131" t="inlineStr">
        <is>
          <t>R06_Jawa Timur</t>
        </is>
      </c>
      <c r="C131" t="inlineStr">
        <is>
          <t>NOP MALANG</t>
        </is>
      </c>
      <c r="D131" s="36" t="n">
        <v>0</v>
      </c>
      <c r="E131" s="36" t="n">
        <v>0</v>
      </c>
      <c r="F131" s="36" t="n">
        <v>2.25</v>
      </c>
      <c r="G131" s="36" t="n">
        <v>2.88</v>
      </c>
      <c r="H131" s="37" t="n">
        <v>0.8507462686567164</v>
      </c>
      <c r="I131" s="37" t="n">
        <v>0</v>
      </c>
      <c r="J131" s="37" t="n">
        <v>0.8507462686567164</v>
      </c>
      <c r="K131" s="37" t="n">
        <v>0</v>
      </c>
      <c r="L131" s="37" t="n">
        <v>0</v>
      </c>
      <c r="M131" s="37" t="n">
        <v>1</v>
      </c>
      <c r="N131" s="37" t="n">
        <v>0.7313432835820896</v>
      </c>
      <c r="O131" s="36" t="n">
        <v>0.02</v>
      </c>
      <c r="P131" s="36" t="n">
        <v>3.08</v>
      </c>
      <c r="Q131" s="36" t="n">
        <v>4.37</v>
      </c>
      <c r="R131" s="36" t="n">
        <v>50.86</v>
      </c>
      <c r="S131" s="36" t="n">
        <v>0</v>
      </c>
      <c r="T131" s="37" t="n">
        <v>0.7586206896551724</v>
      </c>
      <c r="U131" s="37" t="n">
        <v>0.5454545454545454</v>
      </c>
      <c r="V131" s="37" t="n">
        <v>0.8888888888888888</v>
      </c>
      <c r="W131" s="37" t="n">
        <v>0.5</v>
      </c>
    </row>
    <row r="132">
      <c r="A132" s="53" t="n">
        <v>45751</v>
      </c>
      <c r="B132" t="inlineStr">
        <is>
          <t>R06_Jawa Timur</t>
        </is>
      </c>
      <c r="C132" t="inlineStr">
        <is>
          <t>NOP SIDOARJO</t>
        </is>
      </c>
      <c r="D132" s="36" t="n">
        <v>4.24</v>
      </c>
      <c r="E132" s="36" t="n">
        <v>0</v>
      </c>
      <c r="F132" s="36" t="n">
        <v>4.21</v>
      </c>
      <c r="G132" s="36" t="n">
        <v>3.03</v>
      </c>
      <c r="H132" s="37" t="n">
        <v>0.8333333333333334</v>
      </c>
      <c r="I132" s="37" t="n">
        <v>1</v>
      </c>
      <c r="J132" s="37" t="n">
        <v>0.8055555555555556</v>
      </c>
      <c r="K132" s="37" t="n">
        <v>0.8333333333333334</v>
      </c>
      <c r="L132" s="37" t="n">
        <v>0.8333333333333334</v>
      </c>
      <c r="M132" s="37" t="n">
        <v>1</v>
      </c>
      <c r="N132" s="37" t="n">
        <v>0.5714285714285714</v>
      </c>
      <c r="O132" s="36" t="n">
        <v>0</v>
      </c>
      <c r="P132" s="36" t="n">
        <v>171.55</v>
      </c>
      <c r="Q132" s="36" t="n">
        <v>11.47</v>
      </c>
      <c r="R132" s="36" t="n">
        <v>94.2</v>
      </c>
      <c r="S132" s="36" t="n">
        <v>0</v>
      </c>
      <c r="T132" s="37" t="n">
        <v>0.7166666666666667</v>
      </c>
      <c r="U132" s="37" t="n">
        <v>0.4</v>
      </c>
      <c r="V132" s="37" t="n">
        <v>0.78</v>
      </c>
      <c r="W132" s="37" t="n">
        <v>0.75</v>
      </c>
    </row>
    <row r="133">
      <c r="A133" s="53" t="n">
        <v>45751</v>
      </c>
      <c r="B133" t="inlineStr">
        <is>
          <t>R06_Jawa Timur</t>
        </is>
      </c>
      <c r="C133" t="inlineStr">
        <is>
          <t>NOP SURABAYA</t>
        </is>
      </c>
      <c r="D133" s="36" t="n">
        <v>2.04</v>
      </c>
      <c r="E133" s="36" t="n">
        <v>0</v>
      </c>
      <c r="F133" s="36" t="n">
        <v>2.11</v>
      </c>
      <c r="G133" s="36" t="n">
        <v>2.83</v>
      </c>
      <c r="H133" s="37" t="n">
        <v>0.5074626865671642</v>
      </c>
      <c r="I133" s="37" t="n">
        <v>0.25</v>
      </c>
      <c r="J133" s="37" t="n">
        <v>0.5423728813559322</v>
      </c>
      <c r="K133" s="37" t="n">
        <v>1</v>
      </c>
      <c r="L133" s="37" t="n">
        <v>1</v>
      </c>
      <c r="M133" s="37" t="n">
        <v>0.9701492537313433</v>
      </c>
      <c r="N133" s="37" t="n">
        <v>0.3134328358208955</v>
      </c>
      <c r="O133" s="36" t="n">
        <v>0.04</v>
      </c>
      <c r="P133" s="36" t="n">
        <v>1.54</v>
      </c>
      <c r="Q133" s="36" t="n">
        <v>7.99</v>
      </c>
      <c r="R133" s="36" t="n">
        <v>24.37</v>
      </c>
      <c r="S133" s="36" t="n">
        <v>0</v>
      </c>
      <c r="T133" s="37" t="n">
        <v>0.6168831168831169</v>
      </c>
      <c r="U133" s="37" t="n">
        <v>0.3636363636363636</v>
      </c>
      <c r="V133" s="37" t="n">
        <v>0.6590909090909091</v>
      </c>
      <c r="W133" s="37" t="n">
        <v>0.375</v>
      </c>
    </row>
    <row r="134">
      <c r="A134" s="53" t="n">
        <v>45751</v>
      </c>
      <c r="B134" t="inlineStr">
        <is>
          <t>R07_Bali Nusra</t>
        </is>
      </c>
      <c r="C134" t="inlineStr">
        <is>
          <t>NOP DENPASAR</t>
        </is>
      </c>
      <c r="D134" s="36" t="n">
        <v>1.9</v>
      </c>
      <c r="E134" s="36" t="n">
        <v>0</v>
      </c>
      <c r="F134" s="36" t="n">
        <v>3.04</v>
      </c>
      <c r="G134" s="36" t="n">
        <v>3.57</v>
      </c>
      <c r="H134" s="37" t="n">
        <v>0.9523809523809523</v>
      </c>
      <c r="I134" s="37" t="n">
        <v>0.9</v>
      </c>
      <c r="J134" s="37" t="n">
        <v>0.96875</v>
      </c>
      <c r="K134" s="37" t="n">
        <v>1</v>
      </c>
      <c r="L134" s="37" t="n">
        <v>1</v>
      </c>
      <c r="M134" s="37" t="n">
        <v>0.9761904761904762</v>
      </c>
      <c r="N134" s="37" t="n">
        <v>0.9285714285714286</v>
      </c>
      <c r="O134" s="36" t="n">
        <v>0</v>
      </c>
      <c r="P134" s="36" t="n">
        <v>19.03</v>
      </c>
      <c r="Q134" s="36" t="n">
        <v>44.7</v>
      </c>
      <c r="R134" s="36" t="n">
        <v>35.61</v>
      </c>
      <c r="S134" s="36" t="n">
        <v>0</v>
      </c>
      <c r="T134" s="37" t="n">
        <v>0.8611111111111112</v>
      </c>
      <c r="U134" s="37" t="n">
        <v>0.7142857142857143</v>
      </c>
      <c r="V134" s="37" t="n">
        <v>0.9215686274509803</v>
      </c>
      <c r="W134" s="37" t="n">
        <v>0.4</v>
      </c>
    </row>
    <row r="135">
      <c r="A135" s="53" t="n">
        <v>45751</v>
      </c>
      <c r="B135" t="inlineStr">
        <is>
          <t>R07_Bali Nusra</t>
        </is>
      </c>
      <c r="C135" t="inlineStr">
        <is>
          <t>NOP FLORES</t>
        </is>
      </c>
      <c r="D135" s="36" t="n">
        <v>3.76</v>
      </c>
      <c r="E135" s="36" t="n">
        <v>4.62</v>
      </c>
      <c r="F135" s="36" t="n">
        <v>9.77</v>
      </c>
      <c r="G135" s="36" t="n">
        <v>8.07</v>
      </c>
      <c r="H135" s="37" t="n">
        <v>0.3653846153846154</v>
      </c>
      <c r="I135" s="37" t="n">
        <v>0.462962962962963</v>
      </c>
      <c r="J135" s="37" t="n">
        <v>0.3398058252427185</v>
      </c>
      <c r="K135" s="37" t="n">
        <v>0.5600000000000001</v>
      </c>
      <c r="L135" s="37" t="n">
        <v>0.5600000000000001</v>
      </c>
      <c r="M135" s="37" t="n">
        <v>0.9884615384615385</v>
      </c>
      <c r="N135" s="37" t="n">
        <v>0.1961538461538462</v>
      </c>
      <c r="O135" s="36" t="n">
        <v>0.17</v>
      </c>
      <c r="P135" s="36" t="n">
        <v>17.44</v>
      </c>
      <c r="Q135" s="36" t="n">
        <v>9.17</v>
      </c>
      <c r="R135" s="36" t="n">
        <v>52.19</v>
      </c>
      <c r="S135" s="36" t="n">
        <v>0</v>
      </c>
      <c r="T135" s="37" t="n">
        <v>0.425531914893617</v>
      </c>
      <c r="U135" s="37" t="n">
        <v>0.4840989399293286</v>
      </c>
      <c r="V135" s="37" t="n">
        <v>0.3071428571428572</v>
      </c>
      <c r="W135" s="37" t="n">
        <v>0.6131386861313869</v>
      </c>
    </row>
    <row r="136">
      <c r="A136" s="53" t="n">
        <v>45751</v>
      </c>
      <c r="B136" t="inlineStr">
        <is>
          <t>R07_Bali Nusra</t>
        </is>
      </c>
      <c r="C136" t="inlineStr">
        <is>
          <t>NOP KUPANG</t>
        </is>
      </c>
      <c r="D136" s="36" t="n">
        <v>0</v>
      </c>
      <c r="E136" s="36" t="n">
        <v>1.66</v>
      </c>
      <c r="F136" s="36" t="n">
        <v>4.07</v>
      </c>
      <c r="G136" s="36" t="n">
        <v>4.73</v>
      </c>
      <c r="H136" s="37" t="n">
        <v>0.3737373737373738</v>
      </c>
      <c r="I136" s="37" t="n">
        <v>0.4166666666666667</v>
      </c>
      <c r="J136" s="37" t="n">
        <v>0.367816091954023</v>
      </c>
      <c r="K136" s="37" t="n">
        <v>0.6</v>
      </c>
      <c r="L136" s="37" t="n">
        <v>0.6</v>
      </c>
      <c r="M136" s="37" t="n">
        <v>0.9898989898989899</v>
      </c>
      <c r="N136" s="37" t="n">
        <v>0.1515151515151515</v>
      </c>
      <c r="O136" s="36" t="n">
        <v>0.01</v>
      </c>
      <c r="P136" s="36" t="n">
        <v>25.02</v>
      </c>
      <c r="Q136" s="36" t="n">
        <v>24.12</v>
      </c>
      <c r="R136" s="36" t="n">
        <v>136.31</v>
      </c>
      <c r="S136" s="36" t="n">
        <v>0</v>
      </c>
      <c r="T136" s="37" t="n">
        <v>0.5384615384615384</v>
      </c>
      <c r="U136" s="37" t="n">
        <v>0.5934065934065934</v>
      </c>
      <c r="V136" s="37" t="n">
        <v>0.4615384615384616</v>
      </c>
      <c r="W136" s="37" t="n">
        <v>0.6296296296296297</v>
      </c>
    </row>
    <row r="137">
      <c r="A137" s="53" t="n">
        <v>45751</v>
      </c>
      <c r="B137" t="inlineStr">
        <is>
          <t>R07_Bali Nusra</t>
        </is>
      </c>
      <c r="C137" t="inlineStr">
        <is>
          <t>NOP MATARAM</t>
        </is>
      </c>
      <c r="D137" s="36" t="n">
        <v>4.95</v>
      </c>
      <c r="E137" s="36" t="n">
        <v>6.18</v>
      </c>
      <c r="F137" s="36" t="n">
        <v>2.58</v>
      </c>
      <c r="G137" s="36" t="n">
        <v>11.02</v>
      </c>
      <c r="H137" s="37" t="n">
        <v>0.4</v>
      </c>
      <c r="I137" s="37" t="n">
        <v>0.3333333333333333</v>
      </c>
      <c r="J137" s="37" t="n">
        <v>0.4047619047619048</v>
      </c>
      <c r="K137" s="37" t="n">
        <v>0</v>
      </c>
      <c r="L137" s="37" t="n">
        <v>0</v>
      </c>
      <c r="M137" s="37" t="n">
        <v>1</v>
      </c>
      <c r="N137" s="37" t="n">
        <v>0.2222222222222222</v>
      </c>
      <c r="O137" s="36" t="n">
        <v>0</v>
      </c>
      <c r="P137" s="36" t="n">
        <v>22.48</v>
      </c>
      <c r="Q137" s="36" t="n">
        <v>8.65</v>
      </c>
      <c r="R137" s="36" t="n">
        <v>17.79</v>
      </c>
      <c r="S137" s="36" t="n">
        <v>0</v>
      </c>
      <c r="T137" s="37" t="n">
        <v>0.2722222222222222</v>
      </c>
      <c r="U137" s="37" t="n">
        <v>0.2441860465116279</v>
      </c>
      <c r="V137" s="37" t="n">
        <v>0.2978723404255319</v>
      </c>
      <c r="W137" s="37" t="n">
        <v>0.7619047619047619</v>
      </c>
    </row>
    <row r="138">
      <c r="A138" s="53" t="n">
        <v>45752</v>
      </c>
      <c r="B138" t="inlineStr">
        <is>
          <t>R01_Sumbagut</t>
        </is>
      </c>
      <c r="C138" t="inlineStr">
        <is>
          <t>NOP ACEH</t>
        </is>
      </c>
      <c r="D138" s="36" t="n">
        <v>2.45</v>
      </c>
      <c r="E138" s="36" t="n">
        <v>4.28</v>
      </c>
      <c r="F138" s="36" t="n">
        <v>10.06</v>
      </c>
      <c r="G138" s="36" t="n">
        <v>7.77</v>
      </c>
      <c r="H138" s="37" t="n">
        <v>0.8322851153039832</v>
      </c>
      <c r="I138" s="37" t="n">
        <v>0.8785714285714286</v>
      </c>
      <c r="J138" s="37" t="n">
        <v>0.8130563798219584</v>
      </c>
      <c r="K138" s="37" t="n">
        <v>0.3495934959349594</v>
      </c>
      <c r="L138" s="37" t="n">
        <v>0.3524590163934426</v>
      </c>
      <c r="M138" s="37" t="n">
        <v>1</v>
      </c>
      <c r="N138" s="37" t="n">
        <v>0.2746331236897275</v>
      </c>
      <c r="O138" s="36" t="n">
        <v>0.04</v>
      </c>
      <c r="P138" s="36" t="n">
        <v>4.63</v>
      </c>
      <c r="Q138" s="36" t="n">
        <v>53.49</v>
      </c>
      <c r="R138" s="36" t="n">
        <v>110.95</v>
      </c>
      <c r="S138" s="36" t="n">
        <v>0</v>
      </c>
      <c r="T138" s="37" t="n">
        <v>0.8686296715741789</v>
      </c>
      <c r="U138" s="37" t="n">
        <v>0.7567567567567568</v>
      </c>
      <c r="V138" s="37" t="n">
        <v>0.8817204301075269</v>
      </c>
      <c r="W138" s="37" t="n">
        <v>0.2071428571428572</v>
      </c>
    </row>
    <row r="139">
      <c r="A139" s="53" t="n">
        <v>45752</v>
      </c>
      <c r="B139" t="inlineStr">
        <is>
          <t>R01_Sumbagut</t>
        </is>
      </c>
      <c r="C139" t="inlineStr">
        <is>
          <t>NOP BINJAI</t>
        </is>
      </c>
      <c r="D139" s="36" t="n">
        <v>0</v>
      </c>
      <c r="E139" s="36" t="n">
        <v>5.52</v>
      </c>
      <c r="F139" s="36" t="n">
        <v>3.36</v>
      </c>
      <c r="G139" s="36" t="n">
        <v>5.2</v>
      </c>
      <c r="H139" s="37" t="n">
        <v>0.5476190476190477</v>
      </c>
      <c r="I139" s="37" t="n">
        <v>0.7222222222222222</v>
      </c>
      <c r="J139" s="37" t="n">
        <v>0.5114942528735632</v>
      </c>
      <c r="K139" s="37" t="n">
        <v>0.5384615384615384</v>
      </c>
      <c r="L139" s="37" t="n">
        <v>0.5384615384615384</v>
      </c>
      <c r="M139" s="37" t="n">
        <v>1</v>
      </c>
      <c r="N139" s="37" t="n">
        <v>0.3095238095238095</v>
      </c>
      <c r="O139" s="36" t="n">
        <v>0</v>
      </c>
      <c r="P139" s="36" t="n">
        <v>3.05</v>
      </c>
      <c r="Q139" s="36" t="n">
        <v>28.67</v>
      </c>
      <c r="R139" s="36" t="n">
        <v>68.39</v>
      </c>
      <c r="S139" s="36" t="n">
        <v>0</v>
      </c>
      <c r="T139" s="37" t="n">
        <v>0.5864485981308412</v>
      </c>
      <c r="U139" s="37" t="n">
        <v>0.6063829787234043</v>
      </c>
      <c r="V139" s="37" t="n">
        <v>0.5723270440251572</v>
      </c>
      <c r="W139" s="37" t="n">
        <v>0.4385964912280702</v>
      </c>
    </row>
    <row r="140">
      <c r="A140" s="53" t="n">
        <v>45752</v>
      </c>
      <c r="B140" t="inlineStr">
        <is>
          <t>R01_Sumbagut</t>
        </is>
      </c>
      <c r="C140" t="inlineStr">
        <is>
          <t>NOP MEDAN</t>
        </is>
      </c>
      <c r="D140" s="36" t="n">
        <v>0</v>
      </c>
      <c r="E140" s="36" t="n">
        <v>4.25</v>
      </c>
      <c r="F140" s="36" t="n">
        <v>1.95</v>
      </c>
      <c r="G140" s="36" t="n">
        <v>3.12</v>
      </c>
      <c r="H140" s="37" t="n">
        <v>0.312</v>
      </c>
      <c r="I140" s="37" t="n">
        <v>0.5238095238095238</v>
      </c>
      <c r="J140" s="37" t="n">
        <v>0.2692307692307692</v>
      </c>
      <c r="K140" s="37" t="n">
        <v>0.9090909090909091</v>
      </c>
      <c r="L140" s="37" t="n">
        <v>0.9090909090909091</v>
      </c>
      <c r="M140" s="37" t="n">
        <v>1</v>
      </c>
      <c r="N140" s="37" t="n">
        <v>0.176</v>
      </c>
      <c r="O140" s="36" t="n">
        <v>0</v>
      </c>
      <c r="P140" s="36" t="n">
        <v>2.92</v>
      </c>
      <c r="Q140" s="36" t="n">
        <v>17.87</v>
      </c>
      <c r="R140" s="36" t="n">
        <v>7.8</v>
      </c>
      <c r="S140" s="36" t="n">
        <v>0</v>
      </c>
      <c r="T140" s="37" t="n">
        <v>0.2578616352201258</v>
      </c>
      <c r="U140" s="37" t="n">
        <v>0.2040816326530612</v>
      </c>
      <c r="V140" s="37" t="n">
        <v>0.287037037037037</v>
      </c>
      <c r="W140" s="37" t="n">
        <v>1</v>
      </c>
    </row>
    <row r="141">
      <c r="A141" s="53" t="n">
        <v>45752</v>
      </c>
      <c r="B141" t="inlineStr">
        <is>
          <t>R01_Sumbagut</t>
        </is>
      </c>
      <c r="C141" t="inlineStr">
        <is>
          <t>NOP PADANG SIDEMPUAN</t>
        </is>
      </c>
      <c r="D141" s="36" t="n">
        <v>0</v>
      </c>
      <c r="E141" s="36" t="n">
        <v>2.41</v>
      </c>
      <c r="F141" s="36" t="n">
        <v>3.42</v>
      </c>
      <c r="G141" s="36" t="n">
        <v>4.53</v>
      </c>
      <c r="H141" s="37" t="n">
        <v>0.2486033519553073</v>
      </c>
      <c r="I141" s="37" t="n">
        <v>0.5116279069767442</v>
      </c>
      <c r="J141" s="37" t="n">
        <v>0.2126984126984127</v>
      </c>
      <c r="K141" s="37" t="n">
        <v>0.4090909090909091</v>
      </c>
      <c r="L141" s="37" t="n">
        <v>0.4090909090909091</v>
      </c>
      <c r="M141" s="37" t="n">
        <v>0.9972067039106145</v>
      </c>
      <c r="N141" s="37" t="n">
        <v>0.1089385474860335</v>
      </c>
      <c r="O141" s="36" t="n">
        <v>0.01</v>
      </c>
      <c r="P141" s="36" t="n">
        <v>1.96</v>
      </c>
      <c r="Q141" s="36" t="n">
        <v>13.01</v>
      </c>
      <c r="R141" s="36" t="n">
        <v>72.84</v>
      </c>
      <c r="S141" s="36" t="n">
        <v>0</v>
      </c>
      <c r="T141" s="37" t="n">
        <v>0.2488549618320611</v>
      </c>
      <c r="U141" s="37" t="n">
        <v>0.4227129337539432</v>
      </c>
      <c r="V141" s="37" t="n">
        <v>0.1929292929292929</v>
      </c>
      <c r="W141" s="37" t="n">
        <v>0.5223880597014925</v>
      </c>
    </row>
    <row r="142">
      <c r="A142" s="53" t="n">
        <v>45752</v>
      </c>
      <c r="B142" t="inlineStr">
        <is>
          <t>R01_Sumbagut</t>
        </is>
      </c>
      <c r="C142" t="inlineStr">
        <is>
          <t>NOP PEMATANG SIANTAR</t>
        </is>
      </c>
      <c r="D142" s="36" t="n">
        <v>1</v>
      </c>
      <c r="E142" s="36" t="n">
        <v>6.5</v>
      </c>
      <c r="F142" s="36" t="n">
        <v>4.6</v>
      </c>
      <c r="G142" s="36" t="n">
        <v>5.23</v>
      </c>
      <c r="H142" s="37" t="n">
        <v>0.3579175704989154</v>
      </c>
      <c r="I142" s="37" t="n">
        <v>0.3416666666666667</v>
      </c>
      <c r="J142" s="37" t="n">
        <v>0.3636363636363636</v>
      </c>
      <c r="K142" s="37" t="n">
        <v>0.7317073170731707</v>
      </c>
      <c r="L142" s="37" t="n">
        <v>0.7317073170731707</v>
      </c>
      <c r="M142" s="37" t="n">
        <v>0.9978308026030369</v>
      </c>
      <c r="N142" s="37" t="n">
        <v>0.1778741865509761</v>
      </c>
      <c r="O142" s="36" t="n">
        <v>0.01</v>
      </c>
      <c r="P142" s="36" t="n">
        <v>3.46</v>
      </c>
      <c r="Q142" s="36" t="n">
        <v>72.91</v>
      </c>
      <c r="R142" s="36" t="n">
        <v>50.25</v>
      </c>
      <c r="S142" s="36" t="n">
        <v>0</v>
      </c>
      <c r="T142" s="37" t="n">
        <v>0.09267345948568656</v>
      </c>
      <c r="U142" s="37" t="n">
        <v>0.2657004830917875</v>
      </c>
      <c r="V142" s="37" t="n">
        <v>0.07196969696969698</v>
      </c>
      <c r="W142" s="37" t="n">
        <v>0.9090909090909091</v>
      </c>
    </row>
    <row r="143">
      <c r="A143" s="53" t="n">
        <v>45752</v>
      </c>
      <c r="B143" t="inlineStr">
        <is>
          <t>R01_Sumbagut</t>
        </is>
      </c>
      <c r="C143" t="inlineStr">
        <is>
          <t>NOP RANTAU PRAPAT</t>
        </is>
      </c>
      <c r="D143" s="36" t="n">
        <v>3.23</v>
      </c>
      <c r="E143" s="36" t="n">
        <v>6.16</v>
      </c>
      <c r="F143" s="36" t="n">
        <v>6.51</v>
      </c>
      <c r="G143" s="36" t="n">
        <v>6.77</v>
      </c>
      <c r="H143" s="37" t="n">
        <v>0.2555066079295154</v>
      </c>
      <c r="I143" s="37" t="n">
        <v>0.2557077625570776</v>
      </c>
      <c r="J143" s="37" t="n">
        <v>0.2554426705370101</v>
      </c>
      <c r="K143" s="37" t="n">
        <v>0.5178571428571429</v>
      </c>
      <c r="L143" s="37" t="n">
        <v>0.5178571428571429</v>
      </c>
      <c r="M143" s="37" t="n">
        <v>0.98568281938326</v>
      </c>
      <c r="N143" s="37" t="n">
        <v>0.1420704845814978</v>
      </c>
      <c r="O143" s="36" t="n">
        <v>0</v>
      </c>
      <c r="P143" s="36" t="n">
        <v>4.41</v>
      </c>
      <c r="Q143" s="36" t="n">
        <v>25.42</v>
      </c>
      <c r="R143" s="36" t="n">
        <v>23.84</v>
      </c>
      <c r="S143" s="36" t="n">
        <v>0</v>
      </c>
      <c r="T143" s="37" t="n">
        <v>0.05640243902439025</v>
      </c>
      <c r="U143" s="37" t="n">
        <v>0.1316872427983539</v>
      </c>
      <c r="V143" s="37" t="n">
        <v>0.0419336051252184</v>
      </c>
      <c r="W143" s="37" t="n">
        <v>0.625</v>
      </c>
    </row>
    <row r="144">
      <c r="A144" s="53" t="n">
        <v>45752</v>
      </c>
      <c r="B144" t="inlineStr">
        <is>
          <t>R10_Sumbagteng</t>
        </is>
      </c>
      <c r="C144" t="inlineStr">
        <is>
          <t>NOP BATAM</t>
        </is>
      </c>
      <c r="D144" s="36" t="n">
        <v>0.68</v>
      </c>
      <c r="E144" s="36" t="n">
        <v>6.78</v>
      </c>
      <c r="F144" s="36" t="n">
        <v>6.04</v>
      </c>
      <c r="G144" s="36" t="n">
        <v>7.11</v>
      </c>
      <c r="H144" s="37" t="n">
        <v>0.2306397306397306</v>
      </c>
      <c r="I144" s="37" t="n">
        <v>0.23</v>
      </c>
      <c r="J144" s="37" t="n">
        <v>0.2307692307692308</v>
      </c>
      <c r="K144" s="37" t="n">
        <v>0.6956521739130435</v>
      </c>
      <c r="L144" s="37" t="n">
        <v>0.6956521739130435</v>
      </c>
      <c r="M144" s="37" t="n">
        <v>0.9949494949494949</v>
      </c>
      <c r="N144" s="37" t="n">
        <v>0.1228956228956229</v>
      </c>
      <c r="O144" s="36" t="n">
        <v>0</v>
      </c>
      <c r="P144" s="36" t="n">
        <v>9.09</v>
      </c>
      <c r="Q144" s="36" t="n">
        <v>36.81</v>
      </c>
      <c r="R144" s="36" t="n">
        <v>27.13</v>
      </c>
      <c r="S144" s="36" t="n">
        <v>0</v>
      </c>
      <c r="T144" s="37" t="n">
        <v>0.09688122096881222</v>
      </c>
      <c r="U144" s="37" t="n">
        <v>0.1758241758241758</v>
      </c>
      <c r="V144" s="37" t="n">
        <v>0.07961007311129163</v>
      </c>
      <c r="W144" s="37" t="n">
        <v>0.8333333333333334</v>
      </c>
    </row>
    <row r="145">
      <c r="A145" s="53" t="n">
        <v>45752</v>
      </c>
      <c r="B145" t="inlineStr">
        <is>
          <t>R10_Sumbagteng</t>
        </is>
      </c>
      <c r="C145" t="inlineStr">
        <is>
          <t>NOP BUKITTINGGI</t>
        </is>
      </c>
      <c r="D145" s="36" t="n">
        <v>1.15</v>
      </c>
      <c r="E145" s="36" t="n">
        <v>6.33</v>
      </c>
      <c r="F145" s="36" t="n">
        <v>3.34</v>
      </c>
      <c r="G145" s="36" t="n">
        <v>4.38</v>
      </c>
      <c r="H145" s="37" t="n">
        <v>0.7142857142857143</v>
      </c>
      <c r="I145" s="37" t="n">
        <v>0.8571428571428571</v>
      </c>
      <c r="J145" s="37" t="n">
        <v>0.6845238095238095</v>
      </c>
      <c r="K145" s="37" t="n">
        <v>0.8333333333333334</v>
      </c>
      <c r="L145" s="37" t="n">
        <v>0.8333333333333334</v>
      </c>
      <c r="M145" s="37" t="n">
        <v>0.9950738916256158</v>
      </c>
      <c r="N145" s="37" t="n">
        <v>0.4236453201970443</v>
      </c>
      <c r="O145" s="36" t="n">
        <v>0</v>
      </c>
      <c r="P145" s="36" t="n">
        <v>4.84</v>
      </c>
      <c r="Q145" s="36" t="n">
        <v>7</v>
      </c>
      <c r="R145" s="36" t="n">
        <v>136.14</v>
      </c>
      <c r="S145" s="36" t="n">
        <v>0</v>
      </c>
      <c r="T145" s="37" t="n">
        <v>0.3223140495867768</v>
      </c>
      <c r="U145" s="37" t="n">
        <v>0.8055555555555556</v>
      </c>
      <c r="V145" s="37" t="n">
        <v>0.276843467011643</v>
      </c>
      <c r="W145" s="37" t="n">
        <v>0.6206896551724138</v>
      </c>
    </row>
    <row r="146">
      <c r="A146" s="53" t="n">
        <v>45752</v>
      </c>
      <c r="B146" t="inlineStr">
        <is>
          <t>R10_Sumbagteng</t>
        </is>
      </c>
      <c r="C146" t="inlineStr">
        <is>
          <t>NOP DUMAI</t>
        </is>
      </c>
      <c r="D146" s="36" t="n">
        <v>5.56</v>
      </c>
      <c r="E146" s="36" t="n">
        <v>7.5</v>
      </c>
      <c r="F146" s="36" t="n">
        <v>5.76</v>
      </c>
      <c r="G146" s="36" t="n">
        <v>6.3</v>
      </c>
      <c r="H146" s="37" t="n">
        <v>0.4103547459252157</v>
      </c>
      <c r="I146" s="37" t="n">
        <v>0.456</v>
      </c>
      <c r="J146" s="37" t="n">
        <v>0.3959646910466583</v>
      </c>
      <c r="K146" s="37" t="n">
        <v>0.7105263157894737</v>
      </c>
      <c r="L146" s="37" t="n">
        <v>0.7339449541284404</v>
      </c>
      <c r="M146" s="37" t="n">
        <v>0.9693192713326941</v>
      </c>
      <c r="N146" s="37" t="n">
        <v>0.2224352828379674</v>
      </c>
      <c r="O146" s="36" t="n">
        <v>0.29</v>
      </c>
      <c r="P146" s="36" t="n">
        <v>7.54</v>
      </c>
      <c r="Q146" s="36" t="n">
        <v>49.2</v>
      </c>
      <c r="R146" s="36" t="n">
        <v>135.53</v>
      </c>
      <c r="S146" s="36" t="n">
        <v>0</v>
      </c>
      <c r="T146" s="37" t="n">
        <v>0.2453596287703016</v>
      </c>
      <c r="U146" s="37" t="n">
        <v>0.2853403141361257</v>
      </c>
      <c r="V146" s="37" t="n">
        <v>0.2332580887885628</v>
      </c>
      <c r="W146" s="37" t="n">
        <v>0.9082568807339449</v>
      </c>
    </row>
    <row r="147">
      <c r="A147" s="53" t="n">
        <v>45752</v>
      </c>
      <c r="B147" t="inlineStr">
        <is>
          <t>R10_Sumbagteng</t>
        </is>
      </c>
      <c r="C147" t="inlineStr">
        <is>
          <t>NOP PADANG</t>
        </is>
      </c>
      <c r="D147" s="36" t="n">
        <v>0</v>
      </c>
      <c r="E147" s="36" t="n">
        <v>2.16</v>
      </c>
      <c r="F147" s="36" t="n">
        <v>5.37</v>
      </c>
      <c r="G147" s="36" t="n">
        <v>8.5</v>
      </c>
      <c r="H147" s="37" t="n">
        <v>0.6892430278884463</v>
      </c>
      <c r="I147" s="37" t="n">
        <v>0.5</v>
      </c>
      <c r="J147" s="37" t="n">
        <v>0.7149321266968326</v>
      </c>
      <c r="K147" s="37" t="n">
        <v>0.2666666666666667</v>
      </c>
      <c r="L147" s="37" t="n">
        <v>0.2666666666666667</v>
      </c>
      <c r="M147" s="37" t="n">
        <v>1</v>
      </c>
      <c r="N147" s="37" t="n">
        <v>0.2549800796812749</v>
      </c>
      <c r="O147" s="36" t="n">
        <v>0</v>
      </c>
      <c r="P147" s="36" t="n">
        <v>6.97</v>
      </c>
      <c r="Q147" s="36" t="n">
        <v>53.83</v>
      </c>
      <c r="R147" s="36" t="n">
        <v>54.29</v>
      </c>
      <c r="S147" s="36" t="n">
        <v>0</v>
      </c>
      <c r="T147" s="37" t="n">
        <v>0.6467020470053071</v>
      </c>
      <c r="U147" s="37" t="n">
        <v>0.5672514619883041</v>
      </c>
      <c r="V147" s="37" t="n">
        <v>0.6576419213973799</v>
      </c>
      <c r="W147" s="37" t="n">
        <v>0.5051546391752577</v>
      </c>
    </row>
    <row r="148">
      <c r="A148" s="53" t="n">
        <v>45752</v>
      </c>
      <c r="B148" t="inlineStr">
        <is>
          <t>R10_Sumbagteng</t>
        </is>
      </c>
      <c r="C148" t="inlineStr">
        <is>
          <t>NOP PEKANBARU</t>
        </is>
      </c>
      <c r="D148" s="36" t="n">
        <v>15.74</v>
      </c>
      <c r="E148" s="36" t="n">
        <v>5.61</v>
      </c>
      <c r="F148" s="36" t="n">
        <v>6.66</v>
      </c>
      <c r="G148" s="36" t="n">
        <v>8.369999999999999</v>
      </c>
      <c r="H148" s="37" t="n">
        <v>0.3697650663942799</v>
      </c>
      <c r="I148" s="37" t="n">
        <v>0.4671052631578947</v>
      </c>
      <c r="J148" s="37" t="n">
        <v>0.3518742442563482</v>
      </c>
      <c r="K148" s="37" t="n">
        <v>0.7464788732394366</v>
      </c>
      <c r="L148" s="37" t="n">
        <v>0.7681159420289855</v>
      </c>
      <c r="M148" s="37" t="n">
        <v>0.9938712972420838</v>
      </c>
      <c r="N148" s="37" t="n">
        <v>0.195097037793667</v>
      </c>
      <c r="O148" s="36" t="n">
        <v>0.01</v>
      </c>
      <c r="P148" s="36" t="n">
        <v>3.4</v>
      </c>
      <c r="Q148" s="36" t="n">
        <v>44.72</v>
      </c>
      <c r="R148" s="36" t="n">
        <v>81.92</v>
      </c>
      <c r="S148" s="36" t="n">
        <v>0</v>
      </c>
      <c r="T148" s="37" t="n">
        <v>0.3026404874746107</v>
      </c>
      <c r="U148" s="37" t="n">
        <v>0.3142250530785562</v>
      </c>
      <c r="V148" s="37" t="n">
        <v>0.2957746478873239</v>
      </c>
      <c r="W148" s="37" t="n">
        <v>0.8851351351351351</v>
      </c>
    </row>
    <row r="149">
      <c r="A149" s="53" t="n">
        <v>45752</v>
      </c>
      <c r="B149" t="inlineStr">
        <is>
          <t>R02_Sumbagsel</t>
        </is>
      </c>
      <c r="C149" t="inlineStr">
        <is>
          <t>NOP BENGKULU</t>
        </is>
      </c>
      <c r="D149" s="36" t="n">
        <v>1.28</v>
      </c>
      <c r="E149" s="36" t="n">
        <v>3.58</v>
      </c>
      <c r="F149" s="36" t="n">
        <v>2.87</v>
      </c>
      <c r="G149" s="36" t="n">
        <v>7.22</v>
      </c>
      <c r="H149" s="37" t="n">
        <v>0.3777777777777778</v>
      </c>
      <c r="I149" s="37" t="n">
        <v>0.4210526315789473</v>
      </c>
      <c r="J149" s="37" t="n">
        <v>0.3661971830985916</v>
      </c>
      <c r="K149" s="37" t="n">
        <v>0.6</v>
      </c>
      <c r="L149" s="37" t="n">
        <v>0.6</v>
      </c>
      <c r="M149" s="37" t="n">
        <v>0.9866666666666667</v>
      </c>
      <c r="N149" s="37" t="n">
        <v>0.1866666666666667</v>
      </c>
      <c r="O149" s="36" t="n">
        <v>0</v>
      </c>
      <c r="P149" s="36" t="n">
        <v>4.57</v>
      </c>
      <c r="Q149" s="36" t="n">
        <v>8.210000000000001</v>
      </c>
      <c r="R149" s="36" t="n">
        <v>16.88</v>
      </c>
      <c r="S149" s="36" t="n">
        <v>0</v>
      </c>
      <c r="T149" s="37" t="n">
        <v>0.3688610240334378</v>
      </c>
      <c r="U149" s="37" t="n">
        <v>0.2945508100147275</v>
      </c>
      <c r="V149" s="37" t="n">
        <v>0.603448275862069</v>
      </c>
      <c r="W149" s="37" t="n">
        <v>0.87</v>
      </c>
    </row>
    <row r="150">
      <c r="A150" s="53" t="n">
        <v>45752</v>
      </c>
      <c r="B150" t="inlineStr">
        <is>
          <t>R02_Sumbagsel</t>
        </is>
      </c>
      <c r="C150" t="inlineStr">
        <is>
          <t>NOP JAMBI</t>
        </is>
      </c>
      <c r="D150" s="36" t="n">
        <v>3.37</v>
      </c>
      <c r="E150" s="36" t="n">
        <v>4.25</v>
      </c>
      <c r="F150" s="36" t="n">
        <v>6.58</v>
      </c>
      <c r="G150" s="36" t="n">
        <v>6.42</v>
      </c>
      <c r="H150" s="37" t="n">
        <v>0.4597875569044006</v>
      </c>
      <c r="I150" s="37" t="n">
        <v>0.4571428571428571</v>
      </c>
      <c r="J150" s="37" t="n">
        <v>0.4610244988864143</v>
      </c>
      <c r="K150" s="37" t="n">
        <v>0.7291666666666666</v>
      </c>
      <c r="L150" s="37" t="n">
        <v>0.7291666666666666</v>
      </c>
      <c r="M150" s="37" t="n">
        <v>1</v>
      </c>
      <c r="N150" s="37" t="n">
        <v>0.2412746585735964</v>
      </c>
      <c r="O150" s="36" t="n">
        <v>0</v>
      </c>
      <c r="P150" s="36" t="n">
        <v>6.06</v>
      </c>
      <c r="Q150" s="36" t="n">
        <v>15.74</v>
      </c>
      <c r="R150" s="36" t="n">
        <v>19</v>
      </c>
      <c r="S150" s="36" t="n">
        <v>0</v>
      </c>
      <c r="T150" s="37" t="n">
        <v>0.6273127753303964</v>
      </c>
      <c r="U150" s="37" t="n">
        <v>0.6161290322580645</v>
      </c>
      <c r="V150" s="37" t="n">
        <v>0.6776470588235294</v>
      </c>
      <c r="W150" s="37" t="n">
        <v>0.6596858638743456</v>
      </c>
    </row>
    <row r="151">
      <c r="A151" s="53" t="n">
        <v>45752</v>
      </c>
      <c r="B151" t="inlineStr">
        <is>
          <t>R02_Sumbagsel</t>
        </is>
      </c>
      <c r="C151" t="inlineStr">
        <is>
          <t>NOP LAMPUNG</t>
        </is>
      </c>
      <c r="D151" s="36" t="n">
        <v>1.25</v>
      </c>
      <c r="E151" s="36" t="n">
        <v>7.53</v>
      </c>
      <c r="F151" s="36" t="n">
        <v>4.41</v>
      </c>
      <c r="G151" s="36" t="n">
        <v>4.6</v>
      </c>
      <c r="H151" s="37" t="n">
        <v>0.4464285714285715</v>
      </c>
      <c r="I151" s="37" t="n">
        <v>0.6896551724137931</v>
      </c>
      <c r="J151" s="37" t="n">
        <v>0.3614457831325301</v>
      </c>
      <c r="K151" s="37" t="n">
        <v>0.6</v>
      </c>
      <c r="L151" s="37" t="n">
        <v>0.6</v>
      </c>
      <c r="M151" s="37" t="n">
        <v>1</v>
      </c>
      <c r="N151" s="37" t="n">
        <v>0.2589285714285715</v>
      </c>
      <c r="O151" s="36" t="n">
        <v>0</v>
      </c>
      <c r="P151" s="36" t="n">
        <v>15.07</v>
      </c>
      <c r="Q151" s="36" t="n">
        <v>9.470000000000001</v>
      </c>
      <c r="R151" s="36" t="n">
        <v>48.61</v>
      </c>
      <c r="S151" s="36" t="n">
        <v>0</v>
      </c>
      <c r="T151" s="37" t="n">
        <v>0.8537414965986394</v>
      </c>
      <c r="U151" s="37" t="n">
        <v>0.7354838709677419</v>
      </c>
      <c r="V151" s="37" t="n">
        <v>0.9255583126550868</v>
      </c>
      <c r="W151" s="37" t="n">
        <v>0.8245614035087719</v>
      </c>
    </row>
    <row r="152">
      <c r="A152" s="53" t="n">
        <v>45752</v>
      </c>
      <c r="B152" t="inlineStr">
        <is>
          <t>R02_Sumbagsel</t>
        </is>
      </c>
      <c r="C152" t="inlineStr">
        <is>
          <t>NOP MUARA ENIM</t>
        </is>
      </c>
      <c r="D152" s="36" t="n">
        <v>2.91</v>
      </c>
      <c r="E152" s="36" t="n">
        <v>4.09</v>
      </c>
      <c r="F152" s="36" t="n">
        <v>3.98</v>
      </c>
      <c r="G152" s="36" t="n">
        <v>5.53</v>
      </c>
      <c r="H152" s="37" t="n">
        <v>0.3566433566433567</v>
      </c>
      <c r="I152" s="37" t="n">
        <v>0.211864406779661</v>
      </c>
      <c r="J152" s="37" t="n">
        <v>0.394273127753304</v>
      </c>
      <c r="K152" s="37" t="n">
        <v>0.6</v>
      </c>
      <c r="L152" s="37" t="n">
        <v>0.6</v>
      </c>
      <c r="M152" s="37" t="n">
        <v>0.972027972027972</v>
      </c>
      <c r="N152" s="37" t="n">
        <v>0.1643356643356643</v>
      </c>
      <c r="O152" s="36" t="n">
        <v>0</v>
      </c>
      <c r="P152" s="36" t="n">
        <v>6</v>
      </c>
      <c r="Q152" s="36" t="n">
        <v>6.9</v>
      </c>
      <c r="R152" s="36" t="n">
        <v>11.68</v>
      </c>
      <c r="S152" s="36" t="n">
        <v>0</v>
      </c>
      <c r="T152" s="37" t="n">
        <v>0.489685124864278</v>
      </c>
      <c r="U152" s="37" t="n">
        <v>0.4934497816593886</v>
      </c>
      <c r="V152" s="37" t="n">
        <v>0.5953079178885631</v>
      </c>
      <c r="W152" s="37" t="n">
        <v>0.8097345132743363</v>
      </c>
    </row>
    <row r="153">
      <c r="A153" s="53" t="n">
        <v>45752</v>
      </c>
      <c r="B153" t="inlineStr">
        <is>
          <t>R02_Sumbagsel</t>
        </is>
      </c>
      <c r="C153" t="inlineStr">
        <is>
          <t>NOP PALEMBANG</t>
        </is>
      </c>
      <c r="D153" s="36" t="n">
        <v>2.39</v>
      </c>
      <c r="E153" s="36" t="n">
        <v>6.91</v>
      </c>
      <c r="F153" s="36" t="n">
        <v>9.41</v>
      </c>
      <c r="G153" s="36" t="n">
        <v>8.42</v>
      </c>
      <c r="H153" s="37" t="n">
        <v>0.2976588628762542</v>
      </c>
      <c r="I153" s="37" t="n">
        <v>0.3253012048192771</v>
      </c>
      <c r="J153" s="37" t="n">
        <v>0.2932038834951456</v>
      </c>
      <c r="K153" s="37" t="n">
        <v>0.5555555555555556</v>
      </c>
      <c r="L153" s="37" t="n">
        <v>0.5555555555555556</v>
      </c>
      <c r="M153" s="37" t="n">
        <v>1</v>
      </c>
      <c r="N153" s="37" t="n">
        <v>0.1722408026755853</v>
      </c>
      <c r="O153" s="36" t="n">
        <v>0</v>
      </c>
      <c r="P153" s="36" t="n">
        <v>5.51</v>
      </c>
      <c r="Q153" s="36" t="n">
        <v>11.13</v>
      </c>
      <c r="R153" s="36" t="n">
        <v>15</v>
      </c>
      <c r="S153" s="36" t="n">
        <v>0</v>
      </c>
      <c r="T153" s="37" t="n">
        <v>0.2528160200250313</v>
      </c>
      <c r="U153" s="37" t="n">
        <v>0.2142857142857143</v>
      </c>
      <c r="V153" s="37" t="n">
        <v>0.4072727272727273</v>
      </c>
      <c r="W153" s="37" t="n">
        <v>0.4555555555555555</v>
      </c>
    </row>
    <row r="154">
      <c r="A154" s="53" t="n">
        <v>45752</v>
      </c>
      <c r="B154" t="inlineStr">
        <is>
          <t>R02_Sumbagsel</t>
        </is>
      </c>
      <c r="C154" t="inlineStr">
        <is>
          <t>NOP PANGKAL PINANG</t>
        </is>
      </c>
      <c r="D154" s="36" t="n">
        <v>0</v>
      </c>
      <c r="E154" s="36" t="n">
        <v>1.39</v>
      </c>
      <c r="F154" s="36" t="n">
        <v>2.47</v>
      </c>
      <c r="G154" s="36" t="n">
        <v>6.82</v>
      </c>
      <c r="H154" s="37" t="n">
        <v>0.5844155844155844</v>
      </c>
      <c r="I154" s="37" t="n">
        <v>1</v>
      </c>
      <c r="J154" s="37" t="n">
        <v>0.5675675675675675</v>
      </c>
      <c r="K154" s="37" t="n">
        <v>0.6666666666666666</v>
      </c>
      <c r="L154" s="37" t="n">
        <v>0.6666666666666666</v>
      </c>
      <c r="M154" s="37" t="n">
        <v>1</v>
      </c>
      <c r="N154" s="37" t="n">
        <v>0.3376623376623377</v>
      </c>
      <c r="O154" s="36" t="n">
        <v>0</v>
      </c>
      <c r="P154" s="36" t="n">
        <v>4.16</v>
      </c>
      <c r="Q154" s="36" t="n">
        <v>8.83</v>
      </c>
      <c r="R154" s="36" t="n">
        <v>7.3</v>
      </c>
      <c r="S154" s="36" t="n">
        <v>0</v>
      </c>
      <c r="T154" s="37" t="n">
        <v>0.7642276422764228</v>
      </c>
      <c r="U154" s="37" t="n">
        <v>0.7403846153846154</v>
      </c>
      <c r="V154" s="37" t="n">
        <v>0.8270676691729323</v>
      </c>
      <c r="W154" s="37" t="n">
        <v>0.6883116883116883</v>
      </c>
    </row>
    <row r="155">
      <c r="A155" s="53" t="n">
        <v>45752</v>
      </c>
      <c r="B155" t="inlineStr">
        <is>
          <t>R05_Jawa Tengah DIY</t>
        </is>
      </c>
      <c r="C155" t="inlineStr">
        <is>
          <t>NOP MAGELANG</t>
        </is>
      </c>
      <c r="D155" s="36" t="n">
        <v>6.59</v>
      </c>
      <c r="E155" s="36" t="n">
        <v>0</v>
      </c>
      <c r="F155" s="36" t="n">
        <v>5.37</v>
      </c>
      <c r="G155" s="36" t="n">
        <v>3.7</v>
      </c>
      <c r="H155" s="37" t="n">
        <v>0.6222222222222222</v>
      </c>
      <c r="I155" s="37" t="n">
        <v>0.9</v>
      </c>
      <c r="J155" s="37" t="n">
        <v>0.5875</v>
      </c>
      <c r="K155" s="37" t="n">
        <v>0.4444444444444444</v>
      </c>
      <c r="L155" s="37" t="n">
        <v>0.4444444444444444</v>
      </c>
      <c r="M155" s="37" t="n">
        <v>1</v>
      </c>
      <c r="N155" s="37" t="n">
        <v>0.5666666666666667</v>
      </c>
      <c r="O155" s="36" t="n">
        <v>0</v>
      </c>
      <c r="P155" s="36" t="n">
        <v>40.65</v>
      </c>
      <c r="Q155" s="36" t="n">
        <v>28.53</v>
      </c>
      <c r="R155" s="36" t="n">
        <v>52.15</v>
      </c>
      <c r="S155" s="36" t="n">
        <v>0</v>
      </c>
      <c r="T155" s="37" t="n">
        <v>0.8647058823529412</v>
      </c>
      <c r="U155" s="37" t="n">
        <v>0.8947368421052632</v>
      </c>
      <c r="V155" s="37" t="n">
        <v>0.8609271523178808</v>
      </c>
      <c r="W155" s="37" t="n">
        <v>0.8823529411764706</v>
      </c>
    </row>
    <row r="156">
      <c r="A156" s="53" t="n">
        <v>45752</v>
      </c>
      <c r="B156" t="inlineStr">
        <is>
          <t>R05_Jawa Tengah DIY</t>
        </is>
      </c>
      <c r="C156" t="inlineStr">
        <is>
          <t>NOP PEKALONGAN</t>
        </is>
      </c>
      <c r="D156" s="36" t="n">
        <v>3.71</v>
      </c>
      <c r="E156" s="36" t="n">
        <v>0</v>
      </c>
      <c r="F156" s="36" t="n">
        <v>2.91</v>
      </c>
      <c r="G156" s="36" t="n">
        <v>2.3</v>
      </c>
      <c r="H156" s="37" t="n">
        <v>0.5540540540540541</v>
      </c>
      <c r="I156" s="37" t="n">
        <v>1</v>
      </c>
      <c r="J156" s="37" t="n">
        <v>0.5074626865671642</v>
      </c>
      <c r="K156" s="37" t="n">
        <v>1</v>
      </c>
      <c r="L156" s="37" t="n">
        <v>1</v>
      </c>
      <c r="M156" s="37" t="n">
        <v>1</v>
      </c>
      <c r="N156" s="37" t="n">
        <v>0.6216216216216216</v>
      </c>
      <c r="O156" s="36" t="n">
        <v>0</v>
      </c>
      <c r="P156" s="36" t="n">
        <v>2.7</v>
      </c>
      <c r="Q156" s="36" t="n">
        <v>5.86</v>
      </c>
      <c r="R156" s="36" t="n">
        <v>62.08</v>
      </c>
      <c r="S156" s="36" t="n">
        <v>0</v>
      </c>
      <c r="T156" s="37" t="n">
        <v>0.868421052631579</v>
      </c>
      <c r="U156" s="37" t="n">
        <v>0.6956521739130435</v>
      </c>
      <c r="V156" s="37" t="n">
        <v>0.9120879120879121</v>
      </c>
      <c r="W156" s="37" t="n">
        <v>0.75</v>
      </c>
    </row>
    <row r="157">
      <c r="A157" s="53" t="n">
        <v>45752</v>
      </c>
      <c r="B157" t="inlineStr">
        <is>
          <t>R05_Jawa Tengah DIY</t>
        </is>
      </c>
      <c r="C157" t="inlineStr">
        <is>
          <t>NOP PURWOKERTO</t>
        </is>
      </c>
      <c r="D157" s="36" t="n">
        <v>1.9</v>
      </c>
      <c r="E157" s="36" t="n">
        <v>0</v>
      </c>
      <c r="F157" s="36" t="n">
        <v>3.32</v>
      </c>
      <c r="G157" s="36" t="n">
        <v>4.37</v>
      </c>
      <c r="H157" s="37" t="n">
        <v>0.8297872340425532</v>
      </c>
      <c r="I157" s="37" t="n">
        <v>0.5454545454545454</v>
      </c>
      <c r="J157" s="37" t="n">
        <v>0.8674698795180723</v>
      </c>
      <c r="K157" s="37" t="n">
        <v>1</v>
      </c>
      <c r="L157" s="37" t="n">
        <v>1</v>
      </c>
      <c r="M157" s="37" t="n">
        <v>0.9468085106382979</v>
      </c>
      <c r="N157" s="37" t="n">
        <v>0.5319148936170213</v>
      </c>
      <c r="O157" s="36" t="n">
        <v>0.15</v>
      </c>
      <c r="P157" s="36" t="n">
        <v>5.5</v>
      </c>
      <c r="Q157" s="36" t="n">
        <v>7.97</v>
      </c>
      <c r="R157" s="36" t="n">
        <v>46.09</v>
      </c>
      <c r="S157" s="36" t="n">
        <v>0</v>
      </c>
      <c r="T157" s="37" t="n">
        <v>0.712</v>
      </c>
      <c r="U157" s="37" t="n">
        <v>0.6923076923076923</v>
      </c>
      <c r="V157" s="37" t="n">
        <v>0.7171717171717171</v>
      </c>
      <c r="W157" s="37" t="n">
        <v>0.6111111111111112</v>
      </c>
    </row>
    <row r="158">
      <c r="A158" s="53" t="n">
        <v>45752</v>
      </c>
      <c r="B158" t="inlineStr">
        <is>
          <t>R05_Jawa Tengah DIY</t>
        </is>
      </c>
      <c r="C158" t="inlineStr">
        <is>
          <t>NOP SEMARANG</t>
        </is>
      </c>
      <c r="D158" s="36" t="n">
        <v>2.26</v>
      </c>
      <c r="E158" s="36" t="n">
        <v>0</v>
      </c>
      <c r="F158" s="36" t="n">
        <v>3.5</v>
      </c>
      <c r="G158" s="36" t="n">
        <v>3.73</v>
      </c>
      <c r="H158" s="37" t="n">
        <v>0.5352112676056338</v>
      </c>
      <c r="I158" s="37" t="n">
        <v>0.8</v>
      </c>
      <c r="J158" s="37" t="n">
        <v>0.5151515151515151</v>
      </c>
      <c r="K158" s="37" t="n">
        <v>1</v>
      </c>
      <c r="L158" s="37" t="n">
        <v>1</v>
      </c>
      <c r="M158" s="37" t="n">
        <v>0.9859154929577465</v>
      </c>
      <c r="N158" s="37" t="n">
        <v>0.3661971830985916</v>
      </c>
      <c r="O158" s="36" t="n">
        <v>0</v>
      </c>
      <c r="P158" s="36" t="n">
        <v>1.58</v>
      </c>
      <c r="Q158" s="36" t="n">
        <v>23.02</v>
      </c>
      <c r="R158" s="36" t="n">
        <v>50.07</v>
      </c>
      <c r="S158" s="36" t="n">
        <v>0</v>
      </c>
      <c r="T158" s="37" t="n">
        <v>0.5454545454545454</v>
      </c>
      <c r="U158" s="37" t="n">
        <v>0.2403846153846154</v>
      </c>
      <c r="V158" s="37" t="n">
        <v>0.8189655172413793</v>
      </c>
      <c r="W158" s="37" t="n">
        <v>0.84</v>
      </c>
    </row>
    <row r="159">
      <c r="A159" s="53" t="n">
        <v>45752</v>
      </c>
      <c r="B159" t="inlineStr">
        <is>
          <t>R05_Jawa Tengah DIY</t>
        </is>
      </c>
      <c r="C159" t="inlineStr">
        <is>
          <t>NOP SURAKARTA</t>
        </is>
      </c>
      <c r="D159" s="36" t="n">
        <v>4.02</v>
      </c>
      <c r="E159" s="36" t="n">
        <v>0</v>
      </c>
      <c r="F159" s="36" t="n">
        <v>2.8</v>
      </c>
      <c r="G159" s="36" t="n">
        <v>5.42</v>
      </c>
      <c r="H159" s="37" t="n">
        <v>0.6030534351145038</v>
      </c>
      <c r="I159" s="37" t="n">
        <v>0.9</v>
      </c>
      <c r="J159" s="37" t="n">
        <v>0.5785123966942148</v>
      </c>
      <c r="K159" s="37" t="n">
        <v>1</v>
      </c>
      <c r="L159" s="37" t="n">
        <v>1</v>
      </c>
      <c r="M159" s="37" t="n">
        <v>0.9923664122137404</v>
      </c>
      <c r="N159" s="37" t="n">
        <v>0.4809160305343512</v>
      </c>
      <c r="O159" s="36" t="n">
        <v>0.12</v>
      </c>
      <c r="P159" s="36" t="n">
        <v>3.38</v>
      </c>
      <c r="Q159" s="36" t="n">
        <v>9.109999999999999</v>
      </c>
      <c r="R159" s="36" t="n">
        <v>124.42</v>
      </c>
      <c r="S159" s="36" t="n">
        <v>0</v>
      </c>
      <c r="T159" s="37" t="n">
        <v>0.8376623376623377</v>
      </c>
      <c r="U159" s="37" t="n">
        <v>0.7454545454545455</v>
      </c>
      <c r="V159" s="37" t="n">
        <v>0.8888888888888888</v>
      </c>
      <c r="W159" s="37" t="n">
        <v>0.8048780487804879</v>
      </c>
    </row>
    <row r="160">
      <c r="A160" s="53" t="n">
        <v>45752</v>
      </c>
      <c r="B160" t="inlineStr">
        <is>
          <t>R05_Jawa Tengah DIY</t>
        </is>
      </c>
      <c r="C160" t="inlineStr">
        <is>
          <t>NOP YOGYAKARTA</t>
        </is>
      </c>
      <c r="D160" s="36" t="n">
        <v>2.52</v>
      </c>
      <c r="E160" s="36" t="n">
        <v>0</v>
      </c>
      <c r="F160" s="36" t="n">
        <v>1.92</v>
      </c>
      <c r="G160" s="36" t="n">
        <v>3.24</v>
      </c>
      <c r="H160" s="37" t="n">
        <v>0.6304347826086957</v>
      </c>
      <c r="I160" s="37" t="n">
        <v>1</v>
      </c>
      <c r="J160" s="37" t="n">
        <v>0.6046511627906976</v>
      </c>
      <c r="K160" s="37" t="n">
        <v>1</v>
      </c>
      <c r="L160" s="37" t="n">
        <v>1</v>
      </c>
      <c r="M160" s="37" t="n">
        <v>1</v>
      </c>
      <c r="N160" s="37" t="n">
        <v>0.5434782608695652</v>
      </c>
      <c r="O160" s="36" t="n">
        <v>0</v>
      </c>
      <c r="P160" s="36" t="n">
        <v>2.6</v>
      </c>
      <c r="Q160" s="36" t="n">
        <v>14.16</v>
      </c>
      <c r="R160" s="36" t="n">
        <v>42.55</v>
      </c>
      <c r="S160" s="36" t="n">
        <v>0</v>
      </c>
      <c r="T160" s="37" t="n">
        <v>0.9082568807339449</v>
      </c>
      <c r="U160" s="37" t="n">
        <v>0.6666666666666666</v>
      </c>
      <c r="V160" s="37" t="n">
        <v>0.93</v>
      </c>
      <c r="W160" s="37" t="n">
        <v>0.9166666666666666</v>
      </c>
    </row>
    <row r="161">
      <c r="A161" s="53" t="n">
        <v>45752</v>
      </c>
      <c r="B161" t="inlineStr">
        <is>
          <t>R06_Jawa Timur</t>
        </is>
      </c>
      <c r="C161" t="inlineStr">
        <is>
          <t>NOP JEMBER</t>
        </is>
      </c>
      <c r="D161" s="36" t="n">
        <v>2.09</v>
      </c>
      <c r="E161" s="36" t="n">
        <v>1.51</v>
      </c>
      <c r="F161" s="36" t="n">
        <v>1.65</v>
      </c>
      <c r="G161" s="36" t="n">
        <v>2.92</v>
      </c>
      <c r="H161" s="37" t="n">
        <v>0.6037735849056604</v>
      </c>
      <c r="I161" s="37" t="n">
        <v>0.5555555555555556</v>
      </c>
      <c r="J161" s="37" t="n">
        <v>0.6136363636363636</v>
      </c>
      <c r="K161" s="37" t="n">
        <v>0.6</v>
      </c>
      <c r="L161" s="37" t="n">
        <v>0.6</v>
      </c>
      <c r="M161" s="37" t="n">
        <v>1</v>
      </c>
      <c r="N161" s="37" t="n">
        <v>0.2641509433962264</v>
      </c>
      <c r="O161" s="36" t="n">
        <v>0</v>
      </c>
      <c r="P161" s="36" t="n">
        <v>2.37</v>
      </c>
      <c r="Q161" s="36" t="n">
        <v>7.59</v>
      </c>
      <c r="R161" s="36" t="n">
        <v>187.67</v>
      </c>
      <c r="S161" s="36" t="n">
        <v>0</v>
      </c>
      <c r="T161" s="37" t="n">
        <v>0.8303571428571429</v>
      </c>
      <c r="U161" s="37" t="n">
        <v>0.8333333333333334</v>
      </c>
      <c r="V161" s="37" t="n">
        <v>0.8295454545454546</v>
      </c>
      <c r="W161" s="37" t="n">
        <v>0.7</v>
      </c>
    </row>
    <row r="162">
      <c r="A162" s="53" t="n">
        <v>45752</v>
      </c>
      <c r="B162" t="inlineStr">
        <is>
          <t>R06_Jawa Timur</t>
        </is>
      </c>
      <c r="C162" t="inlineStr">
        <is>
          <t>NOP KEDIRI</t>
        </is>
      </c>
      <c r="D162" s="36" t="n">
        <v>0</v>
      </c>
      <c r="E162" s="36" t="n">
        <v>0.7</v>
      </c>
      <c r="F162" s="36" t="n">
        <v>1.76</v>
      </c>
      <c r="G162" s="36" t="n">
        <v>1.14</v>
      </c>
      <c r="H162" s="37" t="n">
        <v>0.9148936170212766</v>
      </c>
      <c r="I162" s="37" t="n">
        <v>1</v>
      </c>
      <c r="J162" s="37" t="n">
        <v>0.9111111111111111</v>
      </c>
      <c r="K162" s="37" t="n">
        <v>0.5</v>
      </c>
      <c r="L162" s="37" t="n">
        <v>0.5</v>
      </c>
      <c r="M162" s="37" t="n">
        <v>1</v>
      </c>
      <c r="N162" s="37" t="n">
        <v>0.4680851063829787</v>
      </c>
      <c r="O162" s="36" t="n">
        <v>0</v>
      </c>
      <c r="P162" s="36" t="n">
        <v>2.06</v>
      </c>
      <c r="Q162" s="36" t="n">
        <v>3.64</v>
      </c>
      <c r="R162" s="36" t="n">
        <v>13.72</v>
      </c>
      <c r="S162" s="36" t="n">
        <v>0</v>
      </c>
      <c r="T162" s="37" t="n">
        <v>0.925</v>
      </c>
      <c r="U162" s="37" t="n">
        <v>0.8888888888888888</v>
      </c>
      <c r="V162" s="37" t="n">
        <v>0.9354838709677419</v>
      </c>
      <c r="W162" s="37" t="n">
        <v>0.875</v>
      </c>
    </row>
    <row r="163">
      <c r="A163" s="53" t="n">
        <v>45752</v>
      </c>
      <c r="B163" t="inlineStr">
        <is>
          <t>R06_Jawa Timur</t>
        </is>
      </c>
      <c r="C163" t="inlineStr">
        <is>
          <t>NOP LAMONGAN</t>
        </is>
      </c>
      <c r="D163" s="36" t="n">
        <v>0.97</v>
      </c>
      <c r="E163" s="36" t="n">
        <v>1.01</v>
      </c>
      <c r="F163" s="36" t="n">
        <v>3.22</v>
      </c>
      <c r="G163" s="36" t="n">
        <v>4.15</v>
      </c>
      <c r="H163" s="37" t="n">
        <v>0.8780487804878049</v>
      </c>
      <c r="I163" s="37" t="n">
        <v>1</v>
      </c>
      <c r="J163" s="37" t="n">
        <v>0.8611111111111112</v>
      </c>
      <c r="K163" s="37" t="n">
        <v>0.8</v>
      </c>
      <c r="L163" s="37" t="n">
        <v>0.8</v>
      </c>
      <c r="M163" s="37" t="n">
        <v>1</v>
      </c>
      <c r="N163" s="37" t="n">
        <v>0.7317073170731707</v>
      </c>
      <c r="O163" s="36" t="n">
        <v>0</v>
      </c>
      <c r="P163" s="36" t="n">
        <v>3.02</v>
      </c>
      <c r="Q163" s="36" t="n">
        <v>10.23</v>
      </c>
      <c r="R163" s="36" t="n">
        <v>39.97</v>
      </c>
      <c r="S163" s="36" t="n">
        <v>0</v>
      </c>
      <c r="T163" s="37" t="n">
        <v>0.7777777777777778</v>
      </c>
      <c r="U163" s="37" t="n">
        <v>0.7391304347826086</v>
      </c>
      <c r="V163" s="37" t="n">
        <v>0.8064516129032258</v>
      </c>
      <c r="W163" s="37" t="n">
        <v>0.9411764705882353</v>
      </c>
    </row>
    <row r="164">
      <c r="A164" s="53" t="n">
        <v>45752</v>
      </c>
      <c r="B164" t="inlineStr">
        <is>
          <t>R06_Jawa Timur</t>
        </is>
      </c>
      <c r="C164" t="inlineStr">
        <is>
          <t>NOP MADIUN</t>
        </is>
      </c>
      <c r="D164" s="36" t="n">
        <v>0</v>
      </c>
      <c r="E164" s="36" t="n">
        <v>0</v>
      </c>
      <c r="F164" s="36" t="n">
        <v>3.65</v>
      </c>
      <c r="G164" s="36" t="n">
        <v>2.81</v>
      </c>
      <c r="H164" s="37" t="n">
        <v>0.7</v>
      </c>
      <c r="I164" s="37" t="n">
        <v>0</v>
      </c>
      <c r="J164" s="37" t="n">
        <v>0.7</v>
      </c>
      <c r="K164" s="37" t="n">
        <v>0</v>
      </c>
      <c r="L164" s="37" t="n">
        <v>0</v>
      </c>
      <c r="M164" s="37" t="n">
        <v>1</v>
      </c>
      <c r="N164" s="37" t="n">
        <v>0.45</v>
      </c>
      <c r="O164" s="36" t="n">
        <v>0</v>
      </c>
      <c r="P164" s="36" t="n">
        <v>2.76</v>
      </c>
      <c r="Q164" s="36" t="n">
        <v>14.02</v>
      </c>
      <c r="R164" s="36" t="n">
        <v>27.87</v>
      </c>
      <c r="S164" s="36" t="n">
        <v>0</v>
      </c>
      <c r="T164" s="37" t="n">
        <v>0.6949152542372882</v>
      </c>
      <c r="U164" s="37" t="n">
        <v>0.6470588235294118</v>
      </c>
      <c r="V164" s="37" t="n">
        <v>0.7142857142857143</v>
      </c>
      <c r="W164" s="37" t="n">
        <v>0.8181818181818182</v>
      </c>
    </row>
    <row r="165">
      <c r="A165" s="53" t="n">
        <v>45752</v>
      </c>
      <c r="B165" t="inlineStr">
        <is>
          <t>R06_Jawa Timur</t>
        </is>
      </c>
      <c r="C165" t="inlineStr">
        <is>
          <t>NOP MALANG</t>
        </is>
      </c>
      <c r="D165" s="36" t="n">
        <v>0</v>
      </c>
      <c r="E165" s="36" t="n">
        <v>0</v>
      </c>
      <c r="F165" s="36" t="n">
        <v>2.29</v>
      </c>
      <c r="G165" s="36" t="n">
        <v>2.72</v>
      </c>
      <c r="H165" s="37" t="n">
        <v>0.8571428571428571</v>
      </c>
      <c r="I165" s="37" t="n">
        <v>0</v>
      </c>
      <c r="J165" s="37" t="n">
        <v>0.8571428571428571</v>
      </c>
      <c r="K165" s="37" t="n">
        <v>0</v>
      </c>
      <c r="L165" s="37" t="n">
        <v>0</v>
      </c>
      <c r="M165" s="37" t="n">
        <v>1</v>
      </c>
      <c r="N165" s="37" t="n">
        <v>0.7662337662337663</v>
      </c>
      <c r="O165" s="36" t="n">
        <v>0.02</v>
      </c>
      <c r="P165" s="36" t="n">
        <v>2.99</v>
      </c>
      <c r="Q165" s="36" t="n">
        <v>2.97</v>
      </c>
      <c r="R165" s="36" t="n">
        <v>49.11</v>
      </c>
      <c r="S165" s="36" t="n">
        <v>0</v>
      </c>
      <c r="T165" s="37" t="n">
        <v>0.7692307692307693</v>
      </c>
      <c r="U165" s="37" t="n">
        <v>0.5384615384615384</v>
      </c>
      <c r="V165" s="37" t="n">
        <v>0.8846153846153846</v>
      </c>
      <c r="W165" s="37" t="n">
        <v>0.4285714285714285</v>
      </c>
    </row>
    <row r="166">
      <c r="A166" s="53" t="n">
        <v>45752</v>
      </c>
      <c r="B166" t="inlineStr">
        <is>
          <t>R06_Jawa Timur</t>
        </is>
      </c>
      <c r="C166" t="inlineStr">
        <is>
          <t>NOP SIDOARJO</t>
        </is>
      </c>
      <c r="D166" s="36" t="n">
        <v>4.15</v>
      </c>
      <c r="E166" s="36" t="n">
        <v>0</v>
      </c>
      <c r="F166" s="36" t="n">
        <v>4.21</v>
      </c>
      <c r="G166" s="36" t="n">
        <v>2.81</v>
      </c>
      <c r="H166" s="37" t="n">
        <v>0.8125</v>
      </c>
      <c r="I166" s="37" t="n">
        <v>1</v>
      </c>
      <c r="J166" s="37" t="n">
        <v>0.7804878048780488</v>
      </c>
      <c r="K166" s="37" t="n">
        <v>0.8571428571428571</v>
      </c>
      <c r="L166" s="37" t="n">
        <v>0.8571428571428571</v>
      </c>
      <c r="M166" s="37" t="n">
        <v>1</v>
      </c>
      <c r="N166" s="37" t="n">
        <v>0.5625</v>
      </c>
      <c r="O166" s="36" t="n">
        <v>0</v>
      </c>
      <c r="P166" s="36" t="n">
        <v>150.87</v>
      </c>
      <c r="Q166" s="36" t="n">
        <v>10.89</v>
      </c>
      <c r="R166" s="36" t="n">
        <v>97.34999999999999</v>
      </c>
      <c r="S166" s="36" t="n">
        <v>0</v>
      </c>
      <c r="T166" s="37" t="n">
        <v>0.726027397260274</v>
      </c>
      <c r="U166" s="37" t="n">
        <v>0.4166666666666667</v>
      </c>
      <c r="V166" s="37" t="n">
        <v>0.7868852459016393</v>
      </c>
      <c r="W166" s="37" t="n">
        <v>0.6</v>
      </c>
    </row>
    <row r="167">
      <c r="A167" s="53" t="n">
        <v>45752</v>
      </c>
      <c r="B167" t="inlineStr">
        <is>
          <t>R06_Jawa Timur</t>
        </is>
      </c>
      <c r="C167" t="inlineStr">
        <is>
          <t>NOP SURABAYA</t>
        </is>
      </c>
      <c r="D167" s="36" t="n">
        <v>3.85</v>
      </c>
      <c r="E167" s="36" t="n">
        <v>0</v>
      </c>
      <c r="F167" s="36" t="n">
        <v>6.6</v>
      </c>
      <c r="G167" s="36" t="n">
        <v>2.75</v>
      </c>
      <c r="H167" s="37" t="n">
        <v>0.5227272727272727</v>
      </c>
      <c r="I167" s="37" t="n">
        <v>0.1818181818181818</v>
      </c>
      <c r="J167" s="37" t="n">
        <v>0.5714285714285714</v>
      </c>
      <c r="K167" s="37" t="n">
        <v>1</v>
      </c>
      <c r="L167" s="37" t="n">
        <v>1</v>
      </c>
      <c r="M167" s="37" t="n">
        <v>0.9659090909090909</v>
      </c>
      <c r="N167" s="37" t="n">
        <v>0.3636363636363636</v>
      </c>
      <c r="O167" s="36" t="n">
        <v>0.04</v>
      </c>
      <c r="P167" s="36" t="n">
        <v>1.65</v>
      </c>
      <c r="Q167" s="36" t="n">
        <v>8.039999999999999</v>
      </c>
      <c r="R167" s="36" t="n">
        <v>25.9</v>
      </c>
      <c r="S167" s="36" t="n">
        <v>0</v>
      </c>
      <c r="T167" s="37" t="n">
        <v>0.5810055865921788</v>
      </c>
      <c r="U167" s="37" t="n">
        <v>0.3214285714285715</v>
      </c>
      <c r="V167" s="37" t="n">
        <v>0.6291390728476821</v>
      </c>
      <c r="W167" s="37" t="n">
        <v>0.4444444444444444</v>
      </c>
    </row>
    <row r="168">
      <c r="A168" s="53" t="n">
        <v>45752</v>
      </c>
      <c r="B168" t="inlineStr">
        <is>
          <t>R07_Bali Nusra</t>
        </is>
      </c>
      <c r="C168" t="inlineStr">
        <is>
          <t>NOP DENPASAR</t>
        </is>
      </c>
      <c r="D168" s="36" t="n">
        <v>1.81</v>
      </c>
      <c r="E168" s="36" t="n">
        <v>0</v>
      </c>
      <c r="F168" s="36" t="n">
        <v>3.04</v>
      </c>
      <c r="G168" s="36" t="n">
        <v>3.11</v>
      </c>
      <c r="H168" s="37" t="n">
        <v>0.9565217391304348</v>
      </c>
      <c r="I168" s="37" t="n">
        <v>0.9090909090909091</v>
      </c>
      <c r="J168" s="37" t="n">
        <v>0.9714285714285714</v>
      </c>
      <c r="K168" s="37" t="n">
        <v>1</v>
      </c>
      <c r="L168" s="37" t="n">
        <v>1</v>
      </c>
      <c r="M168" s="37" t="n">
        <v>0.9782608695652174</v>
      </c>
      <c r="N168" s="37" t="n">
        <v>0.9347826086956522</v>
      </c>
      <c r="O168" s="36" t="n">
        <v>0</v>
      </c>
      <c r="P168" s="36" t="n">
        <v>210.16</v>
      </c>
      <c r="Q168" s="36" t="n">
        <v>40.36</v>
      </c>
      <c r="R168" s="36" t="n">
        <v>89.86</v>
      </c>
      <c r="S168" s="36" t="n">
        <v>0</v>
      </c>
      <c r="T168" s="37" t="n">
        <v>0.8720930232558139</v>
      </c>
      <c r="U168" s="37" t="n">
        <v>0.7692307692307693</v>
      </c>
      <c r="V168" s="37" t="n">
        <v>0.9166666666666666</v>
      </c>
      <c r="W168" s="37" t="n">
        <v>0.4</v>
      </c>
    </row>
    <row r="169">
      <c r="A169" s="53" t="n">
        <v>45752</v>
      </c>
      <c r="B169" t="inlineStr">
        <is>
          <t>R07_Bali Nusra</t>
        </is>
      </c>
      <c r="C169" t="inlineStr">
        <is>
          <t>NOP FLORES</t>
        </is>
      </c>
      <c r="D169" s="36" t="n">
        <v>3.76</v>
      </c>
      <c r="E169" s="36" t="n">
        <v>4.83</v>
      </c>
      <c r="F169" s="36" t="n">
        <v>8.67</v>
      </c>
      <c r="G169" s="36" t="n">
        <v>8.1</v>
      </c>
      <c r="H169" s="37" t="n">
        <v>0.3460207612456747</v>
      </c>
      <c r="I169" s="37" t="n">
        <v>0.4426229508196721</v>
      </c>
      <c r="J169" s="37" t="n">
        <v>0.3201754385964912</v>
      </c>
      <c r="K169" s="37" t="n">
        <v>0.5555555555555556</v>
      </c>
      <c r="L169" s="37" t="n">
        <v>0.5555555555555556</v>
      </c>
      <c r="M169" s="37" t="n">
        <v>0.986159169550173</v>
      </c>
      <c r="N169" s="37" t="n">
        <v>0.1972318339100346</v>
      </c>
      <c r="O169" s="36" t="n">
        <v>0.17</v>
      </c>
      <c r="P169" s="36" t="n">
        <v>17.19</v>
      </c>
      <c r="Q169" s="36" t="n">
        <v>9.57</v>
      </c>
      <c r="R169" s="36" t="n">
        <v>43.65</v>
      </c>
      <c r="S169" s="36" t="n">
        <v>0</v>
      </c>
      <c r="T169" s="37" t="n">
        <v>0.4072580645161291</v>
      </c>
      <c r="U169" s="37" t="n">
        <v>0.4613095238095238</v>
      </c>
      <c r="V169" s="37" t="n">
        <v>0.29375</v>
      </c>
      <c r="W169" s="37" t="n">
        <v>0.6451612903225806</v>
      </c>
    </row>
    <row r="170">
      <c r="A170" s="53" t="n">
        <v>45752</v>
      </c>
      <c r="B170" t="inlineStr">
        <is>
          <t>R07_Bali Nusra</t>
        </is>
      </c>
      <c r="C170" t="inlineStr">
        <is>
          <t>NOP KUPANG</t>
        </is>
      </c>
      <c r="D170" s="36" t="n">
        <v>0.8100000000000001</v>
      </c>
      <c r="E170" s="36" t="n">
        <v>3.34</v>
      </c>
      <c r="F170" s="36" t="n">
        <v>3.96</v>
      </c>
      <c r="G170" s="36" t="n">
        <v>5</v>
      </c>
      <c r="H170" s="37" t="n">
        <v>0.4413793103448276</v>
      </c>
      <c r="I170" s="37" t="n">
        <v>0.5294117647058824</v>
      </c>
      <c r="J170" s="37" t="n">
        <v>0.4296875</v>
      </c>
      <c r="K170" s="37" t="n">
        <v>0.5555555555555556</v>
      </c>
      <c r="L170" s="37" t="n">
        <v>0.5555555555555556</v>
      </c>
      <c r="M170" s="37" t="n">
        <v>0.9931034482758621</v>
      </c>
      <c r="N170" s="37" t="n">
        <v>0.1931034482758621</v>
      </c>
      <c r="O170" s="36" t="n">
        <v>0.01</v>
      </c>
      <c r="P170" s="36" t="n">
        <v>22.97</v>
      </c>
      <c r="Q170" s="36" t="n">
        <v>42.13</v>
      </c>
      <c r="R170" s="36" t="n">
        <v>119.48</v>
      </c>
      <c r="S170" s="36" t="n">
        <v>0</v>
      </c>
      <c r="T170" s="37" t="n">
        <v>0.5902439024390244</v>
      </c>
      <c r="U170" s="37" t="n">
        <v>0.6587301587301587</v>
      </c>
      <c r="V170" s="37" t="n">
        <v>0.4810126582278481</v>
      </c>
      <c r="W170" s="37" t="n">
        <v>0.6265060240963856</v>
      </c>
    </row>
    <row r="171">
      <c r="A171" s="53" t="n">
        <v>45752</v>
      </c>
      <c r="B171" t="inlineStr">
        <is>
          <t>R07_Bali Nusra</t>
        </is>
      </c>
      <c r="C171" t="inlineStr">
        <is>
          <t>NOP MATARAM</t>
        </is>
      </c>
      <c r="D171" s="36" t="n">
        <v>3.45</v>
      </c>
      <c r="E171" s="36" t="n">
        <v>6.25</v>
      </c>
      <c r="F171" s="36" t="n">
        <v>2.48</v>
      </c>
      <c r="G171" s="36" t="n">
        <v>10.66</v>
      </c>
      <c r="H171" s="37" t="n">
        <v>0.4736842105263158</v>
      </c>
      <c r="I171" s="37" t="n">
        <v>0.75</v>
      </c>
      <c r="J171" s="37" t="n">
        <v>0.4285714285714285</v>
      </c>
      <c r="K171" s="37" t="n">
        <v>0.6666666666666666</v>
      </c>
      <c r="L171" s="37" t="n">
        <v>0.6666666666666666</v>
      </c>
      <c r="M171" s="37" t="n">
        <v>1</v>
      </c>
      <c r="N171" s="37" t="n">
        <v>0.2807017543859649</v>
      </c>
      <c r="O171" s="36" t="n">
        <v>0</v>
      </c>
      <c r="P171" s="36" t="n">
        <v>39.48</v>
      </c>
      <c r="Q171" s="36" t="n">
        <v>8.710000000000001</v>
      </c>
      <c r="R171" s="36" t="n">
        <v>21.83</v>
      </c>
      <c r="S171" s="36" t="n">
        <v>0</v>
      </c>
      <c r="T171" s="37" t="n">
        <v>0.2844827586206897</v>
      </c>
      <c r="U171" s="37" t="n">
        <v>0.2844036697247707</v>
      </c>
      <c r="V171" s="37" t="n">
        <v>0.2845528455284553</v>
      </c>
      <c r="W171" s="37" t="n">
        <v>0.7096774193548387</v>
      </c>
    </row>
    <row r="172">
      <c r="A172" s="53" t="n">
        <v>45753</v>
      </c>
      <c r="B172" t="inlineStr">
        <is>
          <t>R01_Sumbagut</t>
        </is>
      </c>
      <c r="C172" t="inlineStr">
        <is>
          <t>NOP ACEH</t>
        </is>
      </c>
      <c r="D172" s="36" t="n">
        <v>2.15</v>
      </c>
      <c r="E172" s="36" t="n">
        <v>4.31</v>
      </c>
      <c r="F172" s="36" t="n">
        <v>11.28</v>
      </c>
      <c r="G172" s="36" t="n">
        <v>7.57</v>
      </c>
      <c r="H172" s="37" t="n">
        <v>0.845</v>
      </c>
      <c r="I172" s="37" t="n">
        <v>0.8866995073891626</v>
      </c>
      <c r="J172" s="37" t="n">
        <v>0.8236775818639799</v>
      </c>
      <c r="K172" s="37" t="n">
        <v>0.3777777777777778</v>
      </c>
      <c r="L172" s="37" t="n">
        <v>0.3798882681564246</v>
      </c>
      <c r="M172" s="37" t="n">
        <v>1</v>
      </c>
      <c r="N172" s="37" t="n">
        <v>0.2883333333333333</v>
      </c>
      <c r="O172" s="36" t="n">
        <v>0.04</v>
      </c>
      <c r="P172" s="36" t="n">
        <v>4.5</v>
      </c>
      <c r="Q172" s="36" t="n">
        <v>56.05</v>
      </c>
      <c r="R172" s="36" t="n">
        <v>115.62</v>
      </c>
      <c r="S172" s="36" t="n">
        <v>0</v>
      </c>
      <c r="T172" s="37" t="n">
        <v>0.8802228412256268</v>
      </c>
      <c r="U172" s="37" t="n">
        <v>0.7787234042553192</v>
      </c>
      <c r="V172" s="37" t="n">
        <v>0.8926524231370505</v>
      </c>
      <c r="W172" s="37" t="n">
        <v>0.185792349726776</v>
      </c>
    </row>
    <row r="173">
      <c r="A173" s="53" t="n">
        <v>45753</v>
      </c>
      <c r="B173" t="inlineStr">
        <is>
          <t>R01_Sumbagut</t>
        </is>
      </c>
      <c r="C173" t="inlineStr">
        <is>
          <t>NOP BINJAI</t>
        </is>
      </c>
      <c r="D173" s="36" t="n">
        <v>0</v>
      </c>
      <c r="E173" s="36" t="n">
        <v>5.5</v>
      </c>
      <c r="F173" s="36" t="n">
        <v>3.35</v>
      </c>
      <c r="G173" s="36" t="n">
        <v>5.51</v>
      </c>
      <c r="H173" s="37" t="n">
        <v>0.5462555066079295</v>
      </c>
      <c r="I173" s="37" t="n">
        <v>0.725</v>
      </c>
      <c r="J173" s="37" t="n">
        <v>0.5080213903743316</v>
      </c>
      <c r="K173" s="37" t="n">
        <v>0.5172413793103449</v>
      </c>
      <c r="L173" s="37" t="n">
        <v>0.5172413793103449</v>
      </c>
      <c r="M173" s="37" t="n">
        <v>1</v>
      </c>
      <c r="N173" s="37" t="n">
        <v>0.3083700440528634</v>
      </c>
      <c r="O173" s="36" t="n">
        <v>0</v>
      </c>
      <c r="P173" s="36" t="n">
        <v>3.06</v>
      </c>
      <c r="Q173" s="36" t="n">
        <v>27.57</v>
      </c>
      <c r="R173" s="36" t="n">
        <v>68.39</v>
      </c>
      <c r="S173" s="36" t="n">
        <v>0</v>
      </c>
      <c r="T173" s="37" t="n">
        <v>0.5823529411764706</v>
      </c>
      <c r="U173" s="37" t="n">
        <v>0.5752212389380531</v>
      </c>
      <c r="V173" s="37" t="n">
        <v>0.5774278215223098</v>
      </c>
      <c r="W173" s="37" t="n">
        <v>0.4307692307692308</v>
      </c>
    </row>
    <row r="174">
      <c r="A174" s="53" t="n">
        <v>45753</v>
      </c>
      <c r="B174" t="inlineStr">
        <is>
          <t>R01_Sumbagut</t>
        </is>
      </c>
      <c r="C174" t="inlineStr">
        <is>
          <t>NOP MEDAN</t>
        </is>
      </c>
      <c r="D174" s="36" t="n">
        <v>0</v>
      </c>
      <c r="E174" s="36" t="n">
        <v>4.24</v>
      </c>
      <c r="F174" s="36" t="n">
        <v>3.16</v>
      </c>
      <c r="G174" s="36" t="n">
        <v>3.04</v>
      </c>
      <c r="H174" s="37" t="n">
        <v>0.3178807947019868</v>
      </c>
      <c r="I174" s="37" t="n">
        <v>0.5333333333333333</v>
      </c>
      <c r="J174" s="37" t="n">
        <v>0.2644628099173554</v>
      </c>
      <c r="K174" s="37" t="n">
        <v>0.9375</v>
      </c>
      <c r="L174" s="37" t="n">
        <v>0.9375</v>
      </c>
      <c r="M174" s="37" t="n">
        <v>1</v>
      </c>
      <c r="N174" s="37" t="n">
        <v>0.1986754966887417</v>
      </c>
      <c r="O174" s="36" t="n">
        <v>0</v>
      </c>
      <c r="P174" s="36" t="n">
        <v>3.15</v>
      </c>
      <c r="Q174" s="36" t="n">
        <v>17.74</v>
      </c>
      <c r="R174" s="36" t="n">
        <v>7.15</v>
      </c>
      <c r="S174" s="36" t="n">
        <v>0</v>
      </c>
      <c r="T174" s="37" t="n">
        <v>0.2598870056497175</v>
      </c>
      <c r="U174" s="37" t="n">
        <v>0.196078431372549</v>
      </c>
      <c r="V174" s="37" t="n">
        <v>0.2950819672131147</v>
      </c>
      <c r="W174" s="37" t="n">
        <v>1</v>
      </c>
    </row>
    <row r="175">
      <c r="A175" s="53" t="n">
        <v>45753</v>
      </c>
      <c r="B175" t="inlineStr">
        <is>
          <t>R01_Sumbagut</t>
        </is>
      </c>
      <c r="C175" t="inlineStr">
        <is>
          <t>NOP PADANG SIDEMPUAN</t>
        </is>
      </c>
      <c r="D175" s="36" t="n">
        <v>0.84</v>
      </c>
      <c r="E175" s="36" t="n">
        <v>3.59</v>
      </c>
      <c r="F175" s="36" t="n">
        <v>4.17</v>
      </c>
      <c r="G175" s="36" t="n">
        <v>5.28</v>
      </c>
      <c r="H175" s="37" t="n">
        <v>0.3125</v>
      </c>
      <c r="I175" s="37" t="n">
        <v>0.5384615384615384</v>
      </c>
      <c r="J175" s="37" t="n">
        <v>0.2828282828282828</v>
      </c>
      <c r="K175" s="37" t="n">
        <v>0.4642857142857143</v>
      </c>
      <c r="L175" s="37" t="n">
        <v>0.4642857142857143</v>
      </c>
      <c r="M175" s="37" t="n">
        <v>0.9933035714285714</v>
      </c>
      <c r="N175" s="37" t="n">
        <v>0.1272321428571428</v>
      </c>
      <c r="O175" s="36" t="n">
        <v>0.01</v>
      </c>
      <c r="P175" s="36" t="n">
        <v>2.06</v>
      </c>
      <c r="Q175" s="36" t="n">
        <v>14.19</v>
      </c>
      <c r="R175" s="36" t="n">
        <v>72</v>
      </c>
      <c r="S175" s="36" t="n">
        <v>0</v>
      </c>
      <c r="T175" s="37" t="n">
        <v>0.2572327044025157</v>
      </c>
      <c r="U175" s="37" t="n">
        <v>0.4347826086956522</v>
      </c>
      <c r="V175" s="37" t="n">
        <v>0.1989966555183947</v>
      </c>
      <c r="W175" s="37" t="n">
        <v>0.4823529411764706</v>
      </c>
    </row>
    <row r="176">
      <c r="A176" s="53" t="n">
        <v>45753</v>
      </c>
      <c r="B176" t="inlineStr">
        <is>
          <t>R01_Sumbagut</t>
        </is>
      </c>
      <c r="C176" t="inlineStr">
        <is>
          <t>NOP PEMATANG SIANTAR</t>
        </is>
      </c>
      <c r="D176" s="36" t="n">
        <v>1</v>
      </c>
      <c r="E176" s="36" t="n">
        <v>5.21</v>
      </c>
      <c r="F176" s="36" t="n">
        <v>4.55</v>
      </c>
      <c r="G176" s="36" t="n">
        <v>4.16</v>
      </c>
      <c r="H176" s="37" t="n">
        <v>0.3490566037735849</v>
      </c>
      <c r="I176" s="37" t="n">
        <v>0.3283582089552239</v>
      </c>
      <c r="J176" s="37" t="n">
        <v>0.3560606060606061</v>
      </c>
      <c r="K176" s="37" t="n">
        <v>0.7272727272727273</v>
      </c>
      <c r="L176" s="37" t="n">
        <v>0.7272727272727273</v>
      </c>
      <c r="M176" s="37" t="n">
        <v>0.9981132075471698</v>
      </c>
      <c r="N176" s="37" t="n">
        <v>0.1735849056603773</v>
      </c>
      <c r="O176" s="36" t="n">
        <v>0.01</v>
      </c>
      <c r="P176" s="36" t="n">
        <v>3.38</v>
      </c>
      <c r="Q176" s="36" t="n">
        <v>72.23</v>
      </c>
      <c r="R176" s="36" t="n">
        <v>49.22</v>
      </c>
      <c r="S176" s="36" t="n">
        <v>0</v>
      </c>
      <c r="T176" s="37" t="n">
        <v>0.09711388455538221</v>
      </c>
      <c r="U176" s="37" t="n">
        <v>0.2962962962962963</v>
      </c>
      <c r="V176" s="37" t="n">
        <v>0.07214691735898557</v>
      </c>
      <c r="W176" s="37" t="n">
        <v>0.8875</v>
      </c>
    </row>
    <row r="177">
      <c r="A177" s="53" t="n">
        <v>45753</v>
      </c>
      <c r="B177" t="inlineStr">
        <is>
          <t>R01_Sumbagut</t>
        </is>
      </c>
      <c r="C177" t="inlineStr">
        <is>
          <t>NOP RANTAU PRAPAT</t>
        </is>
      </c>
      <c r="D177" s="36" t="n">
        <v>4.6</v>
      </c>
      <c r="E177" s="36" t="n">
        <v>8.51</v>
      </c>
      <c r="F177" s="36" t="n">
        <v>6.48</v>
      </c>
      <c r="G177" s="36" t="n">
        <v>6.53</v>
      </c>
      <c r="H177" s="37" t="n">
        <v>0.25</v>
      </c>
      <c r="I177" s="37" t="n">
        <v>0.244</v>
      </c>
      <c r="J177" s="37" t="n">
        <v>0.2518610421836228</v>
      </c>
      <c r="K177" s="37" t="n">
        <v>0.5409836065573771</v>
      </c>
      <c r="L177" s="37" t="n">
        <v>0.5409836065573771</v>
      </c>
      <c r="M177" s="37" t="n">
        <v>0.9839015151515151</v>
      </c>
      <c r="N177" s="37" t="n">
        <v>0.1420454545454546</v>
      </c>
      <c r="O177" s="36" t="n">
        <v>0</v>
      </c>
      <c r="P177" s="36" t="n">
        <v>4.33</v>
      </c>
      <c r="Q177" s="36" t="n">
        <v>25.58</v>
      </c>
      <c r="R177" s="36" t="n">
        <v>24.1</v>
      </c>
      <c r="S177" s="36" t="n">
        <v>0</v>
      </c>
      <c r="T177" s="37" t="n">
        <v>0.05582206716092455</v>
      </c>
      <c r="U177" s="37" t="n">
        <v>0.1237458193979933</v>
      </c>
      <c r="V177" s="37" t="n">
        <v>0.04133064516129032</v>
      </c>
      <c r="W177" s="37" t="n">
        <v>0.6756756756756757</v>
      </c>
    </row>
    <row r="178">
      <c r="A178" s="53" t="n">
        <v>45753</v>
      </c>
      <c r="B178" t="inlineStr">
        <is>
          <t>R10_Sumbagteng</t>
        </is>
      </c>
      <c r="C178" t="inlineStr">
        <is>
          <t>NOP BATAM</t>
        </is>
      </c>
      <c r="D178" s="36" t="n">
        <v>1.8</v>
      </c>
      <c r="E178" s="36" t="n">
        <v>6.48</v>
      </c>
      <c r="F178" s="36" t="n">
        <v>5.85</v>
      </c>
      <c r="G178" s="36" t="n">
        <v>7.37</v>
      </c>
      <c r="H178" s="37" t="n">
        <v>0.2203147353361946</v>
      </c>
      <c r="I178" s="37" t="n">
        <v>0.2032520325203252</v>
      </c>
      <c r="J178" s="37" t="n">
        <v>0.2239583333333333</v>
      </c>
      <c r="K178" s="37" t="n">
        <v>0.72</v>
      </c>
      <c r="L178" s="37" t="n">
        <v>0.72</v>
      </c>
      <c r="M178" s="37" t="n">
        <v>0.9914163090128756</v>
      </c>
      <c r="N178" s="37" t="n">
        <v>0.1201716738197425</v>
      </c>
      <c r="O178" s="36" t="n">
        <v>0</v>
      </c>
      <c r="P178" s="36" t="n">
        <v>9.109999999999999</v>
      </c>
      <c r="Q178" s="36" t="n">
        <v>36.98</v>
      </c>
      <c r="R178" s="36" t="n">
        <v>29.33</v>
      </c>
      <c r="S178" s="36" t="n">
        <v>0</v>
      </c>
      <c r="T178" s="37" t="n">
        <v>0.09239130434782608</v>
      </c>
      <c r="U178" s="37" t="n">
        <v>0.1782477341389728</v>
      </c>
      <c r="V178" s="37" t="n">
        <v>0.07370517928286853</v>
      </c>
      <c r="W178" s="37" t="n">
        <v>0.864406779661017</v>
      </c>
    </row>
    <row r="179">
      <c r="A179" s="53" t="n">
        <v>45753</v>
      </c>
      <c r="B179" t="inlineStr">
        <is>
          <t>R10_Sumbagteng</t>
        </is>
      </c>
      <c r="C179" t="inlineStr">
        <is>
          <t>NOP BUKITTINGGI</t>
        </is>
      </c>
      <c r="D179" s="36" t="n">
        <v>1.15</v>
      </c>
      <c r="E179" s="36" t="n">
        <v>7.36</v>
      </c>
      <c r="F179" s="36" t="n">
        <v>3.34</v>
      </c>
      <c r="G179" s="36" t="n">
        <v>4.84</v>
      </c>
      <c r="H179" s="37" t="n">
        <v>0.7176470588235294</v>
      </c>
      <c r="I179" s="37" t="n">
        <v>0.7884615384615384</v>
      </c>
      <c r="J179" s="37" t="n">
        <v>0.6995073891625616</v>
      </c>
      <c r="K179" s="37" t="n">
        <v>0.6585365853658537</v>
      </c>
      <c r="L179" s="37" t="n">
        <v>0.6585365853658537</v>
      </c>
      <c r="M179" s="37" t="n">
        <v>0.9921568627450981</v>
      </c>
      <c r="N179" s="37" t="n">
        <v>0.4</v>
      </c>
      <c r="O179" s="36" t="n">
        <v>0</v>
      </c>
      <c r="P179" s="36" t="n">
        <v>4.26</v>
      </c>
      <c r="Q179" s="36" t="n">
        <v>7.55</v>
      </c>
      <c r="R179" s="36" t="n">
        <v>151.8</v>
      </c>
      <c r="S179" s="36" t="n">
        <v>0</v>
      </c>
      <c r="T179" s="37" t="n">
        <v>0.3084905660377358</v>
      </c>
      <c r="U179" s="37" t="n">
        <v>0.7727272727272727</v>
      </c>
      <c r="V179" s="37" t="n">
        <v>0.265979381443299</v>
      </c>
      <c r="W179" s="37" t="n">
        <v>0.6029411764705882</v>
      </c>
    </row>
    <row r="180">
      <c r="A180" s="53" t="n">
        <v>45753</v>
      </c>
      <c r="B180" t="inlineStr">
        <is>
          <t>R10_Sumbagteng</t>
        </is>
      </c>
      <c r="C180" t="inlineStr">
        <is>
          <t>NOP DUMAI</t>
        </is>
      </c>
      <c r="D180" s="36" t="n">
        <v>7.62</v>
      </c>
      <c r="E180" s="36" t="n">
        <v>7.51</v>
      </c>
      <c r="F180" s="36" t="n">
        <v>6.49</v>
      </c>
      <c r="G180" s="36" t="n">
        <v>6.41</v>
      </c>
      <c r="H180" s="37" t="n">
        <v>0.4098360655737705</v>
      </c>
      <c r="I180" s="37" t="n">
        <v>0.4713375796178344</v>
      </c>
      <c r="J180" s="37" t="n">
        <v>0.3898655635987591</v>
      </c>
      <c r="K180" s="37" t="n">
        <v>0.6959459459459459</v>
      </c>
      <c r="L180" s="37" t="n">
        <v>0.7426470588235294</v>
      </c>
      <c r="M180" s="37" t="n">
        <v>0.9648711943793911</v>
      </c>
      <c r="N180" s="37" t="n">
        <v>0.2271662763466042</v>
      </c>
      <c r="O180" s="36" t="n">
        <v>0.27</v>
      </c>
      <c r="P180" s="36" t="n">
        <v>6.63</v>
      </c>
      <c r="Q180" s="36" t="n">
        <v>49.46</v>
      </c>
      <c r="R180" s="36" t="n">
        <v>130.96</v>
      </c>
      <c r="S180" s="36" t="n">
        <v>0</v>
      </c>
      <c r="T180" s="37" t="n">
        <v>0.2382534409112482</v>
      </c>
      <c r="U180" s="37" t="n">
        <v>0.2559139784946237</v>
      </c>
      <c r="V180" s="37" t="n">
        <v>0.2328009828009828</v>
      </c>
      <c r="W180" s="37" t="n">
        <v>0.907563025210084</v>
      </c>
    </row>
    <row r="181">
      <c r="A181" s="53" t="n">
        <v>45753</v>
      </c>
      <c r="B181" t="inlineStr">
        <is>
          <t>R10_Sumbagteng</t>
        </is>
      </c>
      <c r="C181" t="inlineStr">
        <is>
          <t>NOP PADANG</t>
        </is>
      </c>
      <c r="D181" s="36" t="n">
        <v>0</v>
      </c>
      <c r="E181" s="36" t="n">
        <v>3.24</v>
      </c>
      <c r="F181" s="36" t="n">
        <v>5.47</v>
      </c>
      <c r="G181" s="36" t="n">
        <v>7.57</v>
      </c>
      <c r="H181" s="37" t="n">
        <v>0.6983050847457627</v>
      </c>
      <c r="I181" s="37" t="n">
        <v>0.5588235294117647</v>
      </c>
      <c r="J181" s="37" t="n">
        <v>0.7164750957854407</v>
      </c>
      <c r="K181" s="37" t="n">
        <v>0.3684210526315789</v>
      </c>
      <c r="L181" s="37" t="n">
        <v>0.3684210526315789</v>
      </c>
      <c r="M181" s="37" t="n">
        <v>0.9932203389830508</v>
      </c>
      <c r="N181" s="37" t="n">
        <v>0.2813559322033898</v>
      </c>
      <c r="O181" s="36" t="n">
        <v>0</v>
      </c>
      <c r="P181" s="36" t="n">
        <v>6.85</v>
      </c>
      <c r="Q181" s="36" t="n">
        <v>50.65</v>
      </c>
      <c r="R181" s="36" t="n">
        <v>50.76</v>
      </c>
      <c r="S181" s="36" t="n">
        <v>0</v>
      </c>
      <c r="T181" s="37" t="n">
        <v>0.6578266494178525</v>
      </c>
      <c r="U181" s="37" t="n">
        <v>0.5771144278606966</v>
      </c>
      <c r="V181" s="37" t="n">
        <v>0.669150521609538</v>
      </c>
      <c r="W181" s="37" t="n">
        <v>0.5172413793103449</v>
      </c>
    </row>
    <row r="182">
      <c r="A182" s="53" t="n">
        <v>45753</v>
      </c>
      <c r="B182" t="inlineStr">
        <is>
          <t>R10_Sumbagteng</t>
        </is>
      </c>
      <c r="C182" t="inlineStr">
        <is>
          <t>NOP PEKANBARU</t>
        </is>
      </c>
      <c r="D182" s="36" t="n">
        <v>9.039999999999999</v>
      </c>
      <c r="E182" s="36" t="n">
        <v>5.72</v>
      </c>
      <c r="F182" s="36" t="n">
        <v>5.96</v>
      </c>
      <c r="G182" s="36" t="n">
        <v>6.61</v>
      </c>
      <c r="H182" s="37" t="n">
        <v>0.366064414768264</v>
      </c>
      <c r="I182" s="37" t="n">
        <v>0.5245098039215687</v>
      </c>
      <c r="J182" s="37" t="n">
        <v>0.3358278765201123</v>
      </c>
      <c r="K182" s="37" t="n">
        <v>0.7102803738317757</v>
      </c>
      <c r="L182" s="37" t="n">
        <v>0.7281553398058253</v>
      </c>
      <c r="M182" s="37" t="n">
        <v>0.99057344854674</v>
      </c>
      <c r="N182" s="37" t="n">
        <v>0.1846032992930086</v>
      </c>
      <c r="O182" s="36" t="n">
        <v>0.02</v>
      </c>
      <c r="P182" s="36" t="n">
        <v>3.24</v>
      </c>
      <c r="Q182" s="36" t="n">
        <v>45.66</v>
      </c>
      <c r="R182" s="36" t="n">
        <v>74.18000000000001</v>
      </c>
      <c r="S182" s="36" t="n">
        <v>0</v>
      </c>
      <c r="T182" s="37" t="n">
        <v>0.28470715835141</v>
      </c>
      <c r="U182" s="37" t="n">
        <v>0.3037542662116041</v>
      </c>
      <c r="V182" s="37" t="n">
        <v>0.2753623188405797</v>
      </c>
      <c r="W182" s="37" t="n">
        <v>0.8651685393258427</v>
      </c>
    </row>
    <row r="183">
      <c r="A183" s="53" t="n">
        <v>45753</v>
      </c>
      <c r="B183" t="inlineStr">
        <is>
          <t>R02_Sumbagsel</t>
        </is>
      </c>
      <c r="C183" t="inlineStr">
        <is>
          <t>NOP BENGKULU</t>
        </is>
      </c>
      <c r="D183" s="36" t="n">
        <v>1.28</v>
      </c>
      <c r="E183" s="36" t="n">
        <v>4.16</v>
      </c>
      <c r="F183" s="36" t="n">
        <v>2.99</v>
      </c>
      <c r="G183" s="36" t="n">
        <v>7.49</v>
      </c>
      <c r="H183" s="37" t="n">
        <v>0.3762376237623762</v>
      </c>
      <c r="I183" s="37" t="n">
        <v>0.423728813559322</v>
      </c>
      <c r="J183" s="37" t="n">
        <v>0.3617571059431525</v>
      </c>
      <c r="K183" s="37" t="n">
        <v>0.64</v>
      </c>
      <c r="L183" s="37" t="n">
        <v>0.64</v>
      </c>
      <c r="M183" s="37" t="n">
        <v>0.9881188118811881</v>
      </c>
      <c r="N183" s="37" t="n">
        <v>0.196039603960396</v>
      </c>
      <c r="O183" s="36" t="n">
        <v>0</v>
      </c>
      <c r="P183" s="36" t="n">
        <v>4.64</v>
      </c>
      <c r="Q183" s="36" t="n">
        <v>7.4</v>
      </c>
      <c r="R183" s="36" t="n">
        <v>16.96</v>
      </c>
      <c r="S183" s="36" t="n">
        <v>0</v>
      </c>
      <c r="T183" s="37" t="n">
        <v>0.3712737127371274</v>
      </c>
      <c r="U183" s="37" t="n">
        <v>0.3031446540880503</v>
      </c>
      <c r="V183" s="37" t="n">
        <v>0.596958174904943</v>
      </c>
      <c r="W183" s="37" t="n">
        <v>0.8672199170124482</v>
      </c>
    </row>
    <row r="184">
      <c r="A184" s="53" t="n">
        <v>45753</v>
      </c>
      <c r="B184" t="inlineStr">
        <is>
          <t>R02_Sumbagsel</t>
        </is>
      </c>
      <c r="C184" t="inlineStr">
        <is>
          <t>NOP JAMBI</t>
        </is>
      </c>
      <c r="D184" s="36" t="n">
        <v>3.34</v>
      </c>
      <c r="E184" s="36" t="n">
        <v>4.21</v>
      </c>
      <c r="F184" s="36" t="n">
        <v>6.56</v>
      </c>
      <c r="G184" s="36" t="n">
        <v>6.34</v>
      </c>
      <c r="H184" s="37" t="n">
        <v>0.4621309370988447</v>
      </c>
      <c r="I184" s="37" t="n">
        <v>0.4609053497942387</v>
      </c>
      <c r="J184" s="37" t="n">
        <v>0.4626865671641791</v>
      </c>
      <c r="K184" s="37" t="n">
        <v>0.7142857142857143</v>
      </c>
      <c r="L184" s="37" t="n">
        <v>0.7142857142857143</v>
      </c>
      <c r="M184" s="37" t="n">
        <v>1</v>
      </c>
      <c r="N184" s="37" t="n">
        <v>0.2503209242618742</v>
      </c>
      <c r="O184" s="36" t="n">
        <v>0</v>
      </c>
      <c r="P184" s="36" t="n">
        <v>5.9</v>
      </c>
      <c r="Q184" s="36" t="n">
        <v>14.83</v>
      </c>
      <c r="R184" s="36" t="n">
        <v>20.95</v>
      </c>
      <c r="S184" s="36" t="n">
        <v>0</v>
      </c>
      <c r="T184" s="37" t="n">
        <v>0.6290571870170015</v>
      </c>
      <c r="U184" s="37" t="n">
        <v>0.61731843575419</v>
      </c>
      <c r="V184" s="37" t="n">
        <v>0.6757894736842105</v>
      </c>
      <c r="W184" s="37" t="n">
        <v>0.6742081447963801</v>
      </c>
    </row>
    <row r="185">
      <c r="A185" s="53" t="n">
        <v>45753</v>
      </c>
      <c r="B185" t="inlineStr">
        <is>
          <t>R02_Sumbagsel</t>
        </is>
      </c>
      <c r="C185" t="inlineStr">
        <is>
          <t>NOP LAMPUNG</t>
        </is>
      </c>
      <c r="D185" s="36" t="n">
        <v>1.25</v>
      </c>
      <c r="E185" s="36" t="n">
        <v>7.54</v>
      </c>
      <c r="F185" s="36" t="n">
        <v>4.41</v>
      </c>
      <c r="G185" s="36" t="n">
        <v>4.11</v>
      </c>
      <c r="H185" s="37" t="n">
        <v>0.4396887159533074</v>
      </c>
      <c r="I185" s="37" t="n">
        <v>0.6865671641791045</v>
      </c>
      <c r="J185" s="37" t="n">
        <v>0.3526315789473684</v>
      </c>
      <c r="K185" s="37" t="n">
        <v>0.5869565217391305</v>
      </c>
      <c r="L185" s="37" t="n">
        <v>0.5869565217391305</v>
      </c>
      <c r="M185" s="37" t="n">
        <v>1</v>
      </c>
      <c r="N185" s="37" t="n">
        <v>0.2684824902723735</v>
      </c>
      <c r="O185" s="36" t="n">
        <v>0</v>
      </c>
      <c r="P185" s="36" t="n">
        <v>15.35</v>
      </c>
      <c r="Q185" s="36" t="n">
        <v>9.029999999999999</v>
      </c>
      <c r="R185" s="36" t="n">
        <v>47.91</v>
      </c>
      <c r="S185" s="36" t="n">
        <v>0</v>
      </c>
      <c r="T185" s="37" t="n">
        <v>0.8621190130624092</v>
      </c>
      <c r="U185" s="37" t="n">
        <v>0.7309941520467836</v>
      </c>
      <c r="V185" s="37" t="n">
        <v>0.9297520661157025</v>
      </c>
      <c r="W185" s="37" t="n">
        <v>0.8159999999999999</v>
      </c>
    </row>
    <row r="186">
      <c r="A186" s="53" t="n">
        <v>45753</v>
      </c>
      <c r="B186" t="inlineStr">
        <is>
          <t>R02_Sumbagsel</t>
        </is>
      </c>
      <c r="C186" t="inlineStr">
        <is>
          <t>NOP MUARA ENIM</t>
        </is>
      </c>
      <c r="D186" s="36" t="n">
        <v>4.7</v>
      </c>
      <c r="E186" s="36" t="n">
        <v>4.47</v>
      </c>
      <c r="F186" s="36" t="n">
        <v>4.21</v>
      </c>
      <c r="G186" s="36" t="n">
        <v>5.65</v>
      </c>
      <c r="H186" s="37" t="n">
        <v>0.3643067846607669</v>
      </c>
      <c r="I186" s="37" t="n">
        <v>0.2158273381294964</v>
      </c>
      <c r="J186" s="37" t="n">
        <v>0.4025974025974026</v>
      </c>
      <c r="K186" s="37" t="n">
        <v>0.6</v>
      </c>
      <c r="L186" s="37" t="n">
        <v>0.6</v>
      </c>
      <c r="M186" s="37" t="n">
        <v>0.976401179941003</v>
      </c>
      <c r="N186" s="37" t="n">
        <v>0.1696165191740413</v>
      </c>
      <c r="O186" s="36" t="n">
        <v>0</v>
      </c>
      <c r="P186" s="36" t="n">
        <v>7.77</v>
      </c>
      <c r="Q186" s="36" t="n">
        <v>7.23</v>
      </c>
      <c r="R186" s="36" t="n">
        <v>15.97</v>
      </c>
      <c r="S186" s="36" t="n">
        <v>0</v>
      </c>
      <c r="T186" s="37" t="n">
        <v>0.4875576036866359</v>
      </c>
      <c r="U186" s="37" t="n">
        <v>0.5085714285714286</v>
      </c>
      <c r="V186" s="37" t="n">
        <v>0.5635491606714629</v>
      </c>
      <c r="W186" s="37" t="n">
        <v>0.8239700374531835</v>
      </c>
    </row>
    <row r="187">
      <c r="A187" s="53" t="n">
        <v>45753</v>
      </c>
      <c r="B187" t="inlineStr">
        <is>
          <t>R02_Sumbagsel</t>
        </is>
      </c>
      <c r="C187" t="inlineStr">
        <is>
          <t>NOP PALEMBANG</t>
        </is>
      </c>
      <c r="D187" s="36" t="n">
        <v>2.39</v>
      </c>
      <c r="E187" s="36" t="n">
        <v>7.84</v>
      </c>
      <c r="F187" s="36" t="n">
        <v>9.41</v>
      </c>
      <c r="G187" s="36" t="n">
        <v>8.16</v>
      </c>
      <c r="H187" s="37" t="n">
        <v>0.2887931034482759</v>
      </c>
      <c r="I187" s="37" t="n">
        <v>0.3118279569892473</v>
      </c>
      <c r="J187" s="37" t="n">
        <v>0.2852404643449419</v>
      </c>
      <c r="K187" s="37" t="n">
        <v>0.5517241379310345</v>
      </c>
      <c r="L187" s="37" t="n">
        <v>0.5517241379310345</v>
      </c>
      <c r="M187" s="37" t="n">
        <v>1</v>
      </c>
      <c r="N187" s="37" t="n">
        <v>0.1695402298850575</v>
      </c>
      <c r="O187" s="36" t="n">
        <v>0</v>
      </c>
      <c r="P187" s="36" t="n">
        <v>5.45</v>
      </c>
      <c r="Q187" s="36" t="n">
        <v>13</v>
      </c>
      <c r="R187" s="36" t="n">
        <v>14.99</v>
      </c>
      <c r="S187" s="36" t="n">
        <v>0</v>
      </c>
      <c r="T187" s="37" t="n">
        <v>0.2538540596094553</v>
      </c>
      <c r="U187" s="37" t="n">
        <v>0.2241715399610136</v>
      </c>
      <c r="V187" s="37" t="n">
        <v>0.3952095808383234</v>
      </c>
      <c r="W187" s="37" t="n">
        <v>0.4521739130434783</v>
      </c>
    </row>
    <row r="188">
      <c r="A188" s="53" t="n">
        <v>45753</v>
      </c>
      <c r="B188" t="inlineStr">
        <is>
          <t>R02_Sumbagsel</t>
        </is>
      </c>
      <c r="C188" t="inlineStr">
        <is>
          <t>NOP PANGKAL PINANG</t>
        </is>
      </c>
      <c r="D188" s="36" t="n">
        <v>0</v>
      </c>
      <c r="E188" s="36" t="n">
        <v>2.32</v>
      </c>
      <c r="F188" s="36" t="n">
        <v>2.42</v>
      </c>
      <c r="G188" s="36" t="n">
        <v>6.56</v>
      </c>
      <c r="H188" s="37" t="n">
        <v>0.5306122448979592</v>
      </c>
      <c r="I188" s="37" t="n">
        <v>1</v>
      </c>
      <c r="J188" s="37" t="n">
        <v>0.5053763440860215</v>
      </c>
      <c r="K188" s="37" t="n">
        <v>0.6</v>
      </c>
      <c r="L188" s="37" t="n">
        <v>0.6</v>
      </c>
      <c r="M188" s="37" t="n">
        <v>0.9897959183673469</v>
      </c>
      <c r="N188" s="37" t="n">
        <v>0.2959183673469388</v>
      </c>
      <c r="O188" s="36" t="n">
        <v>0</v>
      </c>
      <c r="P188" s="36" t="n">
        <v>5.2</v>
      </c>
      <c r="Q188" s="36" t="n">
        <v>7.27</v>
      </c>
      <c r="R188" s="36" t="n">
        <v>7.29</v>
      </c>
      <c r="S188" s="36" t="n">
        <v>0</v>
      </c>
      <c r="T188" s="37" t="n">
        <v>0.7549668874172185</v>
      </c>
      <c r="U188" s="37" t="n">
        <v>0.773109243697479</v>
      </c>
      <c r="V188" s="37" t="n">
        <v>0.8417721518987342</v>
      </c>
      <c r="W188" s="37" t="n">
        <v>0.6956521739130435</v>
      </c>
    </row>
    <row r="189">
      <c r="A189" s="53" t="n">
        <v>45753</v>
      </c>
      <c r="B189" t="inlineStr">
        <is>
          <t>R05_Jawa Tengah DIY</t>
        </is>
      </c>
      <c r="C189" t="inlineStr">
        <is>
          <t>NOP MAGELANG</t>
        </is>
      </c>
      <c r="D189" s="36" t="n">
        <v>6.59</v>
      </c>
      <c r="E189" s="36" t="n">
        <v>0</v>
      </c>
      <c r="F189" s="36" t="n">
        <v>5.37</v>
      </c>
      <c r="G189" s="36" t="n">
        <v>5.79</v>
      </c>
      <c r="H189" s="37" t="n">
        <v>0.6195652173913043</v>
      </c>
      <c r="I189" s="37" t="n">
        <v>0.9</v>
      </c>
      <c r="J189" s="37" t="n">
        <v>0.5853658536585366</v>
      </c>
      <c r="K189" s="37" t="n">
        <v>0.4444444444444444</v>
      </c>
      <c r="L189" s="37" t="n">
        <v>0.4444444444444444</v>
      </c>
      <c r="M189" s="37" t="n">
        <v>1</v>
      </c>
      <c r="N189" s="37" t="n">
        <v>0.5652173913043478</v>
      </c>
      <c r="O189" s="36" t="n">
        <v>0</v>
      </c>
      <c r="P189" s="36" t="n">
        <v>39.74</v>
      </c>
      <c r="Q189" s="36" t="n">
        <v>28.41</v>
      </c>
      <c r="R189" s="36" t="n">
        <v>49.77</v>
      </c>
      <c r="S189" s="36" t="n">
        <v>0</v>
      </c>
      <c r="T189" s="37" t="n">
        <v>0.8571428571428571</v>
      </c>
      <c r="U189" s="37" t="n">
        <v>0.8571428571428571</v>
      </c>
      <c r="V189" s="37" t="n">
        <v>0.8571428571428571</v>
      </c>
      <c r="W189" s="37" t="n">
        <v>0.8888888888888888</v>
      </c>
    </row>
    <row r="190">
      <c r="A190" s="53" t="n">
        <v>45753</v>
      </c>
      <c r="B190" t="inlineStr">
        <is>
          <t>R05_Jawa Tengah DIY</t>
        </is>
      </c>
      <c r="C190" t="inlineStr">
        <is>
          <t>NOP PEKALONGAN</t>
        </is>
      </c>
      <c r="D190" s="36" t="n">
        <v>3.71</v>
      </c>
      <c r="E190" s="36" t="n">
        <v>0</v>
      </c>
      <c r="F190" s="36" t="n">
        <v>2.38</v>
      </c>
      <c r="G190" s="36" t="n">
        <v>2.32</v>
      </c>
      <c r="H190" s="37" t="n">
        <v>0.5473684210526316</v>
      </c>
      <c r="I190" s="37" t="n">
        <v>1</v>
      </c>
      <c r="J190" s="37" t="n">
        <v>0.5113636363636364</v>
      </c>
      <c r="K190" s="37" t="n">
        <v>1</v>
      </c>
      <c r="L190" s="37" t="n">
        <v>1</v>
      </c>
      <c r="M190" s="37" t="n">
        <v>0.9789473684210527</v>
      </c>
      <c r="N190" s="37" t="n">
        <v>0.6</v>
      </c>
      <c r="O190" s="36" t="n">
        <v>0</v>
      </c>
      <c r="P190" s="36" t="n">
        <v>3.02</v>
      </c>
      <c r="Q190" s="36" t="n">
        <v>5.94</v>
      </c>
      <c r="R190" s="36" t="n">
        <v>57.42</v>
      </c>
      <c r="S190" s="36" t="n">
        <v>0</v>
      </c>
      <c r="T190" s="37" t="n">
        <v>0.875</v>
      </c>
      <c r="U190" s="37" t="n">
        <v>0.7368421052631579</v>
      </c>
      <c r="V190" s="37" t="n">
        <v>0.9245283018867925</v>
      </c>
      <c r="W190" s="37" t="n">
        <v>0.7857142857142857</v>
      </c>
    </row>
    <row r="191">
      <c r="A191" s="53" t="n">
        <v>45753</v>
      </c>
      <c r="B191" t="inlineStr">
        <is>
          <t>R05_Jawa Tengah DIY</t>
        </is>
      </c>
      <c r="C191" t="inlineStr">
        <is>
          <t>NOP PURWOKERTO</t>
        </is>
      </c>
      <c r="D191" s="36" t="n">
        <v>1.88</v>
      </c>
      <c r="E191" s="36" t="n">
        <v>0</v>
      </c>
      <c r="F191" s="36" t="n">
        <v>3.24</v>
      </c>
      <c r="G191" s="36" t="n">
        <v>4.37</v>
      </c>
      <c r="H191" s="37" t="n">
        <v>0.8316831683168316</v>
      </c>
      <c r="I191" s="37" t="n">
        <v>0.5384615384615384</v>
      </c>
      <c r="J191" s="37" t="n">
        <v>0.875</v>
      </c>
      <c r="K191" s="37" t="n">
        <v>1</v>
      </c>
      <c r="L191" s="37" t="n">
        <v>1</v>
      </c>
      <c r="M191" s="37" t="n">
        <v>0.9405940594059405</v>
      </c>
      <c r="N191" s="37" t="n">
        <v>0.5445544554455446</v>
      </c>
      <c r="O191" s="36" t="n">
        <v>0.15</v>
      </c>
      <c r="P191" s="36" t="n">
        <v>4.69</v>
      </c>
      <c r="Q191" s="36" t="n">
        <v>8</v>
      </c>
      <c r="R191" s="36" t="n">
        <v>52.7</v>
      </c>
      <c r="S191" s="36" t="n">
        <v>0</v>
      </c>
      <c r="T191" s="37" t="n">
        <v>0.7361111111111112</v>
      </c>
      <c r="U191" s="37" t="n">
        <v>0.7241379310344828</v>
      </c>
      <c r="V191" s="37" t="n">
        <v>0.7391304347826086</v>
      </c>
      <c r="W191" s="37" t="n">
        <v>0.6666666666666666</v>
      </c>
    </row>
    <row r="192">
      <c r="A192" s="53" t="n">
        <v>45753</v>
      </c>
      <c r="B192" t="inlineStr">
        <is>
          <t>R05_Jawa Tengah DIY</t>
        </is>
      </c>
      <c r="C192" t="inlineStr">
        <is>
          <t>NOP SEMARANG</t>
        </is>
      </c>
      <c r="D192" s="36" t="n">
        <v>2.26</v>
      </c>
      <c r="E192" s="36" t="n">
        <v>0</v>
      </c>
      <c r="F192" s="36" t="n">
        <v>2.62</v>
      </c>
      <c r="G192" s="36" t="n">
        <v>3.54</v>
      </c>
      <c r="H192" s="37" t="n">
        <v>0.52</v>
      </c>
      <c r="I192" s="37" t="n">
        <v>0.8</v>
      </c>
      <c r="J192" s="37" t="n">
        <v>0.5052631578947369</v>
      </c>
      <c r="K192" s="37" t="n">
        <v>1</v>
      </c>
      <c r="L192" s="37" t="n">
        <v>1</v>
      </c>
      <c r="M192" s="37" t="n">
        <v>0.99</v>
      </c>
      <c r="N192" s="37" t="n">
        <v>0.36</v>
      </c>
      <c r="O192" s="36" t="n">
        <v>0</v>
      </c>
      <c r="P192" s="36" t="n">
        <v>1.91</v>
      </c>
      <c r="Q192" s="36" t="n">
        <v>22.31</v>
      </c>
      <c r="R192" s="36" t="n">
        <v>63.22</v>
      </c>
      <c r="S192" s="36" t="n">
        <v>0</v>
      </c>
      <c r="T192" s="37" t="n">
        <v>0.5984251968503937</v>
      </c>
      <c r="U192" s="37" t="n">
        <v>0.2956521739130435</v>
      </c>
      <c r="V192" s="37" t="n">
        <v>0.8489208633093526</v>
      </c>
      <c r="W192" s="37" t="n">
        <v>0.8823529411764706</v>
      </c>
    </row>
    <row r="193">
      <c r="A193" s="53" t="n">
        <v>45753</v>
      </c>
      <c r="B193" t="inlineStr">
        <is>
          <t>R05_Jawa Tengah DIY</t>
        </is>
      </c>
      <c r="C193" t="inlineStr">
        <is>
          <t>NOP SURAKARTA</t>
        </is>
      </c>
      <c r="D193" s="36" t="n">
        <v>4.02</v>
      </c>
      <c r="E193" s="36" t="n">
        <v>0</v>
      </c>
      <c r="F193" s="36" t="n">
        <v>2.8</v>
      </c>
      <c r="G193" s="36" t="n">
        <v>5.09</v>
      </c>
      <c r="H193" s="37" t="n">
        <v>0.5664335664335665</v>
      </c>
      <c r="I193" s="37" t="n">
        <v>0.9</v>
      </c>
      <c r="J193" s="37" t="n">
        <v>0.5413533834586466</v>
      </c>
      <c r="K193" s="37" t="n">
        <v>1</v>
      </c>
      <c r="L193" s="37" t="n">
        <v>1</v>
      </c>
      <c r="M193" s="37" t="n">
        <v>0.993006993006993</v>
      </c>
      <c r="N193" s="37" t="n">
        <v>0.4405594405594406</v>
      </c>
      <c r="O193" s="36" t="n">
        <v>0.12</v>
      </c>
      <c r="P193" s="36" t="n">
        <v>3.23</v>
      </c>
      <c r="Q193" s="36" t="n">
        <v>13.66</v>
      </c>
      <c r="R193" s="36" t="n">
        <v>110.94</v>
      </c>
      <c r="S193" s="36" t="n">
        <v>0</v>
      </c>
      <c r="T193" s="37" t="n">
        <v>0.795</v>
      </c>
      <c r="U193" s="37" t="n">
        <v>0.696969696969697</v>
      </c>
      <c r="V193" s="37" t="n">
        <v>0.8432835820895522</v>
      </c>
      <c r="W193" s="37" t="n">
        <v>0.8043478260869565</v>
      </c>
    </row>
    <row r="194">
      <c r="A194" s="53" t="n">
        <v>45753</v>
      </c>
      <c r="B194" t="inlineStr">
        <is>
          <t>R05_Jawa Tengah DIY</t>
        </is>
      </c>
      <c r="C194" t="inlineStr">
        <is>
          <t>NOP YOGYAKARTA</t>
        </is>
      </c>
      <c r="D194" s="36" t="n">
        <v>2.52</v>
      </c>
      <c r="E194" s="36" t="n">
        <v>0</v>
      </c>
      <c r="F194" s="36" t="n">
        <v>1.88</v>
      </c>
      <c r="G194" s="36" t="n">
        <v>3.33</v>
      </c>
      <c r="H194" s="37" t="n">
        <v>0.6111111111111112</v>
      </c>
      <c r="I194" s="37" t="n">
        <v>1</v>
      </c>
      <c r="J194" s="37" t="n">
        <v>0.5882352941176471</v>
      </c>
      <c r="K194" s="37" t="n">
        <v>1</v>
      </c>
      <c r="L194" s="37" t="n">
        <v>1</v>
      </c>
      <c r="M194" s="37" t="n">
        <v>1</v>
      </c>
      <c r="N194" s="37" t="n">
        <v>0.5</v>
      </c>
      <c r="O194" s="36" t="n">
        <v>0</v>
      </c>
      <c r="P194" s="36" t="n">
        <v>2.44</v>
      </c>
      <c r="Q194" s="36" t="n">
        <v>14.44</v>
      </c>
      <c r="R194" s="36" t="n">
        <v>42.06</v>
      </c>
      <c r="S194" s="36" t="n">
        <v>0</v>
      </c>
      <c r="T194" s="37" t="n">
        <v>0.9166666666666666</v>
      </c>
      <c r="U194" s="37" t="n">
        <v>0.7</v>
      </c>
      <c r="V194" s="37" t="n">
        <v>0.9363636363636364</v>
      </c>
      <c r="W194" s="37" t="n">
        <v>0.9285714285714286</v>
      </c>
    </row>
    <row r="195">
      <c r="A195" s="53" t="n">
        <v>45753</v>
      </c>
      <c r="B195" t="inlineStr">
        <is>
          <t>R06_Jawa Timur</t>
        </is>
      </c>
      <c r="C195" t="inlineStr">
        <is>
          <t>NOP JEMBER</t>
        </is>
      </c>
      <c r="D195" s="36" t="n">
        <v>2.09</v>
      </c>
      <c r="E195" s="36" t="n">
        <v>1.53</v>
      </c>
      <c r="F195" s="36" t="n">
        <v>1.57</v>
      </c>
      <c r="G195" s="36" t="n">
        <v>2.92</v>
      </c>
      <c r="H195" s="37" t="n">
        <v>0.6333333333333333</v>
      </c>
      <c r="I195" s="37" t="n">
        <v>0.5833333333333334</v>
      </c>
      <c r="J195" s="37" t="n">
        <v>0.6458333333333334</v>
      </c>
      <c r="K195" s="37" t="n">
        <v>0.5714285714285714</v>
      </c>
      <c r="L195" s="37" t="n">
        <v>0.5714285714285714</v>
      </c>
      <c r="M195" s="37" t="n">
        <v>1</v>
      </c>
      <c r="N195" s="37" t="n">
        <v>0.2833333333333333</v>
      </c>
      <c r="O195" s="36" t="n">
        <v>0</v>
      </c>
      <c r="P195" s="36" t="n">
        <v>2.37</v>
      </c>
      <c r="Q195" s="36" t="n">
        <v>7.01</v>
      </c>
      <c r="R195" s="36" t="n">
        <v>139.4</v>
      </c>
      <c r="S195" s="36" t="n">
        <v>0</v>
      </c>
      <c r="T195" s="37" t="n">
        <v>0.8174603174603174</v>
      </c>
      <c r="U195" s="37" t="n">
        <v>0.8333333333333334</v>
      </c>
      <c r="V195" s="37" t="n">
        <v>0.8137254901960784</v>
      </c>
      <c r="W195" s="37" t="n">
        <v>0.7</v>
      </c>
    </row>
    <row r="196">
      <c r="A196" s="53" t="n">
        <v>45753</v>
      </c>
      <c r="B196" t="inlineStr">
        <is>
          <t>R06_Jawa Timur</t>
        </is>
      </c>
      <c r="C196" t="inlineStr">
        <is>
          <t>NOP KEDIRI</t>
        </is>
      </c>
      <c r="D196" s="36" t="n">
        <v>0</v>
      </c>
      <c r="E196" s="36" t="n">
        <v>0.7</v>
      </c>
      <c r="F196" s="36" t="n">
        <v>1.76</v>
      </c>
      <c r="G196" s="36" t="n">
        <v>1.1</v>
      </c>
      <c r="H196" s="37" t="n">
        <v>0.9166666666666666</v>
      </c>
      <c r="I196" s="37" t="n">
        <v>1</v>
      </c>
      <c r="J196" s="37" t="n">
        <v>0.9130434782608695</v>
      </c>
      <c r="K196" s="37" t="n">
        <v>0.5</v>
      </c>
      <c r="L196" s="37" t="n">
        <v>0.5</v>
      </c>
      <c r="M196" s="37" t="n">
        <v>1</v>
      </c>
      <c r="N196" s="37" t="n">
        <v>0.4583333333333333</v>
      </c>
      <c r="O196" s="36" t="n">
        <v>0</v>
      </c>
      <c r="P196" s="36" t="n">
        <v>2.06</v>
      </c>
      <c r="Q196" s="36" t="n">
        <v>3.69</v>
      </c>
      <c r="R196" s="36" t="n">
        <v>13.72</v>
      </c>
      <c r="S196" s="36" t="n">
        <v>0</v>
      </c>
      <c r="T196" s="37" t="n">
        <v>0.9318181818181818</v>
      </c>
      <c r="U196" s="37" t="n">
        <v>0.8888888888888888</v>
      </c>
      <c r="V196" s="37" t="n">
        <v>0.9428571428571428</v>
      </c>
      <c r="W196" s="37" t="n">
        <v>0.875</v>
      </c>
    </row>
    <row r="197">
      <c r="A197" s="53" t="n">
        <v>45753</v>
      </c>
      <c r="B197" t="inlineStr">
        <is>
          <t>R06_Jawa Timur</t>
        </is>
      </c>
      <c r="C197" t="inlineStr">
        <is>
          <t>NOP LAMONGAN</t>
        </is>
      </c>
      <c r="D197" s="36" t="n">
        <v>0.97</v>
      </c>
      <c r="E197" s="36" t="n">
        <v>1.01</v>
      </c>
      <c r="F197" s="36" t="n">
        <v>3.22</v>
      </c>
      <c r="G197" s="36" t="n">
        <v>3.39</v>
      </c>
      <c r="H197" s="37" t="n">
        <v>0.8666666666666667</v>
      </c>
      <c r="I197" s="37" t="n">
        <v>1</v>
      </c>
      <c r="J197" s="37" t="n">
        <v>0.85</v>
      </c>
      <c r="K197" s="37" t="n">
        <v>0.8</v>
      </c>
      <c r="L197" s="37" t="n">
        <v>0.8</v>
      </c>
      <c r="M197" s="37" t="n">
        <v>1</v>
      </c>
      <c r="N197" s="37" t="n">
        <v>0.7333333333333333</v>
      </c>
      <c r="O197" s="36" t="n">
        <v>0</v>
      </c>
      <c r="P197" s="36" t="n">
        <v>3.02</v>
      </c>
      <c r="Q197" s="36" t="n">
        <v>9.59</v>
      </c>
      <c r="R197" s="36" t="n">
        <v>37.44</v>
      </c>
      <c r="S197" s="36" t="n">
        <v>0</v>
      </c>
      <c r="T197" s="37" t="n">
        <v>0.7540983606557377</v>
      </c>
      <c r="U197" s="37" t="n">
        <v>0.68</v>
      </c>
      <c r="V197" s="37" t="n">
        <v>0.8055555555555556</v>
      </c>
      <c r="W197" s="37" t="n">
        <v>0.9411764705882353</v>
      </c>
    </row>
    <row r="198">
      <c r="A198" s="53" t="n">
        <v>45753</v>
      </c>
      <c r="B198" t="inlineStr">
        <is>
          <t>R06_Jawa Timur</t>
        </is>
      </c>
      <c r="C198" t="inlineStr">
        <is>
          <t>NOP MADIUN</t>
        </is>
      </c>
      <c r="D198" s="36" t="n">
        <v>0</v>
      </c>
      <c r="E198" s="36" t="n">
        <v>0</v>
      </c>
      <c r="F198" s="36" t="n">
        <v>3.45</v>
      </c>
      <c r="G198" s="36" t="n">
        <v>2.57</v>
      </c>
      <c r="H198" s="37" t="n">
        <v>0.7333333333333333</v>
      </c>
      <c r="I198" s="37" t="n">
        <v>0</v>
      </c>
      <c r="J198" s="37" t="n">
        <v>0.7333333333333333</v>
      </c>
      <c r="K198" s="37" t="n">
        <v>0</v>
      </c>
      <c r="L198" s="37" t="n">
        <v>0</v>
      </c>
      <c r="M198" s="37" t="n">
        <v>1</v>
      </c>
      <c r="N198" s="37" t="n">
        <v>0.4222222222222222</v>
      </c>
      <c r="O198" s="36" t="n">
        <v>0</v>
      </c>
      <c r="P198" s="36" t="n">
        <v>2.46</v>
      </c>
      <c r="Q198" s="36" t="n">
        <v>9.31</v>
      </c>
      <c r="R198" s="36" t="n">
        <v>24.9</v>
      </c>
      <c r="S198" s="36" t="n">
        <v>0</v>
      </c>
      <c r="T198" s="37" t="n">
        <v>0.6923076923076923</v>
      </c>
      <c r="U198" s="37" t="n">
        <v>0.6521739130434783</v>
      </c>
      <c r="V198" s="37" t="n">
        <v>0.7090909090909091</v>
      </c>
      <c r="W198" s="37" t="n">
        <v>0.8</v>
      </c>
    </row>
    <row r="199">
      <c r="A199" s="53" t="n">
        <v>45753</v>
      </c>
      <c r="B199" t="inlineStr">
        <is>
          <t>R06_Jawa Timur</t>
        </is>
      </c>
      <c r="C199" t="inlineStr">
        <is>
          <t>NOP MALANG</t>
        </is>
      </c>
      <c r="D199" s="36" t="n">
        <v>0</v>
      </c>
      <c r="E199" s="36" t="n">
        <v>0</v>
      </c>
      <c r="F199" s="36" t="n">
        <v>2.25</v>
      </c>
      <c r="G199" s="36" t="n">
        <v>2.31</v>
      </c>
      <c r="H199" s="37" t="n">
        <v>0.8255813953488372</v>
      </c>
      <c r="I199" s="37" t="n">
        <v>0</v>
      </c>
      <c r="J199" s="37" t="n">
        <v>0.8255813953488372</v>
      </c>
      <c r="K199" s="37" t="n">
        <v>0</v>
      </c>
      <c r="L199" s="37" t="n">
        <v>0</v>
      </c>
      <c r="M199" s="37" t="n">
        <v>1</v>
      </c>
      <c r="N199" s="37" t="n">
        <v>0.7674418604651163</v>
      </c>
      <c r="O199" s="36" t="n">
        <v>0.02</v>
      </c>
      <c r="P199" s="36" t="n">
        <v>3.08</v>
      </c>
      <c r="Q199" s="36" t="n">
        <v>2.44</v>
      </c>
      <c r="R199" s="36" t="n">
        <v>39.3</v>
      </c>
      <c r="S199" s="36" t="n">
        <v>0</v>
      </c>
      <c r="T199" s="37" t="n">
        <v>0.7735849056603774</v>
      </c>
      <c r="U199" s="37" t="n">
        <v>0.631578947368421</v>
      </c>
      <c r="V199" s="37" t="n">
        <v>0.8529411764705882</v>
      </c>
      <c r="W199" s="37" t="n">
        <v>0.5</v>
      </c>
    </row>
    <row r="200">
      <c r="A200" s="53" t="n">
        <v>45753</v>
      </c>
      <c r="B200" t="inlineStr">
        <is>
          <t>R06_Jawa Timur</t>
        </is>
      </c>
      <c r="C200" t="inlineStr">
        <is>
          <t>NOP SIDOARJO</t>
        </is>
      </c>
      <c r="D200" s="36" t="n">
        <v>4.15</v>
      </c>
      <c r="E200" s="36" t="n">
        <v>0</v>
      </c>
      <c r="F200" s="36" t="n">
        <v>4.07</v>
      </c>
      <c r="G200" s="36" t="n">
        <v>2.72</v>
      </c>
      <c r="H200" s="37" t="n">
        <v>0.803921568627451</v>
      </c>
      <c r="I200" s="37" t="n">
        <v>1</v>
      </c>
      <c r="J200" s="37" t="n">
        <v>0.7727272727272727</v>
      </c>
      <c r="K200" s="37" t="n">
        <v>0.8571428571428571</v>
      </c>
      <c r="L200" s="37" t="n">
        <v>0.8571428571428571</v>
      </c>
      <c r="M200" s="37" t="n">
        <v>1</v>
      </c>
      <c r="N200" s="37" t="n">
        <v>0.5490196078431373</v>
      </c>
      <c r="O200" s="36" t="n">
        <v>0</v>
      </c>
      <c r="P200" s="36" t="n">
        <v>150.87</v>
      </c>
      <c r="Q200" s="36" t="n">
        <v>9.1</v>
      </c>
      <c r="R200" s="36" t="n">
        <v>96.84</v>
      </c>
      <c r="S200" s="36" t="n">
        <v>0</v>
      </c>
      <c r="T200" s="37" t="n">
        <v>0.7407407407407407</v>
      </c>
      <c r="U200" s="37" t="n">
        <v>0.4166666666666667</v>
      </c>
      <c r="V200" s="37" t="n">
        <v>0.7971014492753623</v>
      </c>
      <c r="W200" s="37" t="n">
        <v>0.6</v>
      </c>
    </row>
    <row r="201">
      <c r="A201" s="53" t="n">
        <v>45753</v>
      </c>
      <c r="B201" t="inlineStr">
        <is>
          <t>R06_Jawa Timur</t>
        </is>
      </c>
      <c r="C201" t="inlineStr">
        <is>
          <t>NOP SURABAYA</t>
        </is>
      </c>
      <c r="D201" s="36" t="n">
        <v>3.59</v>
      </c>
      <c r="E201" s="36" t="n">
        <v>0</v>
      </c>
      <c r="F201" s="36" t="n">
        <v>6.6</v>
      </c>
      <c r="G201" s="36" t="n">
        <v>2.68</v>
      </c>
      <c r="H201" s="37" t="n">
        <v>0.5523809523809524</v>
      </c>
      <c r="I201" s="37" t="n">
        <v>0.25</v>
      </c>
      <c r="J201" s="37" t="n">
        <v>0.5913978494623656</v>
      </c>
      <c r="K201" s="37" t="n">
        <v>1</v>
      </c>
      <c r="L201" s="37" t="n">
        <v>1</v>
      </c>
      <c r="M201" s="37" t="n">
        <v>0.9714285714285714</v>
      </c>
      <c r="N201" s="37" t="n">
        <v>0.3523809523809524</v>
      </c>
      <c r="O201" s="36" t="n">
        <v>0.04</v>
      </c>
      <c r="P201" s="36" t="n">
        <v>1.58</v>
      </c>
      <c r="Q201" s="36" t="n">
        <v>7.94</v>
      </c>
      <c r="R201" s="36" t="n">
        <v>29.82</v>
      </c>
      <c r="S201" s="36" t="n">
        <v>0</v>
      </c>
      <c r="T201" s="37" t="n">
        <v>0.5970873786407767</v>
      </c>
      <c r="U201" s="37" t="n">
        <v>0.3548387096774194</v>
      </c>
      <c r="V201" s="37" t="n">
        <v>0.64</v>
      </c>
      <c r="W201" s="37" t="n">
        <v>0.4545454545454545</v>
      </c>
    </row>
    <row r="202">
      <c r="A202" s="53" t="n">
        <v>45753</v>
      </c>
      <c r="B202" t="inlineStr">
        <is>
          <t>R07_Bali Nusra</t>
        </is>
      </c>
      <c r="C202" t="inlineStr">
        <is>
          <t>NOP DENPASAR</t>
        </is>
      </c>
      <c r="D202" s="36" t="n">
        <v>1.81</v>
      </c>
      <c r="E202" s="36" t="n">
        <v>0</v>
      </c>
      <c r="F202" s="36" t="n">
        <v>2.9</v>
      </c>
      <c r="G202" s="36" t="n">
        <v>4.26</v>
      </c>
      <c r="H202" s="37" t="n">
        <v>0.9607843137254902</v>
      </c>
      <c r="I202" s="37" t="n">
        <v>0.9166666666666666</v>
      </c>
      <c r="J202" s="37" t="n">
        <v>0.9743589743589743</v>
      </c>
      <c r="K202" s="37" t="n">
        <v>0.9090909090909091</v>
      </c>
      <c r="L202" s="37" t="n">
        <v>0.9090909090909091</v>
      </c>
      <c r="M202" s="37" t="n">
        <v>0.9803921568627451</v>
      </c>
      <c r="N202" s="37" t="n">
        <v>0.9215686274509803</v>
      </c>
      <c r="O202" s="36" t="n">
        <v>0</v>
      </c>
      <c r="P202" s="36" t="n">
        <v>141.07</v>
      </c>
      <c r="Q202" s="36" t="n">
        <v>42.53</v>
      </c>
      <c r="R202" s="36" t="n">
        <v>82.69</v>
      </c>
      <c r="S202" s="36" t="n">
        <v>0</v>
      </c>
      <c r="T202" s="37" t="n">
        <v>0.8645833333333334</v>
      </c>
      <c r="U202" s="37" t="n">
        <v>0.75</v>
      </c>
      <c r="V202" s="37" t="n">
        <v>0.9117647058823529</v>
      </c>
      <c r="W202" s="37" t="n">
        <v>0.4285714285714285</v>
      </c>
    </row>
    <row r="203">
      <c r="A203" s="53" t="n">
        <v>45753</v>
      </c>
      <c r="B203" t="inlineStr">
        <is>
          <t>R07_Bali Nusra</t>
        </is>
      </c>
      <c r="C203" t="inlineStr">
        <is>
          <t>NOP FLORES</t>
        </is>
      </c>
      <c r="D203" s="36" t="n">
        <v>3.76</v>
      </c>
      <c r="E203" s="36" t="n">
        <v>4.24</v>
      </c>
      <c r="F203" s="36" t="n">
        <v>10.16</v>
      </c>
      <c r="G203" s="36" t="n">
        <v>8</v>
      </c>
      <c r="H203" s="37" t="n">
        <v>0.334375</v>
      </c>
      <c r="I203" s="37" t="n">
        <v>0.4285714285714285</v>
      </c>
      <c r="J203" s="37" t="n">
        <v>0.308</v>
      </c>
      <c r="K203" s="37" t="n">
        <v>0.5333333333333333</v>
      </c>
      <c r="L203" s="37" t="n">
        <v>0.5333333333333333</v>
      </c>
      <c r="M203" s="37" t="n">
        <v>0.9875</v>
      </c>
      <c r="N203" s="37" t="n">
        <v>0.1875</v>
      </c>
      <c r="O203" s="36" t="n">
        <v>0.17</v>
      </c>
      <c r="P203" s="36" t="n">
        <v>15.98</v>
      </c>
      <c r="Q203" s="36" t="n">
        <v>10.07</v>
      </c>
      <c r="R203" s="36" t="n">
        <v>41.46</v>
      </c>
      <c r="S203" s="36" t="n">
        <v>0</v>
      </c>
      <c r="T203" s="37" t="n">
        <v>0.3745762711864407</v>
      </c>
      <c r="U203" s="37" t="n">
        <v>0.4222222222222222</v>
      </c>
      <c r="V203" s="37" t="n">
        <v>0.2702702702702703</v>
      </c>
      <c r="W203" s="37" t="n">
        <v>0.6549707602339181</v>
      </c>
    </row>
    <row r="204">
      <c r="A204" s="53" t="n">
        <v>45753</v>
      </c>
      <c r="B204" t="inlineStr">
        <is>
          <t>R07_Bali Nusra</t>
        </is>
      </c>
      <c r="C204" t="inlineStr">
        <is>
          <t>NOP KUPANG</t>
        </is>
      </c>
      <c r="D204" s="36" t="n">
        <v>0.8100000000000001</v>
      </c>
      <c r="E204" s="36" t="n">
        <v>2.48</v>
      </c>
      <c r="F204" s="36" t="n">
        <v>3.71</v>
      </c>
      <c r="G204" s="36" t="n">
        <v>5.15</v>
      </c>
      <c r="H204" s="37" t="n">
        <v>0.4382022471910113</v>
      </c>
      <c r="I204" s="37" t="n">
        <v>0.45</v>
      </c>
      <c r="J204" s="37" t="n">
        <v>0.4367088607594937</v>
      </c>
      <c r="K204" s="37" t="n">
        <v>0.5555555555555556</v>
      </c>
      <c r="L204" s="37" t="n">
        <v>0.5555555555555556</v>
      </c>
      <c r="M204" s="37" t="n">
        <v>0.9943820224719101</v>
      </c>
      <c r="N204" s="37" t="n">
        <v>0.1573033707865168</v>
      </c>
      <c r="O204" s="36" t="n">
        <v>0.01</v>
      </c>
      <c r="P204" s="36" t="n">
        <v>23.78</v>
      </c>
      <c r="Q204" s="36" t="n">
        <v>28.98</v>
      </c>
      <c r="R204" s="36" t="n">
        <v>119.48</v>
      </c>
      <c r="S204" s="36" t="n">
        <v>0</v>
      </c>
      <c r="T204" s="37" t="n">
        <v>0.5491803278688525</v>
      </c>
      <c r="U204" s="37" t="n">
        <v>0.5949367088607594</v>
      </c>
      <c r="V204" s="37" t="n">
        <v>0.4651162790697674</v>
      </c>
      <c r="W204" s="37" t="n">
        <v>0.6170212765957447</v>
      </c>
    </row>
    <row r="205">
      <c r="A205" s="53" t="n">
        <v>45753</v>
      </c>
      <c r="B205" t="inlineStr">
        <is>
          <t>R07_Bali Nusra</t>
        </is>
      </c>
      <c r="C205" t="inlineStr">
        <is>
          <t>NOP MATARAM</t>
        </is>
      </c>
      <c r="D205" s="36" t="n">
        <v>3.45</v>
      </c>
      <c r="E205" s="36" t="n">
        <v>6.25</v>
      </c>
      <c r="F205" s="36" t="n">
        <v>2.59</v>
      </c>
      <c r="G205" s="36" t="n">
        <v>10.05</v>
      </c>
      <c r="H205" s="37" t="n">
        <v>0.4029850746268657</v>
      </c>
      <c r="I205" s="37" t="n">
        <v>0.75</v>
      </c>
      <c r="J205" s="37" t="n">
        <v>0.3559322033898305</v>
      </c>
      <c r="K205" s="37" t="n">
        <v>0.6666666666666666</v>
      </c>
      <c r="L205" s="37" t="n">
        <v>0.6666666666666666</v>
      </c>
      <c r="M205" s="37" t="n">
        <v>1</v>
      </c>
      <c r="N205" s="37" t="n">
        <v>0.2388059701492537</v>
      </c>
      <c r="O205" s="36" t="n">
        <v>0</v>
      </c>
      <c r="P205" s="36" t="n">
        <v>33.8</v>
      </c>
      <c r="Q205" s="36" t="n">
        <v>9.23</v>
      </c>
      <c r="R205" s="36" t="n">
        <v>22.5</v>
      </c>
      <c r="S205" s="36" t="n">
        <v>0</v>
      </c>
      <c r="T205" s="37" t="n">
        <v>0.2968197879858657</v>
      </c>
      <c r="U205" s="37" t="n">
        <v>0.291044776119403</v>
      </c>
      <c r="V205" s="37" t="n">
        <v>0.302013422818792</v>
      </c>
      <c r="W205" s="37" t="n">
        <v>0.6666666666666666</v>
      </c>
    </row>
    <row r="206">
      <c r="A206" s="53" t="n">
        <v>45754</v>
      </c>
      <c r="B206" t="inlineStr">
        <is>
          <t>R01_Sumbagut</t>
        </is>
      </c>
      <c r="C206" t="inlineStr">
        <is>
          <t>NOP ACEH</t>
        </is>
      </c>
      <c r="D206" s="36" t="n">
        <v>2.15</v>
      </c>
      <c r="E206" s="36" t="n">
        <v>4.2</v>
      </c>
      <c r="F206" s="36" t="n">
        <v>13.08</v>
      </c>
      <c r="G206" s="36" t="n">
        <v>8.24</v>
      </c>
      <c r="H206" s="37" t="n">
        <v>0.8472012102874432</v>
      </c>
      <c r="I206" s="37" t="n">
        <v>0.8842592592592593</v>
      </c>
      <c r="J206" s="37" t="n">
        <v>0.8292134831460675</v>
      </c>
      <c r="K206" s="37" t="n">
        <v>0.3769633507853403</v>
      </c>
      <c r="L206" s="37" t="n">
        <v>0.3789473684210526</v>
      </c>
      <c r="M206" s="37" t="n">
        <v>1</v>
      </c>
      <c r="N206" s="37" t="n">
        <v>0.2859304084720121</v>
      </c>
      <c r="O206" s="36" t="n">
        <v>0.04</v>
      </c>
      <c r="P206" s="36" t="n">
        <v>3.81</v>
      </c>
      <c r="Q206" s="36" t="n">
        <v>57.51</v>
      </c>
      <c r="R206" s="36" t="n">
        <v>128.36</v>
      </c>
      <c r="S206" s="36" t="n">
        <v>0</v>
      </c>
      <c r="T206" s="37" t="n">
        <v>0.8741617357001973</v>
      </c>
      <c r="U206" s="37" t="n">
        <v>0.7138047138047138</v>
      </c>
      <c r="V206" s="37" t="n">
        <v>0.8954423592493298</v>
      </c>
      <c r="W206" s="37" t="n">
        <v>0.1933962264150944</v>
      </c>
    </row>
    <row r="207">
      <c r="A207" s="53" t="n">
        <v>45754</v>
      </c>
      <c r="B207" t="inlineStr">
        <is>
          <t>R01_Sumbagut</t>
        </is>
      </c>
      <c r="C207" t="inlineStr">
        <is>
          <t>NOP BINJAI</t>
        </is>
      </c>
      <c r="D207" s="36" t="n">
        <v>0</v>
      </c>
      <c r="E207" s="36" t="n">
        <v>5.09</v>
      </c>
      <c r="F207" s="36" t="n">
        <v>3.36</v>
      </c>
      <c r="G207" s="36" t="n">
        <v>5.2</v>
      </c>
      <c r="H207" s="37" t="n">
        <v>0.5474452554744526</v>
      </c>
      <c r="I207" s="37" t="n">
        <v>0.62</v>
      </c>
      <c r="J207" s="37" t="n">
        <v>0.53125</v>
      </c>
      <c r="K207" s="37" t="n">
        <v>0.4838709677419355</v>
      </c>
      <c r="L207" s="37" t="n">
        <v>0.4838709677419355</v>
      </c>
      <c r="M207" s="37" t="n">
        <v>1</v>
      </c>
      <c r="N207" s="37" t="n">
        <v>0.291970802919708</v>
      </c>
      <c r="O207" s="36" t="n">
        <v>0.01</v>
      </c>
      <c r="P207" s="36" t="n">
        <v>2.97</v>
      </c>
      <c r="Q207" s="36" t="n">
        <v>38.35</v>
      </c>
      <c r="R207" s="36" t="n">
        <v>87.59999999999999</v>
      </c>
      <c r="S207" s="36" t="n">
        <v>0</v>
      </c>
      <c r="T207" s="37" t="n">
        <v>0.5938037865748709</v>
      </c>
      <c r="U207" s="37" t="n">
        <v>0.5846153846153846</v>
      </c>
      <c r="V207" s="37" t="n">
        <v>0.5889145496535797</v>
      </c>
      <c r="W207" s="37" t="n">
        <v>0.4078947368421053</v>
      </c>
    </row>
    <row r="208">
      <c r="A208" s="53" t="n">
        <v>45754</v>
      </c>
      <c r="B208" t="inlineStr">
        <is>
          <t>R01_Sumbagut</t>
        </is>
      </c>
      <c r="C208" t="inlineStr">
        <is>
          <t>NOP MEDAN</t>
        </is>
      </c>
      <c r="D208" s="36" t="n">
        <v>0</v>
      </c>
      <c r="E208" s="36" t="n">
        <v>2.58</v>
      </c>
      <c r="F208" s="36" t="n">
        <v>4.08</v>
      </c>
      <c r="G208" s="36" t="n">
        <v>3.04</v>
      </c>
      <c r="H208" s="37" t="n">
        <v>0.3681318681318682</v>
      </c>
      <c r="I208" s="37" t="n">
        <v>0.5476190476190477</v>
      </c>
      <c r="J208" s="37" t="n">
        <v>0.3142857142857143</v>
      </c>
      <c r="K208" s="37" t="n">
        <v>0.8260869565217391</v>
      </c>
      <c r="L208" s="37" t="n">
        <v>0.8260869565217391</v>
      </c>
      <c r="M208" s="37" t="n">
        <v>1</v>
      </c>
      <c r="N208" s="37" t="n">
        <v>0.2142857142857143</v>
      </c>
      <c r="O208" s="36" t="n">
        <v>0</v>
      </c>
      <c r="P208" s="36" t="n">
        <v>3.68</v>
      </c>
      <c r="Q208" s="36" t="n">
        <v>16.14</v>
      </c>
      <c r="R208" s="36" t="n">
        <v>13.93</v>
      </c>
      <c r="S208" s="36" t="n">
        <v>0</v>
      </c>
      <c r="T208" s="37" t="n">
        <v>0.2558139534883721</v>
      </c>
      <c r="U208" s="37" t="n">
        <v>0.2241379310344828</v>
      </c>
      <c r="V208" s="37" t="n">
        <v>0.2818791946308725</v>
      </c>
      <c r="W208" s="37" t="n">
        <v>0.9230769230769231</v>
      </c>
    </row>
    <row r="209">
      <c r="A209" s="53" t="n">
        <v>45754</v>
      </c>
      <c r="B209" t="inlineStr">
        <is>
          <t>R01_Sumbagut</t>
        </is>
      </c>
      <c r="C209" t="inlineStr">
        <is>
          <t>NOP PADANG SIDEMPUAN</t>
        </is>
      </c>
      <c r="D209" s="36" t="n">
        <v>0.84</v>
      </c>
      <c r="E209" s="36" t="n">
        <v>2.41</v>
      </c>
      <c r="F209" s="36" t="n">
        <v>4.4</v>
      </c>
      <c r="G209" s="36" t="n">
        <v>6.03</v>
      </c>
      <c r="H209" s="37" t="n">
        <v>0.3159922928709056</v>
      </c>
      <c r="I209" s="37" t="n">
        <v>0.5384615384615384</v>
      </c>
      <c r="J209" s="37" t="n">
        <v>0.2841409691629956</v>
      </c>
      <c r="K209" s="37" t="n">
        <v>0.4857142857142857</v>
      </c>
      <c r="L209" s="37" t="n">
        <v>0.4857142857142857</v>
      </c>
      <c r="M209" s="37" t="n">
        <v>0.9942196531791907</v>
      </c>
      <c r="N209" s="37" t="n">
        <v>0.1329479768786127</v>
      </c>
      <c r="O209" s="36" t="n">
        <v>0.01</v>
      </c>
      <c r="P209" s="36" t="n">
        <v>2.1</v>
      </c>
      <c r="Q209" s="36" t="n">
        <v>12.91</v>
      </c>
      <c r="R209" s="36" t="n">
        <v>80.68000000000001</v>
      </c>
      <c r="S209" s="36" t="n">
        <v>0</v>
      </c>
      <c r="T209" s="37" t="n">
        <v>0.2628726287262872</v>
      </c>
      <c r="U209" s="37" t="n">
        <v>0.420479302832244</v>
      </c>
      <c r="V209" s="37" t="n">
        <v>0.210412147505423</v>
      </c>
      <c r="W209" s="37" t="n">
        <v>0.4922279792746114</v>
      </c>
    </row>
    <row r="210">
      <c r="A210" s="53" t="n">
        <v>45754</v>
      </c>
      <c r="B210" t="inlineStr">
        <is>
          <t>R01_Sumbagut</t>
        </is>
      </c>
      <c r="C210" t="inlineStr">
        <is>
          <t>NOP PEMATANG SIANTAR</t>
        </is>
      </c>
      <c r="D210" s="36" t="n">
        <v>0.96</v>
      </c>
      <c r="E210" s="36" t="n">
        <v>4.76</v>
      </c>
      <c r="F210" s="36" t="n">
        <v>4.48</v>
      </c>
      <c r="G210" s="36" t="n">
        <v>4.43</v>
      </c>
      <c r="H210" s="37" t="n">
        <v>0.3338735818476499</v>
      </c>
      <c r="I210" s="37" t="n">
        <v>0.3167701863354037</v>
      </c>
      <c r="J210" s="37" t="n">
        <v>0.3399122807017544</v>
      </c>
      <c r="K210" s="37" t="n">
        <v>0.6862745098039216</v>
      </c>
      <c r="L210" s="37" t="n">
        <v>0.6862745098039216</v>
      </c>
      <c r="M210" s="37" t="n">
        <v>0.9983792544570502</v>
      </c>
      <c r="N210" s="37" t="n">
        <v>0.1685575364667747</v>
      </c>
      <c r="O210" s="36" t="n">
        <v>0.01</v>
      </c>
      <c r="P210" s="36" t="n">
        <v>3.17</v>
      </c>
      <c r="Q210" s="36" t="n">
        <v>65.41</v>
      </c>
      <c r="R210" s="36" t="n">
        <v>50.22</v>
      </c>
      <c r="S210" s="36" t="n">
        <v>0</v>
      </c>
      <c r="T210" s="37" t="n">
        <v>0.09954456733897202</v>
      </c>
      <c r="U210" s="37" t="n">
        <v>0.3012422360248447</v>
      </c>
      <c r="V210" s="37" t="n">
        <v>0.07403355215171407</v>
      </c>
      <c r="W210" s="37" t="n">
        <v>0.8350515463917526</v>
      </c>
    </row>
    <row r="211">
      <c r="A211" s="53" t="n">
        <v>45754</v>
      </c>
      <c r="B211" t="inlineStr">
        <is>
          <t>R01_Sumbagut</t>
        </is>
      </c>
      <c r="C211" t="inlineStr">
        <is>
          <t>NOP RANTAU PRAPAT</t>
        </is>
      </c>
      <c r="D211" s="36" t="n">
        <v>3.52</v>
      </c>
      <c r="E211" s="36" t="n">
        <v>7.88</v>
      </c>
      <c r="F211" s="36" t="n">
        <v>5.93</v>
      </c>
      <c r="G211" s="36" t="n">
        <v>6.77</v>
      </c>
      <c r="H211" s="37" t="n">
        <v>0.2515177797051171</v>
      </c>
      <c r="I211" s="37" t="n">
        <v>0.2462121212121212</v>
      </c>
      <c r="J211" s="37" t="n">
        <v>0.2530933633295838</v>
      </c>
      <c r="K211" s="37" t="n">
        <v>0.5230769230769231</v>
      </c>
      <c r="L211" s="37" t="n">
        <v>0.5230769230769231</v>
      </c>
      <c r="M211" s="37" t="n">
        <v>0.9826539462272333</v>
      </c>
      <c r="N211" s="37" t="n">
        <v>0.1457068516912402</v>
      </c>
      <c r="O211" s="36" t="n">
        <v>0</v>
      </c>
      <c r="P211" s="36" t="n">
        <v>4.36</v>
      </c>
      <c r="Q211" s="36" t="n">
        <v>28.13</v>
      </c>
      <c r="R211" s="36" t="n">
        <v>26.27</v>
      </c>
      <c r="S211" s="36" t="n">
        <v>0</v>
      </c>
      <c r="T211" s="37" t="n">
        <v>0.05825242718446602</v>
      </c>
      <c r="U211" s="37" t="n">
        <v>0.1223241590214067</v>
      </c>
      <c r="V211" s="37" t="n">
        <v>0.04472271914132379</v>
      </c>
      <c r="W211" s="37" t="n">
        <v>0.675</v>
      </c>
    </row>
    <row r="212">
      <c r="A212" s="53" t="n">
        <v>45754</v>
      </c>
      <c r="B212" t="inlineStr">
        <is>
          <t>R10_Sumbagteng</t>
        </is>
      </c>
      <c r="C212" t="inlineStr">
        <is>
          <t>NOP BATAM</t>
        </is>
      </c>
      <c r="D212" s="36" t="n">
        <v>1.16</v>
      </c>
      <c r="E212" s="36" t="n">
        <v>6.65</v>
      </c>
      <c r="F212" s="36" t="n">
        <v>5.94</v>
      </c>
      <c r="G212" s="36" t="n">
        <v>7.9</v>
      </c>
      <c r="H212" s="37" t="n">
        <v>0.227784730913642</v>
      </c>
      <c r="I212" s="37" t="n">
        <v>0.25</v>
      </c>
      <c r="J212" s="37" t="n">
        <v>0.2227342549923195</v>
      </c>
      <c r="K212" s="37" t="n">
        <v>0.6486486486486487</v>
      </c>
      <c r="L212" s="37" t="n">
        <v>0.6486486486486487</v>
      </c>
      <c r="M212" s="37" t="n">
        <v>0.9912390488110138</v>
      </c>
      <c r="N212" s="37" t="n">
        <v>0.130162703379224</v>
      </c>
      <c r="O212" s="36" t="n">
        <v>0</v>
      </c>
      <c r="P212" s="36" t="n">
        <v>9.109999999999999</v>
      </c>
      <c r="Q212" s="36" t="n">
        <v>36.67</v>
      </c>
      <c r="R212" s="36" t="n">
        <v>32.92</v>
      </c>
      <c r="S212" s="36" t="n">
        <v>0</v>
      </c>
      <c r="T212" s="37" t="n">
        <v>0.09392789373814042</v>
      </c>
      <c r="U212" s="37" t="n">
        <v>0.1727748691099476</v>
      </c>
      <c r="V212" s="37" t="n">
        <v>0.07669959325973272</v>
      </c>
      <c r="W212" s="37" t="n">
        <v>0.8787878787878788</v>
      </c>
    </row>
    <row r="213">
      <c r="A213" s="53" t="n">
        <v>45754</v>
      </c>
      <c r="B213" t="inlineStr">
        <is>
          <t>R10_Sumbagteng</t>
        </is>
      </c>
      <c r="C213" t="inlineStr">
        <is>
          <t>NOP BUKITTINGGI</t>
        </is>
      </c>
      <c r="D213" s="36" t="n">
        <v>2.2</v>
      </c>
      <c r="E213" s="36" t="n">
        <v>4.45</v>
      </c>
      <c r="F213" s="36" t="n">
        <v>3.34</v>
      </c>
      <c r="G213" s="36" t="n">
        <v>4.95</v>
      </c>
      <c r="H213" s="37" t="n">
        <v>0.749185667752443</v>
      </c>
      <c r="I213" s="37" t="n">
        <v>0.7910447761194029</v>
      </c>
      <c r="J213" s="37" t="n">
        <v>0.7375</v>
      </c>
      <c r="K213" s="37" t="n">
        <v>0.6226415094339622</v>
      </c>
      <c r="L213" s="37" t="n">
        <v>0.6226415094339622</v>
      </c>
      <c r="M213" s="37" t="n">
        <v>0.993485342019544</v>
      </c>
      <c r="N213" s="37" t="n">
        <v>0.4039087947882736</v>
      </c>
      <c r="O213" s="36" t="n">
        <v>0</v>
      </c>
      <c r="P213" s="36" t="n">
        <v>4.08</v>
      </c>
      <c r="Q213" s="36" t="n">
        <v>7.42</v>
      </c>
      <c r="R213" s="36" t="n">
        <v>151.21</v>
      </c>
      <c r="S213" s="36" t="n">
        <v>0</v>
      </c>
      <c r="T213" s="37" t="n">
        <v>0.3190082644628099</v>
      </c>
      <c r="U213" s="37" t="n">
        <v>0.7641509433962265</v>
      </c>
      <c r="V213" s="37" t="n">
        <v>0.2758620689655172</v>
      </c>
      <c r="W213" s="37" t="n">
        <v>0.5432098765432098</v>
      </c>
    </row>
    <row r="214">
      <c r="A214" s="53" t="n">
        <v>45754</v>
      </c>
      <c r="B214" t="inlineStr">
        <is>
          <t>R10_Sumbagteng</t>
        </is>
      </c>
      <c r="C214" t="inlineStr">
        <is>
          <t>NOP DUMAI</t>
        </is>
      </c>
      <c r="D214" s="36" t="n">
        <v>6.72</v>
      </c>
      <c r="E214" s="36" t="n">
        <v>7.38</v>
      </c>
      <c r="F214" s="36" t="n">
        <v>6.22</v>
      </c>
      <c r="G214" s="36" t="n">
        <v>5.99</v>
      </c>
      <c r="H214" s="37" t="n">
        <v>0.3880803880803881</v>
      </c>
      <c r="I214" s="37" t="n">
        <v>0.4615384615384616</v>
      </c>
      <c r="J214" s="37" t="n">
        <v>0.3644688644688645</v>
      </c>
      <c r="K214" s="37" t="n">
        <v>0.6975308641975309</v>
      </c>
      <c r="L214" s="37" t="n">
        <v>0.74</v>
      </c>
      <c r="M214" s="37" t="n">
        <v>0.9674289674289674</v>
      </c>
      <c r="N214" s="37" t="n">
        <v>0.2176022176022176</v>
      </c>
      <c r="O214" s="36" t="n">
        <v>0.19</v>
      </c>
      <c r="P214" s="36" t="n">
        <v>6.52</v>
      </c>
      <c r="Q214" s="36" t="n">
        <v>50.7</v>
      </c>
      <c r="R214" s="36" t="n">
        <v>130.45</v>
      </c>
      <c r="S214" s="36" t="n">
        <v>0</v>
      </c>
      <c r="T214" s="37" t="n">
        <v>0.2490470139771283</v>
      </c>
      <c r="U214" s="37" t="n">
        <v>0.2519230769230769</v>
      </c>
      <c r="V214" s="37" t="n">
        <v>0.2476712328767123</v>
      </c>
      <c r="W214" s="37" t="n">
        <v>0.916030534351145</v>
      </c>
    </row>
    <row r="215">
      <c r="A215" s="53" t="n">
        <v>45754</v>
      </c>
      <c r="B215" t="inlineStr">
        <is>
          <t>R10_Sumbagteng</t>
        </is>
      </c>
      <c r="C215" t="inlineStr">
        <is>
          <t>NOP PADANG</t>
        </is>
      </c>
      <c r="D215" s="36" t="n">
        <v>3.58</v>
      </c>
      <c r="E215" s="36" t="n">
        <v>2.47</v>
      </c>
      <c r="F215" s="36" t="n">
        <v>5.48</v>
      </c>
      <c r="G215" s="36" t="n">
        <v>7.47</v>
      </c>
      <c r="H215" s="37" t="n">
        <v>0.7284595300261096</v>
      </c>
      <c r="I215" s="37" t="n">
        <v>0.6470588235294118</v>
      </c>
      <c r="J215" s="37" t="n">
        <v>0.7409638554216867</v>
      </c>
      <c r="K215" s="37" t="n">
        <v>0.4242424242424243</v>
      </c>
      <c r="L215" s="37" t="n">
        <v>0.4242424242424243</v>
      </c>
      <c r="M215" s="37" t="n">
        <v>0.9817232375979112</v>
      </c>
      <c r="N215" s="37" t="n">
        <v>0.3185378590078329</v>
      </c>
      <c r="O215" s="36" t="n">
        <v>0</v>
      </c>
      <c r="P215" s="36" t="n">
        <v>6.62</v>
      </c>
      <c r="Q215" s="36" t="n">
        <v>50.64</v>
      </c>
      <c r="R215" s="36" t="n">
        <v>59.79</v>
      </c>
      <c r="S215" s="36" t="n">
        <v>0</v>
      </c>
      <c r="T215" s="37" t="n">
        <v>0.6734475374732334</v>
      </c>
      <c r="U215" s="37" t="n">
        <v>0.5701754385964912</v>
      </c>
      <c r="V215" s="37" t="n">
        <v>0.687041564792176</v>
      </c>
      <c r="W215" s="37" t="n">
        <v>0.5230769230769231</v>
      </c>
    </row>
    <row r="216">
      <c r="A216" s="53" t="n">
        <v>45754</v>
      </c>
      <c r="B216" t="inlineStr">
        <is>
          <t>R10_Sumbagteng</t>
        </is>
      </c>
      <c r="C216" t="inlineStr">
        <is>
          <t>NOP PEKANBARU</t>
        </is>
      </c>
      <c r="D216" s="36" t="n">
        <v>6.71</v>
      </c>
      <c r="E216" s="36" t="n">
        <v>5.69</v>
      </c>
      <c r="F216" s="36" t="n">
        <v>5.77</v>
      </c>
      <c r="G216" s="36" t="n">
        <v>7.02</v>
      </c>
      <c r="H216" s="37" t="n">
        <v>0.3638239339752407</v>
      </c>
      <c r="I216" s="37" t="n">
        <v>0.5151515151515151</v>
      </c>
      <c r="J216" s="37" t="n">
        <v>0.3352412101390024</v>
      </c>
      <c r="K216" s="37" t="n">
        <v>0.7310924369747899</v>
      </c>
      <c r="L216" s="37" t="n">
        <v>0.7478260869565218</v>
      </c>
      <c r="M216" s="37" t="n">
        <v>0.9917469050894085</v>
      </c>
      <c r="N216" s="37" t="n">
        <v>0.1905089408528198</v>
      </c>
      <c r="O216" s="36" t="n">
        <v>0.02</v>
      </c>
      <c r="P216" s="36" t="n">
        <v>3.19</v>
      </c>
      <c r="Q216" s="36" t="n">
        <v>45.75</v>
      </c>
      <c r="R216" s="36" t="n">
        <v>72.64</v>
      </c>
      <c r="S216" s="36" t="n">
        <v>0</v>
      </c>
      <c r="T216" s="37" t="n">
        <v>0.2861857614332862</v>
      </c>
      <c r="U216" s="37" t="n">
        <v>0.3018018018018018</v>
      </c>
      <c r="V216" s="37" t="n">
        <v>0.2787456445993031</v>
      </c>
      <c r="W216" s="37" t="n">
        <v>0.8606965174129353</v>
      </c>
    </row>
    <row r="217">
      <c r="A217" s="53" t="n">
        <v>45754</v>
      </c>
      <c r="B217" t="inlineStr">
        <is>
          <t>R02_Sumbagsel</t>
        </is>
      </c>
      <c r="C217" t="inlineStr">
        <is>
          <t>NOP BENGKULU</t>
        </is>
      </c>
      <c r="D217" s="36" t="n">
        <v>1.28</v>
      </c>
      <c r="E217" s="36" t="n">
        <v>4.75</v>
      </c>
      <c r="F217" s="36" t="n">
        <v>3.06</v>
      </c>
      <c r="G217" s="36" t="n">
        <v>7.69</v>
      </c>
      <c r="H217" s="37" t="n">
        <v>0.3664383561643836</v>
      </c>
      <c r="I217" s="37" t="n">
        <v>0.4142857142857143</v>
      </c>
      <c r="J217" s="37" t="n">
        <v>0.3513513513513514</v>
      </c>
      <c r="K217" s="37" t="n">
        <v>0.6724137931034483</v>
      </c>
      <c r="L217" s="37" t="n">
        <v>0.6724137931034483</v>
      </c>
      <c r="M217" s="37" t="n">
        <v>0.9897260273972602</v>
      </c>
      <c r="N217" s="37" t="n">
        <v>0.1952054794520548</v>
      </c>
      <c r="O217" s="36" t="n">
        <v>0</v>
      </c>
      <c r="P217" s="36" t="n">
        <v>5.01</v>
      </c>
      <c r="Q217" s="36" t="n">
        <v>7.35</v>
      </c>
      <c r="R217" s="36" t="n">
        <v>18.03</v>
      </c>
      <c r="S217" s="36" t="n">
        <v>0</v>
      </c>
      <c r="T217" s="37" t="n">
        <v>0.3739591218773656</v>
      </c>
      <c r="U217" s="37" t="n">
        <v>0.2973544973544974</v>
      </c>
      <c r="V217" s="37" t="n">
        <v>0.6081504702194357</v>
      </c>
      <c r="W217" s="37" t="n">
        <v>0.8647686832740213</v>
      </c>
    </row>
    <row r="218">
      <c r="A218" s="53" t="n">
        <v>45754</v>
      </c>
      <c r="B218" t="inlineStr">
        <is>
          <t>R02_Sumbagsel</t>
        </is>
      </c>
      <c r="C218" t="inlineStr">
        <is>
          <t>NOP JAMBI</t>
        </is>
      </c>
      <c r="D218" s="36" t="n">
        <v>3.34</v>
      </c>
      <c r="E218" s="36" t="n">
        <v>4.34</v>
      </c>
      <c r="F218" s="36" t="n">
        <v>6.45</v>
      </c>
      <c r="G218" s="36" t="n">
        <v>6.88</v>
      </c>
      <c r="H218" s="37" t="n">
        <v>0.4677419354838709</v>
      </c>
      <c r="I218" s="37" t="n">
        <v>0.4862068965517241</v>
      </c>
      <c r="J218" s="37" t="n">
        <v>0.459375</v>
      </c>
      <c r="K218" s="37" t="n">
        <v>0.7021276595744681</v>
      </c>
      <c r="L218" s="37" t="n">
        <v>0.7021276595744681</v>
      </c>
      <c r="M218" s="37" t="n">
        <v>1</v>
      </c>
      <c r="N218" s="37" t="n">
        <v>0.2526881720430108</v>
      </c>
      <c r="O218" s="36" t="n">
        <v>0</v>
      </c>
      <c r="P218" s="36" t="n">
        <v>5.98</v>
      </c>
      <c r="Q218" s="36" t="n">
        <v>13.62</v>
      </c>
      <c r="R218" s="36" t="n">
        <v>20</v>
      </c>
      <c r="S218" s="36" t="n">
        <v>0</v>
      </c>
      <c r="T218" s="37" t="n">
        <v>0.6332691072575466</v>
      </c>
      <c r="U218" s="37" t="n">
        <v>0.6216216216216216</v>
      </c>
      <c r="V218" s="37" t="n">
        <v>0.674061433447099</v>
      </c>
      <c r="W218" s="37" t="n">
        <v>0.6710775047258979</v>
      </c>
    </row>
    <row r="219">
      <c r="A219" s="53" t="n">
        <v>45754</v>
      </c>
      <c r="B219" t="inlineStr">
        <is>
          <t>R02_Sumbagsel</t>
        </is>
      </c>
      <c r="C219" t="inlineStr">
        <is>
          <t>NOP LAMPUNG</t>
        </is>
      </c>
      <c r="D219" s="36" t="n">
        <v>1.2</v>
      </c>
      <c r="E219" s="36" t="n">
        <v>6.86</v>
      </c>
      <c r="F219" s="36" t="n">
        <v>4.41</v>
      </c>
      <c r="G219" s="36" t="n">
        <v>4.34</v>
      </c>
      <c r="H219" s="37" t="n">
        <v>0.4659863945578231</v>
      </c>
      <c r="I219" s="37" t="n">
        <v>0.7317073170731707</v>
      </c>
      <c r="J219" s="37" t="n">
        <v>0.3632075471698113</v>
      </c>
      <c r="K219" s="37" t="n">
        <v>0.65</v>
      </c>
      <c r="L219" s="37" t="n">
        <v>0.65</v>
      </c>
      <c r="M219" s="37" t="n">
        <v>1</v>
      </c>
      <c r="N219" s="37" t="n">
        <v>0.3027210884353742</v>
      </c>
      <c r="O219" s="36" t="n">
        <v>0</v>
      </c>
      <c r="P219" s="36" t="n">
        <v>14.15</v>
      </c>
      <c r="Q219" s="36" t="n">
        <v>8.880000000000001</v>
      </c>
      <c r="R219" s="36" t="n">
        <v>42.68</v>
      </c>
      <c r="S219" s="36" t="n">
        <v>0</v>
      </c>
      <c r="T219" s="37" t="n">
        <v>0.8789346246973365</v>
      </c>
      <c r="U219" s="37" t="n">
        <v>0.76</v>
      </c>
      <c r="V219" s="37" t="n">
        <v>0.9370748299319728</v>
      </c>
      <c r="W219" s="37" t="n">
        <v>0.8223684210526315</v>
      </c>
    </row>
    <row r="220">
      <c r="A220" s="53" t="n">
        <v>45754</v>
      </c>
      <c r="B220" t="inlineStr">
        <is>
          <t>R02_Sumbagsel</t>
        </is>
      </c>
      <c r="C220" t="inlineStr">
        <is>
          <t>NOP MUARA ENIM</t>
        </is>
      </c>
      <c r="D220" s="36" t="n">
        <v>4.4</v>
      </c>
      <c r="E220" s="36" t="n">
        <v>4.98</v>
      </c>
      <c r="F220" s="36" t="n">
        <v>4.71</v>
      </c>
      <c r="G220" s="36" t="n">
        <v>5.44</v>
      </c>
      <c r="H220" s="37" t="n">
        <v>0.3518518518518519</v>
      </c>
      <c r="I220" s="37" t="n">
        <v>0.2134146341463415</v>
      </c>
      <c r="J220" s="37" t="n">
        <v>0.3842857142857143</v>
      </c>
      <c r="K220" s="37" t="n">
        <v>0.6</v>
      </c>
      <c r="L220" s="37" t="n">
        <v>0.6</v>
      </c>
      <c r="M220" s="37" t="n">
        <v>0.9780092592592593</v>
      </c>
      <c r="N220" s="37" t="n">
        <v>0.1666666666666667</v>
      </c>
      <c r="O220" s="36" t="n">
        <v>0</v>
      </c>
      <c r="P220" s="36" t="n">
        <v>8.73</v>
      </c>
      <c r="Q220" s="36" t="n">
        <v>7.23</v>
      </c>
      <c r="R220" s="36" t="n">
        <v>15.97</v>
      </c>
      <c r="S220" s="36" t="n">
        <v>0</v>
      </c>
      <c r="T220" s="37" t="n">
        <v>0.5058184639255237</v>
      </c>
      <c r="U220" s="37" t="n">
        <v>0.5256410256410257</v>
      </c>
      <c r="V220" s="37" t="n">
        <v>0.5776892430278885</v>
      </c>
      <c r="W220" s="37" t="n">
        <v>0.8170731707317073</v>
      </c>
    </row>
    <row r="221">
      <c r="A221" s="53" t="n">
        <v>45754</v>
      </c>
      <c r="B221" t="inlineStr">
        <is>
          <t>R02_Sumbagsel</t>
        </is>
      </c>
      <c r="C221" t="inlineStr">
        <is>
          <t>NOP PALEMBANG</t>
        </is>
      </c>
      <c r="D221" s="36" t="n">
        <v>2.39</v>
      </c>
      <c r="E221" s="36" t="n">
        <v>7.72</v>
      </c>
      <c r="F221" s="36" t="n">
        <v>10.07</v>
      </c>
      <c r="G221" s="36" t="n">
        <v>9.84</v>
      </c>
      <c r="H221" s="37" t="n">
        <v>0.3164693218514532</v>
      </c>
      <c r="I221" s="37" t="n">
        <v>0.3232323232323233</v>
      </c>
      <c r="J221" s="37" t="n">
        <v>0.3156626506024096</v>
      </c>
      <c r="K221" s="37" t="n">
        <v>0.53125</v>
      </c>
      <c r="L221" s="37" t="n">
        <v>0.53125</v>
      </c>
      <c r="M221" s="37" t="n">
        <v>1</v>
      </c>
      <c r="N221" s="37" t="n">
        <v>0.1603875134553283</v>
      </c>
      <c r="O221" s="36" t="n">
        <v>0</v>
      </c>
      <c r="P221" s="36" t="n">
        <v>6.13</v>
      </c>
      <c r="Q221" s="36" t="n">
        <v>12.98</v>
      </c>
      <c r="R221" s="36" t="n">
        <v>12.98</v>
      </c>
      <c r="S221" s="36" t="n">
        <v>0</v>
      </c>
      <c r="T221" s="37" t="n">
        <v>0.2829736211031175</v>
      </c>
      <c r="U221" s="37" t="n">
        <v>0.2553191489361702</v>
      </c>
      <c r="V221" s="37" t="n">
        <v>0.4409799554565701</v>
      </c>
      <c r="W221" s="37" t="n">
        <v>0.4358974358974359</v>
      </c>
    </row>
    <row r="222">
      <c r="A222" s="53" t="n">
        <v>45754</v>
      </c>
      <c r="B222" t="inlineStr">
        <is>
          <t>R02_Sumbagsel</t>
        </is>
      </c>
      <c r="C222" t="inlineStr">
        <is>
          <t>NOP PANGKAL PINANG</t>
        </is>
      </c>
      <c r="D222" s="36" t="n">
        <v>0</v>
      </c>
      <c r="E222" s="36" t="n">
        <v>2.32</v>
      </c>
      <c r="F222" s="36" t="n">
        <v>2.42</v>
      </c>
      <c r="G222" s="36" t="n">
        <v>6.37</v>
      </c>
      <c r="H222" s="37" t="n">
        <v>0.5333333333333333</v>
      </c>
      <c r="I222" s="37" t="n">
        <v>1</v>
      </c>
      <c r="J222" s="37" t="n">
        <v>0.51</v>
      </c>
      <c r="K222" s="37" t="n">
        <v>0.6</v>
      </c>
      <c r="L222" s="37" t="n">
        <v>0.6</v>
      </c>
      <c r="M222" s="37" t="n">
        <v>0.9904761904761905</v>
      </c>
      <c r="N222" s="37" t="n">
        <v>0.3047619047619048</v>
      </c>
      <c r="O222" s="36" t="n">
        <v>0</v>
      </c>
      <c r="P222" s="36" t="n">
        <v>4.99</v>
      </c>
      <c r="Q222" s="36" t="n">
        <v>7.27</v>
      </c>
      <c r="R222" s="36" t="n">
        <v>7.28</v>
      </c>
      <c r="S222" s="36" t="n">
        <v>0</v>
      </c>
      <c r="T222" s="37" t="n">
        <v>0.780281690140845</v>
      </c>
      <c r="U222" s="37" t="n">
        <v>0.8055555555555556</v>
      </c>
      <c r="V222" s="37" t="n">
        <v>0.8540540540540541</v>
      </c>
      <c r="W222" s="37" t="n">
        <v>0.7068965517241379</v>
      </c>
    </row>
    <row r="223">
      <c r="A223" s="53" t="n">
        <v>45754</v>
      </c>
      <c r="B223" t="inlineStr">
        <is>
          <t>R05_Jawa Tengah DIY</t>
        </is>
      </c>
      <c r="C223" t="inlineStr">
        <is>
          <t>NOP MAGELANG</t>
        </is>
      </c>
      <c r="D223" s="36" t="n">
        <v>5.81</v>
      </c>
      <c r="E223" s="36" t="n">
        <v>0</v>
      </c>
      <c r="F223" s="36" t="n">
        <v>5.26</v>
      </c>
      <c r="G223" s="36" t="n">
        <v>3.94</v>
      </c>
      <c r="H223" s="37" t="n">
        <v>0.6454545454545455</v>
      </c>
      <c r="I223" s="37" t="n">
        <v>0.9230769230769231</v>
      </c>
      <c r="J223" s="37" t="n">
        <v>0.6082474226804123</v>
      </c>
      <c r="K223" s="37" t="n">
        <v>0.5</v>
      </c>
      <c r="L223" s="37" t="n">
        <v>0.5</v>
      </c>
      <c r="M223" s="37" t="n">
        <v>1</v>
      </c>
      <c r="N223" s="37" t="n">
        <v>0.5636363636363636</v>
      </c>
      <c r="O223" s="36" t="n">
        <v>0</v>
      </c>
      <c r="P223" s="36" t="n">
        <v>25.79</v>
      </c>
      <c r="Q223" s="36" t="n">
        <v>27.84</v>
      </c>
      <c r="R223" s="36" t="n">
        <v>49.41</v>
      </c>
      <c r="S223" s="36" t="n">
        <v>0</v>
      </c>
      <c r="T223" s="37" t="n">
        <v>0.8590909090909091</v>
      </c>
      <c r="U223" s="37" t="n">
        <v>0.8333333333333334</v>
      </c>
      <c r="V223" s="37" t="n">
        <v>0.8631578947368421</v>
      </c>
      <c r="W223" s="37" t="n">
        <v>0.76</v>
      </c>
    </row>
    <row r="224">
      <c r="A224" s="53" t="n">
        <v>45754</v>
      </c>
      <c r="B224" t="inlineStr">
        <is>
          <t>R05_Jawa Tengah DIY</t>
        </is>
      </c>
      <c r="C224" t="inlineStr">
        <is>
          <t>NOP PEKALONGAN</t>
        </is>
      </c>
      <c r="D224" s="36" t="n">
        <v>3.71</v>
      </c>
      <c r="E224" s="36" t="n">
        <v>0</v>
      </c>
      <c r="F224" s="36" t="n">
        <v>2.38</v>
      </c>
      <c r="G224" s="36" t="n">
        <v>2.35</v>
      </c>
      <c r="H224" s="37" t="n">
        <v>0.5779816513761468</v>
      </c>
      <c r="I224" s="37" t="n">
        <v>1</v>
      </c>
      <c r="J224" s="37" t="n">
        <v>0.5490196078431373</v>
      </c>
      <c r="K224" s="37" t="n">
        <v>1</v>
      </c>
      <c r="L224" s="37" t="n">
        <v>1</v>
      </c>
      <c r="M224" s="37" t="n">
        <v>0.981651376146789</v>
      </c>
      <c r="N224" s="37" t="n">
        <v>0.6146788990825688</v>
      </c>
      <c r="O224" s="36" t="n">
        <v>0</v>
      </c>
      <c r="P224" s="36" t="n">
        <v>2.71</v>
      </c>
      <c r="Q224" s="36" t="n">
        <v>5.96</v>
      </c>
      <c r="R224" s="36" t="n">
        <v>56.79</v>
      </c>
      <c r="S224" s="36" t="n">
        <v>0</v>
      </c>
      <c r="T224" s="37" t="n">
        <v>0.8604651162790697</v>
      </c>
      <c r="U224" s="37" t="n">
        <v>0.7446808510638298</v>
      </c>
      <c r="V224" s="37" t="n">
        <v>0.904</v>
      </c>
      <c r="W224" s="37" t="n">
        <v>0.8</v>
      </c>
    </row>
    <row r="225">
      <c r="A225" s="53" t="n">
        <v>45754</v>
      </c>
      <c r="B225" t="inlineStr">
        <is>
          <t>R05_Jawa Tengah DIY</t>
        </is>
      </c>
      <c r="C225" t="inlineStr">
        <is>
          <t>NOP PURWOKERTO</t>
        </is>
      </c>
      <c r="D225" s="36" t="n">
        <v>2.4</v>
      </c>
      <c r="E225" s="36" t="n">
        <v>0</v>
      </c>
      <c r="F225" s="36" t="n">
        <v>3.17</v>
      </c>
      <c r="G225" s="36" t="n">
        <v>4.28</v>
      </c>
      <c r="H225" s="37" t="n">
        <v>0.8073394495412844</v>
      </c>
      <c r="I225" s="37" t="n">
        <v>0.6</v>
      </c>
      <c r="J225" s="37" t="n">
        <v>0.8404255319148937</v>
      </c>
      <c r="K225" s="37" t="n">
        <v>1</v>
      </c>
      <c r="L225" s="37" t="n">
        <v>1</v>
      </c>
      <c r="M225" s="37" t="n">
        <v>0.944954128440367</v>
      </c>
      <c r="N225" s="37" t="n">
        <v>0.5321100917431193</v>
      </c>
      <c r="O225" s="36" t="n">
        <v>0.15</v>
      </c>
      <c r="P225" s="36" t="n">
        <v>3.88</v>
      </c>
      <c r="Q225" s="36" t="n">
        <v>7.78</v>
      </c>
      <c r="R225" s="36" t="n">
        <v>52.44</v>
      </c>
      <c r="S225" s="36" t="n">
        <v>0</v>
      </c>
      <c r="T225" s="37" t="n">
        <v>0.7290322580645161</v>
      </c>
      <c r="U225" s="37" t="n">
        <v>0.75</v>
      </c>
      <c r="V225" s="37" t="n">
        <v>0.7235772357723578</v>
      </c>
      <c r="W225" s="37" t="n">
        <v>0.7083333333333334</v>
      </c>
    </row>
    <row r="226">
      <c r="A226" s="53" t="n">
        <v>45754</v>
      </c>
      <c r="B226" t="inlineStr">
        <is>
          <t>R05_Jawa Tengah DIY</t>
        </is>
      </c>
      <c r="C226" t="inlineStr">
        <is>
          <t>NOP SEMARANG</t>
        </is>
      </c>
      <c r="D226" s="36" t="n">
        <v>1.95</v>
      </c>
      <c r="E226" s="36" t="n">
        <v>0</v>
      </c>
      <c r="F226" s="36" t="n">
        <v>2.62</v>
      </c>
      <c r="G226" s="36" t="n">
        <v>3.25</v>
      </c>
      <c r="H226" s="37" t="n">
        <v>0.5304347826086957</v>
      </c>
      <c r="I226" s="37" t="n">
        <v>0.8571428571428571</v>
      </c>
      <c r="J226" s="37" t="n">
        <v>0.5092592592592593</v>
      </c>
      <c r="K226" s="37" t="n">
        <v>1</v>
      </c>
      <c r="L226" s="37" t="n">
        <v>1</v>
      </c>
      <c r="M226" s="37" t="n">
        <v>0.9826086956521739</v>
      </c>
      <c r="N226" s="37" t="n">
        <v>0.3739130434782609</v>
      </c>
      <c r="O226" s="36" t="n">
        <v>0</v>
      </c>
      <c r="P226" s="36" t="n">
        <v>1.97</v>
      </c>
      <c r="Q226" s="36" t="n">
        <v>21.38</v>
      </c>
      <c r="R226" s="36" t="n">
        <v>63.9</v>
      </c>
      <c r="S226" s="36" t="n">
        <v>0</v>
      </c>
      <c r="T226" s="37" t="n">
        <v>0.615916955017301</v>
      </c>
      <c r="U226" s="37" t="n">
        <v>0.2916666666666667</v>
      </c>
      <c r="V226" s="37" t="n">
        <v>0.8461538461538461</v>
      </c>
      <c r="W226" s="37" t="n">
        <v>0.8857142857142857</v>
      </c>
    </row>
    <row r="227">
      <c r="A227" s="53" t="n">
        <v>45754</v>
      </c>
      <c r="B227" t="inlineStr">
        <is>
          <t>R05_Jawa Tengah DIY</t>
        </is>
      </c>
      <c r="C227" t="inlineStr">
        <is>
          <t>NOP SURAKARTA</t>
        </is>
      </c>
      <c r="D227" s="36" t="n">
        <v>3.83</v>
      </c>
      <c r="E227" s="36" t="n">
        <v>0</v>
      </c>
      <c r="F227" s="36" t="n">
        <v>2.8</v>
      </c>
      <c r="G227" s="36" t="n">
        <v>4.94</v>
      </c>
      <c r="H227" s="37" t="n">
        <v>0.5786163522012578</v>
      </c>
      <c r="I227" s="37" t="n">
        <v>0.8461538461538461</v>
      </c>
      <c r="J227" s="37" t="n">
        <v>0.5547945205479452</v>
      </c>
      <c r="K227" s="37" t="n">
        <v>1</v>
      </c>
      <c r="L227" s="37" t="n">
        <v>1</v>
      </c>
      <c r="M227" s="37" t="n">
        <v>0.9874213836477987</v>
      </c>
      <c r="N227" s="37" t="n">
        <v>0.4465408805031447</v>
      </c>
      <c r="O227" s="36" t="n">
        <v>0.12</v>
      </c>
      <c r="P227" s="36" t="n">
        <v>3.32</v>
      </c>
      <c r="Q227" s="36" t="n">
        <v>14.99</v>
      </c>
      <c r="R227" s="36" t="n">
        <v>97.98999999999999</v>
      </c>
      <c r="S227" s="36" t="n">
        <v>0</v>
      </c>
      <c r="T227" s="37" t="n">
        <v>0.7918552036199095</v>
      </c>
      <c r="U227" s="37" t="n">
        <v>0.7101449275362319</v>
      </c>
      <c r="V227" s="37" t="n">
        <v>0.8289473684210527</v>
      </c>
      <c r="W227" s="37" t="n">
        <v>0.7959183673469388</v>
      </c>
    </row>
    <row r="228">
      <c r="A228" s="53" t="n">
        <v>45754</v>
      </c>
      <c r="B228" t="inlineStr">
        <is>
          <t>R05_Jawa Tengah DIY</t>
        </is>
      </c>
      <c r="C228" t="inlineStr">
        <is>
          <t>NOP YOGYAKARTA</t>
        </is>
      </c>
      <c r="D228" s="36" t="n">
        <v>2.32</v>
      </c>
      <c r="E228" s="36" t="n">
        <v>0</v>
      </c>
      <c r="F228" s="36" t="n">
        <v>3.06</v>
      </c>
      <c r="G228" s="36" t="n">
        <v>3.29</v>
      </c>
      <c r="H228" s="37" t="n">
        <v>0.676923076923077</v>
      </c>
      <c r="I228" s="37" t="n">
        <v>1</v>
      </c>
      <c r="J228" s="37" t="n">
        <v>0.6557377049180327</v>
      </c>
      <c r="K228" s="37" t="n">
        <v>1</v>
      </c>
      <c r="L228" s="37" t="n">
        <v>1</v>
      </c>
      <c r="M228" s="37" t="n">
        <v>1</v>
      </c>
      <c r="N228" s="37" t="n">
        <v>0.5230769230769231</v>
      </c>
      <c r="O228" s="36" t="n">
        <v>0</v>
      </c>
      <c r="P228" s="36" t="n">
        <v>2.28</v>
      </c>
      <c r="Q228" s="36" t="n">
        <v>14.43</v>
      </c>
      <c r="R228" s="36" t="n">
        <v>43.34</v>
      </c>
      <c r="S228" s="36" t="n">
        <v>0</v>
      </c>
      <c r="T228" s="37" t="n">
        <v>0.9198473282442748</v>
      </c>
      <c r="U228" s="37" t="n">
        <v>0.7391304347826086</v>
      </c>
      <c r="V228" s="37" t="n">
        <v>0.9372384937238494</v>
      </c>
      <c r="W228" s="37" t="n">
        <v>0.9411764705882353</v>
      </c>
    </row>
    <row r="229">
      <c r="A229" s="53" t="n">
        <v>45754</v>
      </c>
      <c r="B229" t="inlineStr">
        <is>
          <t>R06_Jawa Timur</t>
        </is>
      </c>
      <c r="C229" t="inlineStr">
        <is>
          <t>NOP JEMBER</t>
        </is>
      </c>
      <c r="D229" s="36" t="n">
        <v>2.09</v>
      </c>
      <c r="E229" s="36" t="n">
        <v>2.64</v>
      </c>
      <c r="F229" s="36" t="n">
        <v>1.51</v>
      </c>
      <c r="G229" s="36" t="n">
        <v>2.94</v>
      </c>
      <c r="H229" s="37" t="n">
        <v>0.6575342465753424</v>
      </c>
      <c r="I229" s="37" t="n">
        <v>0.6428571428571429</v>
      </c>
      <c r="J229" s="37" t="n">
        <v>0.6610169491525424</v>
      </c>
      <c r="K229" s="37" t="n">
        <v>0.5555555555555556</v>
      </c>
      <c r="L229" s="37" t="n">
        <v>0.5555555555555556</v>
      </c>
      <c r="M229" s="37" t="n">
        <v>1</v>
      </c>
      <c r="N229" s="37" t="n">
        <v>0.3424657534246575</v>
      </c>
      <c r="O229" s="36" t="n">
        <v>0</v>
      </c>
      <c r="P229" s="36" t="n">
        <v>2.61</v>
      </c>
      <c r="Q229" s="36" t="n">
        <v>7.39</v>
      </c>
      <c r="R229" s="36" t="n">
        <v>75.05</v>
      </c>
      <c r="S229" s="36" t="n">
        <v>0</v>
      </c>
      <c r="T229" s="37" t="n">
        <v>0.8206896551724138</v>
      </c>
      <c r="U229" s="37" t="n">
        <v>0.8484848484848485</v>
      </c>
      <c r="V229" s="37" t="n">
        <v>0.8125</v>
      </c>
      <c r="W229" s="37" t="n">
        <v>0.75</v>
      </c>
    </row>
    <row r="230">
      <c r="A230" s="53" t="n">
        <v>45754</v>
      </c>
      <c r="B230" t="inlineStr">
        <is>
          <t>R06_Jawa Timur</t>
        </is>
      </c>
      <c r="C230" t="inlineStr">
        <is>
          <t>NOP KEDIRI</t>
        </is>
      </c>
      <c r="D230" s="36" t="n">
        <v>0</v>
      </c>
      <c r="E230" s="36" t="n">
        <v>0.7</v>
      </c>
      <c r="F230" s="36" t="n">
        <v>1.76</v>
      </c>
      <c r="G230" s="36" t="n">
        <v>1.08</v>
      </c>
      <c r="H230" s="37" t="n">
        <v>0.8979591836734694</v>
      </c>
      <c r="I230" s="37" t="n">
        <v>1</v>
      </c>
      <c r="J230" s="37" t="n">
        <v>0.8936170212765957</v>
      </c>
      <c r="K230" s="37" t="n">
        <v>0.5</v>
      </c>
      <c r="L230" s="37" t="n">
        <v>0.5</v>
      </c>
      <c r="M230" s="37" t="n">
        <v>1</v>
      </c>
      <c r="N230" s="37" t="n">
        <v>0.4489795918367347</v>
      </c>
      <c r="O230" s="36" t="n">
        <v>0</v>
      </c>
      <c r="P230" s="36" t="n">
        <v>1.96</v>
      </c>
      <c r="Q230" s="36" t="n">
        <v>3.59</v>
      </c>
      <c r="R230" s="36" t="n">
        <v>13.72</v>
      </c>
      <c r="S230" s="36" t="n">
        <v>0</v>
      </c>
      <c r="T230" s="37" t="n">
        <v>0.9473684210526315</v>
      </c>
      <c r="U230" s="37" t="n">
        <v>0.9166666666666666</v>
      </c>
      <c r="V230" s="37" t="n">
        <v>0.9555555555555556</v>
      </c>
      <c r="W230" s="37" t="n">
        <v>0.8181818181818182</v>
      </c>
    </row>
    <row r="231">
      <c r="A231" s="53" t="n">
        <v>45754</v>
      </c>
      <c r="B231" t="inlineStr">
        <is>
          <t>R06_Jawa Timur</t>
        </is>
      </c>
      <c r="C231" t="inlineStr">
        <is>
          <t>NOP LAMONGAN</t>
        </is>
      </c>
      <c r="D231" s="36" t="n">
        <v>2.15</v>
      </c>
      <c r="E231" s="36" t="n">
        <v>1.01</v>
      </c>
      <c r="F231" s="36" t="n">
        <v>3.22</v>
      </c>
      <c r="G231" s="36" t="n">
        <v>3.2</v>
      </c>
      <c r="H231" s="37" t="n">
        <v>0.84</v>
      </c>
      <c r="I231" s="37" t="n">
        <v>1</v>
      </c>
      <c r="J231" s="37" t="n">
        <v>0.813953488372093</v>
      </c>
      <c r="K231" s="37" t="n">
        <v>0.8571428571428571</v>
      </c>
      <c r="L231" s="37" t="n">
        <v>0.8571428571428571</v>
      </c>
      <c r="M231" s="37" t="n">
        <v>1</v>
      </c>
      <c r="N231" s="37" t="n">
        <v>0.7</v>
      </c>
      <c r="O231" s="36" t="n">
        <v>0</v>
      </c>
      <c r="P231" s="36" t="n">
        <v>3.02</v>
      </c>
      <c r="Q231" s="36" t="n">
        <v>10.74</v>
      </c>
      <c r="R231" s="36" t="n">
        <v>36.18</v>
      </c>
      <c r="S231" s="36" t="n">
        <v>0</v>
      </c>
      <c r="T231" s="37" t="n">
        <v>0.7424242424242424</v>
      </c>
      <c r="U231" s="37" t="n">
        <v>0.6296296296296297</v>
      </c>
      <c r="V231" s="37" t="n">
        <v>0.8205128205128205</v>
      </c>
      <c r="W231" s="37" t="n">
        <v>0.9411764705882353</v>
      </c>
    </row>
    <row r="232">
      <c r="A232" s="53" t="n">
        <v>45754</v>
      </c>
      <c r="B232" t="inlineStr">
        <is>
          <t>R06_Jawa Timur</t>
        </is>
      </c>
      <c r="C232" t="inlineStr">
        <is>
          <t>NOP MADIUN</t>
        </is>
      </c>
      <c r="D232" s="36" t="n">
        <v>0</v>
      </c>
      <c r="E232" s="36" t="n">
        <v>0</v>
      </c>
      <c r="F232" s="36" t="n">
        <v>3.24</v>
      </c>
      <c r="G232" s="36" t="n">
        <v>2.56</v>
      </c>
      <c r="H232" s="37" t="n">
        <v>0.7346938775510204</v>
      </c>
      <c r="I232" s="37" t="n">
        <v>0</v>
      </c>
      <c r="J232" s="37" t="n">
        <v>0.7346938775510204</v>
      </c>
      <c r="K232" s="37" t="n">
        <v>0</v>
      </c>
      <c r="L232" s="37" t="n">
        <v>0</v>
      </c>
      <c r="M232" s="37" t="n">
        <v>1</v>
      </c>
      <c r="N232" s="37" t="n">
        <v>0.4285714285714285</v>
      </c>
      <c r="O232" s="36" t="n">
        <v>0</v>
      </c>
      <c r="P232" s="36" t="n">
        <v>2.83</v>
      </c>
      <c r="Q232" s="36" t="n">
        <v>7.99</v>
      </c>
      <c r="R232" s="36" t="n">
        <v>21.68</v>
      </c>
      <c r="S232" s="36" t="n">
        <v>0</v>
      </c>
      <c r="T232" s="37" t="n">
        <v>0.6818181818181818</v>
      </c>
      <c r="U232" s="37" t="n">
        <v>0.6206896551724138</v>
      </c>
      <c r="V232" s="37" t="n">
        <v>0.711864406779661</v>
      </c>
      <c r="W232" s="37" t="n">
        <v>0.6666666666666666</v>
      </c>
    </row>
    <row r="233">
      <c r="A233" s="53" t="n">
        <v>45754</v>
      </c>
      <c r="B233" t="inlineStr">
        <is>
          <t>R06_Jawa Timur</t>
        </is>
      </c>
      <c r="C233" t="inlineStr">
        <is>
          <t>NOP MALANG</t>
        </is>
      </c>
      <c r="D233" s="36" t="n">
        <v>0</v>
      </c>
      <c r="E233" s="36" t="n">
        <v>0</v>
      </c>
      <c r="F233" s="36" t="n">
        <v>2.23</v>
      </c>
      <c r="G233" s="36" t="n">
        <v>2.31</v>
      </c>
      <c r="H233" s="37" t="n">
        <v>0.8275862068965517</v>
      </c>
      <c r="I233" s="37" t="n">
        <v>0</v>
      </c>
      <c r="J233" s="37" t="n">
        <v>0.8275862068965517</v>
      </c>
      <c r="K233" s="37" t="n">
        <v>0</v>
      </c>
      <c r="L233" s="37" t="n">
        <v>0</v>
      </c>
      <c r="M233" s="37" t="n">
        <v>1</v>
      </c>
      <c r="N233" s="37" t="n">
        <v>0.7701149425287356</v>
      </c>
      <c r="O233" s="36" t="n">
        <v>0.02</v>
      </c>
      <c r="P233" s="36" t="n">
        <v>3.09</v>
      </c>
      <c r="Q233" s="36" t="n">
        <v>2.79</v>
      </c>
      <c r="R233" s="36" t="n">
        <v>39.3</v>
      </c>
      <c r="S233" s="36" t="n">
        <v>0</v>
      </c>
      <c r="T233" s="37" t="n">
        <v>0.7758620689655172</v>
      </c>
      <c r="U233" s="37" t="n">
        <v>0.6363636363636364</v>
      </c>
      <c r="V233" s="37" t="n">
        <v>0.8611111111111112</v>
      </c>
      <c r="W233" s="37" t="n">
        <v>0.5714285714285714</v>
      </c>
    </row>
    <row r="234">
      <c r="A234" s="53" t="n">
        <v>45754</v>
      </c>
      <c r="B234" t="inlineStr">
        <is>
          <t>R06_Jawa Timur</t>
        </is>
      </c>
      <c r="C234" t="inlineStr">
        <is>
          <t>NOP SIDOARJO</t>
        </is>
      </c>
      <c r="D234" s="36" t="n">
        <v>4.15</v>
      </c>
      <c r="E234" s="36" t="n">
        <v>0</v>
      </c>
      <c r="F234" s="36" t="n">
        <v>3.79</v>
      </c>
      <c r="G234" s="36" t="n">
        <v>2.99</v>
      </c>
      <c r="H234" s="37" t="n">
        <v>0.7719298245614035</v>
      </c>
      <c r="I234" s="37" t="n">
        <v>1</v>
      </c>
      <c r="J234" s="37" t="n">
        <v>0.74</v>
      </c>
      <c r="K234" s="37" t="n">
        <v>0.8571428571428571</v>
      </c>
      <c r="L234" s="37" t="n">
        <v>0.8571428571428571</v>
      </c>
      <c r="M234" s="37" t="n">
        <v>1</v>
      </c>
      <c r="N234" s="37" t="n">
        <v>0.5263157894736842</v>
      </c>
      <c r="O234" s="36" t="n">
        <v>0</v>
      </c>
      <c r="P234" s="36" t="n">
        <v>117.87</v>
      </c>
      <c r="Q234" s="36" t="n">
        <v>11.18</v>
      </c>
      <c r="R234" s="36" t="n">
        <v>95.33</v>
      </c>
      <c r="S234" s="36" t="n">
        <v>0</v>
      </c>
      <c r="T234" s="37" t="n">
        <v>0.7578947368421053</v>
      </c>
      <c r="U234" s="37" t="n">
        <v>0.3571428571428572</v>
      </c>
      <c r="V234" s="37" t="n">
        <v>0.8271604938271605</v>
      </c>
      <c r="W234" s="37" t="n">
        <v>0.6</v>
      </c>
    </row>
    <row r="235">
      <c r="A235" s="53" t="n">
        <v>45754</v>
      </c>
      <c r="B235" t="inlineStr">
        <is>
          <t>R06_Jawa Timur</t>
        </is>
      </c>
      <c r="C235" t="inlineStr">
        <is>
          <t>NOP SURABAYA</t>
        </is>
      </c>
      <c r="D235" s="36" t="n">
        <v>3.59</v>
      </c>
      <c r="E235" s="36" t="n">
        <v>0</v>
      </c>
      <c r="F235" s="36" t="n">
        <v>6.6</v>
      </c>
      <c r="G235" s="36" t="n">
        <v>2.7</v>
      </c>
      <c r="H235" s="37" t="n">
        <v>0.5555555555555556</v>
      </c>
      <c r="I235" s="37" t="n">
        <v>0.25</v>
      </c>
      <c r="J235" s="37" t="n">
        <v>0.5904761904761905</v>
      </c>
      <c r="K235" s="37" t="n">
        <v>1</v>
      </c>
      <c r="L235" s="37" t="n">
        <v>1</v>
      </c>
      <c r="M235" s="37" t="n">
        <v>0.9743589743589743</v>
      </c>
      <c r="N235" s="37" t="n">
        <v>0.3418803418803419</v>
      </c>
      <c r="O235" s="36" t="n">
        <v>0.04</v>
      </c>
      <c r="P235" s="36" t="n">
        <v>1.76</v>
      </c>
      <c r="Q235" s="36" t="n">
        <v>8.039999999999999</v>
      </c>
      <c r="R235" s="36" t="n">
        <v>30.84</v>
      </c>
      <c r="S235" s="36" t="n">
        <v>0</v>
      </c>
      <c r="T235" s="37" t="n">
        <v>0.6138211382113821</v>
      </c>
      <c r="U235" s="37" t="n">
        <v>0.3333333333333333</v>
      </c>
      <c r="V235" s="37" t="n">
        <v>0.6572769953051644</v>
      </c>
      <c r="W235" s="37" t="n">
        <v>0.4545454545454545</v>
      </c>
    </row>
    <row r="236">
      <c r="A236" s="53" t="n">
        <v>45754</v>
      </c>
      <c r="B236" t="inlineStr">
        <is>
          <t>R07_Bali Nusra</t>
        </is>
      </c>
      <c r="C236" t="inlineStr">
        <is>
          <t>NOP DENPASAR</t>
        </is>
      </c>
      <c r="D236" s="36" t="n">
        <v>1.8</v>
      </c>
      <c r="E236" s="36" t="n">
        <v>0</v>
      </c>
      <c r="F236" s="36" t="n">
        <v>3.24</v>
      </c>
      <c r="G236" s="36" t="n">
        <v>3.24</v>
      </c>
      <c r="H236" s="37" t="n">
        <v>0.84375</v>
      </c>
      <c r="I236" s="37" t="n">
        <v>0.7857142857142857</v>
      </c>
      <c r="J236" s="37" t="n">
        <v>0.86</v>
      </c>
      <c r="K236" s="37" t="n">
        <v>0.9090909090909091</v>
      </c>
      <c r="L236" s="37" t="n">
        <v>0.9090909090909091</v>
      </c>
      <c r="M236" s="37" t="n">
        <v>0.96875</v>
      </c>
      <c r="N236" s="37" t="n">
        <v>0.890625</v>
      </c>
      <c r="O236" s="36" t="n">
        <v>0</v>
      </c>
      <c r="P236" s="36" t="n">
        <v>106.52</v>
      </c>
      <c r="Q236" s="36" t="n">
        <v>40.9</v>
      </c>
      <c r="R236" s="36" t="n">
        <v>80.22</v>
      </c>
      <c r="S236" s="36" t="n">
        <v>0</v>
      </c>
      <c r="T236" s="37" t="n">
        <v>0.8648648648648649</v>
      </c>
      <c r="U236" s="37" t="n">
        <v>0.7586206896551724</v>
      </c>
      <c r="V236" s="37" t="n">
        <v>0.9024390243902439</v>
      </c>
      <c r="W236" s="37" t="n">
        <v>0.4090909090909091</v>
      </c>
    </row>
    <row r="237">
      <c r="A237" s="53" t="n">
        <v>45754</v>
      </c>
      <c r="B237" t="inlineStr">
        <is>
          <t>R07_Bali Nusra</t>
        </is>
      </c>
      <c r="C237" t="inlineStr">
        <is>
          <t>NOP FLORES</t>
        </is>
      </c>
      <c r="D237" s="36" t="n">
        <v>3.76</v>
      </c>
      <c r="E237" s="36" t="n">
        <v>3.8</v>
      </c>
      <c r="F237" s="36" t="n">
        <v>7.26</v>
      </c>
      <c r="G237" s="36" t="n">
        <v>8</v>
      </c>
      <c r="H237" s="37" t="n">
        <v>0.3419023136246787</v>
      </c>
      <c r="I237" s="37" t="n">
        <v>0.4487179487179487</v>
      </c>
      <c r="J237" s="37" t="n">
        <v>0.3151125401929261</v>
      </c>
      <c r="K237" s="37" t="n">
        <v>0.5142857142857142</v>
      </c>
      <c r="L237" s="37" t="n">
        <v>0.5142857142857142</v>
      </c>
      <c r="M237" s="37" t="n">
        <v>0.9897172236503856</v>
      </c>
      <c r="N237" s="37" t="n">
        <v>0.1748071979434447</v>
      </c>
      <c r="O237" s="36" t="n">
        <v>0.17</v>
      </c>
      <c r="P237" s="36" t="n">
        <v>14.11</v>
      </c>
      <c r="Q237" s="36" t="n">
        <v>9.970000000000001</v>
      </c>
      <c r="R237" s="36" t="n">
        <v>37.1</v>
      </c>
      <c r="S237" s="36" t="n">
        <v>0</v>
      </c>
      <c r="T237" s="37" t="n">
        <v>0.3844155844155844</v>
      </c>
      <c r="U237" s="37" t="n">
        <v>0.4228675136116152</v>
      </c>
      <c r="V237" s="37" t="n">
        <v>0.2876712328767123</v>
      </c>
      <c r="W237" s="37" t="n">
        <v>0.6223175965665236</v>
      </c>
    </row>
    <row r="238">
      <c r="A238" s="53" t="n">
        <v>45754</v>
      </c>
      <c r="B238" t="inlineStr">
        <is>
          <t>R07_Bali Nusra</t>
        </is>
      </c>
      <c r="C238" t="inlineStr">
        <is>
          <t>NOP KUPANG</t>
        </is>
      </c>
      <c r="D238" s="36" t="n">
        <v>0.8100000000000001</v>
      </c>
      <c r="E238" s="36" t="n">
        <v>2.37</v>
      </c>
      <c r="F238" s="36" t="n">
        <v>3.86</v>
      </c>
      <c r="G238" s="36" t="n">
        <v>5.74</v>
      </c>
      <c r="H238" s="37" t="n">
        <v>0.485</v>
      </c>
      <c r="I238" s="37" t="n">
        <v>0.4583333333333333</v>
      </c>
      <c r="J238" s="37" t="n">
        <v>0.4886363636363636</v>
      </c>
      <c r="K238" s="37" t="n">
        <v>0.5454545454545454</v>
      </c>
      <c r="L238" s="37" t="n">
        <v>0.5454545454545454</v>
      </c>
      <c r="M238" s="37" t="n">
        <v>0.995</v>
      </c>
      <c r="N238" s="37" t="n">
        <v>0.16</v>
      </c>
      <c r="O238" s="36" t="n">
        <v>0.01</v>
      </c>
      <c r="P238" s="36" t="n">
        <v>22.43</v>
      </c>
      <c r="Q238" s="36" t="n">
        <v>41.11</v>
      </c>
      <c r="R238" s="36" t="n">
        <v>141.92</v>
      </c>
      <c r="S238" s="36" t="n">
        <v>0</v>
      </c>
      <c r="T238" s="37" t="n">
        <v>0.5819397993311036</v>
      </c>
      <c r="U238" s="37" t="n">
        <v>0.625</v>
      </c>
      <c r="V238" s="37" t="n">
        <v>0.5046728971962616</v>
      </c>
      <c r="W238" s="37" t="n">
        <v>0.6</v>
      </c>
    </row>
    <row r="239">
      <c r="A239" s="53" t="n">
        <v>45754</v>
      </c>
      <c r="B239" t="inlineStr">
        <is>
          <t>R07_Bali Nusra</t>
        </is>
      </c>
      <c r="C239" t="inlineStr">
        <is>
          <t>NOP MATARAM</t>
        </is>
      </c>
      <c r="D239" s="36" t="n">
        <v>3.45</v>
      </c>
      <c r="E239" s="36" t="n">
        <v>6.25</v>
      </c>
      <c r="F239" s="36" t="n">
        <v>2.99</v>
      </c>
      <c r="G239" s="36" t="n">
        <v>8.94</v>
      </c>
      <c r="H239" s="37" t="n">
        <v>0.3947368421052632</v>
      </c>
      <c r="I239" s="37" t="n">
        <v>0.75</v>
      </c>
      <c r="J239" s="37" t="n">
        <v>0.3529411764705883</v>
      </c>
      <c r="K239" s="37" t="n">
        <v>0.6666666666666666</v>
      </c>
      <c r="L239" s="37" t="n">
        <v>0.6666666666666666</v>
      </c>
      <c r="M239" s="37" t="n">
        <v>1</v>
      </c>
      <c r="N239" s="37" t="n">
        <v>0.25</v>
      </c>
      <c r="O239" s="36" t="n">
        <v>0</v>
      </c>
      <c r="P239" s="36" t="n">
        <v>41.04</v>
      </c>
      <c r="Q239" s="36" t="n">
        <v>8.619999999999999</v>
      </c>
      <c r="R239" s="36" t="n">
        <v>23.03</v>
      </c>
      <c r="S239" s="36" t="n">
        <v>0</v>
      </c>
      <c r="T239" s="37" t="n">
        <v>0.2888888888888889</v>
      </c>
      <c r="U239" s="37" t="n">
        <v>0.2993197278911565</v>
      </c>
      <c r="V239" s="37" t="n">
        <v>0.2797619047619048</v>
      </c>
      <c r="W239" s="37" t="n">
        <v>0.6590909090909091</v>
      </c>
    </row>
    <row r="240">
      <c r="A240" s="53" t="n">
        <v>45755</v>
      </c>
      <c r="B240" t="inlineStr">
        <is>
          <t>R01_Sumbagut</t>
        </is>
      </c>
      <c r="C240" t="inlineStr">
        <is>
          <t>NOP ACEH</t>
        </is>
      </c>
      <c r="D240" s="36" t="n">
        <v>2.15</v>
      </c>
      <c r="E240" s="36" t="n">
        <v>4.59</v>
      </c>
      <c r="F240" s="36" t="n">
        <v>13.66</v>
      </c>
      <c r="G240" s="36" t="n">
        <v>7.53</v>
      </c>
      <c r="H240" s="37" t="n">
        <v>0.8454172366621067</v>
      </c>
      <c r="I240" s="37" t="n">
        <v>0.8878923766816144</v>
      </c>
      <c r="J240" s="37" t="n">
        <v>0.8267716535433071</v>
      </c>
      <c r="K240" s="37" t="n">
        <v>0.3838383838383838</v>
      </c>
      <c r="L240" s="37" t="n">
        <v>0.3857868020304568</v>
      </c>
      <c r="M240" s="37" t="n">
        <v>1</v>
      </c>
      <c r="N240" s="37" t="n">
        <v>0.2941176470588235</v>
      </c>
      <c r="O240" s="36" t="n">
        <v>0.04</v>
      </c>
      <c r="P240" s="36" t="n">
        <v>3.85</v>
      </c>
      <c r="Q240" s="36" t="n">
        <v>57.11</v>
      </c>
      <c r="R240" s="36" t="n">
        <v>129.47</v>
      </c>
      <c r="S240" s="36" t="n">
        <v>0</v>
      </c>
      <c r="T240" s="37" t="n">
        <v>0.872303409881698</v>
      </c>
      <c r="U240" s="37" t="n">
        <v>0.6871345029239766</v>
      </c>
      <c r="V240" s="37" t="n">
        <v>0.8973143759873617</v>
      </c>
      <c r="W240" s="37" t="n">
        <v>0.2042553191489362</v>
      </c>
    </row>
    <row r="241">
      <c r="A241" s="53" t="n">
        <v>45755</v>
      </c>
      <c r="B241" t="inlineStr">
        <is>
          <t>R01_Sumbagut</t>
        </is>
      </c>
      <c r="C241" t="inlineStr">
        <is>
          <t>NOP BINJAI</t>
        </is>
      </c>
      <c r="D241" s="36" t="n">
        <v>0</v>
      </c>
      <c r="E241" s="36" t="n">
        <v>4.2</v>
      </c>
      <c r="F241" s="36" t="n">
        <v>3.31</v>
      </c>
      <c r="G241" s="36" t="n">
        <v>4.57</v>
      </c>
      <c r="H241" s="37" t="n">
        <v>0.5585585585585585</v>
      </c>
      <c r="I241" s="37" t="n">
        <v>0.6349206349206349</v>
      </c>
      <c r="J241" s="37" t="n">
        <v>0.5407407407407407</v>
      </c>
      <c r="K241" s="37" t="n">
        <v>0.45</v>
      </c>
      <c r="L241" s="37" t="n">
        <v>0.45</v>
      </c>
      <c r="M241" s="37" t="n">
        <v>1</v>
      </c>
      <c r="N241" s="37" t="n">
        <v>0.2732732732732733</v>
      </c>
      <c r="O241" s="36" t="n">
        <v>0.01</v>
      </c>
      <c r="P241" s="36" t="n">
        <v>2.94</v>
      </c>
      <c r="Q241" s="36" t="n">
        <v>35.76</v>
      </c>
      <c r="R241" s="36" t="n">
        <v>68.39</v>
      </c>
      <c r="S241" s="36" t="n">
        <v>0</v>
      </c>
      <c r="T241" s="37" t="n">
        <v>0.6078431372549019</v>
      </c>
      <c r="U241" s="37" t="n">
        <v>0.5714285714285714</v>
      </c>
      <c r="V241" s="37" t="n">
        <v>0.6122448979591837</v>
      </c>
      <c r="W241" s="37" t="n">
        <v>0.4204545454545455</v>
      </c>
    </row>
    <row r="242">
      <c r="A242" s="53" t="n">
        <v>45755</v>
      </c>
      <c r="B242" t="inlineStr">
        <is>
          <t>R01_Sumbagut</t>
        </is>
      </c>
      <c r="C242" t="inlineStr">
        <is>
          <t>NOP MEDAN</t>
        </is>
      </c>
      <c r="D242" s="36" t="n">
        <v>0</v>
      </c>
      <c r="E242" s="36" t="n">
        <v>2.54</v>
      </c>
      <c r="F242" s="36" t="n">
        <v>4.01</v>
      </c>
      <c r="G242" s="36" t="n">
        <v>3.05</v>
      </c>
      <c r="H242" s="37" t="n">
        <v>0.3853211009174312</v>
      </c>
      <c r="I242" s="37" t="n">
        <v>0.52</v>
      </c>
      <c r="J242" s="37" t="n">
        <v>0.3452380952380952</v>
      </c>
      <c r="K242" s="37" t="n">
        <v>0.8461538461538461</v>
      </c>
      <c r="L242" s="37" t="n">
        <v>0.8461538461538461</v>
      </c>
      <c r="M242" s="37" t="n">
        <v>1</v>
      </c>
      <c r="N242" s="37" t="n">
        <v>0.2431192660550459</v>
      </c>
      <c r="O242" s="36" t="n">
        <v>0</v>
      </c>
      <c r="P242" s="36" t="n">
        <v>3</v>
      </c>
      <c r="Q242" s="36" t="n">
        <v>15.45</v>
      </c>
      <c r="R242" s="36" t="n">
        <v>22.21</v>
      </c>
      <c r="S242" s="36" t="n">
        <v>0</v>
      </c>
      <c r="T242" s="37" t="n">
        <v>0.2455516014234875</v>
      </c>
      <c r="U242" s="37" t="n">
        <v>0.1976744186046512</v>
      </c>
      <c r="V242" s="37" t="n">
        <v>0.2786885245901639</v>
      </c>
      <c r="W242" s="37" t="n">
        <v>0.9411764705882353</v>
      </c>
    </row>
    <row r="243">
      <c r="A243" s="53" t="n">
        <v>45755</v>
      </c>
      <c r="B243" t="inlineStr">
        <is>
          <t>R01_Sumbagut</t>
        </is>
      </c>
      <c r="C243" t="inlineStr">
        <is>
          <t>NOP PADANG SIDEMPUAN</t>
        </is>
      </c>
      <c r="D243" s="36" t="n">
        <v>0.84</v>
      </c>
      <c r="E243" s="36" t="n">
        <v>5.55</v>
      </c>
      <c r="F243" s="36" t="n">
        <v>4.32</v>
      </c>
      <c r="G243" s="36" t="n">
        <v>6.22</v>
      </c>
      <c r="H243" s="37" t="n">
        <v>0.3150442477876106</v>
      </c>
      <c r="I243" s="37" t="n">
        <v>0.5441176470588235</v>
      </c>
      <c r="J243" s="37" t="n">
        <v>0.2837022132796781</v>
      </c>
      <c r="K243" s="37" t="n">
        <v>0.4594594594594595</v>
      </c>
      <c r="L243" s="37" t="n">
        <v>0.4594594594594595</v>
      </c>
      <c r="M243" s="37" t="n">
        <v>0.9946902654867257</v>
      </c>
      <c r="N243" s="37" t="n">
        <v>0.1380530973451327</v>
      </c>
      <c r="O243" s="36" t="n">
        <v>0.01</v>
      </c>
      <c r="P243" s="36" t="n">
        <v>2.06</v>
      </c>
      <c r="Q243" s="36" t="n">
        <v>12.86</v>
      </c>
      <c r="R243" s="36" t="n">
        <v>100.2</v>
      </c>
      <c r="S243" s="36" t="n">
        <v>0</v>
      </c>
      <c r="T243" s="37" t="n">
        <v>0.2861244019138756</v>
      </c>
      <c r="U243" s="37" t="n">
        <v>0.4252873563218391</v>
      </c>
      <c r="V243" s="37" t="n">
        <v>0.2396166134185304</v>
      </c>
      <c r="W243" s="37" t="n">
        <v>0.4954954954954955</v>
      </c>
    </row>
    <row r="244">
      <c r="A244" s="53" t="n">
        <v>45755</v>
      </c>
      <c r="B244" t="inlineStr">
        <is>
          <t>R01_Sumbagut</t>
        </is>
      </c>
      <c r="C244" t="inlineStr">
        <is>
          <t>NOP PEMATANG SIANTAR</t>
        </is>
      </c>
      <c r="D244" s="36" t="n">
        <v>1.34</v>
      </c>
      <c r="E244" s="36" t="n">
        <v>4.63</v>
      </c>
      <c r="F244" s="36" t="n">
        <v>4.48</v>
      </c>
      <c r="G244" s="36" t="n">
        <v>5.4</v>
      </c>
      <c r="H244" s="37" t="n">
        <v>0.324468085106383</v>
      </c>
      <c r="I244" s="37" t="n">
        <v>0.3362445414847162</v>
      </c>
      <c r="J244" s="37" t="n">
        <v>0.3193116634799235</v>
      </c>
      <c r="K244" s="37" t="n">
        <v>0.6103896103896104</v>
      </c>
      <c r="L244" s="37" t="n">
        <v>0.618421052631579</v>
      </c>
      <c r="M244" s="37" t="n">
        <v>0.9986702127659575</v>
      </c>
      <c r="N244" s="37" t="n">
        <v>0.1648936170212766</v>
      </c>
      <c r="O244" s="36" t="n">
        <v>0.01</v>
      </c>
      <c r="P244" s="36" t="n">
        <v>3.6</v>
      </c>
      <c r="Q244" s="36" t="n">
        <v>74.25</v>
      </c>
      <c r="R244" s="36" t="n">
        <v>56.18</v>
      </c>
      <c r="S244" s="36" t="n">
        <v>0</v>
      </c>
      <c r="T244" s="37" t="n">
        <v>0.100214938205266</v>
      </c>
      <c r="U244" s="37" t="n">
        <v>0.2894056847545219</v>
      </c>
      <c r="V244" s="37" t="n">
        <v>0.07671480144404332</v>
      </c>
      <c r="W244" s="37" t="n">
        <v>0.8303571428571429</v>
      </c>
    </row>
    <row r="245">
      <c r="A245" s="53" t="n">
        <v>45755</v>
      </c>
      <c r="B245" t="inlineStr">
        <is>
          <t>R01_Sumbagut</t>
        </is>
      </c>
      <c r="C245" t="inlineStr">
        <is>
          <t>NOP RANTAU PRAPAT</t>
        </is>
      </c>
      <c r="D245" s="36" t="n">
        <v>4.05</v>
      </c>
      <c r="E245" s="36" t="n">
        <v>7.8</v>
      </c>
      <c r="F245" s="36" t="n">
        <v>6.51</v>
      </c>
      <c r="G245" s="36" t="n">
        <v>6.6</v>
      </c>
      <c r="H245" s="37" t="n">
        <v>0.2604651162790698</v>
      </c>
      <c r="I245" s="37" t="n">
        <v>0.2419928825622776</v>
      </c>
      <c r="J245" s="37" t="n">
        <v>0.265609514370664</v>
      </c>
      <c r="K245" s="37" t="n">
        <v>0.5294117647058824</v>
      </c>
      <c r="L245" s="37" t="n">
        <v>0.5294117647058824</v>
      </c>
      <c r="M245" s="37" t="n">
        <v>0.9829457364341085</v>
      </c>
      <c r="N245" s="37" t="n">
        <v>0.1534883720930233</v>
      </c>
      <c r="O245" s="36" t="n">
        <v>0</v>
      </c>
      <c r="P245" s="36" t="n">
        <v>4.38</v>
      </c>
      <c r="Q245" s="36" t="n">
        <v>29.22</v>
      </c>
      <c r="R245" s="36" t="n">
        <v>30.65</v>
      </c>
      <c r="S245" s="36" t="n">
        <v>0</v>
      </c>
      <c r="T245" s="37" t="n">
        <v>0.06010544815465729</v>
      </c>
      <c r="U245" s="37" t="n">
        <v>0.1267605633802817</v>
      </c>
      <c r="V245" s="37" t="n">
        <v>0.04565656565656566</v>
      </c>
      <c r="W245" s="37" t="n">
        <v>0.6888888888888889</v>
      </c>
    </row>
    <row r="246">
      <c r="A246" s="53" t="n">
        <v>45755</v>
      </c>
      <c r="B246" t="inlineStr">
        <is>
          <t>R10_Sumbagteng</t>
        </is>
      </c>
      <c r="C246" t="inlineStr">
        <is>
          <t>NOP BATAM</t>
        </is>
      </c>
      <c r="D246" s="36" t="n">
        <v>1.16</v>
      </c>
      <c r="E246" s="36" t="n">
        <v>6.61</v>
      </c>
      <c r="F246" s="36" t="n">
        <v>6.26</v>
      </c>
      <c r="G246" s="36" t="n">
        <v>9.130000000000001</v>
      </c>
      <c r="H246" s="37" t="n">
        <v>0.2266949152542373</v>
      </c>
      <c r="I246" s="37" t="n">
        <v>0.2690058479532164</v>
      </c>
      <c r="J246" s="37" t="n">
        <v>0.2173350582147477</v>
      </c>
      <c r="K246" s="37" t="n">
        <v>0.6956521739130435</v>
      </c>
      <c r="L246" s="37" t="n">
        <v>0.6956521739130435</v>
      </c>
      <c r="M246" s="37" t="n">
        <v>0.9925847457627118</v>
      </c>
      <c r="N246" s="37" t="n">
        <v>0.1419491525423729</v>
      </c>
      <c r="O246" s="36" t="n">
        <v>0</v>
      </c>
      <c r="P246" s="36" t="n">
        <v>9.08</v>
      </c>
      <c r="Q246" s="36" t="n">
        <v>39.59</v>
      </c>
      <c r="R246" s="36" t="n">
        <v>22</v>
      </c>
      <c r="S246" s="36" t="n">
        <v>0</v>
      </c>
      <c r="T246" s="37" t="n">
        <v>0.07895677027509825</v>
      </c>
      <c r="U246" s="37" t="n">
        <v>0.1762013729977117</v>
      </c>
      <c r="V246" s="37" t="n">
        <v>0.06109461179465422</v>
      </c>
      <c r="W246" s="37" t="n">
        <v>0.8961038961038961</v>
      </c>
    </row>
    <row r="247">
      <c r="A247" s="53" t="n">
        <v>45755</v>
      </c>
      <c r="B247" t="inlineStr">
        <is>
          <t>R10_Sumbagteng</t>
        </is>
      </c>
      <c r="C247" t="inlineStr">
        <is>
          <t>NOP BUKITTINGGI</t>
        </is>
      </c>
      <c r="D247" s="36" t="n">
        <v>2.04</v>
      </c>
      <c r="E247" s="36" t="n">
        <v>6.03</v>
      </c>
      <c r="F247" s="36" t="n">
        <v>3.34</v>
      </c>
      <c r="G247" s="36" t="n">
        <v>4.62</v>
      </c>
      <c r="H247" s="37" t="n">
        <v>0.75</v>
      </c>
      <c r="I247" s="37" t="n">
        <v>0.8026315789473685</v>
      </c>
      <c r="J247" s="37" t="n">
        <v>0.7348484848484849</v>
      </c>
      <c r="K247" s="37" t="n">
        <v>0.6229508196721312</v>
      </c>
      <c r="L247" s="37" t="n">
        <v>0.6229508196721312</v>
      </c>
      <c r="M247" s="37" t="n">
        <v>0.9941176470588236</v>
      </c>
      <c r="N247" s="37" t="n">
        <v>0.4176470588235294</v>
      </c>
      <c r="O247" s="36" t="n">
        <v>0</v>
      </c>
      <c r="P247" s="36" t="n">
        <v>3.82</v>
      </c>
      <c r="Q247" s="36" t="n">
        <v>7</v>
      </c>
      <c r="R247" s="36" t="n">
        <v>156.17</v>
      </c>
      <c r="S247" s="36" t="n">
        <v>0</v>
      </c>
      <c r="T247" s="37" t="n">
        <v>0.3271923360353721</v>
      </c>
      <c r="U247" s="37" t="n">
        <v>0.7642276422764228</v>
      </c>
      <c r="V247" s="37" t="n">
        <v>0.2832792207792208</v>
      </c>
      <c r="W247" s="37" t="n">
        <v>0.574468085106383</v>
      </c>
    </row>
    <row r="248">
      <c r="A248" s="53" t="n">
        <v>45755</v>
      </c>
      <c r="B248" t="inlineStr">
        <is>
          <t>R10_Sumbagteng</t>
        </is>
      </c>
      <c r="C248" t="inlineStr">
        <is>
          <t>NOP DUMAI</t>
        </is>
      </c>
      <c r="D248" s="36" t="n">
        <v>6.57</v>
      </c>
      <c r="E248" s="36" t="n">
        <v>6.98</v>
      </c>
      <c r="F248" s="36" t="n">
        <v>5.8</v>
      </c>
      <c r="G248" s="36" t="n">
        <v>5.98</v>
      </c>
      <c r="H248" s="37" t="n">
        <v>0.3741324921135647</v>
      </c>
      <c r="I248" s="37" t="n">
        <v>0.4507772020725389</v>
      </c>
      <c r="J248" s="37" t="n">
        <v>0.3494578815679733</v>
      </c>
      <c r="K248" s="37" t="n">
        <v>0.6954022988505747</v>
      </c>
      <c r="L248" s="37" t="n">
        <v>0.7345679012345679</v>
      </c>
      <c r="M248" s="37" t="n">
        <v>0.9703470031545741</v>
      </c>
      <c r="N248" s="37" t="n">
        <v>0.2138801261829653</v>
      </c>
      <c r="O248" s="36" t="n">
        <v>0.16</v>
      </c>
      <c r="P248" s="36" t="n">
        <v>5.63</v>
      </c>
      <c r="Q248" s="36" t="n">
        <v>50.21</v>
      </c>
      <c r="R248" s="36" t="n">
        <v>137.77</v>
      </c>
      <c r="S248" s="36" t="n">
        <v>0</v>
      </c>
      <c r="T248" s="37" t="n">
        <v>0.2600607441154138</v>
      </c>
      <c r="U248" s="37" t="n">
        <v>0.2694300518134715</v>
      </c>
      <c r="V248" s="37" t="n">
        <v>0.2567634038366945</v>
      </c>
      <c r="W248" s="37" t="n">
        <v>0.9166666666666666</v>
      </c>
    </row>
    <row r="249">
      <c r="A249" s="53" t="n">
        <v>45755</v>
      </c>
      <c r="B249" t="inlineStr">
        <is>
          <t>R10_Sumbagteng</t>
        </is>
      </c>
      <c r="C249" t="inlineStr">
        <is>
          <t>NOP PADANG</t>
        </is>
      </c>
      <c r="D249" s="36" t="n">
        <v>3.58</v>
      </c>
      <c r="E249" s="36" t="n">
        <v>2.74</v>
      </c>
      <c r="F249" s="36" t="n">
        <v>5.48</v>
      </c>
      <c r="G249" s="36" t="n">
        <v>7</v>
      </c>
      <c r="H249" s="37" t="n">
        <v>0.7411764705882353</v>
      </c>
      <c r="I249" s="37" t="n">
        <v>0.6481481481481481</v>
      </c>
      <c r="J249" s="37" t="n">
        <v>0.7547169811320755</v>
      </c>
      <c r="K249" s="37" t="n">
        <v>0.4285714285714285</v>
      </c>
      <c r="L249" s="37" t="n">
        <v>0.4285714285714285</v>
      </c>
      <c r="M249" s="37" t="n">
        <v>0.9835294117647059</v>
      </c>
      <c r="N249" s="37" t="n">
        <v>0.3176470588235294</v>
      </c>
      <c r="O249" s="36" t="n">
        <v>0</v>
      </c>
      <c r="P249" s="36" t="n">
        <v>6.16</v>
      </c>
      <c r="Q249" s="36" t="n">
        <v>50.64</v>
      </c>
      <c r="R249" s="36" t="n">
        <v>54.57</v>
      </c>
      <c r="S249" s="36" t="n">
        <v>0</v>
      </c>
      <c r="T249" s="37" t="n">
        <v>0.6691415313225058</v>
      </c>
      <c r="U249" s="37" t="n">
        <v>0.5766129032258065</v>
      </c>
      <c r="V249" s="37" t="n">
        <v>0.6803364879074658</v>
      </c>
      <c r="W249" s="37" t="n">
        <v>0.5174825174825175</v>
      </c>
    </row>
    <row r="250">
      <c r="A250" s="53" t="n">
        <v>45755</v>
      </c>
      <c r="B250" t="inlineStr">
        <is>
          <t>R10_Sumbagteng</t>
        </is>
      </c>
      <c r="C250" t="inlineStr">
        <is>
          <t>NOP PEKANBARU</t>
        </is>
      </c>
      <c r="D250" s="36" t="n">
        <v>8.34</v>
      </c>
      <c r="E250" s="36" t="n">
        <v>5.66</v>
      </c>
      <c r="F250" s="36" t="n">
        <v>6.65</v>
      </c>
      <c r="G250" s="36" t="n">
        <v>6.6</v>
      </c>
      <c r="H250" s="37" t="n">
        <v>0.3697426239799121</v>
      </c>
      <c r="I250" s="37" t="n">
        <v>0.5116279069767442</v>
      </c>
      <c r="J250" s="37" t="n">
        <v>0.3423220973782772</v>
      </c>
      <c r="K250" s="37" t="n">
        <v>0.75</v>
      </c>
      <c r="L250" s="37" t="n">
        <v>0.765625</v>
      </c>
      <c r="M250" s="37" t="n">
        <v>0.9918392969240427</v>
      </c>
      <c r="N250" s="37" t="n">
        <v>0.2015065913370998</v>
      </c>
      <c r="O250" s="36" t="n">
        <v>0.01</v>
      </c>
      <c r="P250" s="36" t="n">
        <v>3.17</v>
      </c>
      <c r="Q250" s="36" t="n">
        <v>45.87</v>
      </c>
      <c r="R250" s="36" t="n">
        <v>72.04000000000001</v>
      </c>
      <c r="S250" s="36" t="n">
        <v>0</v>
      </c>
      <c r="T250" s="37" t="n">
        <v>0.2900289615225486</v>
      </c>
      <c r="U250" s="37" t="n">
        <v>0.297225891677675</v>
      </c>
      <c r="V250" s="37" t="n">
        <v>0.2847519902020821</v>
      </c>
      <c r="W250" s="37" t="n">
        <v>0.8666666666666667</v>
      </c>
    </row>
    <row r="251">
      <c r="A251" s="53" t="n">
        <v>45755</v>
      </c>
      <c r="B251" t="inlineStr">
        <is>
          <t>R02_Sumbagsel</t>
        </is>
      </c>
      <c r="C251" t="inlineStr">
        <is>
          <t>NOP BENGKULU</t>
        </is>
      </c>
      <c r="D251" s="36" t="n">
        <v>1.28</v>
      </c>
      <c r="E251" s="36" t="n">
        <v>4.76</v>
      </c>
      <c r="F251" s="36" t="n">
        <v>3.02</v>
      </c>
      <c r="G251" s="36" t="n">
        <v>7.27</v>
      </c>
      <c r="H251" s="37" t="n">
        <v>0.3585780525502318</v>
      </c>
      <c r="I251" s="37" t="n">
        <v>0.4064516129032258</v>
      </c>
      <c r="J251" s="37" t="n">
        <v>0.3434959349593496</v>
      </c>
      <c r="K251" s="37" t="n">
        <v>0.6984126984126984</v>
      </c>
      <c r="L251" s="37" t="n">
        <v>0.6984126984126984</v>
      </c>
      <c r="M251" s="37" t="n">
        <v>0.990726429675425</v>
      </c>
      <c r="N251" s="37" t="n">
        <v>0.19629057187017</v>
      </c>
      <c r="O251" s="36" t="n">
        <v>0</v>
      </c>
      <c r="P251" s="36" t="n">
        <v>5.15</v>
      </c>
      <c r="Q251" s="36" t="n">
        <v>6.85</v>
      </c>
      <c r="R251" s="36" t="n">
        <v>17</v>
      </c>
      <c r="S251" s="36" t="n">
        <v>0</v>
      </c>
      <c r="T251" s="37" t="n">
        <v>0.3882275132275133</v>
      </c>
      <c r="U251" s="37" t="n">
        <v>0.3103122043519395</v>
      </c>
      <c r="V251" s="37" t="n">
        <v>0.596816976127321</v>
      </c>
      <c r="W251" s="37" t="n">
        <v>0.8719512195121951</v>
      </c>
    </row>
    <row r="252">
      <c r="A252" s="53" t="n">
        <v>45755</v>
      </c>
      <c r="B252" t="inlineStr">
        <is>
          <t>R02_Sumbagsel</t>
        </is>
      </c>
      <c r="C252" t="inlineStr">
        <is>
          <t>NOP JAMBI</t>
        </is>
      </c>
      <c r="D252" s="36" t="n">
        <v>3.24</v>
      </c>
      <c r="E252" s="36" t="n">
        <v>4.29</v>
      </c>
      <c r="F252" s="36" t="n">
        <v>6.44</v>
      </c>
      <c r="G252" s="36" t="n">
        <v>7.63</v>
      </c>
      <c r="H252" s="37" t="n">
        <v>0.4873477038425492</v>
      </c>
      <c r="I252" s="37" t="n">
        <v>0.5170278637770898</v>
      </c>
      <c r="J252" s="37" t="n">
        <v>0.4744623655913979</v>
      </c>
      <c r="K252" s="37" t="n">
        <v>0.688622754491018</v>
      </c>
      <c r="L252" s="37" t="n">
        <v>0.688622754491018</v>
      </c>
      <c r="M252" s="37" t="n">
        <v>1</v>
      </c>
      <c r="N252" s="37" t="n">
        <v>0.260543580131209</v>
      </c>
      <c r="O252" s="36" t="n">
        <v>0</v>
      </c>
      <c r="P252" s="36" t="n">
        <v>5.98</v>
      </c>
      <c r="Q252" s="36" t="n">
        <v>10.05</v>
      </c>
      <c r="R252" s="36" t="n">
        <v>19.01</v>
      </c>
      <c r="S252" s="36" t="n">
        <v>0</v>
      </c>
      <c r="T252" s="37" t="n">
        <v>0.6365638766519823</v>
      </c>
      <c r="U252" s="37" t="n">
        <v>0.6285714285714286</v>
      </c>
      <c r="V252" s="37" t="n">
        <v>0.6714905933429812</v>
      </c>
      <c r="W252" s="37" t="n">
        <v>0.6866883116883117</v>
      </c>
    </row>
    <row r="253">
      <c r="A253" s="53" t="n">
        <v>45755</v>
      </c>
      <c r="B253" t="inlineStr">
        <is>
          <t>R02_Sumbagsel</t>
        </is>
      </c>
      <c r="C253" t="inlineStr">
        <is>
          <t>NOP LAMPUNG</t>
        </is>
      </c>
      <c r="D253" s="36" t="n">
        <v>1.2</v>
      </c>
      <c r="E253" s="36" t="n">
        <v>6.29</v>
      </c>
      <c r="F253" s="36" t="n">
        <v>4.41</v>
      </c>
      <c r="G253" s="36" t="n">
        <v>4.46</v>
      </c>
      <c r="H253" s="37" t="n">
        <v>0.4680232558139535</v>
      </c>
      <c r="I253" s="37" t="n">
        <v>0.735632183908046</v>
      </c>
      <c r="J253" s="37" t="n">
        <v>0.377431906614786</v>
      </c>
      <c r="K253" s="37" t="n">
        <v>0.65625</v>
      </c>
      <c r="L253" s="37" t="n">
        <v>0.65625</v>
      </c>
      <c r="M253" s="37" t="n">
        <v>1</v>
      </c>
      <c r="N253" s="37" t="n">
        <v>0.3052325581395349</v>
      </c>
      <c r="O253" s="36" t="n">
        <v>0</v>
      </c>
      <c r="P253" s="36" t="n">
        <v>13.91</v>
      </c>
      <c r="Q253" s="36" t="n">
        <v>6.9</v>
      </c>
      <c r="R253" s="36" t="n">
        <v>39.37</v>
      </c>
      <c r="S253" s="36" t="n">
        <v>0</v>
      </c>
      <c r="T253" s="37" t="n">
        <v>0.8869395711500975</v>
      </c>
      <c r="U253" s="37" t="n">
        <v>0.7649572649572649</v>
      </c>
      <c r="V253" s="37" t="n">
        <v>0.9398395721925134</v>
      </c>
      <c r="W253" s="37" t="n">
        <v>0.8379888268156425</v>
      </c>
    </row>
    <row r="254">
      <c r="A254" s="53" t="n">
        <v>45755</v>
      </c>
      <c r="B254" t="inlineStr">
        <is>
          <t>R02_Sumbagsel</t>
        </is>
      </c>
      <c r="C254" t="inlineStr">
        <is>
          <t>NOP MUARA ENIM</t>
        </is>
      </c>
      <c r="D254" s="36" t="n">
        <v>3.56</v>
      </c>
      <c r="E254" s="36" t="n">
        <v>4.86</v>
      </c>
      <c r="F254" s="36" t="n">
        <v>4.73</v>
      </c>
      <c r="G254" s="36" t="n">
        <v>5.38</v>
      </c>
      <c r="H254" s="37" t="n">
        <v>0.3603238866396761</v>
      </c>
      <c r="I254" s="37" t="n">
        <v>0.2192513368983957</v>
      </c>
      <c r="J254" s="37" t="n">
        <v>0.3932584269662922</v>
      </c>
      <c r="K254" s="37" t="n">
        <v>0.5609756097560976</v>
      </c>
      <c r="L254" s="37" t="n">
        <v>0.5609756097560976</v>
      </c>
      <c r="M254" s="37" t="n">
        <v>0.9767206477732794</v>
      </c>
      <c r="N254" s="37" t="n">
        <v>0.1720647773279352</v>
      </c>
      <c r="O254" s="36" t="n">
        <v>0</v>
      </c>
      <c r="P254" s="36" t="n">
        <v>7.95</v>
      </c>
      <c r="Q254" s="36" t="n">
        <v>6.97</v>
      </c>
      <c r="R254" s="36" t="n">
        <v>15.28</v>
      </c>
      <c r="S254" s="36" t="n">
        <v>0</v>
      </c>
      <c r="T254" s="37" t="n">
        <v>0.5136078157711096</v>
      </c>
      <c r="U254" s="37" t="n">
        <v>0.529839883551674</v>
      </c>
      <c r="V254" s="37" t="n">
        <v>0.5904255319148937</v>
      </c>
      <c r="W254" s="37" t="n">
        <v>0.8214285714285714</v>
      </c>
    </row>
    <row r="255">
      <c r="A255" s="53" t="n">
        <v>45755</v>
      </c>
      <c r="B255" t="inlineStr">
        <is>
          <t>R02_Sumbagsel</t>
        </is>
      </c>
      <c r="C255" t="inlineStr">
        <is>
          <t>NOP PALEMBANG</t>
        </is>
      </c>
      <c r="D255" s="36" t="n">
        <v>2.41</v>
      </c>
      <c r="E255" s="36" t="n">
        <v>7.72</v>
      </c>
      <c r="F255" s="36" t="n">
        <v>9.630000000000001</v>
      </c>
      <c r="G255" s="36" t="n">
        <v>10.06</v>
      </c>
      <c r="H255" s="37" t="n">
        <v>0.3230490018148821</v>
      </c>
      <c r="I255" s="37" t="n">
        <v>0.3240740740740741</v>
      </c>
      <c r="J255" s="37" t="n">
        <v>0.3229376257545272</v>
      </c>
      <c r="K255" s="37" t="n">
        <v>0.5428571428571428</v>
      </c>
      <c r="L255" s="37" t="n">
        <v>0.5428571428571428</v>
      </c>
      <c r="M255" s="37" t="n">
        <v>1</v>
      </c>
      <c r="N255" s="37" t="n">
        <v>0.1551724137931035</v>
      </c>
      <c r="O255" s="36" t="n">
        <v>0</v>
      </c>
      <c r="P255" s="36" t="n">
        <v>6.64</v>
      </c>
      <c r="Q255" s="36" t="n">
        <v>11.78</v>
      </c>
      <c r="R255" s="36" t="n">
        <v>8.050000000000001</v>
      </c>
      <c r="S255" s="36" t="n">
        <v>0</v>
      </c>
      <c r="T255" s="37" t="n">
        <v>0.2837662337662338</v>
      </c>
      <c r="U255" s="37" t="n">
        <v>0.2532374100719424</v>
      </c>
      <c r="V255" s="37" t="n">
        <v>0.429042904290429</v>
      </c>
      <c r="W255" s="37" t="n">
        <v>0.4488636363636364</v>
      </c>
    </row>
    <row r="256">
      <c r="A256" s="53" t="n">
        <v>45755</v>
      </c>
      <c r="B256" t="inlineStr">
        <is>
          <t>R02_Sumbagsel</t>
        </is>
      </c>
      <c r="C256" t="inlineStr">
        <is>
          <t>NOP PANGKAL PINANG</t>
        </is>
      </c>
      <c r="D256" s="36" t="n">
        <v>0</v>
      </c>
      <c r="E256" s="36" t="n">
        <v>2.32</v>
      </c>
      <c r="F256" s="36" t="n">
        <v>2.89</v>
      </c>
      <c r="G256" s="36" t="n">
        <v>5.31</v>
      </c>
      <c r="H256" s="37" t="n">
        <v>0.5537190082644629</v>
      </c>
      <c r="I256" s="37" t="n">
        <v>1</v>
      </c>
      <c r="J256" s="37" t="n">
        <v>0.5344827586206896</v>
      </c>
      <c r="K256" s="37" t="n">
        <v>0.6</v>
      </c>
      <c r="L256" s="37" t="n">
        <v>0.6</v>
      </c>
      <c r="M256" s="37" t="n">
        <v>0.9917355371900827</v>
      </c>
      <c r="N256" s="37" t="n">
        <v>0.2975206611570248</v>
      </c>
      <c r="O256" s="36" t="n">
        <v>0</v>
      </c>
      <c r="P256" s="36" t="n">
        <v>4.78</v>
      </c>
      <c r="Q256" s="36" t="n">
        <v>5.31</v>
      </c>
      <c r="R256" s="36" t="n">
        <v>7.33</v>
      </c>
      <c r="S256" s="36" t="n">
        <v>0</v>
      </c>
      <c r="T256" s="37" t="n">
        <v>0.8086124401913876</v>
      </c>
      <c r="U256" s="37" t="n">
        <v>0.8362573099415205</v>
      </c>
      <c r="V256" s="37" t="n">
        <v>0.8687782805429864</v>
      </c>
      <c r="W256" s="37" t="n">
        <v>0.7412587412587412</v>
      </c>
    </row>
    <row r="257">
      <c r="A257" s="53" t="n">
        <v>45755</v>
      </c>
      <c r="B257" t="inlineStr">
        <is>
          <t>R05_Jawa Tengah DIY</t>
        </is>
      </c>
      <c r="C257" t="inlineStr">
        <is>
          <t>NOP MAGELANG</t>
        </is>
      </c>
      <c r="D257" s="36" t="n">
        <v>5.31</v>
      </c>
      <c r="E257" s="36" t="n">
        <v>0</v>
      </c>
      <c r="F257" s="36" t="n">
        <v>5.1</v>
      </c>
      <c r="G257" s="36" t="n">
        <v>5.16</v>
      </c>
      <c r="H257" s="37" t="n">
        <v>0.6386554621848739</v>
      </c>
      <c r="I257" s="37" t="n">
        <v>0.9333333333333333</v>
      </c>
      <c r="J257" s="37" t="n">
        <v>0.5961538461538461</v>
      </c>
      <c r="K257" s="37" t="n">
        <v>0.5714285714285714</v>
      </c>
      <c r="L257" s="37" t="n">
        <v>0.5714285714285714</v>
      </c>
      <c r="M257" s="37" t="n">
        <v>1</v>
      </c>
      <c r="N257" s="37" t="n">
        <v>0.5630252100840336</v>
      </c>
      <c r="O257" s="36" t="n">
        <v>0</v>
      </c>
      <c r="P257" s="36" t="n">
        <v>20.2</v>
      </c>
      <c r="Q257" s="36" t="n">
        <v>27.07</v>
      </c>
      <c r="R257" s="36" t="n">
        <v>49.02</v>
      </c>
      <c r="S257" s="36" t="n">
        <v>0</v>
      </c>
      <c r="T257" s="37" t="n">
        <v>0.8649789029535865</v>
      </c>
      <c r="U257" s="37" t="n">
        <v>0.8484848484848485</v>
      </c>
      <c r="V257" s="37" t="n">
        <v>0.8676470588235294</v>
      </c>
      <c r="W257" s="37" t="n">
        <v>0.75</v>
      </c>
    </row>
    <row r="258">
      <c r="A258" s="53" t="n">
        <v>45755</v>
      </c>
      <c r="B258" t="inlineStr">
        <is>
          <t>R05_Jawa Tengah DIY</t>
        </is>
      </c>
      <c r="C258" t="inlineStr">
        <is>
          <t>NOP PEKALONGAN</t>
        </is>
      </c>
      <c r="D258" s="36" t="n">
        <v>3.71</v>
      </c>
      <c r="E258" s="36" t="n">
        <v>0</v>
      </c>
      <c r="F258" s="36" t="n">
        <v>2.36</v>
      </c>
      <c r="G258" s="36" t="n">
        <v>2.34</v>
      </c>
      <c r="H258" s="37" t="n">
        <v>0.5789473684210527</v>
      </c>
      <c r="I258" s="37" t="n">
        <v>1</v>
      </c>
      <c r="J258" s="37" t="n">
        <v>0.5514018691588785</v>
      </c>
      <c r="K258" s="37" t="n">
        <v>1</v>
      </c>
      <c r="L258" s="37" t="n">
        <v>1</v>
      </c>
      <c r="M258" s="37" t="n">
        <v>0.9824561403508771</v>
      </c>
      <c r="N258" s="37" t="n">
        <v>0.6228070175438597</v>
      </c>
      <c r="O258" s="36" t="n">
        <v>0</v>
      </c>
      <c r="P258" s="36" t="n">
        <v>2.71</v>
      </c>
      <c r="Q258" s="36" t="n">
        <v>5.9</v>
      </c>
      <c r="R258" s="36" t="n">
        <v>55.77</v>
      </c>
      <c r="S258" s="36" t="n">
        <v>0</v>
      </c>
      <c r="T258" s="37" t="n">
        <v>0.8489583333333334</v>
      </c>
      <c r="U258" s="37" t="n">
        <v>0.76</v>
      </c>
      <c r="V258" s="37" t="n">
        <v>0.8802816901408451</v>
      </c>
      <c r="W258" s="37" t="n">
        <v>0.7631578947368421</v>
      </c>
    </row>
    <row r="259">
      <c r="A259" s="53" t="n">
        <v>45755</v>
      </c>
      <c r="B259" t="inlineStr">
        <is>
          <t>R05_Jawa Tengah DIY</t>
        </is>
      </c>
      <c r="C259" t="inlineStr">
        <is>
          <t>NOP PURWOKERTO</t>
        </is>
      </c>
      <c r="D259" s="36" t="n">
        <v>2.31</v>
      </c>
      <c r="E259" s="36" t="n">
        <v>0</v>
      </c>
      <c r="F259" s="36" t="n">
        <v>3.15</v>
      </c>
      <c r="G259" s="36" t="n">
        <v>4.01</v>
      </c>
      <c r="H259" s="37" t="n">
        <v>0.7950819672131147</v>
      </c>
      <c r="I259" s="37" t="n">
        <v>0.6470588235294118</v>
      </c>
      <c r="J259" s="37" t="n">
        <v>0.819047619047619</v>
      </c>
      <c r="K259" s="37" t="n">
        <v>1</v>
      </c>
      <c r="L259" s="37" t="n">
        <v>1</v>
      </c>
      <c r="M259" s="37" t="n">
        <v>0.9508196721311475</v>
      </c>
      <c r="N259" s="37" t="n">
        <v>0.5245901639344263</v>
      </c>
      <c r="O259" s="36" t="n">
        <v>0.14</v>
      </c>
      <c r="P259" s="36" t="n">
        <v>3.77</v>
      </c>
      <c r="Q259" s="36" t="n">
        <v>8</v>
      </c>
      <c r="R259" s="36" t="n">
        <v>49.33</v>
      </c>
      <c r="S259" s="36" t="n">
        <v>0</v>
      </c>
      <c r="T259" s="37" t="n">
        <v>0.7486631016042781</v>
      </c>
      <c r="U259" s="37" t="n">
        <v>0.7317073170731707</v>
      </c>
      <c r="V259" s="37" t="n">
        <v>0.7534246575342466</v>
      </c>
      <c r="W259" s="37" t="n">
        <v>0.7</v>
      </c>
    </row>
    <row r="260">
      <c r="A260" s="53" t="n">
        <v>45755</v>
      </c>
      <c r="B260" t="inlineStr">
        <is>
          <t>R05_Jawa Tengah DIY</t>
        </is>
      </c>
      <c r="C260" t="inlineStr">
        <is>
          <t>NOP SEMARANG</t>
        </is>
      </c>
      <c r="D260" s="36" t="n">
        <v>3.07</v>
      </c>
      <c r="E260" s="36" t="n">
        <v>1.66</v>
      </c>
      <c r="F260" s="36" t="n">
        <v>2.57</v>
      </c>
      <c r="G260" s="36" t="n">
        <v>3.51</v>
      </c>
      <c r="H260" s="37" t="n">
        <v>0.5</v>
      </c>
      <c r="I260" s="37" t="n">
        <v>0.6</v>
      </c>
      <c r="J260" s="37" t="n">
        <v>0.4918032786885246</v>
      </c>
      <c r="K260" s="37" t="n">
        <v>1</v>
      </c>
      <c r="L260" s="37" t="n">
        <v>1</v>
      </c>
      <c r="M260" s="37" t="n">
        <v>0.9696969696969697</v>
      </c>
      <c r="N260" s="37" t="n">
        <v>0.3560606060606061</v>
      </c>
      <c r="O260" s="36" t="n">
        <v>0</v>
      </c>
      <c r="P260" s="36" t="n">
        <v>1.96</v>
      </c>
      <c r="Q260" s="36" t="n">
        <v>17.34</v>
      </c>
      <c r="R260" s="36" t="n">
        <v>51.39</v>
      </c>
      <c r="S260" s="36" t="n">
        <v>0</v>
      </c>
      <c r="T260" s="37" t="n">
        <v>0.6198083067092651</v>
      </c>
      <c r="U260" s="37" t="n">
        <v>0.2892561983471074</v>
      </c>
      <c r="V260" s="37" t="n">
        <v>0.828125</v>
      </c>
      <c r="W260" s="37" t="n">
        <v>0.8857142857142857</v>
      </c>
    </row>
    <row r="261">
      <c r="A261" s="53" t="n">
        <v>45755</v>
      </c>
      <c r="B261" t="inlineStr">
        <is>
          <t>R05_Jawa Tengah DIY</t>
        </is>
      </c>
      <c r="C261" t="inlineStr">
        <is>
          <t>NOP SURAKARTA</t>
        </is>
      </c>
      <c r="D261" s="36" t="n">
        <v>3.78</v>
      </c>
      <c r="E261" s="36" t="n">
        <v>0</v>
      </c>
      <c r="F261" s="36" t="n">
        <v>2.75</v>
      </c>
      <c r="G261" s="36" t="n">
        <v>4.5</v>
      </c>
      <c r="H261" s="37" t="n">
        <v>0.5789473684210527</v>
      </c>
      <c r="I261" s="37" t="n">
        <v>0.8571428571428571</v>
      </c>
      <c r="J261" s="37" t="n">
        <v>0.5568181818181818</v>
      </c>
      <c r="K261" s="37" t="n">
        <v>1</v>
      </c>
      <c r="L261" s="37" t="n">
        <v>1</v>
      </c>
      <c r="M261" s="37" t="n">
        <v>0.9894736842105263</v>
      </c>
      <c r="N261" s="37" t="n">
        <v>0.4315789473684211</v>
      </c>
      <c r="O261" s="36" t="n">
        <v>0.12</v>
      </c>
      <c r="P261" s="36" t="n">
        <v>3.28</v>
      </c>
      <c r="Q261" s="36" t="n">
        <v>14.44</v>
      </c>
      <c r="R261" s="36" t="n">
        <v>87.47</v>
      </c>
      <c r="S261" s="36" t="n">
        <v>0</v>
      </c>
      <c r="T261" s="37" t="n">
        <v>0.7777777777777778</v>
      </c>
      <c r="U261" s="37" t="n">
        <v>0.6707317073170732</v>
      </c>
      <c r="V261" s="37" t="n">
        <v>0.8223350253807107</v>
      </c>
      <c r="W261" s="37" t="n">
        <v>0.8181818181818182</v>
      </c>
    </row>
    <row r="262">
      <c r="A262" s="53" t="n">
        <v>45755</v>
      </c>
      <c r="B262" t="inlineStr">
        <is>
          <t>R05_Jawa Tengah DIY</t>
        </is>
      </c>
      <c r="C262" t="inlineStr">
        <is>
          <t>NOP YOGYAKARTA</t>
        </is>
      </c>
      <c r="D262" s="36" t="n">
        <v>2.49</v>
      </c>
      <c r="E262" s="36" t="n">
        <v>0</v>
      </c>
      <c r="F262" s="36" t="n">
        <v>3.2</v>
      </c>
      <c r="G262" s="36" t="n">
        <v>3.5</v>
      </c>
      <c r="H262" s="37" t="n">
        <v>0.6351351351351351</v>
      </c>
      <c r="I262" s="37" t="n">
        <v>1</v>
      </c>
      <c r="J262" s="37" t="n">
        <v>0.6086956521739131</v>
      </c>
      <c r="K262" s="37" t="n">
        <v>1</v>
      </c>
      <c r="L262" s="37" t="n">
        <v>1</v>
      </c>
      <c r="M262" s="37" t="n">
        <v>1</v>
      </c>
      <c r="N262" s="37" t="n">
        <v>0.5</v>
      </c>
      <c r="O262" s="36" t="n">
        <v>0</v>
      </c>
      <c r="P262" s="36" t="n">
        <v>2.19</v>
      </c>
      <c r="Q262" s="36" t="n">
        <v>14.44</v>
      </c>
      <c r="R262" s="36" t="n">
        <v>46.52</v>
      </c>
      <c r="S262" s="36" t="n">
        <v>0</v>
      </c>
      <c r="T262" s="37" t="n">
        <v>0.92</v>
      </c>
      <c r="U262" s="37" t="n">
        <v>0.7894736842105263</v>
      </c>
      <c r="V262" s="37" t="n">
        <v>0.9389312977099237</v>
      </c>
      <c r="W262" s="37" t="n">
        <v>0.9666666666666667</v>
      </c>
    </row>
    <row r="263">
      <c r="A263" s="53" t="n">
        <v>45755</v>
      </c>
      <c r="B263" t="inlineStr">
        <is>
          <t>R06_Jawa Timur</t>
        </is>
      </c>
      <c r="C263" t="inlineStr">
        <is>
          <t>NOP JEMBER</t>
        </is>
      </c>
      <c r="D263" s="36" t="n">
        <v>2.09</v>
      </c>
      <c r="E263" s="36" t="n">
        <v>2.64</v>
      </c>
      <c r="F263" s="36" t="n">
        <v>2.49</v>
      </c>
      <c r="G263" s="36" t="n">
        <v>3.69</v>
      </c>
      <c r="H263" s="37" t="n">
        <v>0.6907216494845361</v>
      </c>
      <c r="I263" s="37" t="n">
        <v>0.6666666666666666</v>
      </c>
      <c r="J263" s="37" t="n">
        <v>0.6951219512195121</v>
      </c>
      <c r="K263" s="37" t="n">
        <v>0.6</v>
      </c>
      <c r="L263" s="37" t="n">
        <v>0.6</v>
      </c>
      <c r="M263" s="37" t="n">
        <v>1</v>
      </c>
      <c r="N263" s="37" t="n">
        <v>0.4123711340206185</v>
      </c>
      <c r="O263" s="36" t="n">
        <v>0</v>
      </c>
      <c r="P263" s="36" t="n">
        <v>2.68</v>
      </c>
      <c r="Q263" s="36" t="n">
        <v>6.78</v>
      </c>
      <c r="R263" s="36" t="n">
        <v>37.89</v>
      </c>
      <c r="S263" s="36" t="n">
        <v>0</v>
      </c>
      <c r="T263" s="37" t="n">
        <v>0.8011363636363636</v>
      </c>
      <c r="U263" s="37" t="n">
        <v>0.825</v>
      </c>
      <c r="V263" s="37" t="n">
        <v>0.7941176470588235</v>
      </c>
      <c r="W263" s="37" t="n">
        <v>0.7878787878787878</v>
      </c>
    </row>
    <row r="264">
      <c r="A264" s="53" t="n">
        <v>45755</v>
      </c>
      <c r="B264" t="inlineStr">
        <is>
          <t>R06_Jawa Timur</t>
        </is>
      </c>
      <c r="C264" t="inlineStr">
        <is>
          <t>NOP KEDIRI</t>
        </is>
      </c>
      <c r="D264" s="36" t="n">
        <v>0</v>
      </c>
      <c r="E264" s="36" t="n">
        <v>0.7</v>
      </c>
      <c r="F264" s="36" t="n">
        <v>1.6</v>
      </c>
      <c r="G264" s="36" t="n">
        <v>1.12</v>
      </c>
      <c r="H264" s="37" t="n">
        <v>0.8490566037735849</v>
      </c>
      <c r="I264" s="37" t="n">
        <v>1</v>
      </c>
      <c r="J264" s="37" t="n">
        <v>0.8431372549019608</v>
      </c>
      <c r="K264" s="37" t="n">
        <v>0.5</v>
      </c>
      <c r="L264" s="37" t="n">
        <v>0.5</v>
      </c>
      <c r="M264" s="37" t="n">
        <v>1</v>
      </c>
      <c r="N264" s="37" t="n">
        <v>0.4339622641509434</v>
      </c>
      <c r="O264" s="36" t="n">
        <v>0</v>
      </c>
      <c r="P264" s="36" t="n">
        <v>1.9</v>
      </c>
      <c r="Q264" s="36" t="n">
        <v>3.55</v>
      </c>
      <c r="R264" s="36" t="n">
        <v>13.72</v>
      </c>
      <c r="S264" s="36" t="n">
        <v>0</v>
      </c>
      <c r="T264" s="37" t="n">
        <v>0.9538461538461539</v>
      </c>
      <c r="U264" s="37" t="n">
        <v>0.9285714285714286</v>
      </c>
      <c r="V264" s="37" t="n">
        <v>0.9607843137254902</v>
      </c>
      <c r="W264" s="37" t="n">
        <v>0.6923076923076923</v>
      </c>
    </row>
    <row r="265">
      <c r="A265" s="53" t="n">
        <v>45755</v>
      </c>
      <c r="B265" t="inlineStr">
        <is>
          <t>R06_Jawa Timur</t>
        </is>
      </c>
      <c r="C265" t="inlineStr">
        <is>
          <t>NOP LAMONGAN</t>
        </is>
      </c>
      <c r="D265" s="36" t="n">
        <v>2.15</v>
      </c>
      <c r="E265" s="36" t="n">
        <v>1.01</v>
      </c>
      <c r="F265" s="36" t="n">
        <v>3.22</v>
      </c>
      <c r="G265" s="36" t="n">
        <v>3</v>
      </c>
      <c r="H265" s="37" t="n">
        <v>0.7758620689655172</v>
      </c>
      <c r="I265" s="37" t="n">
        <v>1</v>
      </c>
      <c r="J265" s="37" t="n">
        <v>0.7450980392156863</v>
      </c>
      <c r="K265" s="37" t="n">
        <v>0.8571428571428571</v>
      </c>
      <c r="L265" s="37" t="n">
        <v>0.8571428571428571</v>
      </c>
      <c r="M265" s="37" t="n">
        <v>1</v>
      </c>
      <c r="N265" s="37" t="n">
        <v>0.7068965517241379</v>
      </c>
      <c r="O265" s="36" t="n">
        <v>0</v>
      </c>
      <c r="P265" s="36" t="n">
        <v>3.02</v>
      </c>
      <c r="Q265" s="36" t="n">
        <v>10.74</v>
      </c>
      <c r="R265" s="36" t="n">
        <v>35.49</v>
      </c>
      <c r="S265" s="36" t="n">
        <v>0</v>
      </c>
      <c r="T265" s="37" t="n">
        <v>0.7352941176470589</v>
      </c>
      <c r="U265" s="37" t="n">
        <v>0.6428571428571429</v>
      </c>
      <c r="V265" s="37" t="n">
        <v>0.8</v>
      </c>
      <c r="W265" s="37" t="n">
        <v>0.9444444444444444</v>
      </c>
    </row>
    <row r="266">
      <c r="A266" s="53" t="n">
        <v>45755</v>
      </c>
      <c r="B266" t="inlineStr">
        <is>
          <t>R06_Jawa Timur</t>
        </is>
      </c>
      <c r="C266" t="inlineStr">
        <is>
          <t>NOP MADIUN</t>
        </is>
      </c>
      <c r="D266" s="36" t="n">
        <v>0</v>
      </c>
      <c r="E266" s="36" t="n">
        <v>0</v>
      </c>
      <c r="F266" s="36" t="n">
        <v>3.04</v>
      </c>
      <c r="G266" s="36" t="n">
        <v>2.54</v>
      </c>
      <c r="H266" s="37" t="n">
        <v>0.7037037037037037</v>
      </c>
      <c r="I266" s="37" t="n">
        <v>0</v>
      </c>
      <c r="J266" s="37" t="n">
        <v>0.7037037037037037</v>
      </c>
      <c r="K266" s="37" t="n">
        <v>0</v>
      </c>
      <c r="L266" s="37" t="n">
        <v>0</v>
      </c>
      <c r="M266" s="37" t="n">
        <v>1</v>
      </c>
      <c r="N266" s="37" t="n">
        <v>0.4074074074074074</v>
      </c>
      <c r="O266" s="36" t="n">
        <v>0</v>
      </c>
      <c r="P266" s="36" t="n">
        <v>2.73</v>
      </c>
      <c r="Q266" s="36" t="n">
        <v>7.02</v>
      </c>
      <c r="R266" s="36" t="n">
        <v>18.46</v>
      </c>
      <c r="S266" s="36" t="n">
        <v>0</v>
      </c>
      <c r="T266" s="37" t="n">
        <v>0.6842105263157895</v>
      </c>
      <c r="U266" s="37" t="n">
        <v>0.6129032258064516</v>
      </c>
      <c r="V266" s="37" t="n">
        <v>0.71875</v>
      </c>
      <c r="W266" s="37" t="n">
        <v>0.6842105263157895</v>
      </c>
    </row>
    <row r="267">
      <c r="A267" s="53" t="n">
        <v>45755</v>
      </c>
      <c r="B267" t="inlineStr">
        <is>
          <t>R06_Jawa Timur</t>
        </is>
      </c>
      <c r="C267" t="inlineStr">
        <is>
          <t>NOP MALANG</t>
        </is>
      </c>
      <c r="D267" s="36" t="n">
        <v>0</v>
      </c>
      <c r="E267" s="36" t="n">
        <v>0</v>
      </c>
      <c r="F267" s="36" t="n">
        <v>2.35</v>
      </c>
      <c r="G267" s="36" t="n">
        <v>2.35</v>
      </c>
      <c r="H267" s="37" t="n">
        <v>0.8350515463917526</v>
      </c>
      <c r="I267" s="37" t="n">
        <v>0</v>
      </c>
      <c r="J267" s="37" t="n">
        <v>0.8350515463917526</v>
      </c>
      <c r="K267" s="37" t="n">
        <v>0</v>
      </c>
      <c r="L267" s="37" t="n">
        <v>0</v>
      </c>
      <c r="M267" s="37" t="n">
        <v>1</v>
      </c>
      <c r="N267" s="37" t="n">
        <v>0.7938144329896907</v>
      </c>
      <c r="O267" s="36" t="n">
        <v>0.02</v>
      </c>
      <c r="P267" s="36" t="n">
        <v>3.08</v>
      </c>
      <c r="Q267" s="36" t="n">
        <v>2.51</v>
      </c>
      <c r="R267" s="36" t="n">
        <v>54.79</v>
      </c>
      <c r="S267" s="36" t="n">
        <v>0</v>
      </c>
      <c r="T267" s="37" t="n">
        <v>0.7671232876712328</v>
      </c>
      <c r="U267" s="37" t="n">
        <v>0.6428571428571429</v>
      </c>
      <c r="V267" s="37" t="n">
        <v>0.8444444444444444</v>
      </c>
      <c r="W267" s="37" t="n">
        <v>0.5555555555555556</v>
      </c>
    </row>
    <row r="268">
      <c r="A268" s="53" t="n">
        <v>45755</v>
      </c>
      <c r="B268" t="inlineStr">
        <is>
          <t>R06_Jawa Timur</t>
        </is>
      </c>
      <c r="C268" t="inlineStr">
        <is>
          <t>NOP SIDOARJO</t>
        </is>
      </c>
      <c r="D268" s="36" t="n">
        <v>4.07</v>
      </c>
      <c r="E268" s="36" t="n">
        <v>0</v>
      </c>
      <c r="F268" s="36" t="n">
        <v>3.24</v>
      </c>
      <c r="G268" s="36" t="n">
        <v>3.27</v>
      </c>
      <c r="H268" s="37" t="n">
        <v>0.7536231884057971</v>
      </c>
      <c r="I268" s="37" t="n">
        <v>1</v>
      </c>
      <c r="J268" s="37" t="n">
        <v>0.7213114754098361</v>
      </c>
      <c r="K268" s="37" t="n">
        <v>0.875</v>
      </c>
      <c r="L268" s="37" t="n">
        <v>0.875</v>
      </c>
      <c r="M268" s="37" t="n">
        <v>1</v>
      </c>
      <c r="N268" s="37" t="n">
        <v>0.5507246376811594</v>
      </c>
      <c r="O268" s="36" t="n">
        <v>0</v>
      </c>
      <c r="P268" s="36" t="n">
        <v>68.38</v>
      </c>
      <c r="Q268" s="36" t="n">
        <v>11.48</v>
      </c>
      <c r="R268" s="36" t="n">
        <v>94.81999999999999</v>
      </c>
      <c r="S268" s="36" t="n">
        <v>0</v>
      </c>
      <c r="T268" s="37" t="n">
        <v>0.7522935779816514</v>
      </c>
      <c r="U268" s="37" t="n">
        <v>0.3529411764705883</v>
      </c>
      <c r="V268" s="37" t="n">
        <v>0.8260869565217391</v>
      </c>
      <c r="W268" s="37" t="n">
        <v>0.6666666666666666</v>
      </c>
    </row>
    <row r="269">
      <c r="A269" s="53" t="n">
        <v>45755</v>
      </c>
      <c r="B269" t="inlineStr">
        <is>
          <t>R06_Jawa Timur</t>
        </is>
      </c>
      <c r="C269" t="inlineStr">
        <is>
          <t>NOP SURABAYA</t>
        </is>
      </c>
      <c r="D269" s="36" t="n">
        <v>3.45</v>
      </c>
      <c r="E269" s="36" t="n">
        <v>0</v>
      </c>
      <c r="F269" s="36" t="n">
        <v>3.98</v>
      </c>
      <c r="G269" s="36" t="n">
        <v>2.65</v>
      </c>
      <c r="H269" s="37" t="n">
        <v>0.5378787878787878</v>
      </c>
      <c r="I269" s="37" t="n">
        <v>0.3076923076923077</v>
      </c>
      <c r="J269" s="37" t="n">
        <v>0.5630252100840336</v>
      </c>
      <c r="K269" s="37" t="n">
        <v>1</v>
      </c>
      <c r="L269" s="37" t="n">
        <v>1</v>
      </c>
      <c r="M269" s="37" t="n">
        <v>0.9772727272727273</v>
      </c>
      <c r="N269" s="37" t="n">
        <v>0.3484848484848485</v>
      </c>
      <c r="O269" s="36" t="n">
        <v>0.04</v>
      </c>
      <c r="P269" s="36" t="n">
        <v>2.49</v>
      </c>
      <c r="Q269" s="36" t="n">
        <v>8.050000000000001</v>
      </c>
      <c r="R269" s="36" t="n">
        <v>27.36</v>
      </c>
      <c r="S269" s="36" t="n">
        <v>0</v>
      </c>
      <c r="T269" s="37" t="n">
        <v>0.5955882352941176</v>
      </c>
      <c r="U269" s="37" t="n">
        <v>0.3142857142857143</v>
      </c>
      <c r="V269" s="37" t="n">
        <v>0.6371308016877637</v>
      </c>
      <c r="W269" s="37" t="n">
        <v>0.4545454545454545</v>
      </c>
    </row>
    <row r="270">
      <c r="A270" s="53" t="n">
        <v>45755</v>
      </c>
      <c r="B270" t="inlineStr">
        <is>
          <t>R07_Bali Nusra</t>
        </is>
      </c>
      <c r="C270" t="inlineStr">
        <is>
          <t>NOP DENPASAR</t>
        </is>
      </c>
      <c r="D270" s="36" t="n">
        <v>1.79</v>
      </c>
      <c r="E270" s="36" t="n">
        <v>0</v>
      </c>
      <c r="F270" s="36" t="n">
        <v>5.1</v>
      </c>
      <c r="G270" s="36" t="n">
        <v>3.81</v>
      </c>
      <c r="H270" s="37" t="n">
        <v>0.8481012658227848</v>
      </c>
      <c r="I270" s="37" t="n">
        <v>0.8</v>
      </c>
      <c r="J270" s="37" t="n">
        <v>0.859375</v>
      </c>
      <c r="K270" s="37" t="n">
        <v>0.9166666666666666</v>
      </c>
      <c r="L270" s="37" t="n">
        <v>0.9166666666666666</v>
      </c>
      <c r="M270" s="37" t="n">
        <v>0.9493670886075949</v>
      </c>
      <c r="N270" s="37" t="n">
        <v>0.8481012658227848</v>
      </c>
      <c r="O270" s="36" t="n">
        <v>0</v>
      </c>
      <c r="P270" s="36" t="n">
        <v>106.52</v>
      </c>
      <c r="Q270" s="36" t="n">
        <v>41.99</v>
      </c>
      <c r="R270" s="36" t="n">
        <v>77.75</v>
      </c>
      <c r="S270" s="36" t="n">
        <v>0</v>
      </c>
      <c r="T270" s="37" t="n">
        <v>0.8615384615384616</v>
      </c>
      <c r="U270" s="37" t="n">
        <v>0.7586206896551724</v>
      </c>
      <c r="V270" s="37" t="n">
        <v>0.8910891089108911</v>
      </c>
      <c r="W270" s="37" t="n">
        <v>0.4090909090909091</v>
      </c>
    </row>
    <row r="271">
      <c r="A271" s="53" t="n">
        <v>45755</v>
      </c>
      <c r="B271" t="inlineStr">
        <is>
          <t>R07_Bali Nusra</t>
        </is>
      </c>
      <c r="C271" t="inlineStr">
        <is>
          <t>NOP FLORES</t>
        </is>
      </c>
      <c r="D271" s="36" t="n">
        <v>3.76</v>
      </c>
      <c r="E271" s="36" t="n">
        <v>4.32</v>
      </c>
      <c r="F271" s="36" t="n">
        <v>8.470000000000001</v>
      </c>
      <c r="G271" s="36" t="n">
        <v>8.460000000000001</v>
      </c>
      <c r="H271" s="37" t="n">
        <v>0.378619153674833</v>
      </c>
      <c r="I271" s="37" t="n">
        <v>0.4505494505494506</v>
      </c>
      <c r="J271" s="37" t="n">
        <v>0.3603351955307262</v>
      </c>
      <c r="K271" s="37" t="n">
        <v>0.5121951219512195</v>
      </c>
      <c r="L271" s="37" t="n">
        <v>0.5121951219512195</v>
      </c>
      <c r="M271" s="37" t="n">
        <v>0.9910913140311804</v>
      </c>
      <c r="N271" s="37" t="n">
        <v>0.1870824053452116</v>
      </c>
      <c r="O271" s="36" t="n">
        <v>0.17</v>
      </c>
      <c r="P271" s="36" t="n">
        <v>12.53</v>
      </c>
      <c r="Q271" s="36" t="n">
        <v>10.07</v>
      </c>
      <c r="R271" s="36" t="n">
        <v>31.86</v>
      </c>
      <c r="S271" s="36" t="n">
        <v>0</v>
      </c>
      <c r="T271" s="37" t="n">
        <v>0.4085155350978136</v>
      </c>
      <c r="U271" s="37" t="n">
        <v>0.4481658692185008</v>
      </c>
      <c r="V271" s="37" t="n">
        <v>0.3057851239669421</v>
      </c>
      <c r="W271" s="37" t="n">
        <v>0.597864768683274</v>
      </c>
    </row>
    <row r="272">
      <c r="A272" s="53" t="n">
        <v>45755</v>
      </c>
      <c r="B272" t="inlineStr">
        <is>
          <t>R07_Bali Nusra</t>
        </is>
      </c>
      <c r="C272" t="inlineStr">
        <is>
          <t>NOP KUPANG</t>
        </is>
      </c>
      <c r="D272" s="36" t="n">
        <v>0.8100000000000001</v>
      </c>
      <c r="E272" s="36" t="n">
        <v>2.26</v>
      </c>
      <c r="F272" s="36" t="n">
        <v>3.71</v>
      </c>
      <c r="G272" s="36" t="n">
        <v>5.76</v>
      </c>
      <c r="H272" s="37" t="n">
        <v>0.4914529914529914</v>
      </c>
      <c r="I272" s="37" t="n">
        <v>0.4615384615384616</v>
      </c>
      <c r="J272" s="37" t="n">
        <v>0.4951923076923077</v>
      </c>
      <c r="K272" s="37" t="n">
        <v>0.5833333333333334</v>
      </c>
      <c r="L272" s="37" t="n">
        <v>0.5833333333333334</v>
      </c>
      <c r="M272" s="37" t="n">
        <v>0.9957264957264957</v>
      </c>
      <c r="N272" s="37" t="n">
        <v>0.1538461538461539</v>
      </c>
      <c r="O272" s="36" t="n">
        <v>0.01</v>
      </c>
      <c r="P272" s="36" t="n">
        <v>24.06</v>
      </c>
      <c r="Q272" s="36" t="n">
        <v>26.55</v>
      </c>
      <c r="R272" s="36" t="n">
        <v>268.43</v>
      </c>
      <c r="S272" s="36" t="n">
        <v>0</v>
      </c>
      <c r="T272" s="37" t="n">
        <v>0.5763688760806917</v>
      </c>
      <c r="U272" s="37" t="n">
        <v>0.6244343891402715</v>
      </c>
      <c r="V272" s="37" t="n">
        <v>0.492063492063492</v>
      </c>
      <c r="W272" s="37" t="n">
        <v>0.6014492753623188</v>
      </c>
    </row>
    <row r="273">
      <c r="A273" s="53" t="n">
        <v>45755</v>
      </c>
      <c r="B273" t="inlineStr">
        <is>
          <t>R07_Bali Nusra</t>
        </is>
      </c>
      <c r="C273" t="inlineStr">
        <is>
          <t>NOP MATARAM</t>
        </is>
      </c>
      <c r="D273" s="36" t="n">
        <v>3.45</v>
      </c>
      <c r="E273" s="36" t="n">
        <v>14.56</v>
      </c>
      <c r="F273" s="36" t="n">
        <v>3.79</v>
      </c>
      <c r="G273" s="36" t="n">
        <v>8.44</v>
      </c>
      <c r="H273" s="37" t="n">
        <v>0.4408602150537634</v>
      </c>
      <c r="I273" s="37" t="n">
        <v>0.6363636363636364</v>
      </c>
      <c r="J273" s="37" t="n">
        <v>0.4146341463414634</v>
      </c>
      <c r="K273" s="37" t="n">
        <v>0.7142857142857143</v>
      </c>
      <c r="L273" s="37" t="n">
        <v>0.7142857142857143</v>
      </c>
      <c r="M273" s="37" t="n">
        <v>1</v>
      </c>
      <c r="N273" s="37" t="n">
        <v>0.2795698924731183</v>
      </c>
      <c r="O273" s="36" t="n">
        <v>0</v>
      </c>
      <c r="P273" s="36" t="n">
        <v>26.56</v>
      </c>
      <c r="Q273" s="36" t="n">
        <v>8.539999999999999</v>
      </c>
      <c r="R273" s="36" t="n">
        <v>24.6</v>
      </c>
      <c r="S273" s="36" t="n">
        <v>0</v>
      </c>
      <c r="T273" s="37" t="n">
        <v>0.286096256684492</v>
      </c>
      <c r="U273" s="37" t="n">
        <v>0.2865168539325842</v>
      </c>
      <c r="V273" s="37" t="n">
        <v>0.2857142857142857</v>
      </c>
      <c r="W273" s="37" t="n">
        <v>0.6078431372549019</v>
      </c>
    </row>
    <row r="274">
      <c r="A274" s="53" t="n">
        <v>45756</v>
      </c>
      <c r="B274" t="inlineStr">
        <is>
          <t>R01_Sumbagut</t>
        </is>
      </c>
      <c r="C274" t="inlineStr">
        <is>
          <t>NOP ACEH</t>
        </is>
      </c>
      <c r="D274" s="36" t="n">
        <v>2.15</v>
      </c>
      <c r="E274" s="36" t="n">
        <v>4.62</v>
      </c>
      <c r="F274" s="36" t="n">
        <v>13.66</v>
      </c>
      <c r="G274" s="36" t="n">
        <v>7.13</v>
      </c>
      <c r="H274" s="37" t="n">
        <v>0.8488228004956629</v>
      </c>
      <c r="I274" s="37" t="n">
        <v>0.8765432098765432</v>
      </c>
      <c r="J274" s="37" t="n">
        <v>0.8368794326241135</v>
      </c>
      <c r="K274" s="37" t="n">
        <v>0.3943661971830986</v>
      </c>
      <c r="L274" s="37" t="n">
        <v>0.3962264150943396</v>
      </c>
      <c r="M274" s="37" t="n">
        <v>1</v>
      </c>
      <c r="N274" s="37" t="n">
        <v>0.2936802973977695</v>
      </c>
      <c r="O274" s="36" t="n">
        <v>0.04</v>
      </c>
      <c r="P274" s="36" t="n">
        <v>3.56</v>
      </c>
      <c r="Q274" s="36" t="n">
        <v>53.79</v>
      </c>
      <c r="R274" s="36" t="n">
        <v>125.41</v>
      </c>
      <c r="S274" s="36" t="n">
        <v>0</v>
      </c>
      <c r="T274" s="37" t="n">
        <v>0.8698016634676904</v>
      </c>
      <c r="U274" s="37" t="n">
        <v>0.6648793565683646</v>
      </c>
      <c r="V274" s="37" t="n">
        <v>0.8975662913185616</v>
      </c>
      <c r="W274" s="37" t="n">
        <v>0.1935483870967742</v>
      </c>
    </row>
    <row r="275">
      <c r="A275" s="53" t="n">
        <v>45756</v>
      </c>
      <c r="B275" t="inlineStr">
        <is>
          <t>R01_Sumbagut</t>
        </is>
      </c>
      <c r="C275" t="inlineStr">
        <is>
          <t>NOP BINJAI</t>
        </is>
      </c>
      <c r="D275" s="36" t="n">
        <v>0</v>
      </c>
      <c r="E275" s="36" t="n">
        <v>4.2</v>
      </c>
      <c r="F275" s="36" t="n">
        <v>3.31</v>
      </c>
      <c r="G275" s="36" t="n">
        <v>4.43</v>
      </c>
      <c r="H275" s="37" t="n">
        <v>0.5545977011494253</v>
      </c>
      <c r="I275" s="37" t="n">
        <v>0.6111111111111112</v>
      </c>
      <c r="J275" s="37" t="n">
        <v>0.5398550724637681</v>
      </c>
      <c r="K275" s="37" t="n">
        <v>0.4318181818181818</v>
      </c>
      <c r="L275" s="37" t="n">
        <v>0.4318181818181818</v>
      </c>
      <c r="M275" s="37" t="n">
        <v>1</v>
      </c>
      <c r="N275" s="37" t="n">
        <v>0.2758620689655172</v>
      </c>
      <c r="O275" s="36" t="n">
        <v>0.01</v>
      </c>
      <c r="P275" s="36" t="n">
        <v>2.94</v>
      </c>
      <c r="Q275" s="36" t="n">
        <v>39.67</v>
      </c>
      <c r="R275" s="36" t="n">
        <v>69.76000000000001</v>
      </c>
      <c r="S275" s="36" t="n">
        <v>0</v>
      </c>
      <c r="T275" s="37" t="n">
        <v>0.625170998632011</v>
      </c>
      <c r="U275" s="37" t="n">
        <v>0.577639751552795</v>
      </c>
      <c r="V275" s="37" t="n">
        <v>0.6333938294010889</v>
      </c>
      <c r="W275" s="37" t="n">
        <v>0.4193548387096774</v>
      </c>
    </row>
    <row r="276">
      <c r="A276" s="53" t="n">
        <v>45756</v>
      </c>
      <c r="B276" t="inlineStr">
        <is>
          <t>R01_Sumbagut</t>
        </is>
      </c>
      <c r="C276" t="inlineStr">
        <is>
          <t>NOP MEDAN</t>
        </is>
      </c>
      <c r="D276" s="36" t="n">
        <v>1.41</v>
      </c>
      <c r="E276" s="36" t="n">
        <v>3.23</v>
      </c>
      <c r="F276" s="36" t="n">
        <v>3.94</v>
      </c>
      <c r="G276" s="36" t="n">
        <v>3.19</v>
      </c>
      <c r="H276" s="37" t="n">
        <v>0.42560553633218</v>
      </c>
      <c r="I276" s="37" t="n">
        <v>0.5416666666666666</v>
      </c>
      <c r="J276" s="37" t="n">
        <v>0.3870967741935484</v>
      </c>
      <c r="K276" s="37" t="n">
        <v>0.8461538461538461</v>
      </c>
      <c r="L276" s="37" t="n">
        <v>0.8461538461538461</v>
      </c>
      <c r="M276" s="37" t="n">
        <v>1</v>
      </c>
      <c r="N276" s="37" t="n">
        <v>0.2733564013840831</v>
      </c>
      <c r="O276" s="36" t="n">
        <v>0</v>
      </c>
      <c r="P276" s="36" t="n">
        <v>2.7</v>
      </c>
      <c r="Q276" s="36" t="n">
        <v>15.07</v>
      </c>
      <c r="R276" s="36" t="n">
        <v>17.14</v>
      </c>
      <c r="S276" s="36" t="n">
        <v>0</v>
      </c>
      <c r="T276" s="37" t="n">
        <v>0.2378223495702006</v>
      </c>
      <c r="U276" s="37" t="n">
        <v>0.1637931034482759</v>
      </c>
      <c r="V276" s="37" t="n">
        <v>0.2876712328767123</v>
      </c>
      <c r="W276" s="37" t="n">
        <v>0.9473684210526315</v>
      </c>
    </row>
    <row r="277">
      <c r="A277" s="53" t="n">
        <v>45756</v>
      </c>
      <c r="B277" t="inlineStr">
        <is>
          <t>R01_Sumbagut</t>
        </is>
      </c>
      <c r="C277" t="inlineStr">
        <is>
          <t>NOP PADANG SIDEMPUAN</t>
        </is>
      </c>
      <c r="D277" s="36" t="n">
        <v>0.84</v>
      </c>
      <c r="E277" s="36" t="n">
        <v>5.09</v>
      </c>
      <c r="F277" s="36" t="n">
        <v>4.44</v>
      </c>
      <c r="G277" s="36" t="n">
        <v>6.04</v>
      </c>
      <c r="H277" s="37" t="n">
        <v>0.2894333843797856</v>
      </c>
      <c r="I277" s="37" t="n">
        <v>0.5205479452054794</v>
      </c>
      <c r="J277" s="37" t="n">
        <v>0.2603448275862069</v>
      </c>
      <c r="K277" s="37" t="n">
        <v>0.4736842105263158</v>
      </c>
      <c r="L277" s="37" t="n">
        <v>0.4736842105263158</v>
      </c>
      <c r="M277" s="37" t="n">
        <v>0.9938744257274119</v>
      </c>
      <c r="N277" s="37" t="n">
        <v>0.1301684532924962</v>
      </c>
      <c r="O277" s="36" t="n">
        <v>0.01</v>
      </c>
      <c r="P277" s="36" t="n">
        <v>2.1</v>
      </c>
      <c r="Q277" s="36" t="n">
        <v>12.82</v>
      </c>
      <c r="R277" s="36" t="n">
        <v>107.12</v>
      </c>
      <c r="S277" s="36" t="n">
        <v>0</v>
      </c>
      <c r="T277" s="37" t="n">
        <v>0.2958529286019667</v>
      </c>
      <c r="U277" s="37" t="n">
        <v>0.4186440677966102</v>
      </c>
      <c r="V277" s="37" t="n">
        <v>0.2542955326460481</v>
      </c>
      <c r="W277" s="37" t="n">
        <v>0.5020242914979757</v>
      </c>
    </row>
    <row r="278">
      <c r="A278" s="53" t="n">
        <v>45756</v>
      </c>
      <c r="B278" t="inlineStr">
        <is>
          <t>R01_Sumbagut</t>
        </is>
      </c>
      <c r="C278" t="inlineStr">
        <is>
          <t>NOP PEMATANG SIANTAR</t>
        </is>
      </c>
      <c r="D278" s="36" t="n">
        <v>1.34</v>
      </c>
      <c r="E278" s="36" t="n">
        <v>4.96</v>
      </c>
      <c r="F278" s="36" t="n">
        <v>4.48</v>
      </c>
      <c r="G278" s="36" t="n">
        <v>5.33</v>
      </c>
      <c r="H278" s="37" t="n">
        <v>0.3286549707602339</v>
      </c>
      <c r="I278" s="37" t="n">
        <v>0.3254901960784314</v>
      </c>
      <c r="J278" s="37" t="n">
        <v>0.33</v>
      </c>
      <c r="K278" s="37" t="n">
        <v>0.6265060240963856</v>
      </c>
      <c r="L278" s="37" t="n">
        <v>0.6341463414634146</v>
      </c>
      <c r="M278" s="37" t="n">
        <v>0.9988304093567252</v>
      </c>
      <c r="N278" s="37" t="n">
        <v>0.1637426900584795</v>
      </c>
      <c r="O278" s="36" t="n">
        <v>0.01</v>
      </c>
      <c r="P278" s="36" t="n">
        <v>3.65</v>
      </c>
      <c r="Q278" s="36" t="n">
        <v>67.22</v>
      </c>
      <c r="R278" s="36" t="n">
        <v>63.8</v>
      </c>
      <c r="S278" s="36" t="n">
        <v>0</v>
      </c>
      <c r="T278" s="37" t="n">
        <v>0.1012538443340431</v>
      </c>
      <c r="U278" s="37" t="n">
        <v>0.3023809523809524</v>
      </c>
      <c r="V278" s="37" t="n">
        <v>0.07726793248945148</v>
      </c>
      <c r="W278" s="37" t="n">
        <v>0.8188976377952756</v>
      </c>
    </row>
    <row r="279">
      <c r="A279" s="53" t="n">
        <v>45756</v>
      </c>
      <c r="B279" t="inlineStr">
        <is>
          <t>R01_Sumbagut</t>
        </is>
      </c>
      <c r="C279" t="inlineStr">
        <is>
          <t>NOP RANTAU PRAPAT</t>
        </is>
      </c>
      <c r="D279" s="36" t="n">
        <v>3.52</v>
      </c>
      <c r="E279" s="36" t="n">
        <v>7.42</v>
      </c>
      <c r="F279" s="36" t="n">
        <v>6.83</v>
      </c>
      <c r="G279" s="36" t="n">
        <v>6.94</v>
      </c>
      <c r="H279" s="37" t="n">
        <v>0.2679692951849267</v>
      </c>
      <c r="I279" s="37" t="n">
        <v>0.2596153846153846</v>
      </c>
      <c r="J279" s="37" t="n">
        <v>0.2702943800178412</v>
      </c>
      <c r="K279" s="37" t="n">
        <v>0.5185185185185185</v>
      </c>
      <c r="L279" s="37" t="n">
        <v>0.5185185185185185</v>
      </c>
      <c r="M279" s="37" t="n">
        <v>0.9846475924633635</v>
      </c>
      <c r="N279" s="37" t="n">
        <v>0.1549197487787858</v>
      </c>
      <c r="O279" s="36" t="n">
        <v>0</v>
      </c>
      <c r="P279" s="36" t="n">
        <v>4.55</v>
      </c>
      <c r="Q279" s="36" t="n">
        <v>30.44</v>
      </c>
      <c r="R279" s="36" t="n">
        <v>30.62</v>
      </c>
      <c r="S279" s="36" t="n">
        <v>0</v>
      </c>
      <c r="T279" s="37" t="n">
        <v>0.06282216494845361</v>
      </c>
      <c r="U279" s="37" t="n">
        <v>0.1387434554973822</v>
      </c>
      <c r="V279" s="37" t="n">
        <v>0.04659763313609468</v>
      </c>
      <c r="W279" s="37" t="n">
        <v>0.6792452830188679</v>
      </c>
    </row>
    <row r="280">
      <c r="A280" s="53" t="n">
        <v>45756</v>
      </c>
      <c r="B280" t="inlineStr">
        <is>
          <t>R10_Sumbagteng</t>
        </is>
      </c>
      <c r="C280" t="inlineStr">
        <is>
          <t>NOP BATAM</t>
        </is>
      </c>
      <c r="D280" s="36" t="n">
        <v>1.8</v>
      </c>
      <c r="E280" s="36" t="n">
        <v>6.62</v>
      </c>
      <c r="F280" s="36" t="n">
        <v>7.39</v>
      </c>
      <c r="G280" s="36" t="n">
        <v>9.25</v>
      </c>
      <c r="H280" s="37" t="n">
        <v>0.2458256029684601</v>
      </c>
      <c r="I280" s="37" t="n">
        <v>0.2864321608040201</v>
      </c>
      <c r="J280" s="37" t="n">
        <v>0.2366325369738339</v>
      </c>
      <c r="K280" s="37" t="n">
        <v>0.7192982456140351</v>
      </c>
      <c r="L280" s="37" t="n">
        <v>0.7192982456140351</v>
      </c>
      <c r="M280" s="37" t="n">
        <v>0.9935064935064936</v>
      </c>
      <c r="N280" s="37" t="n">
        <v>0.1539888682745826</v>
      </c>
      <c r="O280" s="36" t="n">
        <v>0</v>
      </c>
      <c r="P280" s="36" t="n">
        <v>8.050000000000001</v>
      </c>
      <c r="Q280" s="36" t="n">
        <v>41.21</v>
      </c>
      <c r="R280" s="36" t="n">
        <v>18</v>
      </c>
      <c r="S280" s="36" t="n">
        <v>0</v>
      </c>
      <c r="T280" s="37" t="n">
        <v>0.07175660160734787</v>
      </c>
      <c r="U280" s="37" t="n">
        <v>0.19</v>
      </c>
      <c r="V280" s="37" t="n">
        <v>0.05203088284659282</v>
      </c>
      <c r="W280" s="37" t="n">
        <v>0.9157894736842105</v>
      </c>
    </row>
    <row r="281">
      <c r="A281" s="53" t="n">
        <v>45756</v>
      </c>
      <c r="B281" t="inlineStr">
        <is>
          <t>R10_Sumbagteng</t>
        </is>
      </c>
      <c r="C281" t="inlineStr">
        <is>
          <t>NOP BUKITTINGGI</t>
        </is>
      </c>
      <c r="D281" s="36" t="n">
        <v>2.04</v>
      </c>
      <c r="E281" s="36" t="n">
        <v>5.26</v>
      </c>
      <c r="F281" s="36" t="n">
        <v>3.69</v>
      </c>
      <c r="G281" s="36" t="n">
        <v>4.5</v>
      </c>
      <c r="H281" s="37" t="n">
        <v>0.7493403693931399</v>
      </c>
      <c r="I281" s="37" t="n">
        <v>0.8072289156626506</v>
      </c>
      <c r="J281" s="37" t="n">
        <v>0.7331081081081081</v>
      </c>
      <c r="K281" s="37" t="n">
        <v>0.6119402985074627</v>
      </c>
      <c r="L281" s="37" t="n">
        <v>0.6119402985074627</v>
      </c>
      <c r="M281" s="37" t="n">
        <v>0.9947229551451188</v>
      </c>
      <c r="N281" s="37" t="n">
        <v>0.4221635883905013</v>
      </c>
      <c r="O281" s="36" t="n">
        <v>0</v>
      </c>
      <c r="P281" s="36" t="n">
        <v>2.97</v>
      </c>
      <c r="Q281" s="36" t="n">
        <v>7</v>
      </c>
      <c r="R281" s="36" t="n">
        <v>147.44</v>
      </c>
      <c r="S281" s="36" t="n">
        <v>0</v>
      </c>
      <c r="T281" s="37" t="n">
        <v>0.3358208955223881</v>
      </c>
      <c r="U281" s="37" t="n">
        <v>0.7586206896551724</v>
      </c>
      <c r="V281" s="37" t="n">
        <v>0.2893745290128109</v>
      </c>
      <c r="W281" s="37" t="n">
        <v>0.5636363636363636</v>
      </c>
    </row>
    <row r="282">
      <c r="A282" s="53" t="n">
        <v>45756</v>
      </c>
      <c r="B282" t="inlineStr">
        <is>
          <t>R10_Sumbagteng</t>
        </is>
      </c>
      <c r="C282" t="inlineStr">
        <is>
          <t>NOP DUMAI</t>
        </is>
      </c>
      <c r="D282" s="36" t="n">
        <v>6.41</v>
      </c>
      <c r="E282" s="36" t="n">
        <v>6.86</v>
      </c>
      <c r="F282" s="36" t="n">
        <v>6.22</v>
      </c>
      <c r="G282" s="36" t="n">
        <v>5.87</v>
      </c>
      <c r="H282" s="37" t="n">
        <v>0.3805411629245826</v>
      </c>
      <c r="I282" s="37" t="n">
        <v>0.4584323040380047</v>
      </c>
      <c r="J282" s="37" t="n">
        <v>0.3556231003039514</v>
      </c>
      <c r="K282" s="37" t="n">
        <v>0.6994818652849741</v>
      </c>
      <c r="L282" s="37" t="n">
        <v>0.7333333333333333</v>
      </c>
      <c r="M282" s="37" t="n">
        <v>0.971790443293034</v>
      </c>
      <c r="N282" s="37" t="n">
        <v>0.2130109383995394</v>
      </c>
      <c r="O282" s="36" t="n">
        <v>0.15</v>
      </c>
      <c r="P282" s="36" t="n">
        <v>5.74</v>
      </c>
      <c r="Q282" s="36" t="n">
        <v>49.78</v>
      </c>
      <c r="R282" s="36" t="n">
        <v>130.27</v>
      </c>
      <c r="S282" s="36" t="n">
        <v>0</v>
      </c>
      <c r="T282" s="37" t="n">
        <v>0.2716468590831919</v>
      </c>
      <c r="U282" s="37" t="n">
        <v>0.2830188679245283</v>
      </c>
      <c r="V282" s="37" t="n">
        <v>0.2692138779095301</v>
      </c>
      <c r="W282" s="37" t="n">
        <v>0.9111111111111111</v>
      </c>
    </row>
    <row r="283">
      <c r="A283" s="53" t="n">
        <v>45756</v>
      </c>
      <c r="B283" t="inlineStr">
        <is>
          <t>R10_Sumbagteng</t>
        </is>
      </c>
      <c r="C283" t="inlineStr">
        <is>
          <t>NOP PADANG</t>
        </is>
      </c>
      <c r="D283" s="36" t="n">
        <v>3.58</v>
      </c>
      <c r="E283" s="36" t="n">
        <v>2.69</v>
      </c>
      <c r="F283" s="36" t="n">
        <v>9.74</v>
      </c>
      <c r="G283" s="36" t="n">
        <v>8.41</v>
      </c>
      <c r="H283" s="37" t="n">
        <v>0.762993762993763</v>
      </c>
      <c r="I283" s="37" t="n">
        <v>0.6545454545454545</v>
      </c>
      <c r="J283" s="37" t="n">
        <v>0.7769953051643192</v>
      </c>
      <c r="K283" s="37" t="n">
        <v>0.4444444444444444</v>
      </c>
      <c r="L283" s="37" t="n">
        <v>0.4444444444444444</v>
      </c>
      <c r="M283" s="37" t="n">
        <v>0.9854469854469855</v>
      </c>
      <c r="N283" s="37" t="n">
        <v>0.3180873180873181</v>
      </c>
      <c r="O283" s="36" t="n">
        <v>0</v>
      </c>
      <c r="P283" s="36" t="n">
        <v>5.6</v>
      </c>
      <c r="Q283" s="36" t="n">
        <v>50.89</v>
      </c>
      <c r="R283" s="36" t="n">
        <v>51.27</v>
      </c>
      <c r="S283" s="36" t="n">
        <v>0</v>
      </c>
      <c r="T283" s="37" t="n">
        <v>0.6574450772986168</v>
      </c>
      <c r="U283" s="37" t="n">
        <v>0.5620689655172414</v>
      </c>
      <c r="V283" s="37" t="n">
        <v>0.6694405917706888</v>
      </c>
      <c r="W283" s="37" t="n">
        <v>0.5276073619631901</v>
      </c>
    </row>
    <row r="284">
      <c r="A284" s="53" t="n">
        <v>45756</v>
      </c>
      <c r="B284" t="inlineStr">
        <is>
          <t>R10_Sumbagteng</t>
        </is>
      </c>
      <c r="C284" t="inlineStr">
        <is>
          <t>NOP PEKANBARU</t>
        </is>
      </c>
      <c r="D284" s="36" t="n">
        <v>6.71</v>
      </c>
      <c r="E284" s="36" t="n">
        <v>5.71</v>
      </c>
      <c r="F284" s="36" t="n">
        <v>6.64</v>
      </c>
      <c r="G284" s="36" t="n">
        <v>7.8</v>
      </c>
      <c r="H284" s="37" t="n">
        <v>0.3832951945080091</v>
      </c>
      <c r="I284" s="37" t="n">
        <v>0.5265017667844523</v>
      </c>
      <c r="J284" s="37" t="n">
        <v>0.3556313993174061</v>
      </c>
      <c r="K284" s="37" t="n">
        <v>0.7315436241610739</v>
      </c>
      <c r="L284" s="37" t="n">
        <v>0.7448275862068966</v>
      </c>
      <c r="M284" s="37" t="n">
        <v>0.9902745995423341</v>
      </c>
      <c r="N284" s="37" t="n">
        <v>0.2053775743707094</v>
      </c>
      <c r="O284" s="36" t="n">
        <v>0.01</v>
      </c>
      <c r="P284" s="36" t="n">
        <v>3.13</v>
      </c>
      <c r="Q284" s="36" t="n">
        <v>45.87</v>
      </c>
      <c r="R284" s="36" t="n">
        <v>73.42</v>
      </c>
      <c r="S284" s="36" t="n">
        <v>0</v>
      </c>
      <c r="T284" s="37" t="n">
        <v>0.2967667436489607</v>
      </c>
      <c r="U284" s="37" t="n">
        <v>0.3022974607013301</v>
      </c>
      <c r="V284" s="37" t="n">
        <v>0.2921928817451205</v>
      </c>
      <c r="W284" s="37" t="n">
        <v>0.868</v>
      </c>
    </row>
    <row r="285">
      <c r="A285" s="53" t="n">
        <v>45756</v>
      </c>
      <c r="B285" t="inlineStr">
        <is>
          <t>R02_Sumbagsel</t>
        </is>
      </c>
      <c r="C285" t="inlineStr">
        <is>
          <t>NOP BENGKULU</t>
        </is>
      </c>
      <c r="D285" s="36" t="n">
        <v>1.26</v>
      </c>
      <c r="E285" s="36" t="n">
        <v>4.68</v>
      </c>
      <c r="F285" s="36" t="n">
        <v>2.71</v>
      </c>
      <c r="G285" s="36" t="n">
        <v>7.26</v>
      </c>
      <c r="H285" s="37" t="n">
        <v>0.3616133518776078</v>
      </c>
      <c r="I285" s="37" t="n">
        <v>0.4080459770114943</v>
      </c>
      <c r="J285" s="37" t="n">
        <v>0.3467889908256881</v>
      </c>
      <c r="K285" s="37" t="n">
        <v>0.7183098591549296</v>
      </c>
      <c r="L285" s="37" t="n">
        <v>0.7183098591549296</v>
      </c>
      <c r="M285" s="37" t="n">
        <v>0.9916550764951322</v>
      </c>
      <c r="N285" s="37" t="n">
        <v>0.1919332406119611</v>
      </c>
      <c r="O285" s="36" t="n">
        <v>0</v>
      </c>
      <c r="P285" s="36" t="n">
        <v>5.19</v>
      </c>
      <c r="Q285" s="36" t="n">
        <v>6.4</v>
      </c>
      <c r="R285" s="36" t="n">
        <v>16.98</v>
      </c>
      <c r="S285" s="36" t="n">
        <v>0</v>
      </c>
      <c r="T285" s="37" t="n">
        <v>0.4105882352941176</v>
      </c>
      <c r="U285" s="37" t="n">
        <v>0.3232758620689655</v>
      </c>
      <c r="V285" s="37" t="n">
        <v>0.6232876712328768</v>
      </c>
      <c r="W285" s="37" t="n">
        <v>0.8746666666666667</v>
      </c>
    </row>
    <row r="286">
      <c r="A286" s="53" t="n">
        <v>45756</v>
      </c>
      <c r="B286" t="inlineStr">
        <is>
          <t>R02_Sumbagsel</t>
        </is>
      </c>
      <c r="C286" t="inlineStr">
        <is>
          <t>NOP JAMBI</t>
        </is>
      </c>
      <c r="D286" s="36" t="n">
        <v>3.24</v>
      </c>
      <c r="E286" s="36" t="n">
        <v>4.14</v>
      </c>
      <c r="F286" s="36" t="n">
        <v>6.31</v>
      </c>
      <c r="G286" s="36" t="n">
        <v>7.59</v>
      </c>
      <c r="H286" s="37" t="n">
        <v>0.4920212765957447</v>
      </c>
      <c r="I286" s="37" t="n">
        <v>0.5196374622356495</v>
      </c>
      <c r="J286" s="37" t="n">
        <v>0.4805520702634881</v>
      </c>
      <c r="K286" s="37" t="n">
        <v>0.686046511627907</v>
      </c>
      <c r="L286" s="37" t="n">
        <v>0.686046511627907</v>
      </c>
      <c r="M286" s="37" t="n">
        <v>1</v>
      </c>
      <c r="N286" s="37" t="n">
        <v>0.2632978723404255</v>
      </c>
      <c r="O286" s="36" t="n">
        <v>0</v>
      </c>
      <c r="P286" s="36" t="n">
        <v>6.12</v>
      </c>
      <c r="Q286" s="36" t="n">
        <v>12.16</v>
      </c>
      <c r="R286" s="36" t="n">
        <v>19</v>
      </c>
      <c r="S286" s="36" t="n">
        <v>0</v>
      </c>
      <c r="T286" s="37" t="n">
        <v>0.6454545454545455</v>
      </c>
      <c r="U286" s="37" t="n">
        <v>0.6320754716981132</v>
      </c>
      <c r="V286" s="37" t="n">
        <v>0.6877470355731226</v>
      </c>
      <c r="W286" s="37" t="n">
        <v>0.6925373134328359</v>
      </c>
    </row>
    <row r="287">
      <c r="A287" s="53" t="n">
        <v>45756</v>
      </c>
      <c r="B287" t="inlineStr">
        <is>
          <t>R02_Sumbagsel</t>
        </is>
      </c>
      <c r="C287" t="inlineStr">
        <is>
          <t>NOP LAMPUNG</t>
        </is>
      </c>
      <c r="D287" s="36" t="n">
        <v>1.2</v>
      </c>
      <c r="E287" s="36" t="n">
        <v>5.92</v>
      </c>
      <c r="F287" s="36" t="n">
        <v>4.14</v>
      </c>
      <c r="G287" s="36" t="n">
        <v>4.4</v>
      </c>
      <c r="H287" s="37" t="n">
        <v>0.4786729857819905</v>
      </c>
      <c r="I287" s="37" t="n">
        <v>0.7115384615384616</v>
      </c>
      <c r="J287" s="37" t="n">
        <v>0.4025157232704403</v>
      </c>
      <c r="K287" s="37" t="n">
        <v>0.6351351351351351</v>
      </c>
      <c r="L287" s="37" t="n">
        <v>0.6351351351351351</v>
      </c>
      <c r="M287" s="37" t="n">
        <v>1</v>
      </c>
      <c r="N287" s="37" t="n">
        <v>0.2867298578199052</v>
      </c>
      <c r="O287" s="36" t="n">
        <v>0</v>
      </c>
      <c r="P287" s="36" t="n">
        <v>12.96</v>
      </c>
      <c r="Q287" s="36" t="n">
        <v>6.01</v>
      </c>
      <c r="R287" s="36" t="n">
        <v>33.77</v>
      </c>
      <c r="S287" s="36" t="n">
        <v>0</v>
      </c>
      <c r="T287" s="37" t="n">
        <v>0.893476465730801</v>
      </c>
      <c r="U287" s="37" t="n">
        <v>0.7752808988764045</v>
      </c>
      <c r="V287" s="37" t="n">
        <v>0.9430803571428571</v>
      </c>
      <c r="W287" s="37" t="n">
        <v>0.8357487922705314</v>
      </c>
    </row>
    <row r="288">
      <c r="A288" s="53" t="n">
        <v>45756</v>
      </c>
      <c r="B288" t="inlineStr">
        <is>
          <t>R02_Sumbagsel</t>
        </is>
      </c>
      <c r="C288" t="inlineStr">
        <is>
          <t>NOP MUARA ENIM</t>
        </is>
      </c>
      <c r="D288" s="36" t="n">
        <v>2.91</v>
      </c>
      <c r="E288" s="36" t="n">
        <v>4.46</v>
      </c>
      <c r="F288" s="36" t="n">
        <v>4.49</v>
      </c>
      <c r="G288" s="36" t="n">
        <v>5.3</v>
      </c>
      <c r="H288" s="37" t="n">
        <v>0.3653500897666068</v>
      </c>
      <c r="I288" s="37" t="n">
        <v>0.2216981132075472</v>
      </c>
      <c r="J288" s="37" t="n">
        <v>0.3991130820399113</v>
      </c>
      <c r="K288" s="37" t="n">
        <v>0.574468085106383</v>
      </c>
      <c r="L288" s="37" t="n">
        <v>0.574468085106383</v>
      </c>
      <c r="M288" s="37" t="n">
        <v>0.9757630161579892</v>
      </c>
      <c r="N288" s="37" t="n">
        <v>0.1732495511669659</v>
      </c>
      <c r="O288" s="36" t="n">
        <v>0</v>
      </c>
      <c r="P288" s="36" t="n">
        <v>6.81</v>
      </c>
      <c r="Q288" s="36" t="n">
        <v>6.92</v>
      </c>
      <c r="R288" s="36" t="n">
        <v>13.9</v>
      </c>
      <c r="S288" s="36" t="n">
        <v>0</v>
      </c>
      <c r="T288" s="37" t="n">
        <v>0.5226130653266332</v>
      </c>
      <c r="U288" s="37" t="n">
        <v>0.535904255319149</v>
      </c>
      <c r="V288" s="37" t="n">
        <v>0.5996908809891809</v>
      </c>
      <c r="W288" s="37" t="n">
        <v>0.826302729528536</v>
      </c>
    </row>
    <row r="289">
      <c r="A289" s="53" t="n">
        <v>45756</v>
      </c>
      <c r="B289" t="inlineStr">
        <is>
          <t>R02_Sumbagsel</t>
        </is>
      </c>
      <c r="C289" t="inlineStr">
        <is>
          <t>NOP PALEMBANG</t>
        </is>
      </c>
      <c r="D289" s="36" t="n">
        <v>2.41</v>
      </c>
      <c r="E289" s="36" t="n">
        <v>7.45</v>
      </c>
      <c r="F289" s="36" t="n">
        <v>9.630000000000001</v>
      </c>
      <c r="G289" s="36" t="n">
        <v>9.83</v>
      </c>
      <c r="H289" s="37" t="n">
        <v>0.3245033112582781</v>
      </c>
      <c r="I289" s="37" t="n">
        <v>0.2916666666666667</v>
      </c>
      <c r="J289" s="37" t="n">
        <v>0.328125</v>
      </c>
      <c r="K289" s="37" t="n">
        <v>0.5428571428571428</v>
      </c>
      <c r="L289" s="37" t="n">
        <v>0.5428571428571428</v>
      </c>
      <c r="M289" s="37" t="n">
        <v>1</v>
      </c>
      <c r="N289" s="37" t="n">
        <v>0.1531456953642384</v>
      </c>
      <c r="O289" s="36" t="n">
        <v>0</v>
      </c>
      <c r="P289" s="36" t="n">
        <v>5.74</v>
      </c>
      <c r="Q289" s="36" t="n">
        <v>11.66</v>
      </c>
      <c r="R289" s="36" t="n">
        <v>7.41</v>
      </c>
      <c r="S289" s="36" t="n">
        <v>0</v>
      </c>
      <c r="T289" s="37" t="n">
        <v>0.286908077994429</v>
      </c>
      <c r="U289" s="37" t="n">
        <v>0.243605359317905</v>
      </c>
      <c r="V289" s="37" t="n">
        <v>0.4379358437935844</v>
      </c>
      <c r="W289" s="37" t="n">
        <v>0.44</v>
      </c>
    </row>
    <row r="290">
      <c r="A290" s="53" t="n">
        <v>45756</v>
      </c>
      <c r="B290" t="inlineStr">
        <is>
          <t>R02_Sumbagsel</t>
        </is>
      </c>
      <c r="C290" t="inlineStr">
        <is>
          <t>NOP PANGKAL PINANG</t>
        </is>
      </c>
      <c r="D290" s="36" t="n">
        <v>0</v>
      </c>
      <c r="E290" s="36" t="n">
        <v>2.32</v>
      </c>
      <c r="F290" s="36" t="n">
        <v>5.34</v>
      </c>
      <c r="G290" s="36" t="n">
        <v>4.57</v>
      </c>
      <c r="H290" s="37" t="n">
        <v>0.5864661654135338</v>
      </c>
      <c r="I290" s="37" t="n">
        <v>1</v>
      </c>
      <c r="J290" s="37" t="n">
        <v>0.5703125</v>
      </c>
      <c r="K290" s="37" t="n">
        <v>0.6</v>
      </c>
      <c r="L290" s="37" t="n">
        <v>0.6</v>
      </c>
      <c r="M290" s="37" t="n">
        <v>0.9924812030075187</v>
      </c>
      <c r="N290" s="37" t="n">
        <v>0.3383458646616541</v>
      </c>
      <c r="O290" s="36" t="n">
        <v>0</v>
      </c>
      <c r="P290" s="36" t="n">
        <v>4.66</v>
      </c>
      <c r="Q290" s="36" t="n">
        <v>4.86</v>
      </c>
      <c r="R290" s="36" t="n">
        <v>7.32</v>
      </c>
      <c r="S290" s="36" t="n">
        <v>0</v>
      </c>
      <c r="T290" s="37" t="n">
        <v>0.8277227722772277</v>
      </c>
      <c r="U290" s="37" t="n">
        <v>0.8497409326424871</v>
      </c>
      <c r="V290" s="37" t="n">
        <v>0.8838028169014085</v>
      </c>
      <c r="W290" s="37" t="n">
        <v>0.7439024390243902</v>
      </c>
    </row>
    <row r="291">
      <c r="A291" s="53" t="n">
        <v>45756</v>
      </c>
      <c r="B291" t="inlineStr">
        <is>
          <t>R05_Jawa Tengah DIY</t>
        </is>
      </c>
      <c r="C291" t="inlineStr">
        <is>
          <t>NOP MAGELANG</t>
        </is>
      </c>
      <c r="D291" s="36" t="n">
        <v>4.8</v>
      </c>
      <c r="E291" s="36" t="n">
        <v>0</v>
      </c>
      <c r="F291" s="36" t="n">
        <v>4.96</v>
      </c>
      <c r="G291" s="36" t="n">
        <v>3.21</v>
      </c>
      <c r="H291" s="37" t="n">
        <v>0.6461538461538462</v>
      </c>
      <c r="I291" s="37" t="n">
        <v>0.9411764705882353</v>
      </c>
      <c r="J291" s="37" t="n">
        <v>0.6017699115044248</v>
      </c>
      <c r="K291" s="37" t="n">
        <v>0.5625</v>
      </c>
      <c r="L291" s="37" t="n">
        <v>0.5625</v>
      </c>
      <c r="M291" s="37" t="n">
        <v>1</v>
      </c>
      <c r="N291" s="37" t="n">
        <v>0.5769230769230769</v>
      </c>
      <c r="O291" s="36" t="n">
        <v>0</v>
      </c>
      <c r="P291" s="36" t="n">
        <v>19</v>
      </c>
      <c r="Q291" s="36" t="n">
        <v>24.23</v>
      </c>
      <c r="R291" s="36" t="n">
        <v>47.91</v>
      </c>
      <c r="S291" s="36" t="n">
        <v>0</v>
      </c>
      <c r="T291" s="37" t="n">
        <v>0.8778625954198473</v>
      </c>
      <c r="U291" s="37" t="n">
        <v>0.8648648648648649</v>
      </c>
      <c r="V291" s="37" t="n">
        <v>0.88</v>
      </c>
      <c r="W291" s="37" t="n">
        <v>0.78125</v>
      </c>
    </row>
    <row r="292">
      <c r="A292" s="53" t="n">
        <v>45756</v>
      </c>
      <c r="B292" t="inlineStr">
        <is>
          <t>R05_Jawa Tengah DIY</t>
        </is>
      </c>
      <c r="C292" t="inlineStr">
        <is>
          <t>NOP PEKALONGAN</t>
        </is>
      </c>
      <c r="D292" s="36" t="n">
        <v>3.71</v>
      </c>
      <c r="E292" s="36" t="n">
        <v>0</v>
      </c>
      <c r="F292" s="36" t="n">
        <v>2.34</v>
      </c>
      <c r="G292" s="36" t="n">
        <v>2.5</v>
      </c>
      <c r="H292" s="37" t="n">
        <v>0.5714285714285714</v>
      </c>
      <c r="I292" s="37" t="n">
        <v>1</v>
      </c>
      <c r="J292" s="37" t="n">
        <v>0.5446428571428571</v>
      </c>
      <c r="K292" s="37" t="n">
        <v>1</v>
      </c>
      <c r="L292" s="37" t="n">
        <v>1</v>
      </c>
      <c r="M292" s="37" t="n">
        <v>0.9831932773109243</v>
      </c>
      <c r="N292" s="37" t="n">
        <v>0.6302521008403361</v>
      </c>
      <c r="O292" s="36" t="n">
        <v>0</v>
      </c>
      <c r="P292" s="36" t="n">
        <v>2.7</v>
      </c>
      <c r="Q292" s="36" t="n">
        <v>5.94</v>
      </c>
      <c r="R292" s="36" t="n">
        <v>55.26</v>
      </c>
      <c r="S292" s="36" t="n">
        <v>0</v>
      </c>
      <c r="T292" s="37" t="n">
        <v>0.8525345622119815</v>
      </c>
      <c r="U292" s="37" t="n">
        <v>0.7735849056603774</v>
      </c>
      <c r="V292" s="37" t="n">
        <v>0.8780487804878049</v>
      </c>
      <c r="W292" s="37" t="n">
        <v>0.7073170731707317</v>
      </c>
    </row>
    <row r="293">
      <c r="A293" s="53" t="n">
        <v>45756</v>
      </c>
      <c r="B293" t="inlineStr">
        <is>
          <t>R05_Jawa Tengah DIY</t>
        </is>
      </c>
      <c r="C293" t="inlineStr">
        <is>
          <t>NOP PURWOKERTO</t>
        </is>
      </c>
      <c r="D293" s="36" t="n">
        <v>2.31</v>
      </c>
      <c r="E293" s="36" t="n">
        <v>0</v>
      </c>
      <c r="F293" s="36" t="n">
        <v>3.05</v>
      </c>
      <c r="G293" s="36" t="n">
        <v>3.98</v>
      </c>
      <c r="H293" s="37" t="n">
        <v>0.8015267175572519</v>
      </c>
      <c r="I293" s="37" t="n">
        <v>0.6470588235294118</v>
      </c>
      <c r="J293" s="37" t="n">
        <v>0.8245614035087719</v>
      </c>
      <c r="K293" s="37" t="n">
        <v>1</v>
      </c>
      <c r="L293" s="37" t="n">
        <v>1</v>
      </c>
      <c r="M293" s="37" t="n">
        <v>0.9541984732824428</v>
      </c>
      <c r="N293" s="37" t="n">
        <v>0.5343511450381679</v>
      </c>
      <c r="O293" s="36" t="n">
        <v>0.14</v>
      </c>
      <c r="P293" s="36" t="n">
        <v>3.87</v>
      </c>
      <c r="Q293" s="36" t="n">
        <v>7.67</v>
      </c>
      <c r="R293" s="36" t="n">
        <v>49.33</v>
      </c>
      <c r="S293" s="36" t="n">
        <v>0</v>
      </c>
      <c r="T293" s="37" t="n">
        <v>0.7632850241545893</v>
      </c>
      <c r="U293" s="37" t="n">
        <v>0.7755102040816326</v>
      </c>
      <c r="V293" s="37" t="n">
        <v>0.759493670886076</v>
      </c>
      <c r="W293" s="37" t="n">
        <v>0.6842105263157895</v>
      </c>
    </row>
    <row r="294">
      <c r="A294" s="53" t="n">
        <v>45756</v>
      </c>
      <c r="B294" t="inlineStr">
        <is>
          <t>R05_Jawa Tengah DIY</t>
        </is>
      </c>
      <c r="C294" t="inlineStr">
        <is>
          <t>NOP SEMARANG</t>
        </is>
      </c>
      <c r="D294" s="36" t="n">
        <v>3.07</v>
      </c>
      <c r="E294" s="36" t="n">
        <v>1.66</v>
      </c>
      <c r="F294" s="36" t="n">
        <v>2.55</v>
      </c>
      <c r="G294" s="36" t="n">
        <v>3.01</v>
      </c>
      <c r="H294" s="37" t="n">
        <v>0.4933333333333333</v>
      </c>
      <c r="I294" s="37" t="n">
        <v>0.6</v>
      </c>
      <c r="J294" s="37" t="n">
        <v>0.4857142857142857</v>
      </c>
      <c r="K294" s="37" t="n">
        <v>1</v>
      </c>
      <c r="L294" s="37" t="n">
        <v>1</v>
      </c>
      <c r="M294" s="37" t="n">
        <v>0.9733333333333334</v>
      </c>
      <c r="N294" s="37" t="n">
        <v>0.3466666666666667</v>
      </c>
      <c r="O294" s="36" t="n">
        <v>0</v>
      </c>
      <c r="P294" s="36" t="n">
        <v>1.95</v>
      </c>
      <c r="Q294" s="36" t="n">
        <v>14.28</v>
      </c>
      <c r="R294" s="36" t="n">
        <v>46.41</v>
      </c>
      <c r="S294" s="36" t="n">
        <v>0</v>
      </c>
      <c r="T294" s="37" t="n">
        <v>0.6449704142011834</v>
      </c>
      <c r="U294" s="37" t="n">
        <v>0.3008130081300813</v>
      </c>
      <c r="V294" s="37" t="n">
        <v>0.8418604651162791</v>
      </c>
      <c r="W294" s="37" t="n">
        <v>0.8918918918918919</v>
      </c>
    </row>
    <row r="295">
      <c r="A295" s="53" t="n">
        <v>45756</v>
      </c>
      <c r="B295" t="inlineStr">
        <is>
          <t>R05_Jawa Tengah DIY</t>
        </is>
      </c>
      <c r="C295" t="inlineStr">
        <is>
          <t>NOP SURAKARTA</t>
        </is>
      </c>
      <c r="D295" s="36" t="n">
        <v>3.49</v>
      </c>
      <c r="E295" s="36" t="n">
        <v>2.15</v>
      </c>
      <c r="F295" s="36" t="n">
        <v>2.8</v>
      </c>
      <c r="G295" s="36" t="n">
        <v>4.49</v>
      </c>
      <c r="H295" s="37" t="n">
        <v>0.6175115207373272</v>
      </c>
      <c r="I295" s="37" t="n">
        <v>0.8636363636363636</v>
      </c>
      <c r="J295" s="37" t="n">
        <v>0.5897435897435898</v>
      </c>
      <c r="K295" s="37" t="n">
        <v>0.9473684210526315</v>
      </c>
      <c r="L295" s="37" t="n">
        <v>0.9473684210526315</v>
      </c>
      <c r="M295" s="37" t="n">
        <v>0.9861751152073732</v>
      </c>
      <c r="N295" s="37" t="n">
        <v>0.4562211981566821</v>
      </c>
      <c r="O295" s="36" t="n">
        <v>0.12</v>
      </c>
      <c r="P295" s="36" t="n">
        <v>3.29</v>
      </c>
      <c r="Q295" s="36" t="n">
        <v>14.96</v>
      </c>
      <c r="R295" s="36" t="n">
        <v>83.09</v>
      </c>
      <c r="S295" s="36" t="n">
        <v>0</v>
      </c>
      <c r="T295" s="37" t="n">
        <v>0.7770491803278688</v>
      </c>
      <c r="U295" s="37" t="n">
        <v>0.6593406593406593</v>
      </c>
      <c r="V295" s="37" t="n">
        <v>0.8271028037383178</v>
      </c>
      <c r="W295" s="37" t="n">
        <v>0.8166666666666667</v>
      </c>
    </row>
    <row r="296">
      <c r="A296" s="53" t="n">
        <v>45756</v>
      </c>
      <c r="B296" t="inlineStr">
        <is>
          <t>R05_Jawa Tengah DIY</t>
        </is>
      </c>
      <c r="C296" t="inlineStr">
        <is>
          <t>NOP YOGYAKARTA</t>
        </is>
      </c>
      <c r="D296" s="36" t="n">
        <v>2.37</v>
      </c>
      <c r="E296" s="36" t="n">
        <v>0</v>
      </c>
      <c r="F296" s="36" t="n">
        <v>3.34</v>
      </c>
      <c r="G296" s="36" t="n">
        <v>4.14</v>
      </c>
      <c r="H296" s="37" t="n">
        <v>0.6346153846153846</v>
      </c>
      <c r="I296" s="37" t="n">
        <v>1</v>
      </c>
      <c r="J296" s="37" t="n">
        <v>0.6122448979591837</v>
      </c>
      <c r="K296" s="37" t="n">
        <v>1</v>
      </c>
      <c r="L296" s="37" t="n">
        <v>1</v>
      </c>
      <c r="M296" s="37" t="n">
        <v>1</v>
      </c>
      <c r="N296" s="37" t="n">
        <v>0.4423076923076923</v>
      </c>
      <c r="O296" s="36" t="n">
        <v>0</v>
      </c>
      <c r="P296" s="36" t="n">
        <v>2.28</v>
      </c>
      <c r="Q296" s="36" t="n">
        <v>14.74</v>
      </c>
      <c r="R296" s="36" t="n">
        <v>46.56</v>
      </c>
      <c r="S296" s="36" t="n">
        <v>0</v>
      </c>
      <c r="T296" s="37" t="n">
        <v>0.9219219219219219</v>
      </c>
      <c r="U296" s="37" t="n">
        <v>0.7954545454545454</v>
      </c>
      <c r="V296" s="37" t="n">
        <v>0.9411764705882353</v>
      </c>
      <c r="W296" s="37" t="n">
        <v>0.9714285714285714</v>
      </c>
    </row>
    <row r="297">
      <c r="A297" s="53" t="n">
        <v>45756</v>
      </c>
      <c r="B297" t="inlineStr">
        <is>
          <t>R06_Jawa Timur</t>
        </is>
      </c>
      <c r="C297" t="inlineStr">
        <is>
          <t>NOP JEMBER</t>
        </is>
      </c>
      <c r="D297" s="36" t="n">
        <v>2.08</v>
      </c>
      <c r="E297" s="36" t="n">
        <v>2.64</v>
      </c>
      <c r="F297" s="36" t="n">
        <v>5.22</v>
      </c>
      <c r="G297" s="36" t="n">
        <v>4.79</v>
      </c>
      <c r="H297" s="37" t="n">
        <v>0.7278481012658228</v>
      </c>
      <c r="I297" s="37" t="n">
        <v>0.6875</v>
      </c>
      <c r="J297" s="37" t="n">
        <v>0.7323943661971831</v>
      </c>
      <c r="K297" s="37" t="n">
        <v>0.6363636363636364</v>
      </c>
      <c r="L297" s="37" t="n">
        <v>0.6363636363636364</v>
      </c>
      <c r="M297" s="37" t="n">
        <v>0.9936708860759493</v>
      </c>
      <c r="N297" s="37" t="n">
        <v>0.3734177215189873</v>
      </c>
      <c r="O297" s="36" t="n">
        <v>0</v>
      </c>
      <c r="P297" s="36" t="n">
        <v>2.72</v>
      </c>
      <c r="Q297" s="36" t="n">
        <v>6.43</v>
      </c>
      <c r="R297" s="36" t="n">
        <v>49.72</v>
      </c>
      <c r="S297" s="36" t="n">
        <v>0</v>
      </c>
      <c r="T297" s="37" t="n">
        <v>0.7945205479452054</v>
      </c>
      <c r="U297" s="37" t="n">
        <v>0.7884615384615384</v>
      </c>
      <c r="V297" s="37" t="n">
        <v>0.7964071856287425</v>
      </c>
      <c r="W297" s="37" t="n">
        <v>0.7317073170731707</v>
      </c>
    </row>
    <row r="298">
      <c r="A298" s="53" t="n">
        <v>45756</v>
      </c>
      <c r="B298" t="inlineStr">
        <is>
          <t>R06_Jawa Timur</t>
        </is>
      </c>
      <c r="C298" t="inlineStr">
        <is>
          <t>NOP KEDIRI</t>
        </is>
      </c>
      <c r="D298" s="36" t="n">
        <v>1.21</v>
      </c>
      <c r="E298" s="36" t="n">
        <v>0.7</v>
      </c>
      <c r="F298" s="36" t="n">
        <v>2.21</v>
      </c>
      <c r="G298" s="36" t="n">
        <v>1.23</v>
      </c>
      <c r="H298" s="37" t="n">
        <v>0.868421052631579</v>
      </c>
      <c r="I298" s="37" t="n">
        <v>1</v>
      </c>
      <c r="J298" s="37" t="n">
        <v>0.863013698630137</v>
      </c>
      <c r="K298" s="37" t="n">
        <v>0.6666666666666666</v>
      </c>
      <c r="L298" s="37" t="n">
        <v>0.6666666666666666</v>
      </c>
      <c r="M298" s="37" t="n">
        <v>1</v>
      </c>
      <c r="N298" s="37" t="n">
        <v>0.5526315789473685</v>
      </c>
      <c r="O298" s="36" t="n">
        <v>0</v>
      </c>
      <c r="P298" s="36" t="n">
        <v>1.99</v>
      </c>
      <c r="Q298" s="36" t="n">
        <v>3.69</v>
      </c>
      <c r="R298" s="36" t="n">
        <v>13.54</v>
      </c>
      <c r="S298" s="36" t="n">
        <v>0</v>
      </c>
      <c r="T298" s="37" t="n">
        <v>0.952755905511811</v>
      </c>
      <c r="U298" s="37" t="n">
        <v>0.8709677419354839</v>
      </c>
      <c r="V298" s="37" t="n">
        <v>0.9791666666666666</v>
      </c>
      <c r="W298" s="37" t="n">
        <v>0.8148148148148148</v>
      </c>
    </row>
    <row r="299">
      <c r="A299" s="53" t="n">
        <v>45756</v>
      </c>
      <c r="B299" t="inlineStr">
        <is>
          <t>R06_Jawa Timur</t>
        </is>
      </c>
      <c r="C299" t="inlineStr">
        <is>
          <t>NOP LAMONGAN</t>
        </is>
      </c>
      <c r="D299" s="36" t="n">
        <v>2.15</v>
      </c>
      <c r="E299" s="36" t="n">
        <v>1.01</v>
      </c>
      <c r="F299" s="36" t="n">
        <v>3.22</v>
      </c>
      <c r="G299" s="36" t="n">
        <v>2.43</v>
      </c>
      <c r="H299" s="37" t="n">
        <v>0.78125</v>
      </c>
      <c r="I299" s="37" t="n">
        <v>1</v>
      </c>
      <c r="J299" s="37" t="n">
        <v>0.7543859649122807</v>
      </c>
      <c r="K299" s="37" t="n">
        <v>0.8571428571428571</v>
      </c>
      <c r="L299" s="37" t="n">
        <v>0.8571428571428571</v>
      </c>
      <c r="M299" s="37" t="n">
        <v>1</v>
      </c>
      <c r="N299" s="37" t="n">
        <v>0.703125</v>
      </c>
      <c r="O299" s="36" t="n">
        <v>0</v>
      </c>
      <c r="P299" s="36" t="n">
        <v>3.02</v>
      </c>
      <c r="Q299" s="36" t="n">
        <v>10.65</v>
      </c>
      <c r="R299" s="36" t="n">
        <v>34.1</v>
      </c>
      <c r="S299" s="36" t="n">
        <v>0</v>
      </c>
      <c r="T299" s="37" t="n">
        <v>0.7297297297297297</v>
      </c>
      <c r="U299" s="37" t="n">
        <v>0.6206896551724138</v>
      </c>
      <c r="V299" s="37" t="n">
        <v>0.8</v>
      </c>
      <c r="W299" s="37" t="n">
        <v>0.9444444444444444</v>
      </c>
    </row>
    <row r="300">
      <c r="A300" s="53" t="n">
        <v>45756</v>
      </c>
      <c r="B300" t="inlineStr">
        <is>
          <t>R06_Jawa Timur</t>
        </is>
      </c>
      <c r="C300" t="inlineStr">
        <is>
          <t>NOP MADIUN</t>
        </is>
      </c>
      <c r="D300" s="36" t="n">
        <v>0</v>
      </c>
      <c r="E300" s="36" t="n">
        <v>0</v>
      </c>
      <c r="F300" s="36" t="n">
        <v>2.87</v>
      </c>
      <c r="G300" s="36" t="n">
        <v>2.52</v>
      </c>
      <c r="H300" s="37" t="n">
        <v>0.7213114754098361</v>
      </c>
      <c r="I300" s="37" t="n">
        <v>0</v>
      </c>
      <c r="J300" s="37" t="n">
        <v>0.7213114754098361</v>
      </c>
      <c r="K300" s="37" t="n">
        <v>0</v>
      </c>
      <c r="L300" s="37" t="n">
        <v>0</v>
      </c>
      <c r="M300" s="37" t="n">
        <v>1</v>
      </c>
      <c r="N300" s="37" t="n">
        <v>0.4426229508196721</v>
      </c>
      <c r="O300" s="36" t="n">
        <v>0</v>
      </c>
      <c r="P300" s="36" t="n">
        <v>2.58</v>
      </c>
      <c r="Q300" s="36" t="n">
        <v>9.84</v>
      </c>
      <c r="R300" s="36" t="n">
        <v>17.91</v>
      </c>
      <c r="S300" s="36" t="n">
        <v>0</v>
      </c>
      <c r="T300" s="37" t="n">
        <v>0.6637931034482759</v>
      </c>
      <c r="U300" s="37" t="n">
        <v>0.6410256410256411</v>
      </c>
      <c r="V300" s="37" t="n">
        <v>0.6753246753246753</v>
      </c>
      <c r="W300" s="37" t="n">
        <v>0.72</v>
      </c>
    </row>
    <row r="301">
      <c r="A301" s="53" t="n">
        <v>45756</v>
      </c>
      <c r="B301" t="inlineStr">
        <is>
          <t>R06_Jawa Timur</t>
        </is>
      </c>
      <c r="C301" t="inlineStr">
        <is>
          <t>NOP MALANG</t>
        </is>
      </c>
      <c r="D301" s="36" t="n">
        <v>1.28</v>
      </c>
      <c r="E301" s="36" t="n">
        <v>0</v>
      </c>
      <c r="F301" s="36" t="n">
        <v>2.91</v>
      </c>
      <c r="G301" s="36" t="n">
        <v>2.34</v>
      </c>
      <c r="H301" s="37" t="n">
        <v>0.8558558558558559</v>
      </c>
      <c r="I301" s="37" t="n">
        <v>1</v>
      </c>
      <c r="J301" s="37" t="n">
        <v>0.8545454545454545</v>
      </c>
      <c r="K301" s="37" t="n">
        <v>1</v>
      </c>
      <c r="L301" s="37" t="n">
        <v>1</v>
      </c>
      <c r="M301" s="37" t="n">
        <v>1</v>
      </c>
      <c r="N301" s="37" t="n">
        <v>0.8108108108108109</v>
      </c>
      <c r="O301" s="36" t="n">
        <v>0.02</v>
      </c>
      <c r="P301" s="36" t="n">
        <v>3.09</v>
      </c>
      <c r="Q301" s="36" t="n">
        <v>2.64</v>
      </c>
      <c r="R301" s="36" t="n">
        <v>54.79</v>
      </c>
      <c r="S301" s="36" t="n">
        <v>0</v>
      </c>
      <c r="T301" s="37" t="n">
        <v>0.7530864197530864</v>
      </c>
      <c r="U301" s="37" t="n">
        <v>0.6060606060606061</v>
      </c>
      <c r="V301" s="37" t="n">
        <v>0.8541666666666666</v>
      </c>
      <c r="W301" s="37" t="n">
        <v>0.6</v>
      </c>
    </row>
    <row r="302">
      <c r="A302" s="53" t="n">
        <v>45756</v>
      </c>
      <c r="B302" t="inlineStr">
        <is>
          <t>R06_Jawa Timur</t>
        </is>
      </c>
      <c r="C302" t="inlineStr">
        <is>
          <t>NOP SIDOARJO</t>
        </is>
      </c>
      <c r="D302" s="36" t="n">
        <v>3.82</v>
      </c>
      <c r="E302" s="36" t="n">
        <v>0</v>
      </c>
      <c r="F302" s="36" t="n">
        <v>3.05</v>
      </c>
      <c r="G302" s="36" t="n">
        <v>3.46</v>
      </c>
      <c r="H302" s="37" t="n">
        <v>0.7126436781609196</v>
      </c>
      <c r="I302" s="37" t="n">
        <v>0.9090909090909091</v>
      </c>
      <c r="J302" s="37" t="n">
        <v>0.6842105263157895</v>
      </c>
      <c r="K302" s="37" t="n">
        <v>0.9</v>
      </c>
      <c r="L302" s="37" t="n">
        <v>0.9</v>
      </c>
      <c r="M302" s="37" t="n">
        <v>0.9885057471264368</v>
      </c>
      <c r="N302" s="37" t="n">
        <v>0.5057471264367817</v>
      </c>
      <c r="O302" s="36" t="n">
        <v>0</v>
      </c>
      <c r="P302" s="36" t="n">
        <v>4.34</v>
      </c>
      <c r="Q302" s="36" t="n">
        <v>11.8</v>
      </c>
      <c r="R302" s="36" t="n">
        <v>93.81</v>
      </c>
      <c r="S302" s="36" t="n">
        <v>0</v>
      </c>
      <c r="T302" s="37" t="n">
        <v>0.7404580152671756</v>
      </c>
      <c r="U302" s="37" t="n">
        <v>0.4230769230769231</v>
      </c>
      <c r="V302" s="37" t="n">
        <v>0.819047619047619</v>
      </c>
      <c r="W302" s="37" t="n">
        <v>0.4545454545454545</v>
      </c>
    </row>
    <row r="303">
      <c r="A303" s="53" t="n">
        <v>45756</v>
      </c>
      <c r="B303" t="inlineStr">
        <is>
          <t>R06_Jawa Timur</t>
        </is>
      </c>
      <c r="C303" t="inlineStr">
        <is>
          <t>NOP SURABAYA</t>
        </is>
      </c>
      <c r="D303" s="36" t="n">
        <v>3.35</v>
      </c>
      <c r="E303" s="36" t="n">
        <v>0</v>
      </c>
      <c r="F303" s="36" t="n">
        <v>4.2</v>
      </c>
      <c r="G303" s="36" t="n">
        <v>2.76</v>
      </c>
      <c r="H303" s="37" t="n">
        <v>0.5263157894736842</v>
      </c>
      <c r="I303" s="37" t="n">
        <v>0.3125</v>
      </c>
      <c r="J303" s="37" t="n">
        <v>0.5514705882352942</v>
      </c>
      <c r="K303" s="37" t="n">
        <v>1</v>
      </c>
      <c r="L303" s="37" t="n">
        <v>1</v>
      </c>
      <c r="M303" s="37" t="n">
        <v>0.9802631578947368</v>
      </c>
      <c r="N303" s="37" t="n">
        <v>0.3618421052631579</v>
      </c>
      <c r="O303" s="36" t="n">
        <v>0.04</v>
      </c>
      <c r="P303" s="36" t="n">
        <v>3.12</v>
      </c>
      <c r="Q303" s="36" t="n">
        <v>8</v>
      </c>
      <c r="R303" s="36" t="n">
        <v>25.82</v>
      </c>
      <c r="S303" s="36" t="n">
        <v>0</v>
      </c>
      <c r="T303" s="37" t="n">
        <v>0.5993377483443708</v>
      </c>
      <c r="U303" s="37" t="n">
        <v>0.358974358974359</v>
      </c>
      <c r="V303" s="37" t="n">
        <v>0.6349809885931559</v>
      </c>
      <c r="W303" s="37" t="n">
        <v>0.5</v>
      </c>
    </row>
    <row r="304">
      <c r="A304" s="53" t="n">
        <v>45756</v>
      </c>
      <c r="B304" t="inlineStr">
        <is>
          <t>R07_Bali Nusra</t>
        </is>
      </c>
      <c r="C304" t="inlineStr">
        <is>
          <t>NOP DENPASAR</t>
        </is>
      </c>
      <c r="D304" s="36" t="n">
        <v>1.77</v>
      </c>
      <c r="E304" s="36" t="n">
        <v>0</v>
      </c>
      <c r="F304" s="36" t="n">
        <v>5.06</v>
      </c>
      <c r="G304" s="36" t="n">
        <v>4.27</v>
      </c>
      <c r="H304" s="37" t="n">
        <v>0.8651685393258427</v>
      </c>
      <c r="I304" s="37" t="n">
        <v>0.8421052631578947</v>
      </c>
      <c r="J304" s="37" t="n">
        <v>0.8714285714285714</v>
      </c>
      <c r="K304" s="37" t="n">
        <v>0.9375</v>
      </c>
      <c r="L304" s="37" t="n">
        <v>0.9375</v>
      </c>
      <c r="M304" s="37" t="n">
        <v>0.9550561797752809</v>
      </c>
      <c r="N304" s="37" t="n">
        <v>0.8539325842696629</v>
      </c>
      <c r="O304" s="36" t="n">
        <v>0</v>
      </c>
      <c r="P304" s="36" t="n">
        <v>31.91</v>
      </c>
      <c r="Q304" s="36" t="n">
        <v>41.44</v>
      </c>
      <c r="R304" s="36" t="n">
        <v>77.75</v>
      </c>
      <c r="S304" s="36" t="n">
        <v>0</v>
      </c>
      <c r="T304" s="37" t="n">
        <v>0.8561643835616438</v>
      </c>
      <c r="U304" s="37" t="n">
        <v>0.7647058823529411</v>
      </c>
      <c r="V304" s="37" t="n">
        <v>0.8839285714285714</v>
      </c>
      <c r="W304" s="37" t="n">
        <v>0.4230769230769231</v>
      </c>
    </row>
    <row r="305">
      <c r="A305" s="53" t="n">
        <v>45756</v>
      </c>
      <c r="B305" t="inlineStr">
        <is>
          <t>R07_Bali Nusra</t>
        </is>
      </c>
      <c r="C305" t="inlineStr">
        <is>
          <t>NOP FLORES</t>
        </is>
      </c>
      <c r="D305" s="36" t="n">
        <v>3.76</v>
      </c>
      <c r="E305" s="36" t="n">
        <v>6.11</v>
      </c>
      <c r="F305" s="36" t="n">
        <v>7.85</v>
      </c>
      <c r="G305" s="36" t="n">
        <v>8.91</v>
      </c>
      <c r="H305" s="37" t="n">
        <v>0.3742802303262956</v>
      </c>
      <c r="I305" s="37" t="n">
        <v>0.4414414414414414</v>
      </c>
      <c r="J305" s="37" t="n">
        <v>0.3560975609756097</v>
      </c>
      <c r="K305" s="37" t="n">
        <v>0.5510204081632653</v>
      </c>
      <c r="L305" s="37" t="n">
        <v>0.5510204081632653</v>
      </c>
      <c r="M305" s="37" t="n">
        <v>0.9923224568138196</v>
      </c>
      <c r="N305" s="37" t="n">
        <v>0.1976967370441459</v>
      </c>
      <c r="O305" s="36" t="n">
        <v>0.17</v>
      </c>
      <c r="P305" s="36" t="n">
        <v>12.38</v>
      </c>
      <c r="Q305" s="36" t="n">
        <v>9.970000000000001</v>
      </c>
      <c r="R305" s="36" t="n">
        <v>30.69</v>
      </c>
      <c r="S305" s="36" t="n">
        <v>0</v>
      </c>
      <c r="T305" s="37" t="n">
        <v>0.4271255060728745</v>
      </c>
      <c r="U305" s="37" t="n">
        <v>0.4655414908579465</v>
      </c>
      <c r="V305" s="37" t="n">
        <v>0.3285198555956679</v>
      </c>
      <c r="W305" s="37" t="n">
        <v>0.6102719033232629</v>
      </c>
    </row>
    <row r="306">
      <c r="A306" s="53" t="n">
        <v>45756</v>
      </c>
      <c r="B306" t="inlineStr">
        <is>
          <t>R07_Bali Nusra</t>
        </is>
      </c>
      <c r="C306" t="inlineStr">
        <is>
          <t>NOP KUPANG</t>
        </is>
      </c>
      <c r="D306" s="36" t="n">
        <v>1.09</v>
      </c>
      <c r="E306" s="36" t="n">
        <v>1.97</v>
      </c>
      <c r="F306" s="36" t="n">
        <v>3.52</v>
      </c>
      <c r="G306" s="36" t="n">
        <v>6.52</v>
      </c>
      <c r="H306" s="37" t="n">
        <v>0.5555555555555556</v>
      </c>
      <c r="I306" s="37" t="n">
        <v>0.5555555555555556</v>
      </c>
      <c r="J306" s="37" t="n">
        <v>0.5555555555555556</v>
      </c>
      <c r="K306" s="37" t="n">
        <v>0.5</v>
      </c>
      <c r="L306" s="37" t="n">
        <v>0.5</v>
      </c>
      <c r="M306" s="37" t="n">
        <v>0.9968253968253968</v>
      </c>
      <c r="N306" s="37" t="n">
        <v>0.1555555555555556</v>
      </c>
      <c r="O306" s="36" t="n">
        <v>0.01</v>
      </c>
      <c r="P306" s="36" t="n">
        <v>23.92</v>
      </c>
      <c r="Q306" s="36" t="n">
        <v>16.78</v>
      </c>
      <c r="R306" s="36" t="n">
        <v>385.86</v>
      </c>
      <c r="S306" s="36" t="n">
        <v>0</v>
      </c>
      <c r="T306" s="37" t="n">
        <v>0.5679012345679012</v>
      </c>
      <c r="U306" s="37" t="n">
        <v>0.6245059288537549</v>
      </c>
      <c r="V306" s="37" t="n">
        <v>0.4736842105263158</v>
      </c>
      <c r="W306" s="37" t="n">
        <v>0.6012658227848101</v>
      </c>
    </row>
    <row r="307">
      <c r="A307" s="53" t="n">
        <v>45756</v>
      </c>
      <c r="B307" t="inlineStr">
        <is>
          <t>R07_Bali Nusra</t>
        </is>
      </c>
      <c r="C307" t="inlineStr">
        <is>
          <t>NOP MATARAM</t>
        </is>
      </c>
      <c r="D307" s="36" t="n">
        <v>2.71</v>
      </c>
      <c r="E307" s="36" t="n">
        <v>9.890000000000001</v>
      </c>
      <c r="F307" s="36" t="n">
        <v>4.85</v>
      </c>
      <c r="G307" s="36" t="n">
        <v>8.710000000000001</v>
      </c>
      <c r="H307" s="37" t="n">
        <v>0.4523809523809524</v>
      </c>
      <c r="I307" s="37" t="n">
        <v>0.625</v>
      </c>
      <c r="J307" s="37" t="n">
        <v>0.4272727272727272</v>
      </c>
      <c r="K307" s="37" t="n">
        <v>0.8</v>
      </c>
      <c r="L307" s="37" t="n">
        <v>0.8</v>
      </c>
      <c r="M307" s="37" t="n">
        <v>1</v>
      </c>
      <c r="N307" s="37" t="n">
        <v>0.2936507936507937</v>
      </c>
      <c r="O307" s="36" t="n">
        <v>0</v>
      </c>
      <c r="P307" s="36" t="n">
        <v>27.34</v>
      </c>
      <c r="Q307" s="36" t="n">
        <v>8.550000000000001</v>
      </c>
      <c r="R307" s="36" t="n">
        <v>25.56</v>
      </c>
      <c r="S307" s="36" t="n">
        <v>0</v>
      </c>
      <c r="T307" s="37" t="n">
        <v>0.2906178489702517</v>
      </c>
      <c r="U307" s="37" t="n">
        <v>0.2764976958525346</v>
      </c>
      <c r="V307" s="37" t="n">
        <v>0.3045454545454546</v>
      </c>
      <c r="W307" s="37" t="n">
        <v>0.5833333333333334</v>
      </c>
    </row>
    <row r="308">
      <c r="A308" s="53" t="n">
        <v>45757</v>
      </c>
      <c r="B308" t="inlineStr">
        <is>
          <t>R01_Sumbagut</t>
        </is>
      </c>
      <c r="C308" t="inlineStr">
        <is>
          <t>NOP ACEH</t>
        </is>
      </c>
      <c r="D308" s="36" t="n">
        <v>1.88</v>
      </c>
      <c r="E308" s="36" t="n">
        <v>4.6</v>
      </c>
      <c r="F308" s="36" t="n">
        <v>13.37</v>
      </c>
      <c r="G308" s="36" t="n">
        <v>11.5</v>
      </c>
      <c r="H308" s="37" t="n">
        <v>0.8518099547511312</v>
      </c>
      <c r="I308" s="37" t="n">
        <v>0.8721804511278195</v>
      </c>
      <c r="J308" s="37" t="n">
        <v>0.843042071197411</v>
      </c>
      <c r="K308" s="37" t="n">
        <v>0.396551724137931</v>
      </c>
      <c r="L308" s="37" t="n">
        <v>0.4</v>
      </c>
      <c r="M308" s="37" t="n">
        <v>1</v>
      </c>
      <c r="N308" s="37" t="n">
        <v>0.3065610859728507</v>
      </c>
      <c r="O308" s="36" t="n">
        <v>0.06</v>
      </c>
      <c r="P308" s="36" t="n">
        <v>3.9</v>
      </c>
      <c r="Q308" s="36" t="n">
        <v>58.46</v>
      </c>
      <c r="R308" s="36" t="n">
        <v>123.97</v>
      </c>
      <c r="S308" s="36" t="n">
        <v>0</v>
      </c>
      <c r="T308" s="37" t="n">
        <v>0.8778293673824724</v>
      </c>
      <c r="U308" s="37" t="n">
        <v>0.6843373493975904</v>
      </c>
      <c r="V308" s="37" t="n">
        <v>0.904557463672391</v>
      </c>
      <c r="W308" s="37" t="n">
        <v>0.1936619718309859</v>
      </c>
    </row>
    <row r="309">
      <c r="A309" s="53" t="n">
        <v>45757</v>
      </c>
      <c r="B309" t="inlineStr">
        <is>
          <t>R01_Sumbagut</t>
        </is>
      </c>
      <c r="C309" t="inlineStr">
        <is>
          <t>NOP BINJAI</t>
        </is>
      </c>
      <c r="D309" s="36" t="n">
        <v>0</v>
      </c>
      <c r="E309" s="36" t="n">
        <v>4.98</v>
      </c>
      <c r="F309" s="36" t="n">
        <v>3.28</v>
      </c>
      <c r="G309" s="36" t="n">
        <v>4.34</v>
      </c>
      <c r="H309" s="37" t="n">
        <v>0.5639097744360902</v>
      </c>
      <c r="I309" s="37" t="n">
        <v>0.6395348837209303</v>
      </c>
      <c r="J309" s="37" t="n">
        <v>0.5431309904153354</v>
      </c>
      <c r="K309" s="37" t="n">
        <v>0.4181818181818182</v>
      </c>
      <c r="L309" s="37" t="n">
        <v>0.4181818181818182</v>
      </c>
      <c r="M309" s="37" t="n">
        <v>1</v>
      </c>
      <c r="N309" s="37" t="n">
        <v>0.2807017543859649</v>
      </c>
      <c r="O309" s="36" t="n">
        <v>0.01</v>
      </c>
      <c r="P309" s="36" t="n">
        <v>2.9</v>
      </c>
      <c r="Q309" s="36" t="n">
        <v>41.74</v>
      </c>
      <c r="R309" s="36" t="n">
        <v>92.79000000000001</v>
      </c>
      <c r="S309" s="36" t="n">
        <v>0</v>
      </c>
      <c r="T309" s="37" t="n">
        <v>0.6263345195729537</v>
      </c>
      <c r="U309" s="37" t="n">
        <v>0.5654450261780105</v>
      </c>
      <c r="V309" s="37" t="n">
        <v>0.6427432216905901</v>
      </c>
      <c r="W309" s="37" t="n">
        <v>0.4444444444444444</v>
      </c>
    </row>
    <row r="310">
      <c r="A310" s="53" t="n">
        <v>45757</v>
      </c>
      <c r="B310" t="inlineStr">
        <is>
          <t>R01_Sumbagut</t>
        </is>
      </c>
      <c r="C310" t="inlineStr">
        <is>
          <t>NOP MEDAN</t>
        </is>
      </c>
      <c r="D310" s="36" t="n">
        <v>2.38</v>
      </c>
      <c r="E310" s="36" t="n">
        <v>4.24</v>
      </c>
      <c r="F310" s="36" t="n">
        <v>3.91</v>
      </c>
      <c r="G310" s="36" t="n">
        <v>5.06</v>
      </c>
      <c r="H310" s="37" t="n">
        <v>0.4396782841823056</v>
      </c>
      <c r="I310" s="37" t="n">
        <v>0.4953271028037383</v>
      </c>
      <c r="J310" s="37" t="n">
        <v>0.4172932330827068</v>
      </c>
      <c r="K310" s="37" t="n">
        <v>0.7735849056603774</v>
      </c>
      <c r="L310" s="37" t="n">
        <v>0.7735849056603774</v>
      </c>
      <c r="M310" s="37" t="n">
        <v>1</v>
      </c>
      <c r="N310" s="37" t="n">
        <v>0.2627345844504022</v>
      </c>
      <c r="O310" s="36" t="n">
        <v>0</v>
      </c>
      <c r="P310" s="36" t="n">
        <v>2.63</v>
      </c>
      <c r="Q310" s="36" t="n">
        <v>16.01</v>
      </c>
      <c r="R310" s="36" t="n">
        <v>15.72</v>
      </c>
      <c r="S310" s="36" t="n">
        <v>0</v>
      </c>
      <c r="T310" s="37" t="n">
        <v>0.2511848341232227</v>
      </c>
      <c r="U310" s="37" t="n">
        <v>0.1798561151079137</v>
      </c>
      <c r="V310" s="37" t="n">
        <v>0.3018867924528302</v>
      </c>
      <c r="W310" s="37" t="n">
        <v>0.88</v>
      </c>
    </row>
    <row r="311">
      <c r="A311" s="53" t="n">
        <v>45757</v>
      </c>
      <c r="B311" t="inlineStr">
        <is>
          <t>R01_Sumbagut</t>
        </is>
      </c>
      <c r="C311" t="inlineStr">
        <is>
          <t>NOP PADANG SIDEMPUAN</t>
        </is>
      </c>
      <c r="D311" s="36" t="n">
        <v>0.84</v>
      </c>
      <c r="E311" s="36" t="n">
        <v>3.53</v>
      </c>
      <c r="F311" s="36" t="n">
        <v>4.32</v>
      </c>
      <c r="G311" s="36" t="n">
        <v>5.59</v>
      </c>
      <c r="H311" s="37" t="n">
        <v>0.2924281984334204</v>
      </c>
      <c r="I311" s="37" t="n">
        <v>0.4698795180722892</v>
      </c>
      <c r="J311" s="37" t="n">
        <v>0.2708638360175695</v>
      </c>
      <c r="K311" s="37" t="n">
        <v>0.4871794871794872</v>
      </c>
      <c r="L311" s="37" t="n">
        <v>0.4871794871794872</v>
      </c>
      <c r="M311" s="37" t="n">
        <v>0.9921671018276762</v>
      </c>
      <c r="N311" s="37" t="n">
        <v>0.1201044386422977</v>
      </c>
      <c r="O311" s="36" t="n">
        <v>0.01</v>
      </c>
      <c r="P311" s="36" t="n">
        <v>2.16</v>
      </c>
      <c r="Q311" s="36" t="n">
        <v>12.8</v>
      </c>
      <c r="R311" s="36" t="n">
        <v>107.13</v>
      </c>
      <c r="S311" s="36" t="n">
        <v>0</v>
      </c>
      <c r="T311" s="37" t="n">
        <v>0.3053405572755418</v>
      </c>
      <c r="U311" s="37" t="n">
        <v>0.4220877458396369</v>
      </c>
      <c r="V311" s="37" t="n">
        <v>0.2651041666666666</v>
      </c>
      <c r="W311" s="37" t="n">
        <v>0.4946236559139785</v>
      </c>
    </row>
    <row r="312">
      <c r="A312" s="53" t="n">
        <v>45757</v>
      </c>
      <c r="B312" t="inlineStr">
        <is>
          <t>R01_Sumbagut</t>
        </is>
      </c>
      <c r="C312" t="inlineStr">
        <is>
          <t>NOP PEMATANG SIANTAR</t>
        </is>
      </c>
      <c r="D312" s="36" t="n">
        <v>1.1</v>
      </c>
      <c r="E312" s="36" t="n">
        <v>4.61</v>
      </c>
      <c r="F312" s="36" t="n">
        <v>4.47</v>
      </c>
      <c r="G312" s="36" t="n">
        <v>5.84</v>
      </c>
      <c r="H312" s="37" t="n">
        <v>0.3265513733468973</v>
      </c>
      <c r="I312" s="37" t="n">
        <v>0.3523489932885906</v>
      </c>
      <c r="J312" s="37" t="n">
        <v>0.3153284671532847</v>
      </c>
      <c r="K312" s="37" t="n">
        <v>0.6190476190476191</v>
      </c>
      <c r="L312" s="37" t="n">
        <v>0.6310679611650486</v>
      </c>
      <c r="M312" s="37" t="n">
        <v>0.9989827060020345</v>
      </c>
      <c r="N312" s="37" t="n">
        <v>0.1648016276703967</v>
      </c>
      <c r="O312" s="36" t="n">
        <v>0.01</v>
      </c>
      <c r="P312" s="36" t="n">
        <v>3.62</v>
      </c>
      <c r="Q312" s="36" t="n">
        <v>73.87</v>
      </c>
      <c r="R312" s="36" t="n">
        <v>67.09</v>
      </c>
      <c r="S312" s="36" t="n">
        <v>0</v>
      </c>
      <c r="T312" s="37" t="n">
        <v>0.1046732924508353</v>
      </c>
      <c r="U312" s="37" t="n">
        <v>0.3096774193548387</v>
      </c>
      <c r="V312" s="37" t="n">
        <v>0.08078191238813001</v>
      </c>
      <c r="W312" s="37" t="n">
        <v>0.8333333333333334</v>
      </c>
    </row>
    <row r="313">
      <c r="A313" s="53" t="n">
        <v>45757</v>
      </c>
      <c r="B313" t="inlineStr">
        <is>
          <t>R01_Sumbagut</t>
        </is>
      </c>
      <c r="C313" t="inlineStr">
        <is>
          <t>NOP RANTAU PRAPAT</t>
        </is>
      </c>
      <c r="D313" s="36" t="n">
        <v>3.52</v>
      </c>
      <c r="E313" s="36" t="n">
        <v>7.21</v>
      </c>
      <c r="F313" s="36" t="n">
        <v>6.83</v>
      </c>
      <c r="G313" s="36" t="n">
        <v>6.89</v>
      </c>
      <c r="H313" s="37" t="n">
        <v>0.2596273291925466</v>
      </c>
      <c r="I313" s="37" t="n">
        <v>0.2599388379204893</v>
      </c>
      <c r="J313" s="37" t="n">
        <v>0.2595479345284489</v>
      </c>
      <c r="K313" s="37" t="n">
        <v>0.5294117647058824</v>
      </c>
      <c r="L313" s="37" t="n">
        <v>0.5294117647058824</v>
      </c>
      <c r="M313" s="37" t="n">
        <v>0.986335403726708</v>
      </c>
      <c r="N313" s="37" t="n">
        <v>0.1496894409937888</v>
      </c>
      <c r="O313" s="36" t="n">
        <v>0</v>
      </c>
      <c r="P313" s="36" t="n">
        <v>4.26</v>
      </c>
      <c r="Q313" s="36" t="n">
        <v>32.16</v>
      </c>
      <c r="R313" s="36" t="n">
        <v>30.72</v>
      </c>
      <c r="S313" s="36" t="n">
        <v>0</v>
      </c>
      <c r="T313" s="37" t="n">
        <v>0.06375442739079103</v>
      </c>
      <c r="U313" s="37" t="n">
        <v>0.1363636363636364</v>
      </c>
      <c r="V313" s="37" t="n">
        <v>0.04647983595352016</v>
      </c>
      <c r="W313" s="37" t="n">
        <v>0.7</v>
      </c>
    </row>
    <row r="314">
      <c r="A314" s="53" t="n">
        <v>45757</v>
      </c>
      <c r="B314" t="inlineStr">
        <is>
          <t>R10_Sumbagteng</t>
        </is>
      </c>
      <c r="C314" t="inlineStr">
        <is>
          <t>NOP BATAM</t>
        </is>
      </c>
      <c r="D314" s="36" t="n">
        <v>1.9</v>
      </c>
      <c r="E314" s="36" t="n">
        <v>6.92</v>
      </c>
      <c r="F314" s="36" t="n">
        <v>7.04</v>
      </c>
      <c r="G314" s="36" t="n">
        <v>9.65</v>
      </c>
      <c r="H314" s="37" t="n">
        <v>0.2466777408637874</v>
      </c>
      <c r="I314" s="37" t="n">
        <v>0.2868852459016393</v>
      </c>
      <c r="J314" s="37" t="n">
        <v>0.2364583333333333</v>
      </c>
      <c r="K314" s="37" t="n">
        <v>0.7142857142857143</v>
      </c>
      <c r="L314" s="37" t="n">
        <v>0.7142857142857143</v>
      </c>
      <c r="M314" s="37" t="n">
        <v>0.9933554817275747</v>
      </c>
      <c r="N314" s="37" t="n">
        <v>0.1578073089700997</v>
      </c>
      <c r="O314" s="36" t="n">
        <v>0</v>
      </c>
      <c r="P314" s="36" t="n">
        <v>7</v>
      </c>
      <c r="Q314" s="36" t="n">
        <v>40.33</v>
      </c>
      <c r="R314" s="36" t="n">
        <v>15.45</v>
      </c>
      <c r="S314" s="36" t="n">
        <v>0</v>
      </c>
      <c r="T314" s="37" t="n">
        <v>0.06471866698865009</v>
      </c>
      <c r="U314" s="37" t="n">
        <v>0.1896243291592129</v>
      </c>
      <c r="V314" s="37" t="n">
        <v>0.04528934861615879</v>
      </c>
      <c r="W314" s="37" t="n">
        <v>0.9150943396226415</v>
      </c>
    </row>
    <row r="315">
      <c r="A315" s="53" t="n">
        <v>45757</v>
      </c>
      <c r="B315" t="inlineStr">
        <is>
          <t>R10_Sumbagteng</t>
        </is>
      </c>
      <c r="C315" t="inlineStr">
        <is>
          <t>NOP BUKITTINGGI</t>
        </is>
      </c>
      <c r="D315" s="36" t="n">
        <v>2.04</v>
      </c>
      <c r="E315" s="36" t="n">
        <v>4.9</v>
      </c>
      <c r="F315" s="36" t="n">
        <v>3.56</v>
      </c>
      <c r="G315" s="36" t="n">
        <v>4.91</v>
      </c>
      <c r="H315" s="37" t="n">
        <v>0.7561576354679803</v>
      </c>
      <c r="I315" s="37" t="n">
        <v>0.8045977011494253</v>
      </c>
      <c r="J315" s="37" t="n">
        <v>0.7429467084639498</v>
      </c>
      <c r="K315" s="37" t="n">
        <v>0.6142857142857143</v>
      </c>
      <c r="L315" s="37" t="n">
        <v>0.6142857142857143</v>
      </c>
      <c r="M315" s="37" t="n">
        <v>0.9926108374384236</v>
      </c>
      <c r="N315" s="37" t="n">
        <v>0.4310344827586207</v>
      </c>
      <c r="O315" s="36" t="n">
        <v>0</v>
      </c>
      <c r="P315" s="36" t="n">
        <v>3.11</v>
      </c>
      <c r="Q315" s="36" t="n">
        <v>8.17</v>
      </c>
      <c r="R315" s="36" t="n">
        <v>136.51</v>
      </c>
      <c r="S315" s="36" t="n">
        <v>0</v>
      </c>
      <c r="T315" s="37" t="n">
        <v>0.3441717791411043</v>
      </c>
      <c r="U315" s="37" t="n">
        <v>0.75</v>
      </c>
      <c r="V315" s="37" t="n">
        <v>0.297056810403833</v>
      </c>
      <c r="W315" s="37" t="n">
        <v>0.5691056910569106</v>
      </c>
    </row>
    <row r="316">
      <c r="A316" s="53" t="n">
        <v>45757</v>
      </c>
      <c r="B316" t="inlineStr">
        <is>
          <t>R10_Sumbagteng</t>
        </is>
      </c>
      <c r="C316" t="inlineStr">
        <is>
          <t>NOP DUMAI</t>
        </is>
      </c>
      <c r="D316" s="36" t="n">
        <v>6.36</v>
      </c>
      <c r="E316" s="36" t="n">
        <v>7.11</v>
      </c>
      <c r="F316" s="36" t="n">
        <v>5.82</v>
      </c>
      <c r="G316" s="36" t="n">
        <v>5.86</v>
      </c>
      <c r="H316" s="37" t="n">
        <v>0.381933438985737</v>
      </c>
      <c r="I316" s="37" t="n">
        <v>0.4668094218415418</v>
      </c>
      <c r="J316" s="37" t="n">
        <v>0.3541374474053296</v>
      </c>
      <c r="K316" s="37" t="n">
        <v>0.6926605504587156</v>
      </c>
      <c r="L316" s="37" t="n">
        <v>0.7219512195121951</v>
      </c>
      <c r="M316" s="37" t="n">
        <v>0.9704173269941891</v>
      </c>
      <c r="N316" s="37" t="n">
        <v>0.2128895932382462</v>
      </c>
      <c r="O316" s="36" t="n">
        <v>0.13</v>
      </c>
      <c r="P316" s="36" t="n">
        <v>5.52</v>
      </c>
      <c r="Q316" s="36" t="n">
        <v>50.92</v>
      </c>
      <c r="R316" s="36" t="n">
        <v>116.42</v>
      </c>
      <c r="S316" s="36" t="n">
        <v>0</v>
      </c>
      <c r="T316" s="37" t="n">
        <v>0.2814680012132241</v>
      </c>
      <c r="U316" s="37" t="n">
        <v>0.2871428571428571</v>
      </c>
      <c r="V316" s="37" t="n">
        <v>0.2826855123674912</v>
      </c>
      <c r="W316" s="37" t="n">
        <v>0.9203980099502488</v>
      </c>
    </row>
    <row r="317">
      <c r="A317" s="53" t="n">
        <v>45757</v>
      </c>
      <c r="B317" t="inlineStr">
        <is>
          <t>R10_Sumbagteng</t>
        </is>
      </c>
      <c r="C317" t="inlineStr">
        <is>
          <t>NOP PADANG</t>
        </is>
      </c>
      <c r="D317" s="36" t="n">
        <v>3.58</v>
      </c>
      <c r="E317" s="36" t="n">
        <v>2.42</v>
      </c>
      <c r="F317" s="36" t="n">
        <v>7.24</v>
      </c>
      <c r="G317" s="36" t="n">
        <v>8.27</v>
      </c>
      <c r="H317" s="37" t="n">
        <v>0.7436363636363637</v>
      </c>
      <c r="I317" s="37" t="n">
        <v>0.6615384615384615</v>
      </c>
      <c r="J317" s="37" t="n">
        <v>0.7546391752577319</v>
      </c>
      <c r="K317" s="37" t="n">
        <v>0.5116279069767442</v>
      </c>
      <c r="L317" s="37" t="n">
        <v>0.5116279069767442</v>
      </c>
      <c r="M317" s="37" t="n">
        <v>0.9872727272727273</v>
      </c>
      <c r="N317" s="37" t="n">
        <v>0.3163636363636363</v>
      </c>
      <c r="O317" s="36" t="n">
        <v>0</v>
      </c>
      <c r="P317" s="36" t="n">
        <v>5.46</v>
      </c>
      <c r="Q317" s="36" t="n">
        <v>50.71</v>
      </c>
      <c r="R317" s="36" t="n">
        <v>57.7</v>
      </c>
      <c r="S317" s="36" t="n">
        <v>0</v>
      </c>
      <c r="T317" s="37" t="n">
        <v>0.6742938863067572</v>
      </c>
      <c r="U317" s="37" t="n">
        <v>0.571875</v>
      </c>
      <c r="V317" s="37" t="n">
        <v>0.6868932038834952</v>
      </c>
      <c r="W317" s="37" t="n">
        <v>0.5136612021857924</v>
      </c>
    </row>
    <row r="318">
      <c r="A318" s="53" t="n">
        <v>45757</v>
      </c>
      <c r="B318" t="inlineStr">
        <is>
          <t>R10_Sumbagteng</t>
        </is>
      </c>
      <c r="C318" t="inlineStr">
        <is>
          <t>NOP PEKANBARU</t>
        </is>
      </c>
      <c r="D318" s="36" t="n">
        <v>6.71</v>
      </c>
      <c r="E318" s="36" t="n">
        <v>5.7</v>
      </c>
      <c r="F318" s="36" t="n">
        <v>6.64</v>
      </c>
      <c r="G318" s="36" t="n">
        <v>8.890000000000001</v>
      </c>
      <c r="H318" s="37" t="n">
        <v>0.3738170347003155</v>
      </c>
      <c r="I318" s="37" t="n">
        <v>0.5135135135135135</v>
      </c>
      <c r="J318" s="37" t="n">
        <v>0.3480697384806974</v>
      </c>
      <c r="K318" s="37" t="n">
        <v>0.7368421052631579</v>
      </c>
      <c r="L318" s="37" t="n">
        <v>0.75</v>
      </c>
      <c r="M318" s="37" t="n">
        <v>0.9905362776025236</v>
      </c>
      <c r="N318" s="37" t="n">
        <v>0.2039957939011567</v>
      </c>
      <c r="O318" s="36" t="n">
        <v>0.03</v>
      </c>
      <c r="P318" s="36" t="n">
        <v>3.05</v>
      </c>
      <c r="Q318" s="36" t="n">
        <v>47.94</v>
      </c>
      <c r="R318" s="36" t="n">
        <v>81.48999999999999</v>
      </c>
      <c r="S318" s="36" t="n">
        <v>0</v>
      </c>
      <c r="T318" s="37" t="n">
        <v>0.302115851543531</v>
      </c>
      <c r="U318" s="37" t="n">
        <v>0.3025583982202447</v>
      </c>
      <c r="V318" s="37" t="n">
        <v>0.3002049180327869</v>
      </c>
      <c r="W318" s="37" t="n">
        <v>0.875</v>
      </c>
    </row>
    <row r="319">
      <c r="A319" s="53" t="n">
        <v>45757</v>
      </c>
      <c r="B319" t="inlineStr">
        <is>
          <t>R02_Sumbagsel</t>
        </is>
      </c>
      <c r="C319" t="inlineStr">
        <is>
          <t>NOP BENGKULU</t>
        </is>
      </c>
      <c r="D319" s="36" t="n">
        <v>1.31</v>
      </c>
      <c r="E319" s="36" t="n">
        <v>4.3</v>
      </c>
      <c r="F319" s="36" t="n">
        <v>2.76</v>
      </c>
      <c r="G319" s="36" t="n">
        <v>7.2</v>
      </c>
      <c r="H319" s="37" t="n">
        <v>0.3735558408215661</v>
      </c>
      <c r="I319" s="37" t="n">
        <v>0.4455958549222798</v>
      </c>
      <c r="J319" s="37" t="n">
        <v>0.3498293515358362</v>
      </c>
      <c r="K319" s="37" t="n">
        <v>0.7093023255813954</v>
      </c>
      <c r="L319" s="37" t="n">
        <v>0.7093023255813954</v>
      </c>
      <c r="M319" s="37" t="n">
        <v>0.9922978177150192</v>
      </c>
      <c r="N319" s="37" t="n">
        <v>0.2015404364569962</v>
      </c>
      <c r="O319" s="36" t="n">
        <v>0</v>
      </c>
      <c r="P319" s="36" t="n">
        <v>5.27</v>
      </c>
      <c r="Q319" s="36" t="n">
        <v>6.01</v>
      </c>
      <c r="R319" s="36" t="n">
        <v>17</v>
      </c>
      <c r="S319" s="36" t="n">
        <v>0</v>
      </c>
      <c r="T319" s="37" t="n">
        <v>0.4270328486806678</v>
      </c>
      <c r="U319" s="37" t="n">
        <v>0.3381294964028777</v>
      </c>
      <c r="V319" s="37" t="n">
        <v>0.6293995859213251</v>
      </c>
      <c r="W319" s="37" t="n">
        <v>0.8699763593380615</v>
      </c>
    </row>
    <row r="320">
      <c r="A320" s="53" t="n">
        <v>45757</v>
      </c>
      <c r="B320" t="inlineStr">
        <is>
          <t>R02_Sumbagsel</t>
        </is>
      </c>
      <c r="C320" t="inlineStr">
        <is>
          <t>NOP JAMBI</t>
        </is>
      </c>
      <c r="D320" s="36" t="n">
        <v>3.22</v>
      </c>
      <c r="E320" s="36" t="n">
        <v>4.1</v>
      </c>
      <c r="F320" s="36" t="n">
        <v>5.83</v>
      </c>
      <c r="G320" s="36" t="n">
        <v>7.36</v>
      </c>
      <c r="H320" s="37" t="n">
        <v>0.5004055150040552</v>
      </c>
      <c r="I320" s="37" t="n">
        <v>0.5207756232686981</v>
      </c>
      <c r="J320" s="37" t="n">
        <v>0.4919724770642202</v>
      </c>
      <c r="K320" s="37" t="n">
        <v>0.6808510638297872</v>
      </c>
      <c r="L320" s="37" t="n">
        <v>0.6808510638297872</v>
      </c>
      <c r="M320" s="37" t="n">
        <v>1</v>
      </c>
      <c r="N320" s="37" t="n">
        <v>0.2643957826439578</v>
      </c>
      <c r="O320" s="36" t="n">
        <v>0</v>
      </c>
      <c r="P320" s="36" t="n">
        <v>6.1</v>
      </c>
      <c r="Q320" s="36" t="n">
        <v>13.5</v>
      </c>
      <c r="R320" s="36" t="n">
        <v>19.01</v>
      </c>
      <c r="S320" s="36" t="n">
        <v>0</v>
      </c>
      <c r="T320" s="37" t="n">
        <v>0.6504363803399174</v>
      </c>
      <c r="U320" s="37" t="n">
        <v>0.6369150779896013</v>
      </c>
      <c r="V320" s="37" t="n">
        <v>0.6889671361502347</v>
      </c>
      <c r="W320" s="37" t="n">
        <v>0.7061224489795919</v>
      </c>
    </row>
    <row r="321">
      <c r="A321" s="53" t="n">
        <v>45757</v>
      </c>
      <c r="B321" t="inlineStr">
        <is>
          <t>R02_Sumbagsel</t>
        </is>
      </c>
      <c r="C321" t="inlineStr">
        <is>
          <t>NOP LAMPUNG</t>
        </is>
      </c>
      <c r="D321" s="36" t="n">
        <v>4</v>
      </c>
      <c r="E321" s="36" t="n">
        <v>5.81</v>
      </c>
      <c r="F321" s="36" t="n">
        <v>4.14</v>
      </c>
      <c r="G321" s="36" t="n">
        <v>5.34</v>
      </c>
      <c r="H321" s="37" t="n">
        <v>0.5091649694501018</v>
      </c>
      <c r="I321" s="37" t="n">
        <v>0.7355371900826446</v>
      </c>
      <c r="J321" s="37" t="n">
        <v>0.4351351351351351</v>
      </c>
      <c r="K321" s="37" t="n">
        <v>0.6741573033707865</v>
      </c>
      <c r="L321" s="37" t="n">
        <v>0.6741573033707865</v>
      </c>
      <c r="M321" s="37" t="n">
        <v>1</v>
      </c>
      <c r="N321" s="37" t="n">
        <v>0.329938900203666</v>
      </c>
      <c r="O321" s="36" t="n">
        <v>0</v>
      </c>
      <c r="P321" s="36" t="n">
        <v>9.75</v>
      </c>
      <c r="Q321" s="36" t="n">
        <v>6.89</v>
      </c>
      <c r="R321" s="36" t="n">
        <v>27.12</v>
      </c>
      <c r="S321" s="36" t="n">
        <v>0</v>
      </c>
      <c r="T321" s="37" t="n">
        <v>0.9036885245901639</v>
      </c>
      <c r="U321" s="37" t="n">
        <v>0.7986798679867987</v>
      </c>
      <c r="V321" s="37" t="n">
        <v>0.9500454132606722</v>
      </c>
      <c r="W321" s="37" t="n">
        <v>0.8305785123966942</v>
      </c>
    </row>
    <row r="322">
      <c r="A322" s="53" t="n">
        <v>45757</v>
      </c>
      <c r="B322" t="inlineStr">
        <is>
          <t>R02_Sumbagsel</t>
        </is>
      </c>
      <c r="C322" t="inlineStr">
        <is>
          <t>NOP MUARA ENIM</t>
        </is>
      </c>
      <c r="D322" s="36" t="n">
        <v>3.1</v>
      </c>
      <c r="E322" s="36" t="n">
        <v>3.84</v>
      </c>
      <c r="F322" s="36" t="n">
        <v>4.27</v>
      </c>
      <c r="G322" s="36" t="n">
        <v>5.15</v>
      </c>
      <c r="H322" s="37" t="n">
        <v>0.3722448979591837</v>
      </c>
      <c r="I322" s="37" t="n">
        <v>0.2207792207792208</v>
      </c>
      <c r="J322" s="37" t="n">
        <v>0.4074446680080483</v>
      </c>
      <c r="K322" s="37" t="n">
        <v>0.5882352941176471</v>
      </c>
      <c r="L322" s="37" t="n">
        <v>0.5882352941176471</v>
      </c>
      <c r="M322" s="37" t="n">
        <v>0.9779591836734693</v>
      </c>
      <c r="N322" s="37" t="n">
        <v>0.1787755102040816</v>
      </c>
      <c r="O322" s="36" t="n">
        <v>0</v>
      </c>
      <c r="P322" s="36" t="n">
        <v>5.56</v>
      </c>
      <c r="Q322" s="36" t="n">
        <v>6.5</v>
      </c>
      <c r="R322" s="36" t="n">
        <v>11.32</v>
      </c>
      <c r="S322" s="36" t="n">
        <v>0</v>
      </c>
      <c r="T322" s="37" t="n">
        <v>0.5276243093922652</v>
      </c>
      <c r="U322" s="37" t="n">
        <v>0.5411764705882353</v>
      </c>
      <c r="V322" s="37" t="n">
        <v>0.5976095617529881</v>
      </c>
      <c r="W322" s="37" t="n">
        <v>0.8217391304347826</v>
      </c>
    </row>
    <row r="323">
      <c r="A323" s="53" t="n">
        <v>45757</v>
      </c>
      <c r="B323" t="inlineStr">
        <is>
          <t>R02_Sumbagsel</t>
        </is>
      </c>
      <c r="C323" t="inlineStr">
        <is>
          <t>NOP PALEMBANG</t>
        </is>
      </c>
      <c r="D323" s="36" t="n">
        <v>2.4</v>
      </c>
      <c r="E323" s="36" t="n">
        <v>6.23</v>
      </c>
      <c r="F323" s="36" t="n">
        <v>9.57</v>
      </c>
      <c r="G323" s="36" t="n">
        <v>9.81</v>
      </c>
      <c r="H323" s="37" t="n">
        <v>0.3254752851711026</v>
      </c>
      <c r="I323" s="37" t="n">
        <v>0.3129770992366412</v>
      </c>
      <c r="J323" s="37" t="n">
        <v>0.3268581081081081</v>
      </c>
      <c r="K323" s="37" t="n">
        <v>0.5365853658536586</v>
      </c>
      <c r="L323" s="37" t="n">
        <v>0.5365853658536586</v>
      </c>
      <c r="M323" s="37" t="n">
        <v>1</v>
      </c>
      <c r="N323" s="37" t="n">
        <v>0.1566539923954373</v>
      </c>
      <c r="O323" s="36" t="n">
        <v>0</v>
      </c>
      <c r="P323" s="36" t="n">
        <v>5.65</v>
      </c>
      <c r="Q323" s="36" t="n">
        <v>11.11</v>
      </c>
      <c r="R323" s="36" t="n">
        <v>7.6</v>
      </c>
      <c r="S323" s="36" t="n">
        <v>0</v>
      </c>
      <c r="T323" s="37" t="n">
        <v>0.2912332838038633</v>
      </c>
      <c r="U323" s="37" t="n">
        <v>0.2416481069042316</v>
      </c>
      <c r="V323" s="37" t="n">
        <v>0.4389086595492289</v>
      </c>
      <c r="W323" s="37" t="n">
        <v>0.4285714285714285</v>
      </c>
    </row>
    <row r="324">
      <c r="A324" s="53" t="n">
        <v>45757</v>
      </c>
      <c r="B324" t="inlineStr">
        <is>
          <t>R02_Sumbagsel</t>
        </is>
      </c>
      <c r="C324" t="inlineStr">
        <is>
          <t>NOP PANGKAL PINANG</t>
        </is>
      </c>
      <c r="D324" s="36" t="n">
        <v>0</v>
      </c>
      <c r="E324" s="36" t="n">
        <v>2.18</v>
      </c>
      <c r="F324" s="36" t="n">
        <v>5.33</v>
      </c>
      <c r="G324" s="36" t="n">
        <v>4.64</v>
      </c>
      <c r="H324" s="37" t="n">
        <v>0.6625766871165644</v>
      </c>
      <c r="I324" s="37" t="n">
        <v>1</v>
      </c>
      <c r="J324" s="37" t="n">
        <v>0.6496815286624203</v>
      </c>
      <c r="K324" s="37" t="n">
        <v>0.5</v>
      </c>
      <c r="L324" s="37" t="n">
        <v>0.5</v>
      </c>
      <c r="M324" s="37" t="n">
        <v>0.9938650306748467</v>
      </c>
      <c r="N324" s="37" t="n">
        <v>0.3190184049079755</v>
      </c>
      <c r="O324" s="36" t="n">
        <v>0</v>
      </c>
      <c r="P324" s="36" t="n">
        <v>3.41</v>
      </c>
      <c r="Q324" s="36" t="n">
        <v>4.78</v>
      </c>
      <c r="R324" s="36" t="n">
        <v>7.33</v>
      </c>
      <c r="S324" s="36" t="n">
        <v>0</v>
      </c>
      <c r="T324" s="37" t="n">
        <v>0.8247422680412371</v>
      </c>
      <c r="U324" s="37" t="n">
        <v>0.8471615720524017</v>
      </c>
      <c r="V324" s="37" t="n">
        <v>0.8734567901234568</v>
      </c>
      <c r="W324" s="37" t="n">
        <v>0.7474226804123711</v>
      </c>
    </row>
    <row r="325">
      <c r="A325" s="53" t="n">
        <v>45757</v>
      </c>
      <c r="B325" t="inlineStr">
        <is>
          <t>R05_Jawa Tengah DIY</t>
        </is>
      </c>
      <c r="C325" t="inlineStr">
        <is>
          <t>NOP MAGELANG</t>
        </is>
      </c>
      <c r="D325" s="36" t="n">
        <v>4.05</v>
      </c>
      <c r="E325" s="36" t="n">
        <v>0</v>
      </c>
      <c r="F325" s="36" t="n">
        <v>3.13</v>
      </c>
      <c r="G325" s="36" t="n">
        <v>3.7</v>
      </c>
      <c r="H325" s="37" t="n">
        <v>0.7037037037037037</v>
      </c>
      <c r="I325" s="37" t="n">
        <v>0.95</v>
      </c>
      <c r="J325" s="37" t="n">
        <v>0.6690140845070423</v>
      </c>
      <c r="K325" s="37" t="n">
        <v>0.631578947368421</v>
      </c>
      <c r="L325" s="37" t="n">
        <v>0.631578947368421</v>
      </c>
      <c r="M325" s="37" t="n">
        <v>1</v>
      </c>
      <c r="N325" s="37" t="n">
        <v>0.6111111111111112</v>
      </c>
      <c r="O325" s="36" t="n">
        <v>0</v>
      </c>
      <c r="P325" s="36" t="n">
        <v>14.61</v>
      </c>
      <c r="Q325" s="36" t="n">
        <v>18.77</v>
      </c>
      <c r="R325" s="36" t="n">
        <v>44.19</v>
      </c>
      <c r="S325" s="36" t="n">
        <v>0</v>
      </c>
      <c r="T325" s="37" t="n">
        <v>0.8892617449664429</v>
      </c>
      <c r="U325" s="37" t="n">
        <v>0.8723404255319149</v>
      </c>
      <c r="V325" s="37" t="n">
        <v>0.8924302788844621</v>
      </c>
      <c r="W325" s="37" t="n">
        <v>0.8292682926829268</v>
      </c>
    </row>
    <row r="326">
      <c r="A326" s="53" t="n">
        <v>45757</v>
      </c>
      <c r="B326" t="inlineStr">
        <is>
          <t>R05_Jawa Tengah DIY</t>
        </is>
      </c>
      <c r="C326" t="inlineStr">
        <is>
          <t>NOP PEKALONGAN</t>
        </is>
      </c>
      <c r="D326" s="36" t="n">
        <v>4.69</v>
      </c>
      <c r="E326" s="36" t="n">
        <v>0</v>
      </c>
      <c r="F326" s="36" t="n">
        <v>3.38</v>
      </c>
      <c r="G326" s="36" t="n">
        <v>2.69</v>
      </c>
      <c r="H326" s="37" t="n">
        <v>0.5648854961832062</v>
      </c>
      <c r="I326" s="37" t="n">
        <v>1</v>
      </c>
      <c r="J326" s="37" t="n">
        <v>0.5365853658536586</v>
      </c>
      <c r="K326" s="37" t="n">
        <v>1</v>
      </c>
      <c r="L326" s="37" t="n">
        <v>1</v>
      </c>
      <c r="M326" s="37" t="n">
        <v>0.9847328244274809</v>
      </c>
      <c r="N326" s="37" t="n">
        <v>0.6106870229007634</v>
      </c>
      <c r="O326" s="36" t="n">
        <v>0</v>
      </c>
      <c r="P326" s="36" t="n">
        <v>2.66</v>
      </c>
      <c r="Q326" s="36" t="n">
        <v>5.7</v>
      </c>
      <c r="R326" s="36" t="n">
        <v>55.25</v>
      </c>
      <c r="S326" s="36" t="n">
        <v>0</v>
      </c>
      <c r="T326" s="37" t="n">
        <v>0.8360655737704918</v>
      </c>
      <c r="U326" s="37" t="n">
        <v>0.7666666666666667</v>
      </c>
      <c r="V326" s="37" t="n">
        <v>0.8586956521739131</v>
      </c>
      <c r="W326" s="37" t="n">
        <v>0.6956521739130435</v>
      </c>
    </row>
    <row r="327">
      <c r="A327" s="53" t="n">
        <v>45757</v>
      </c>
      <c r="B327" t="inlineStr">
        <is>
          <t>R05_Jawa Tengah DIY</t>
        </is>
      </c>
      <c r="C327" t="inlineStr">
        <is>
          <t>NOP PURWOKERTO</t>
        </is>
      </c>
      <c r="D327" s="36" t="n">
        <v>2.28</v>
      </c>
      <c r="E327" s="36" t="n">
        <v>0</v>
      </c>
      <c r="F327" s="36" t="n">
        <v>3.55</v>
      </c>
      <c r="G327" s="36" t="n">
        <v>3.66</v>
      </c>
      <c r="H327" s="37" t="n">
        <v>0.84</v>
      </c>
      <c r="I327" s="37" t="n">
        <v>0.6666666666666666</v>
      </c>
      <c r="J327" s="37" t="n">
        <v>0.8598726114649682</v>
      </c>
      <c r="K327" s="37" t="n">
        <v>1</v>
      </c>
      <c r="L327" s="37" t="n">
        <v>1</v>
      </c>
      <c r="M327" s="37" t="n">
        <v>0.9657142857142857</v>
      </c>
      <c r="N327" s="37" t="n">
        <v>0.5714285714285714</v>
      </c>
      <c r="O327" s="36" t="n">
        <v>0.14</v>
      </c>
      <c r="P327" s="36" t="n">
        <v>3.87</v>
      </c>
      <c r="Q327" s="36" t="n">
        <v>8.25</v>
      </c>
      <c r="R327" s="36" t="n">
        <v>49.26</v>
      </c>
      <c r="S327" s="36" t="n">
        <v>0</v>
      </c>
      <c r="T327" s="37" t="n">
        <v>0.7857142857142857</v>
      </c>
      <c r="U327" s="37" t="n">
        <v>0.7966101694915254</v>
      </c>
      <c r="V327" s="37" t="n">
        <v>0.7823834196891192</v>
      </c>
      <c r="W327" s="37" t="n">
        <v>0.7021276595744681</v>
      </c>
    </row>
    <row r="328">
      <c r="A328" s="53" t="n">
        <v>45757</v>
      </c>
      <c r="B328" t="inlineStr">
        <is>
          <t>R05_Jawa Tengah DIY</t>
        </is>
      </c>
      <c r="C328" t="inlineStr">
        <is>
          <t>NOP SEMARANG</t>
        </is>
      </c>
      <c r="D328" s="36" t="n">
        <v>2.68</v>
      </c>
      <c r="E328" s="36" t="n">
        <v>1.66</v>
      </c>
      <c r="F328" s="36" t="n">
        <v>2.55</v>
      </c>
      <c r="G328" s="36" t="n">
        <v>3.11</v>
      </c>
      <c r="H328" s="37" t="n">
        <v>0.4610778443113773</v>
      </c>
      <c r="I328" s="37" t="n">
        <v>0.5333333333333333</v>
      </c>
      <c r="J328" s="37" t="n">
        <v>0.4539473684210527</v>
      </c>
      <c r="K328" s="37" t="n">
        <v>1</v>
      </c>
      <c r="L328" s="37" t="n">
        <v>1</v>
      </c>
      <c r="M328" s="37" t="n">
        <v>0.9580838323353293</v>
      </c>
      <c r="N328" s="37" t="n">
        <v>0.3293413173652694</v>
      </c>
      <c r="O328" s="36" t="n">
        <v>0</v>
      </c>
      <c r="P328" s="36" t="n">
        <v>2.02</v>
      </c>
      <c r="Q328" s="36" t="n">
        <v>12.08</v>
      </c>
      <c r="R328" s="36" t="n">
        <v>68.38</v>
      </c>
      <c r="S328" s="36" t="n">
        <v>0</v>
      </c>
      <c r="T328" s="37" t="n">
        <v>0.6518324607329843</v>
      </c>
      <c r="U328" s="37" t="n">
        <v>0.3014705882352941</v>
      </c>
      <c r="V328" s="37" t="n">
        <v>0.8455284552845529</v>
      </c>
      <c r="W328" s="37" t="n">
        <v>0.8780487804878049</v>
      </c>
    </row>
    <row r="329">
      <c r="A329" s="53" t="n">
        <v>45757</v>
      </c>
      <c r="B329" t="inlineStr">
        <is>
          <t>R05_Jawa Tengah DIY</t>
        </is>
      </c>
      <c r="C329" t="inlineStr">
        <is>
          <t>NOP SURAKARTA</t>
        </is>
      </c>
      <c r="D329" s="36" t="n">
        <v>3.49</v>
      </c>
      <c r="E329" s="36" t="n">
        <v>2.15</v>
      </c>
      <c r="F329" s="36" t="n">
        <v>2.78</v>
      </c>
      <c r="G329" s="36" t="n">
        <v>4.44</v>
      </c>
      <c r="H329" s="37" t="n">
        <v>0.6313559322033898</v>
      </c>
      <c r="I329" s="37" t="n">
        <v>0.8636363636363636</v>
      </c>
      <c r="J329" s="37" t="n">
        <v>0.6074766355140186</v>
      </c>
      <c r="K329" s="37" t="n">
        <v>0.9473684210526315</v>
      </c>
      <c r="L329" s="37" t="n">
        <v>0.9473684210526315</v>
      </c>
      <c r="M329" s="37" t="n">
        <v>0.9872881355932204</v>
      </c>
      <c r="N329" s="37" t="n">
        <v>0.4703389830508475</v>
      </c>
      <c r="O329" s="36" t="n">
        <v>0.15</v>
      </c>
      <c r="P329" s="36" t="n">
        <v>3.76</v>
      </c>
      <c r="Q329" s="36" t="n">
        <v>14.82</v>
      </c>
      <c r="R329" s="36" t="n">
        <v>78.11</v>
      </c>
      <c r="S329" s="36" t="n">
        <v>0</v>
      </c>
      <c r="T329" s="37" t="n">
        <v>0.7955801104972375</v>
      </c>
      <c r="U329" s="37" t="n">
        <v>0.6902654867256637</v>
      </c>
      <c r="V329" s="37" t="n">
        <v>0.8433734939759037</v>
      </c>
      <c r="W329" s="37" t="n">
        <v>0.7948717948717948</v>
      </c>
    </row>
    <row r="330">
      <c r="A330" s="53" t="n">
        <v>45757</v>
      </c>
      <c r="B330" t="inlineStr">
        <is>
          <t>R05_Jawa Tengah DIY</t>
        </is>
      </c>
      <c r="C330" t="inlineStr">
        <is>
          <t>NOP YOGYAKARTA</t>
        </is>
      </c>
      <c r="D330" s="36" t="n">
        <v>2.37</v>
      </c>
      <c r="E330" s="36" t="n">
        <v>0</v>
      </c>
      <c r="F330" s="36" t="n">
        <v>3.39</v>
      </c>
      <c r="G330" s="36" t="n">
        <v>4.7</v>
      </c>
      <c r="H330" s="37" t="n">
        <v>0.6601307189542484</v>
      </c>
      <c r="I330" s="37" t="n">
        <v>1</v>
      </c>
      <c r="J330" s="37" t="n">
        <v>0.6462585034013606</v>
      </c>
      <c r="K330" s="37" t="n">
        <v>1</v>
      </c>
      <c r="L330" s="37" t="n">
        <v>1</v>
      </c>
      <c r="M330" s="37" t="n">
        <v>1</v>
      </c>
      <c r="N330" s="37" t="n">
        <v>0.4640522875816994</v>
      </c>
      <c r="O330" s="36" t="n">
        <v>0</v>
      </c>
      <c r="P330" s="36" t="n">
        <v>2.55</v>
      </c>
      <c r="Q330" s="36" t="n">
        <v>15.78</v>
      </c>
      <c r="R330" s="36" t="n">
        <v>46.41</v>
      </c>
      <c r="S330" s="36" t="n">
        <v>0</v>
      </c>
      <c r="T330" s="37" t="n">
        <v>0.9265822784810127</v>
      </c>
      <c r="U330" s="37" t="n">
        <v>0.8135593220338984</v>
      </c>
      <c r="V330" s="37" t="n">
        <v>0.9464285714285714</v>
      </c>
      <c r="W330" s="37" t="n">
        <v>0.9791666666666666</v>
      </c>
    </row>
    <row r="331">
      <c r="A331" s="53" t="n">
        <v>45757</v>
      </c>
      <c r="B331" t="inlineStr">
        <is>
          <t>R06_Jawa Timur</t>
        </is>
      </c>
      <c r="C331" t="inlineStr">
        <is>
          <t>NOP JEMBER</t>
        </is>
      </c>
      <c r="D331" s="36" t="n">
        <v>2.11</v>
      </c>
      <c r="E331" s="36" t="n">
        <v>2.64</v>
      </c>
      <c r="F331" s="36" t="n">
        <v>5.22</v>
      </c>
      <c r="G331" s="36" t="n">
        <v>4.84</v>
      </c>
      <c r="H331" s="37" t="n">
        <v>0.7263157894736842</v>
      </c>
      <c r="I331" s="37" t="n">
        <v>0.7058823529411765</v>
      </c>
      <c r="J331" s="37" t="n">
        <v>0.7283236994219653</v>
      </c>
      <c r="K331" s="37" t="n">
        <v>0.6666666666666666</v>
      </c>
      <c r="L331" s="37" t="n">
        <v>0.6666666666666666</v>
      </c>
      <c r="M331" s="37" t="n">
        <v>0.9947368421052631</v>
      </c>
      <c r="N331" s="37" t="n">
        <v>0.3473684210526316</v>
      </c>
      <c r="O331" s="36" t="n">
        <v>0</v>
      </c>
      <c r="P331" s="36" t="n">
        <v>2.86</v>
      </c>
      <c r="Q331" s="36" t="n">
        <v>5.1</v>
      </c>
      <c r="R331" s="36" t="n">
        <v>51.33</v>
      </c>
      <c r="S331" s="36" t="n">
        <v>0</v>
      </c>
      <c r="T331" s="37" t="n">
        <v>0.8075471698113208</v>
      </c>
      <c r="U331" s="37" t="n">
        <v>0.78125</v>
      </c>
      <c r="V331" s="37" t="n">
        <v>0.8159203980099502</v>
      </c>
      <c r="W331" s="37" t="n">
        <v>0.74</v>
      </c>
    </row>
    <row r="332">
      <c r="A332" s="53" t="n">
        <v>45757</v>
      </c>
      <c r="B332" t="inlineStr">
        <is>
          <t>R06_Jawa Timur</t>
        </is>
      </c>
      <c r="C332" t="inlineStr">
        <is>
          <t>NOP KEDIRI</t>
        </is>
      </c>
      <c r="D332" s="36" t="n">
        <v>1.15</v>
      </c>
      <c r="E332" s="36" t="n">
        <v>0.7</v>
      </c>
      <c r="F332" s="36" t="n">
        <v>2.65</v>
      </c>
      <c r="G332" s="36" t="n">
        <v>1.17</v>
      </c>
      <c r="H332" s="37" t="n">
        <v>0.8651685393258427</v>
      </c>
      <c r="I332" s="37" t="n">
        <v>0.75</v>
      </c>
      <c r="J332" s="37" t="n">
        <v>0.8705882352941177</v>
      </c>
      <c r="K332" s="37" t="n">
        <v>0.6666666666666666</v>
      </c>
      <c r="L332" s="37" t="n">
        <v>0.6666666666666666</v>
      </c>
      <c r="M332" s="37" t="n">
        <v>1</v>
      </c>
      <c r="N332" s="37" t="n">
        <v>0.5955056179775281</v>
      </c>
      <c r="O332" s="36" t="n">
        <v>0</v>
      </c>
      <c r="P332" s="36" t="n">
        <v>1.99</v>
      </c>
      <c r="Q332" s="36" t="n">
        <v>3.67</v>
      </c>
      <c r="R332" s="36" t="n">
        <v>13.62</v>
      </c>
      <c r="S332" s="36" t="n">
        <v>0</v>
      </c>
      <c r="T332" s="37" t="n">
        <v>0.96</v>
      </c>
      <c r="U332" s="37" t="n">
        <v>0.8857142857142857</v>
      </c>
      <c r="V332" s="37" t="n">
        <v>0.9826086956521739</v>
      </c>
      <c r="W332" s="37" t="n">
        <v>0.8387096774193549</v>
      </c>
    </row>
    <row r="333">
      <c r="A333" s="53" t="n">
        <v>45757</v>
      </c>
      <c r="B333" t="inlineStr">
        <is>
          <t>R06_Jawa Timur</t>
        </is>
      </c>
      <c r="C333" t="inlineStr">
        <is>
          <t>NOP LAMONGAN</t>
        </is>
      </c>
      <c r="D333" s="36" t="n">
        <v>2.04</v>
      </c>
      <c r="E333" s="36" t="n">
        <v>1.01</v>
      </c>
      <c r="F333" s="36" t="n">
        <v>3.22</v>
      </c>
      <c r="G333" s="36" t="n">
        <v>2.24</v>
      </c>
      <c r="H333" s="37" t="n">
        <v>0.7910447761194029</v>
      </c>
      <c r="I333" s="37" t="n">
        <v>1</v>
      </c>
      <c r="J333" s="37" t="n">
        <v>0.7627118644067796</v>
      </c>
      <c r="K333" s="37" t="n">
        <v>0.875</v>
      </c>
      <c r="L333" s="37" t="n">
        <v>0.875</v>
      </c>
      <c r="M333" s="37" t="n">
        <v>1</v>
      </c>
      <c r="N333" s="37" t="n">
        <v>0.7164179104477612</v>
      </c>
      <c r="O333" s="36" t="n">
        <v>0</v>
      </c>
      <c r="P333" s="36" t="n">
        <v>2.76</v>
      </c>
      <c r="Q333" s="36" t="n">
        <v>10.01</v>
      </c>
      <c r="R333" s="36" t="n">
        <v>33.4</v>
      </c>
      <c r="S333" s="36" t="n">
        <v>0</v>
      </c>
      <c r="T333" s="37" t="n">
        <v>0.7261904761904762</v>
      </c>
      <c r="U333" s="37" t="n">
        <v>0.6</v>
      </c>
      <c r="V333" s="37" t="n">
        <v>0.8163265306122449</v>
      </c>
      <c r="W333" s="37" t="n">
        <v>0.9047619047619048</v>
      </c>
    </row>
    <row r="334">
      <c r="A334" s="53" t="n">
        <v>45757</v>
      </c>
      <c r="B334" t="inlineStr">
        <is>
          <t>R06_Jawa Timur</t>
        </is>
      </c>
      <c r="C334" t="inlineStr">
        <is>
          <t>NOP MADIUN</t>
        </is>
      </c>
      <c r="D334" s="36" t="n">
        <v>0</v>
      </c>
      <c r="E334" s="36" t="n">
        <v>0</v>
      </c>
      <c r="F334" s="36" t="n">
        <v>3.17</v>
      </c>
      <c r="G334" s="36" t="n">
        <v>3.64</v>
      </c>
      <c r="H334" s="37" t="n">
        <v>0.7294117647058823</v>
      </c>
      <c r="I334" s="37" t="n">
        <v>0</v>
      </c>
      <c r="J334" s="37" t="n">
        <v>0.7294117647058823</v>
      </c>
      <c r="K334" s="37" t="n">
        <v>0</v>
      </c>
      <c r="L334" s="37" t="n">
        <v>0</v>
      </c>
      <c r="M334" s="37" t="n">
        <v>1</v>
      </c>
      <c r="N334" s="37" t="n">
        <v>0.4470588235294118</v>
      </c>
      <c r="O334" s="36" t="n">
        <v>0</v>
      </c>
      <c r="P334" s="36" t="n">
        <v>2.52</v>
      </c>
      <c r="Q334" s="36" t="n">
        <v>13.91</v>
      </c>
      <c r="R334" s="36" t="n">
        <v>12.13</v>
      </c>
      <c r="S334" s="36" t="n">
        <v>0</v>
      </c>
      <c r="T334" s="37" t="n">
        <v>0.6573426573426573</v>
      </c>
      <c r="U334" s="37" t="n">
        <v>0.5925925925925926</v>
      </c>
      <c r="V334" s="37" t="n">
        <v>0.6966292134831461</v>
      </c>
      <c r="W334" s="37" t="n">
        <v>0.71875</v>
      </c>
    </row>
    <row r="335">
      <c r="A335" s="53" t="n">
        <v>45757</v>
      </c>
      <c r="B335" t="inlineStr">
        <is>
          <t>R06_Jawa Timur</t>
        </is>
      </c>
      <c r="C335" t="inlineStr">
        <is>
          <t>NOP MALANG</t>
        </is>
      </c>
      <c r="D335" s="36" t="n">
        <v>1.28</v>
      </c>
      <c r="E335" s="36" t="n">
        <v>0</v>
      </c>
      <c r="F335" s="36" t="n">
        <v>2.82</v>
      </c>
      <c r="G335" s="36" t="n">
        <v>2.31</v>
      </c>
      <c r="H335" s="37" t="n">
        <v>0.8394160583941606</v>
      </c>
      <c r="I335" s="37" t="n">
        <v>1</v>
      </c>
      <c r="J335" s="37" t="n">
        <v>0.8382352941176471</v>
      </c>
      <c r="K335" s="37" t="n">
        <v>1</v>
      </c>
      <c r="L335" s="37" t="n">
        <v>1</v>
      </c>
      <c r="M335" s="37" t="n">
        <v>1</v>
      </c>
      <c r="N335" s="37" t="n">
        <v>0.7956204379562044</v>
      </c>
      <c r="O335" s="36" t="n">
        <v>0.02</v>
      </c>
      <c r="P335" s="36" t="n">
        <v>3.08</v>
      </c>
      <c r="Q335" s="36" t="n">
        <v>3.04</v>
      </c>
      <c r="R335" s="36" t="n">
        <v>54.79</v>
      </c>
      <c r="S335" s="36" t="n">
        <v>0</v>
      </c>
      <c r="T335" s="37" t="n">
        <v>0.7659574468085106</v>
      </c>
      <c r="U335" s="37" t="n">
        <v>0.625</v>
      </c>
      <c r="V335" s="37" t="n">
        <v>0.8703703703703703</v>
      </c>
      <c r="W335" s="37" t="n">
        <v>0.5600000000000001</v>
      </c>
    </row>
    <row r="336">
      <c r="A336" s="53" t="n">
        <v>45757</v>
      </c>
      <c r="B336" t="inlineStr">
        <is>
          <t>R06_Jawa Timur</t>
        </is>
      </c>
      <c r="C336" t="inlineStr">
        <is>
          <t>NOP SIDOARJO</t>
        </is>
      </c>
      <c r="D336" s="36" t="n">
        <v>3.67</v>
      </c>
      <c r="E336" s="36" t="n">
        <v>6.27</v>
      </c>
      <c r="F336" s="36" t="n">
        <v>2.99</v>
      </c>
      <c r="G336" s="36" t="n">
        <v>3.71</v>
      </c>
      <c r="H336" s="37" t="n">
        <v>0.6699029126213593</v>
      </c>
      <c r="I336" s="37" t="n">
        <v>0.9230769230769231</v>
      </c>
      <c r="J336" s="37" t="n">
        <v>0.6333333333333333</v>
      </c>
      <c r="K336" s="37" t="n">
        <v>0.9166666666666666</v>
      </c>
      <c r="L336" s="37" t="n">
        <v>0.9166666666666666</v>
      </c>
      <c r="M336" s="37" t="n">
        <v>0.9902912621359223</v>
      </c>
      <c r="N336" s="37" t="n">
        <v>0.4757281553398058</v>
      </c>
      <c r="O336" s="36" t="n">
        <v>0</v>
      </c>
      <c r="P336" s="36" t="n">
        <v>22.41</v>
      </c>
      <c r="Q336" s="36" t="n">
        <v>12.05</v>
      </c>
      <c r="R336" s="36" t="n">
        <v>92.8</v>
      </c>
      <c r="S336" s="36" t="n">
        <v>0</v>
      </c>
      <c r="T336" s="37" t="n">
        <v>0.7482517482517482</v>
      </c>
      <c r="U336" s="37" t="n">
        <v>0.5</v>
      </c>
      <c r="V336" s="37" t="n">
        <v>0.8141592920353983</v>
      </c>
      <c r="W336" s="37" t="n">
        <v>0.4666666666666667</v>
      </c>
    </row>
    <row r="337">
      <c r="A337" s="53" t="n">
        <v>45757</v>
      </c>
      <c r="B337" t="inlineStr">
        <is>
          <t>R06_Jawa Timur</t>
        </is>
      </c>
      <c r="C337" t="inlineStr">
        <is>
          <t>NOP SURABAYA</t>
        </is>
      </c>
      <c r="D337" s="36" t="n">
        <v>3.05</v>
      </c>
      <c r="E337" s="36" t="n">
        <v>0</v>
      </c>
      <c r="F337" s="36" t="n">
        <v>3.76</v>
      </c>
      <c r="G337" s="36" t="n">
        <v>2.7</v>
      </c>
      <c r="H337" s="37" t="n">
        <v>0.5172413793103449</v>
      </c>
      <c r="I337" s="37" t="n">
        <v>0.3157894736842105</v>
      </c>
      <c r="J337" s="37" t="n">
        <v>0.5419354838709678</v>
      </c>
      <c r="K337" s="37" t="n">
        <v>1</v>
      </c>
      <c r="L337" s="37" t="n">
        <v>1</v>
      </c>
      <c r="M337" s="37" t="n">
        <v>0.9827586206896551</v>
      </c>
      <c r="N337" s="37" t="n">
        <v>0.3563218390804598</v>
      </c>
      <c r="O337" s="36" t="n">
        <v>0.04</v>
      </c>
      <c r="P337" s="36" t="n">
        <v>3.29</v>
      </c>
      <c r="Q337" s="36" t="n">
        <v>8.029999999999999</v>
      </c>
      <c r="R337" s="36" t="n">
        <v>25.68</v>
      </c>
      <c r="S337" s="36" t="n">
        <v>0</v>
      </c>
      <c r="T337" s="37" t="n">
        <v>0.6129032258064516</v>
      </c>
      <c r="U337" s="37" t="n">
        <v>0.3953488372093023</v>
      </c>
      <c r="V337" s="37" t="n">
        <v>0.6442953020134228</v>
      </c>
      <c r="W337" s="37" t="n">
        <v>0.5882352941176471</v>
      </c>
    </row>
    <row r="338">
      <c r="A338" s="53" t="n">
        <v>45757</v>
      </c>
      <c r="B338" t="inlineStr">
        <is>
          <t>R07_Bali Nusra</t>
        </is>
      </c>
      <c r="C338" t="inlineStr">
        <is>
          <t>NOP DENPASAR</t>
        </is>
      </c>
      <c r="D338" s="36" t="n">
        <v>1.76</v>
      </c>
      <c r="E338" s="36" t="n">
        <v>0</v>
      </c>
      <c r="F338" s="36" t="n">
        <v>4.71</v>
      </c>
      <c r="G338" s="36" t="n">
        <v>3.74</v>
      </c>
      <c r="H338" s="37" t="n">
        <v>0.8712871287128713</v>
      </c>
      <c r="I338" s="37" t="n">
        <v>0.85</v>
      </c>
      <c r="J338" s="37" t="n">
        <v>0.8765432098765432</v>
      </c>
      <c r="K338" s="37" t="n">
        <v>0.9411764705882353</v>
      </c>
      <c r="L338" s="37" t="n">
        <v>0.9411764705882353</v>
      </c>
      <c r="M338" s="37" t="n">
        <v>0.9603960396039604</v>
      </c>
      <c r="N338" s="37" t="n">
        <v>0.8217821782178217</v>
      </c>
      <c r="O338" s="36" t="n">
        <v>0</v>
      </c>
      <c r="P338" s="36" t="n">
        <v>39.15</v>
      </c>
      <c r="Q338" s="36" t="n">
        <v>39.77</v>
      </c>
      <c r="R338" s="36" t="n">
        <v>109.58</v>
      </c>
      <c r="S338" s="36" t="n">
        <v>0</v>
      </c>
      <c r="T338" s="37" t="n">
        <v>0.8587570621468926</v>
      </c>
      <c r="U338" s="37" t="n">
        <v>0.7894736842105263</v>
      </c>
      <c r="V338" s="37" t="n">
        <v>0.8776978417266187</v>
      </c>
      <c r="W338" s="37" t="n">
        <v>0.4</v>
      </c>
    </row>
    <row r="339">
      <c r="A339" s="53" t="n">
        <v>45757</v>
      </c>
      <c r="B339" t="inlineStr">
        <is>
          <t>R07_Bali Nusra</t>
        </is>
      </c>
      <c r="C339" t="inlineStr">
        <is>
          <t>NOP FLORES</t>
        </is>
      </c>
      <c r="D339" s="36" t="n">
        <v>3.76</v>
      </c>
      <c r="E339" s="36" t="n">
        <v>5.1</v>
      </c>
      <c r="F339" s="36" t="n">
        <v>10</v>
      </c>
      <c r="G339" s="36" t="n">
        <v>8.99</v>
      </c>
      <c r="H339" s="37" t="n">
        <v>0.4</v>
      </c>
      <c r="I339" s="37" t="n">
        <v>0.4724409448818898</v>
      </c>
      <c r="J339" s="37" t="n">
        <v>0.3803418803418803</v>
      </c>
      <c r="K339" s="37" t="n">
        <v>0.55</v>
      </c>
      <c r="L339" s="37" t="n">
        <v>0.55</v>
      </c>
      <c r="M339" s="37" t="n">
        <v>0.9798319327731092</v>
      </c>
      <c r="N339" s="37" t="n">
        <v>0.2100840336134454</v>
      </c>
      <c r="O339" s="36" t="n">
        <v>0.17</v>
      </c>
      <c r="P339" s="36" t="n">
        <v>12.58</v>
      </c>
      <c r="Q339" s="36" t="n">
        <v>9.69</v>
      </c>
      <c r="R339" s="36" t="n">
        <v>48.4</v>
      </c>
      <c r="S339" s="36" t="n">
        <v>0</v>
      </c>
      <c r="T339" s="37" t="n">
        <v>0.436982520699172</v>
      </c>
      <c r="U339" s="37" t="n">
        <v>0.4794871794871795</v>
      </c>
      <c r="V339" s="37" t="n">
        <v>0.3289902280130293</v>
      </c>
      <c r="W339" s="37" t="n">
        <v>0.6256684491978609</v>
      </c>
    </row>
    <row r="340">
      <c r="A340" s="53" t="n">
        <v>45757</v>
      </c>
      <c r="B340" t="inlineStr">
        <is>
          <t>R07_Bali Nusra</t>
        </is>
      </c>
      <c r="C340" t="inlineStr">
        <is>
          <t>NOP KUPANG</t>
        </is>
      </c>
      <c r="D340" s="36" t="n">
        <v>1.09</v>
      </c>
      <c r="E340" s="36" t="n">
        <v>1.96</v>
      </c>
      <c r="F340" s="36" t="n">
        <v>2.55</v>
      </c>
      <c r="G340" s="36" t="n">
        <v>6.52</v>
      </c>
      <c r="H340" s="37" t="n">
        <v>0.5537190082644629</v>
      </c>
      <c r="I340" s="37" t="n">
        <v>0.5263157894736842</v>
      </c>
      <c r="J340" s="37" t="n">
        <v>0.556923076923077</v>
      </c>
      <c r="K340" s="37" t="n">
        <v>0.5</v>
      </c>
      <c r="L340" s="37" t="n">
        <v>0.5</v>
      </c>
      <c r="M340" s="37" t="n">
        <v>0.9972451790633609</v>
      </c>
      <c r="N340" s="37" t="n">
        <v>0.1597796143250689</v>
      </c>
      <c r="O340" s="36" t="n">
        <v>0.01</v>
      </c>
      <c r="P340" s="36" t="n">
        <v>22.5</v>
      </c>
      <c r="Q340" s="36" t="n">
        <v>16.77</v>
      </c>
      <c r="R340" s="36" t="n">
        <v>293.04</v>
      </c>
      <c r="S340" s="36" t="n">
        <v>0</v>
      </c>
      <c r="T340" s="37" t="n">
        <v>0.5450733752620545</v>
      </c>
      <c r="U340" s="37" t="n">
        <v>0.603448275862069</v>
      </c>
      <c r="V340" s="37" t="n">
        <v>0.4545454545454545</v>
      </c>
      <c r="W340" s="37" t="n">
        <v>0.5828571428571429</v>
      </c>
    </row>
    <row r="341">
      <c r="A341" s="53" t="n">
        <v>45757</v>
      </c>
      <c r="B341" t="inlineStr">
        <is>
          <t>R07_Bali Nusra</t>
        </is>
      </c>
      <c r="C341" t="inlineStr">
        <is>
          <t>NOP MATARAM</t>
        </is>
      </c>
      <c r="D341" s="36" t="n">
        <v>1.21</v>
      </c>
      <c r="E341" s="36" t="n">
        <v>6.78</v>
      </c>
      <c r="F341" s="36" t="n">
        <v>4.4</v>
      </c>
      <c r="G341" s="36" t="n">
        <v>8.710000000000001</v>
      </c>
      <c r="H341" s="37" t="n">
        <v>0.4596273291925466</v>
      </c>
      <c r="I341" s="37" t="n">
        <v>0.6521739130434783</v>
      </c>
      <c r="J341" s="37" t="n">
        <v>0.427536231884058</v>
      </c>
      <c r="K341" s="37" t="n">
        <v>0.8666666666666667</v>
      </c>
      <c r="L341" s="37" t="n">
        <v>0.8666666666666667</v>
      </c>
      <c r="M341" s="37" t="n">
        <v>1</v>
      </c>
      <c r="N341" s="37" t="n">
        <v>0.3291925465838509</v>
      </c>
      <c r="O341" s="36" t="n">
        <v>0</v>
      </c>
      <c r="P341" s="36" t="n">
        <v>22.59</v>
      </c>
      <c r="Q341" s="36" t="n">
        <v>8.9</v>
      </c>
      <c r="R341" s="36" t="n">
        <v>26.14</v>
      </c>
      <c r="S341" s="36" t="n">
        <v>0</v>
      </c>
      <c r="T341" s="37" t="n">
        <v>0.298</v>
      </c>
      <c r="U341" s="37" t="n">
        <v>0.2868525896414343</v>
      </c>
      <c r="V341" s="37" t="n">
        <v>0.3092369477911647</v>
      </c>
      <c r="W341" s="37" t="n">
        <v>0.5833333333333334</v>
      </c>
    </row>
    <row r="342">
      <c r="A342" s="53" t="n">
        <v>45758</v>
      </c>
      <c r="B342" t="inlineStr">
        <is>
          <t>R01_Sumbagut</t>
        </is>
      </c>
      <c r="C342" t="inlineStr">
        <is>
          <t>NOP ACEH</t>
        </is>
      </c>
      <c r="D342" s="36" t="n">
        <v>1.88</v>
      </c>
      <c r="E342" s="36" t="n">
        <v>4.43</v>
      </c>
      <c r="F342" s="36" t="n">
        <v>12.69</v>
      </c>
      <c r="G342" s="36" t="n">
        <v>14.15</v>
      </c>
      <c r="H342" s="37" t="n">
        <v>0.8496538081107814</v>
      </c>
      <c r="I342" s="37" t="n">
        <v>0.8671328671328671</v>
      </c>
      <c r="J342" s="37" t="n">
        <v>0.8427586206896551</v>
      </c>
      <c r="K342" s="37" t="n">
        <v>0.3870967741935484</v>
      </c>
      <c r="L342" s="37" t="n">
        <v>0.3902439024390244</v>
      </c>
      <c r="M342" s="37" t="n">
        <v>1</v>
      </c>
      <c r="N342" s="37" t="n">
        <v>0.3006923837784372</v>
      </c>
      <c r="O342" s="36" t="n">
        <v>0.06</v>
      </c>
      <c r="P342" s="36" t="n">
        <v>5.36</v>
      </c>
      <c r="Q342" s="36" t="n">
        <v>57.79</v>
      </c>
      <c r="R342" s="36" t="n">
        <v>125.24</v>
      </c>
      <c r="S342" s="36" t="n">
        <v>0</v>
      </c>
      <c r="T342" s="37" t="n">
        <v>0.8759894459102903</v>
      </c>
      <c r="U342" s="37" t="n">
        <v>0.7130620985010707</v>
      </c>
      <c r="V342" s="37" t="n">
        <v>0.9001809408926418</v>
      </c>
      <c r="W342" s="37" t="n">
        <v>0.1981981981981982</v>
      </c>
    </row>
    <row r="343">
      <c r="A343" s="53" t="n">
        <v>45758</v>
      </c>
      <c r="B343" t="inlineStr">
        <is>
          <t>R01_Sumbagut</t>
        </is>
      </c>
      <c r="C343" t="inlineStr">
        <is>
          <t>NOP BINJAI</t>
        </is>
      </c>
      <c r="D343" s="36" t="n">
        <v>0</v>
      </c>
      <c r="E343" s="36" t="n">
        <v>4.64</v>
      </c>
      <c r="F343" s="36" t="n">
        <v>2.94</v>
      </c>
      <c r="G343" s="36" t="n">
        <v>4.28</v>
      </c>
      <c r="H343" s="37" t="n">
        <v>0.5553097345132744</v>
      </c>
      <c r="I343" s="37" t="n">
        <v>0.631578947368421</v>
      </c>
      <c r="J343" s="37" t="n">
        <v>0.5350140056022409</v>
      </c>
      <c r="K343" s="37" t="n">
        <v>0.4166666666666667</v>
      </c>
      <c r="L343" s="37" t="n">
        <v>0.4166666666666667</v>
      </c>
      <c r="M343" s="37" t="n">
        <v>1</v>
      </c>
      <c r="N343" s="37" t="n">
        <v>0.2699115044247787</v>
      </c>
      <c r="O343" s="36" t="n">
        <v>0.01</v>
      </c>
      <c r="P343" s="36" t="n">
        <v>2.72</v>
      </c>
      <c r="Q343" s="36" t="n">
        <v>42.27</v>
      </c>
      <c r="R343" s="36" t="n">
        <v>95.06</v>
      </c>
      <c r="S343" s="36" t="n">
        <v>0</v>
      </c>
      <c r="T343" s="37" t="n">
        <v>0.6141078838174274</v>
      </c>
      <c r="U343" s="37" t="n">
        <v>0.5509259259259259</v>
      </c>
      <c r="V343" s="37" t="n">
        <v>0.631578947368421</v>
      </c>
      <c r="W343" s="37" t="n">
        <v>0.4621848739495799</v>
      </c>
    </row>
    <row r="344">
      <c r="A344" s="53" t="n">
        <v>45758</v>
      </c>
      <c r="B344" t="inlineStr">
        <is>
          <t>R01_Sumbagut</t>
        </is>
      </c>
      <c r="C344" t="inlineStr">
        <is>
          <t>NOP MEDAN</t>
        </is>
      </c>
      <c r="D344" s="36" t="n">
        <v>2.66</v>
      </c>
      <c r="E344" s="36" t="n">
        <v>4.12</v>
      </c>
      <c r="F344" s="36" t="n">
        <v>3.77</v>
      </c>
      <c r="G344" s="36" t="n">
        <v>4.94</v>
      </c>
      <c r="H344" s="37" t="n">
        <v>0.4160583941605839</v>
      </c>
      <c r="I344" s="37" t="n">
        <v>0.4608695652173913</v>
      </c>
      <c r="J344" s="37" t="n">
        <v>0.3986486486486486</v>
      </c>
      <c r="K344" s="37" t="n">
        <v>0.7735849056603774</v>
      </c>
      <c r="L344" s="37" t="n">
        <v>0.7735849056603774</v>
      </c>
      <c r="M344" s="37" t="n">
        <v>1</v>
      </c>
      <c r="N344" s="37" t="n">
        <v>0.2554744525547445</v>
      </c>
      <c r="O344" s="36" t="n">
        <v>0</v>
      </c>
      <c r="P344" s="36" t="n">
        <v>2.6</v>
      </c>
      <c r="Q344" s="36" t="n">
        <v>16.12</v>
      </c>
      <c r="R344" s="36" t="n">
        <v>13.93</v>
      </c>
      <c r="S344" s="36" t="n">
        <v>0</v>
      </c>
      <c r="T344" s="37" t="n">
        <v>0.2672413793103448</v>
      </c>
      <c r="U344" s="37" t="n">
        <v>0.1933333333333333</v>
      </c>
      <c r="V344" s="37" t="n">
        <v>0.3175675675675675</v>
      </c>
      <c r="W344" s="37" t="n">
        <v>0.8620689655172413</v>
      </c>
    </row>
    <row r="345">
      <c r="A345" s="53" t="n">
        <v>45758</v>
      </c>
      <c r="B345" t="inlineStr">
        <is>
          <t>R01_Sumbagut</t>
        </is>
      </c>
      <c r="C345" t="inlineStr">
        <is>
          <t>NOP PADANG SIDEMPUAN</t>
        </is>
      </c>
      <c r="D345" s="36" t="n">
        <v>0.84</v>
      </c>
      <c r="E345" s="36" t="n">
        <v>3.51</v>
      </c>
      <c r="F345" s="36" t="n">
        <v>4.32</v>
      </c>
      <c r="G345" s="36" t="n">
        <v>5.42</v>
      </c>
      <c r="H345" s="37" t="n">
        <v>0.2889908256880734</v>
      </c>
      <c r="I345" s="37" t="n">
        <v>0.4591836734693878</v>
      </c>
      <c r="J345" s="37" t="n">
        <v>0.2674418604651163</v>
      </c>
      <c r="K345" s="37" t="n">
        <v>0.4666666666666667</v>
      </c>
      <c r="L345" s="37" t="n">
        <v>0.4666666666666667</v>
      </c>
      <c r="M345" s="37" t="n">
        <v>0.9931192660550459</v>
      </c>
      <c r="N345" s="37" t="n">
        <v>0.1169724770642202</v>
      </c>
      <c r="O345" s="36" t="n">
        <v>0.01</v>
      </c>
      <c r="P345" s="36" t="n">
        <v>2.36</v>
      </c>
      <c r="Q345" s="36" t="n">
        <v>12.65</v>
      </c>
      <c r="R345" s="36" t="n">
        <v>105.06</v>
      </c>
      <c r="S345" s="36" t="n">
        <v>0</v>
      </c>
      <c r="T345" s="37" t="n">
        <v>0.2994330262225372</v>
      </c>
      <c r="U345" s="37" t="n">
        <v>0.4191780821917808</v>
      </c>
      <c r="V345" s="37" t="n">
        <v>0.2582972582972583</v>
      </c>
      <c r="W345" s="37" t="n">
        <v>0.5032679738562091</v>
      </c>
    </row>
    <row r="346">
      <c r="A346" s="53" t="n">
        <v>45758</v>
      </c>
      <c r="B346" t="inlineStr">
        <is>
          <t>R01_Sumbagut</t>
        </is>
      </c>
      <c r="C346" t="inlineStr">
        <is>
          <t>NOP PEMATANG SIANTAR</t>
        </is>
      </c>
      <c r="D346" s="36" t="n">
        <v>1.1</v>
      </c>
      <c r="E346" s="36" t="n">
        <v>3.87</v>
      </c>
      <c r="F346" s="36" t="n">
        <v>4.45</v>
      </c>
      <c r="G346" s="36" t="n">
        <v>5.44</v>
      </c>
      <c r="H346" s="37" t="n">
        <v>0.3003597122302158</v>
      </c>
      <c r="I346" s="37" t="n">
        <v>0.3111111111111111</v>
      </c>
      <c r="J346" s="37" t="n">
        <v>0.2952127659574468</v>
      </c>
      <c r="K346" s="37" t="n">
        <v>0.6339285714285714</v>
      </c>
      <c r="L346" s="37" t="n">
        <v>0.6454545454545455</v>
      </c>
      <c r="M346" s="37" t="n">
        <v>0.9991007194244604</v>
      </c>
      <c r="N346" s="37" t="n">
        <v>0.1555755395683453</v>
      </c>
      <c r="O346" s="36" t="n">
        <v>0.01</v>
      </c>
      <c r="P346" s="36" t="n">
        <v>3.55</v>
      </c>
      <c r="Q346" s="36" t="n">
        <v>67.52</v>
      </c>
      <c r="R346" s="36" t="n">
        <v>65.59999999999999</v>
      </c>
      <c r="S346" s="36" t="n">
        <v>0</v>
      </c>
      <c r="T346" s="37" t="n">
        <v>0.1058688147295742</v>
      </c>
      <c r="U346" s="37" t="n">
        <v>0.3131115459882583</v>
      </c>
      <c r="V346" s="37" t="n">
        <v>0.08165882855921335</v>
      </c>
      <c r="W346" s="37" t="n">
        <v>0.81875</v>
      </c>
    </row>
    <row r="347">
      <c r="A347" s="53" t="n">
        <v>45758</v>
      </c>
      <c r="B347" t="inlineStr">
        <is>
          <t>R01_Sumbagut</t>
        </is>
      </c>
      <c r="C347" t="inlineStr">
        <is>
          <t>NOP RANTAU PRAPAT</t>
        </is>
      </c>
      <c r="D347" s="36" t="n">
        <v>3.52</v>
      </c>
      <c r="E347" s="36" t="n">
        <v>7.41</v>
      </c>
      <c r="F347" s="36" t="n">
        <v>6.52</v>
      </c>
      <c r="G347" s="36" t="n">
        <v>6.98</v>
      </c>
      <c r="H347" s="37" t="n">
        <v>0.2732049036777583</v>
      </c>
      <c r="I347" s="37" t="n">
        <v>0.26</v>
      </c>
      <c r="J347" s="37" t="n">
        <v>0.2765957446808511</v>
      </c>
      <c r="K347" s="37" t="n">
        <v>0.5384615384615384</v>
      </c>
      <c r="L347" s="37" t="n">
        <v>0.5384615384615384</v>
      </c>
      <c r="M347" s="37" t="n">
        <v>0.986573263280794</v>
      </c>
      <c r="N347" s="37" t="n">
        <v>0.1558669001751314</v>
      </c>
      <c r="O347" s="36" t="n">
        <v>0</v>
      </c>
      <c r="P347" s="36" t="n">
        <v>4.24</v>
      </c>
      <c r="Q347" s="36" t="n">
        <v>33.32</v>
      </c>
      <c r="R347" s="36" t="n">
        <v>32.53</v>
      </c>
      <c r="S347" s="36" t="n">
        <v>0</v>
      </c>
      <c r="T347" s="37" t="n">
        <v>0.06515192992061319</v>
      </c>
      <c r="U347" s="37" t="n">
        <v>0.1397849462365591</v>
      </c>
      <c r="V347" s="37" t="n">
        <v>0.04760393525864805</v>
      </c>
      <c r="W347" s="37" t="n">
        <v>0.676923076923077</v>
      </c>
    </row>
    <row r="348">
      <c r="A348" s="53" t="n">
        <v>45758</v>
      </c>
      <c r="B348" t="inlineStr">
        <is>
          <t>R10_Sumbagteng</t>
        </is>
      </c>
      <c r="C348" t="inlineStr">
        <is>
          <t>NOP BATAM</t>
        </is>
      </c>
      <c r="D348" s="36" t="n">
        <v>1.8</v>
      </c>
      <c r="E348" s="36" t="n">
        <v>6.96</v>
      </c>
      <c r="F348" s="36" t="n">
        <v>6.88</v>
      </c>
      <c r="G348" s="36" t="n">
        <v>9.5</v>
      </c>
      <c r="H348" s="37" t="n">
        <v>0.260233918128655</v>
      </c>
      <c r="I348" s="37" t="n">
        <v>0.2889733840304182</v>
      </c>
      <c r="J348" s="37" t="n">
        <v>0.253393665158371</v>
      </c>
      <c r="K348" s="37" t="n">
        <v>0.6842105263157895</v>
      </c>
      <c r="L348" s="37" t="n">
        <v>0.6842105263157895</v>
      </c>
      <c r="M348" s="37" t="n">
        <v>0.993421052631579</v>
      </c>
      <c r="N348" s="37" t="n">
        <v>0.1637426900584795</v>
      </c>
      <c r="O348" s="36" t="n">
        <v>0</v>
      </c>
      <c r="P348" s="36" t="n">
        <v>5.66</v>
      </c>
      <c r="Q348" s="36" t="n">
        <v>41.28</v>
      </c>
      <c r="R348" s="36" t="n">
        <v>12.24</v>
      </c>
      <c r="S348" s="36" t="n">
        <v>0</v>
      </c>
      <c r="T348" s="37" t="n">
        <v>0.0618023976849938</v>
      </c>
      <c r="U348" s="37" t="n">
        <v>0.1864406779661017</v>
      </c>
      <c r="V348" s="37" t="n">
        <v>0.04219611603931911</v>
      </c>
      <c r="W348" s="37" t="n">
        <v>0.9256198347107438</v>
      </c>
    </row>
    <row r="349">
      <c r="A349" s="53" t="n">
        <v>45758</v>
      </c>
      <c r="B349" t="inlineStr">
        <is>
          <t>R10_Sumbagteng</t>
        </is>
      </c>
      <c r="C349" t="inlineStr">
        <is>
          <t>NOP BUKITTINGGI</t>
        </is>
      </c>
      <c r="D349" s="36" t="n">
        <v>2.04</v>
      </c>
      <c r="E349" s="36" t="n">
        <v>6.07</v>
      </c>
      <c r="F349" s="36" t="n">
        <v>3.42</v>
      </c>
      <c r="G349" s="36" t="n">
        <v>4.88</v>
      </c>
      <c r="H349" s="37" t="n">
        <v>0.75</v>
      </c>
      <c r="I349" s="37" t="n">
        <v>0.7904761904761904</v>
      </c>
      <c r="J349" s="37" t="n">
        <v>0.7376093294460642</v>
      </c>
      <c r="K349" s="37" t="n">
        <v>0.5903614457831325</v>
      </c>
      <c r="L349" s="37" t="n">
        <v>0.5903614457831325</v>
      </c>
      <c r="M349" s="37" t="n">
        <v>0.9933035714285714</v>
      </c>
      <c r="N349" s="37" t="n">
        <v>0.4285714285714285</v>
      </c>
      <c r="O349" s="36" t="n">
        <v>0</v>
      </c>
      <c r="P349" s="36" t="n">
        <v>3.81</v>
      </c>
      <c r="Q349" s="36" t="n">
        <v>8.49</v>
      </c>
      <c r="R349" s="36" t="n">
        <v>131.62</v>
      </c>
      <c r="S349" s="36" t="n">
        <v>0</v>
      </c>
      <c r="T349" s="37" t="n">
        <v>0.3534385569334836</v>
      </c>
      <c r="U349" s="37" t="n">
        <v>0.7528735632183908</v>
      </c>
      <c r="V349" s="37" t="n">
        <v>0.3096286972938955</v>
      </c>
      <c r="W349" s="37" t="n">
        <v>0.5801526717557252</v>
      </c>
    </row>
    <row r="350">
      <c r="A350" s="53" t="n">
        <v>45758</v>
      </c>
      <c r="B350" t="inlineStr">
        <is>
          <t>R10_Sumbagteng</t>
        </is>
      </c>
      <c r="C350" t="inlineStr">
        <is>
          <t>NOP DUMAI</t>
        </is>
      </c>
      <c r="D350" s="36" t="n">
        <v>6.36</v>
      </c>
      <c r="E350" s="36" t="n">
        <v>7.47</v>
      </c>
      <c r="F350" s="36" t="n">
        <v>5.79</v>
      </c>
      <c r="G350" s="36" t="n">
        <v>6.01</v>
      </c>
      <c r="H350" s="37" t="n">
        <v>0.3827775012444002</v>
      </c>
      <c r="I350" s="37" t="n">
        <v>0.4676113360323887</v>
      </c>
      <c r="J350" s="37" t="n">
        <v>0.3551155115511551</v>
      </c>
      <c r="K350" s="37" t="n">
        <v>0.7056277056277056</v>
      </c>
      <c r="L350" s="37" t="n">
        <v>0.7339449541284404</v>
      </c>
      <c r="M350" s="37" t="n">
        <v>0.9721254355400697</v>
      </c>
      <c r="N350" s="37" t="n">
        <v>0.2155301144848183</v>
      </c>
      <c r="O350" s="36" t="n">
        <v>0.12</v>
      </c>
      <c r="P350" s="36" t="n">
        <v>6.36</v>
      </c>
      <c r="Q350" s="36" t="n">
        <v>51.27</v>
      </c>
      <c r="R350" s="36" t="n">
        <v>126.37</v>
      </c>
      <c r="S350" s="36" t="n">
        <v>0</v>
      </c>
      <c r="T350" s="37" t="n">
        <v>0.2916895982388553</v>
      </c>
      <c r="U350" s="37" t="n">
        <v>0.3033112582781457</v>
      </c>
      <c r="V350" s="37" t="n">
        <v>0.2944960686204432</v>
      </c>
      <c r="W350" s="37" t="n">
        <v>0.9301310043668122</v>
      </c>
    </row>
    <row r="351">
      <c r="A351" s="53" t="n">
        <v>45758</v>
      </c>
      <c r="B351" t="inlineStr">
        <is>
          <t>R10_Sumbagteng</t>
        </is>
      </c>
      <c r="C351" t="inlineStr">
        <is>
          <t>NOP PADANG</t>
        </is>
      </c>
      <c r="D351" s="36" t="n">
        <v>3.58</v>
      </c>
      <c r="E351" s="36" t="n">
        <v>2.47</v>
      </c>
      <c r="F351" s="36" t="n">
        <v>5.7</v>
      </c>
      <c r="G351" s="36" t="n">
        <v>8.27</v>
      </c>
      <c r="H351" s="37" t="n">
        <v>0.751269035532995</v>
      </c>
      <c r="I351" s="37" t="n">
        <v>0.6901408450704225</v>
      </c>
      <c r="J351" s="37" t="n">
        <v>0.7596153846153846</v>
      </c>
      <c r="K351" s="37" t="n">
        <v>0.5306122448979592</v>
      </c>
      <c r="L351" s="37" t="n">
        <v>0.5306122448979592</v>
      </c>
      <c r="M351" s="37" t="n">
        <v>0.988155668358714</v>
      </c>
      <c r="N351" s="37" t="n">
        <v>0.3265651438240271</v>
      </c>
      <c r="O351" s="36" t="n">
        <v>0</v>
      </c>
      <c r="P351" s="36" t="n">
        <v>5.48</v>
      </c>
      <c r="Q351" s="36" t="n">
        <v>50.49</v>
      </c>
      <c r="R351" s="36" t="n">
        <v>58.14</v>
      </c>
      <c r="S351" s="36" t="n">
        <v>0</v>
      </c>
      <c r="T351" s="37" t="n">
        <v>0.6795580110497238</v>
      </c>
      <c r="U351" s="37" t="n">
        <v>0.5823529411764706</v>
      </c>
      <c r="V351" s="37" t="n">
        <v>0.6924770642201835</v>
      </c>
      <c r="W351" s="37" t="n">
        <v>0.5303030303030303</v>
      </c>
    </row>
    <row r="352">
      <c r="A352" s="53" t="n">
        <v>45758</v>
      </c>
      <c r="B352" t="inlineStr">
        <is>
          <t>R10_Sumbagteng</t>
        </is>
      </c>
      <c r="C352" t="inlineStr">
        <is>
          <t>NOP PEKANBARU</t>
        </is>
      </c>
      <c r="D352" s="36" t="n">
        <v>6.71</v>
      </c>
      <c r="E352" s="36" t="n">
        <v>5.8</v>
      </c>
      <c r="F352" s="36" t="n">
        <v>6.54</v>
      </c>
      <c r="G352" s="36" t="n">
        <v>8.369999999999999</v>
      </c>
      <c r="H352" s="37" t="n">
        <v>0.3786600496277915</v>
      </c>
      <c r="I352" s="37" t="n">
        <v>0.5171339563862928</v>
      </c>
      <c r="J352" s="37" t="n">
        <v>0.3524203069657615</v>
      </c>
      <c r="K352" s="37" t="n">
        <v>0.7530120481927711</v>
      </c>
      <c r="L352" s="37" t="n">
        <v>0.7654320987654321</v>
      </c>
      <c r="M352" s="37" t="n">
        <v>0.9905707196029777</v>
      </c>
      <c r="N352" s="37" t="n">
        <v>0.2084367245657568</v>
      </c>
      <c r="O352" s="36" t="n">
        <v>0.03</v>
      </c>
      <c r="P352" s="36" t="n">
        <v>3.04</v>
      </c>
      <c r="Q352" s="36" t="n">
        <v>48.93</v>
      </c>
      <c r="R352" s="36" t="n">
        <v>89.91</v>
      </c>
      <c r="S352" s="36" t="n">
        <v>0</v>
      </c>
      <c r="T352" s="37" t="n">
        <v>0.3051539912005028</v>
      </c>
      <c r="U352" s="37" t="n">
        <v>0.3008213552361396</v>
      </c>
      <c r="V352" s="37" t="n">
        <v>0.3066234367762853</v>
      </c>
      <c r="W352" s="37" t="n">
        <v>0.8771331058020477</v>
      </c>
    </row>
    <row r="353">
      <c r="A353" s="53" t="n">
        <v>45758</v>
      </c>
      <c r="B353" t="inlineStr">
        <is>
          <t>R02_Sumbagsel</t>
        </is>
      </c>
      <c r="C353" t="inlineStr">
        <is>
          <t>NOP BENGKULU</t>
        </is>
      </c>
      <c r="D353" s="36" t="n">
        <v>2.09</v>
      </c>
      <c r="E353" s="36" t="n">
        <v>3.83</v>
      </c>
      <c r="F353" s="36" t="n">
        <v>2.81</v>
      </c>
      <c r="G353" s="36" t="n">
        <v>7.09</v>
      </c>
      <c r="H353" s="37" t="n">
        <v>0.3667400881057269</v>
      </c>
      <c r="I353" s="37" t="n">
        <v>0.4911504424778761</v>
      </c>
      <c r="J353" s="37" t="n">
        <v>0.3255131964809384</v>
      </c>
      <c r="K353" s="37" t="n">
        <v>0.6756756756756757</v>
      </c>
      <c r="L353" s="37" t="n">
        <v>0.6756756756756757</v>
      </c>
      <c r="M353" s="37" t="n">
        <v>0.9933920704845814</v>
      </c>
      <c r="N353" s="37" t="n">
        <v>0.1949339207048458</v>
      </c>
      <c r="O353" s="36" t="n">
        <v>0</v>
      </c>
      <c r="P353" s="36" t="n">
        <v>5.27</v>
      </c>
      <c r="Q353" s="36" t="n">
        <v>5.77</v>
      </c>
      <c r="R353" s="36" t="n">
        <v>16.96</v>
      </c>
      <c r="S353" s="36" t="n">
        <v>0</v>
      </c>
      <c r="T353" s="37" t="n">
        <v>0.4410919540229885</v>
      </c>
      <c r="U353" s="37" t="n">
        <v>0.3542857142857143</v>
      </c>
      <c r="V353" s="37" t="n">
        <v>0.6414414414414414</v>
      </c>
      <c r="W353" s="37" t="n">
        <v>0.8850806451612904</v>
      </c>
    </row>
    <row r="354">
      <c r="A354" s="53" t="n">
        <v>45758</v>
      </c>
      <c r="B354" t="inlineStr">
        <is>
          <t>R02_Sumbagsel</t>
        </is>
      </c>
      <c r="C354" t="inlineStr">
        <is>
          <t>NOP JAMBI</t>
        </is>
      </c>
      <c r="D354" s="36" t="n">
        <v>3.27</v>
      </c>
      <c r="E354" s="36" t="n">
        <v>4.91</v>
      </c>
      <c r="F354" s="36" t="n">
        <v>6.06</v>
      </c>
      <c r="G354" s="36" t="n">
        <v>7.66</v>
      </c>
      <c r="H354" s="37" t="n">
        <v>0.4926419060967064</v>
      </c>
      <c r="I354" s="37" t="n">
        <v>0.5224586288416075</v>
      </c>
      <c r="J354" s="37" t="n">
        <v>0.4800796812749004</v>
      </c>
      <c r="K354" s="37" t="n">
        <v>0.6832579185520362</v>
      </c>
      <c r="L354" s="37" t="n">
        <v>0.6832579185520362</v>
      </c>
      <c r="M354" s="37" t="n">
        <v>1</v>
      </c>
      <c r="N354" s="37" t="n">
        <v>0.2641906096706377</v>
      </c>
      <c r="O354" s="36" t="n">
        <v>0</v>
      </c>
      <c r="P354" s="36" t="n">
        <v>6.84</v>
      </c>
      <c r="Q354" s="36" t="n">
        <v>14.66</v>
      </c>
      <c r="R354" s="36" t="n">
        <v>18.92</v>
      </c>
      <c r="S354" s="36" t="n">
        <v>0</v>
      </c>
      <c r="T354" s="37" t="n">
        <v>0.6470347648261758</v>
      </c>
      <c r="U354" s="37" t="n">
        <v>0.6261538461538462</v>
      </c>
      <c r="V354" s="37" t="n">
        <v>0.6909469302809573</v>
      </c>
      <c r="W354" s="37" t="n">
        <v>0.714987714987715</v>
      </c>
    </row>
    <row r="355">
      <c r="A355" s="53" t="n">
        <v>45758</v>
      </c>
      <c r="B355" t="inlineStr">
        <is>
          <t>R02_Sumbagsel</t>
        </is>
      </c>
      <c r="C355" t="inlineStr">
        <is>
          <t>NOP LAMPUNG</t>
        </is>
      </c>
      <c r="D355" s="36" t="n">
        <v>3.63</v>
      </c>
      <c r="E355" s="36" t="n">
        <v>5.81</v>
      </c>
      <c r="F355" s="36" t="n">
        <v>4.14</v>
      </c>
      <c r="G355" s="36" t="n">
        <v>6.49</v>
      </c>
      <c r="H355" s="37" t="n">
        <v>0.5070921985815603</v>
      </c>
      <c r="I355" s="37" t="n">
        <v>0.696551724137931</v>
      </c>
      <c r="J355" s="37" t="n">
        <v>0.441527446300716</v>
      </c>
      <c r="K355" s="37" t="n">
        <v>0.6732673267326733</v>
      </c>
      <c r="L355" s="37" t="n">
        <v>0.6732673267326733</v>
      </c>
      <c r="M355" s="37" t="n">
        <v>1</v>
      </c>
      <c r="N355" s="37" t="n">
        <v>0.3333333333333333</v>
      </c>
      <c r="O355" s="36" t="n">
        <v>0</v>
      </c>
      <c r="P355" s="36" t="n">
        <v>8.84</v>
      </c>
      <c r="Q355" s="36" t="n">
        <v>6.19</v>
      </c>
      <c r="R355" s="36" t="n">
        <v>30.22</v>
      </c>
      <c r="S355" s="36" t="n">
        <v>0</v>
      </c>
      <c r="T355" s="37" t="n">
        <v>0.8975580702799285</v>
      </c>
      <c r="U355" s="37" t="n">
        <v>0.7959770114942529</v>
      </c>
      <c r="V355" s="37" t="n">
        <v>0.9429477020602218</v>
      </c>
      <c r="W355" s="37" t="n">
        <v>0.8267148014440433</v>
      </c>
    </row>
    <row r="356">
      <c r="A356" s="53" t="n">
        <v>45758</v>
      </c>
      <c r="B356" t="inlineStr">
        <is>
          <t>R02_Sumbagsel</t>
        </is>
      </c>
      <c r="C356" t="inlineStr">
        <is>
          <t>NOP MUARA ENIM</t>
        </is>
      </c>
      <c r="D356" s="36" t="n">
        <v>2.91</v>
      </c>
      <c r="E356" s="36" t="n">
        <v>3.76</v>
      </c>
      <c r="F356" s="36" t="n">
        <v>4.24</v>
      </c>
      <c r="G356" s="36" t="n">
        <v>5.07</v>
      </c>
      <c r="H356" s="37" t="n">
        <v>0.3637005649717514</v>
      </c>
      <c r="I356" s="37" t="n">
        <v>0.2598425196850394</v>
      </c>
      <c r="J356" s="37" t="n">
        <v>0.3864027538726334</v>
      </c>
      <c r="K356" s="37" t="n">
        <v>0.5757575757575758</v>
      </c>
      <c r="L356" s="37" t="n">
        <v>0.5873015873015873</v>
      </c>
      <c r="M356" s="37" t="n">
        <v>0.980225988700565</v>
      </c>
      <c r="N356" s="37" t="n">
        <v>0.1758474576271186</v>
      </c>
      <c r="O356" s="36" t="n">
        <v>0</v>
      </c>
      <c r="P356" s="36" t="n">
        <v>5.48</v>
      </c>
      <c r="Q356" s="36" t="n">
        <v>6.15</v>
      </c>
      <c r="R356" s="36" t="n">
        <v>10.6</v>
      </c>
      <c r="S356" s="36" t="n">
        <v>0</v>
      </c>
      <c r="T356" s="37" t="n">
        <v>0.5226277372262774</v>
      </c>
      <c r="U356" s="37" t="n">
        <v>0.5335397316821465</v>
      </c>
      <c r="V356" s="37" t="n">
        <v>0.5880281690140845</v>
      </c>
      <c r="W356" s="37" t="n">
        <v>0.8065764023210832</v>
      </c>
    </row>
    <row r="357">
      <c r="A357" s="53" t="n">
        <v>45758</v>
      </c>
      <c r="B357" t="inlineStr">
        <is>
          <t>R02_Sumbagsel</t>
        </is>
      </c>
      <c r="C357" t="inlineStr">
        <is>
          <t>NOP PALEMBANG</t>
        </is>
      </c>
      <c r="D357" s="36" t="n">
        <v>3.1</v>
      </c>
      <c r="E357" s="36" t="n">
        <v>6.37</v>
      </c>
      <c r="F357" s="36" t="n">
        <v>9.58</v>
      </c>
      <c r="G357" s="36" t="n">
        <v>9.630000000000001</v>
      </c>
      <c r="H357" s="37" t="n">
        <v>0.3224233983286908</v>
      </c>
      <c r="I357" s="37" t="n">
        <v>0.303448275862069</v>
      </c>
      <c r="J357" s="37" t="n">
        <v>0.3245546088303641</v>
      </c>
      <c r="K357" s="37" t="n">
        <v>0.5454545454545454</v>
      </c>
      <c r="L357" s="37" t="n">
        <v>0.5454545454545454</v>
      </c>
      <c r="M357" s="37" t="n">
        <v>1</v>
      </c>
      <c r="N357" s="37" t="n">
        <v>0.1559888579387187</v>
      </c>
      <c r="O357" s="36" t="n">
        <v>0</v>
      </c>
      <c r="P357" s="36" t="n">
        <v>5.58</v>
      </c>
      <c r="Q357" s="36" t="n">
        <v>10.4</v>
      </c>
      <c r="R357" s="36" t="n">
        <v>7.56</v>
      </c>
      <c r="S357" s="36" t="n">
        <v>0</v>
      </c>
      <c r="T357" s="37" t="n">
        <v>0.2904636920384952</v>
      </c>
      <c r="U357" s="37" t="n">
        <v>0.2391752577319588</v>
      </c>
      <c r="V357" s="37" t="n">
        <v>0.4211557296767874</v>
      </c>
      <c r="W357" s="37" t="n">
        <v>0.4353448275862069</v>
      </c>
    </row>
    <row r="358">
      <c r="A358" s="53" t="n">
        <v>45758</v>
      </c>
      <c r="B358" t="inlineStr">
        <is>
          <t>R02_Sumbagsel</t>
        </is>
      </c>
      <c r="C358" t="inlineStr">
        <is>
          <t>NOP PANGKAL PINANG</t>
        </is>
      </c>
      <c r="D358" s="36" t="n">
        <v>2.01</v>
      </c>
      <c r="E358" s="36" t="n">
        <v>2.18</v>
      </c>
      <c r="F358" s="36" t="n">
        <v>5.34</v>
      </c>
      <c r="G358" s="36" t="n">
        <v>7.39</v>
      </c>
      <c r="H358" s="37" t="n">
        <v>0.6685082872928176</v>
      </c>
      <c r="I358" s="37" t="n">
        <v>1</v>
      </c>
      <c r="J358" s="37" t="n">
        <v>0.6551724137931034</v>
      </c>
      <c r="K358" s="37" t="n">
        <v>0.5714285714285714</v>
      </c>
      <c r="L358" s="37" t="n">
        <v>0.5714285714285714</v>
      </c>
      <c r="M358" s="37" t="n">
        <v>0.994475138121547</v>
      </c>
      <c r="N358" s="37" t="n">
        <v>0.3535911602209945</v>
      </c>
      <c r="O358" s="36" t="n">
        <v>0</v>
      </c>
      <c r="P358" s="36" t="n">
        <v>3.61</v>
      </c>
      <c r="Q358" s="36" t="n">
        <v>4.89</v>
      </c>
      <c r="R358" s="36" t="n">
        <v>7.33</v>
      </c>
      <c r="S358" s="36" t="n">
        <v>0</v>
      </c>
      <c r="T358" s="37" t="n">
        <v>0.7942942942942943</v>
      </c>
      <c r="U358" s="37" t="n">
        <v>0.8537549407114624</v>
      </c>
      <c r="V358" s="37" t="n">
        <v>0.875</v>
      </c>
      <c r="W358" s="37" t="n">
        <v>0.75</v>
      </c>
    </row>
    <row r="359">
      <c r="A359" s="53" t="n">
        <v>45758</v>
      </c>
      <c r="B359" t="inlineStr">
        <is>
          <t>R05_Jawa Tengah DIY</t>
        </is>
      </c>
      <c r="C359" t="inlineStr">
        <is>
          <t>NOP MAGELANG</t>
        </is>
      </c>
      <c r="D359" s="36" t="n">
        <v>4.05</v>
      </c>
      <c r="E359" s="36" t="n">
        <v>0</v>
      </c>
      <c r="F359" s="36" t="n">
        <v>4.1</v>
      </c>
      <c r="G359" s="36" t="n">
        <v>5.34</v>
      </c>
      <c r="H359" s="37" t="n">
        <v>0.6943005181347151</v>
      </c>
      <c r="I359" s="37" t="n">
        <v>0.95</v>
      </c>
      <c r="J359" s="37" t="n">
        <v>0.6647398843930635</v>
      </c>
      <c r="K359" s="37" t="n">
        <v>0.631578947368421</v>
      </c>
      <c r="L359" s="37" t="n">
        <v>0.631578947368421</v>
      </c>
      <c r="M359" s="37" t="n">
        <v>1</v>
      </c>
      <c r="N359" s="37" t="n">
        <v>0.6010362694300518</v>
      </c>
      <c r="O359" s="36" t="n">
        <v>0.3</v>
      </c>
      <c r="P359" s="36" t="n">
        <v>12.88</v>
      </c>
      <c r="Q359" s="36" t="n">
        <v>14.84</v>
      </c>
      <c r="R359" s="36" t="n">
        <v>32.58</v>
      </c>
      <c r="S359" s="36" t="n">
        <v>0</v>
      </c>
      <c r="T359" s="37" t="n">
        <v>0.9006024096385542</v>
      </c>
      <c r="U359" s="37" t="n">
        <v>0.88</v>
      </c>
      <c r="V359" s="37" t="n">
        <v>0.9042553191489362</v>
      </c>
      <c r="W359" s="37" t="n">
        <v>0.8409090909090909</v>
      </c>
    </row>
    <row r="360">
      <c r="A360" s="53" t="n">
        <v>45758</v>
      </c>
      <c r="B360" t="inlineStr">
        <is>
          <t>R05_Jawa Tengah DIY</t>
        </is>
      </c>
      <c r="C360" t="inlineStr">
        <is>
          <t>NOP PEKALONGAN</t>
        </is>
      </c>
      <c r="D360" s="36" t="n">
        <v>4.09</v>
      </c>
      <c r="E360" s="36" t="n">
        <v>0</v>
      </c>
      <c r="F360" s="36" t="n">
        <v>2.96</v>
      </c>
      <c r="G360" s="36" t="n">
        <v>2.88</v>
      </c>
      <c r="H360" s="37" t="n">
        <v>0.6013071895424836</v>
      </c>
      <c r="I360" s="37" t="n">
        <v>1</v>
      </c>
      <c r="J360" s="37" t="n">
        <v>0.5673758865248227</v>
      </c>
      <c r="K360" s="37" t="n">
        <v>1</v>
      </c>
      <c r="L360" s="37" t="n">
        <v>1</v>
      </c>
      <c r="M360" s="37" t="n">
        <v>0.9869281045751634</v>
      </c>
      <c r="N360" s="37" t="n">
        <v>0.6339869281045751</v>
      </c>
      <c r="O360" s="36" t="n">
        <v>0</v>
      </c>
      <c r="P360" s="36" t="n">
        <v>2.78</v>
      </c>
      <c r="Q360" s="36" t="n">
        <v>6.01</v>
      </c>
      <c r="R360" s="36" t="n">
        <v>54.19</v>
      </c>
      <c r="S360" s="36" t="n">
        <v>0</v>
      </c>
      <c r="T360" s="37" t="n">
        <v>0.8467153284671532</v>
      </c>
      <c r="U360" s="37" t="n">
        <v>0.7761194029850746</v>
      </c>
      <c r="V360" s="37" t="n">
        <v>0.8695652173913043</v>
      </c>
      <c r="W360" s="37" t="n">
        <v>0.7307692307692307</v>
      </c>
    </row>
    <row r="361">
      <c r="A361" s="53" t="n">
        <v>45758</v>
      </c>
      <c r="B361" t="inlineStr">
        <is>
          <t>R05_Jawa Tengah DIY</t>
        </is>
      </c>
      <c r="C361" t="inlineStr">
        <is>
          <t>NOP PURWOKERTO</t>
        </is>
      </c>
      <c r="D361" s="36" t="n">
        <v>2.15</v>
      </c>
      <c r="E361" s="36" t="n">
        <v>0</v>
      </c>
      <c r="F361" s="36" t="n">
        <v>3.54</v>
      </c>
      <c r="G361" s="36" t="n">
        <v>4.37</v>
      </c>
      <c r="H361" s="37" t="n">
        <v>0.8316326530612245</v>
      </c>
      <c r="I361" s="37" t="n">
        <v>0.7</v>
      </c>
      <c r="J361" s="37" t="n">
        <v>0.8465909090909091</v>
      </c>
      <c r="K361" s="37" t="n">
        <v>1</v>
      </c>
      <c r="L361" s="37" t="n">
        <v>1</v>
      </c>
      <c r="M361" s="37" t="n">
        <v>0.9693877551020408</v>
      </c>
      <c r="N361" s="37" t="n">
        <v>0.5612244897959183</v>
      </c>
      <c r="O361" s="36" t="n">
        <v>0.14</v>
      </c>
      <c r="P361" s="36" t="n">
        <v>3.84</v>
      </c>
      <c r="Q361" s="36" t="n">
        <v>8.470000000000001</v>
      </c>
      <c r="R361" s="36" t="n">
        <v>49.21</v>
      </c>
      <c r="S361" s="36" t="n">
        <v>0</v>
      </c>
      <c r="T361" s="37" t="n">
        <v>0.7827715355805244</v>
      </c>
      <c r="U361" s="37" t="n">
        <v>0.8</v>
      </c>
      <c r="V361" s="37" t="n">
        <v>0.7772277227722773</v>
      </c>
      <c r="W361" s="37" t="n">
        <v>0.7115384615384616</v>
      </c>
    </row>
    <row r="362">
      <c r="A362" s="53" t="n">
        <v>45758</v>
      </c>
      <c r="B362" t="inlineStr">
        <is>
          <t>R05_Jawa Tengah DIY</t>
        </is>
      </c>
      <c r="C362" t="inlineStr">
        <is>
          <t>NOP SEMARANG</t>
        </is>
      </c>
      <c r="D362" s="36" t="n">
        <v>2.23</v>
      </c>
      <c r="E362" s="36" t="n">
        <v>1.7</v>
      </c>
      <c r="F362" s="36" t="n">
        <v>2.55</v>
      </c>
      <c r="G362" s="36" t="n">
        <v>3.3</v>
      </c>
      <c r="H362" s="37" t="n">
        <v>0.4623115577889447</v>
      </c>
      <c r="I362" s="37" t="n">
        <v>0.5238095238095238</v>
      </c>
      <c r="J362" s="37" t="n">
        <v>0.4550561797752809</v>
      </c>
      <c r="K362" s="37" t="n">
        <v>1</v>
      </c>
      <c r="L362" s="37" t="n">
        <v>1</v>
      </c>
      <c r="M362" s="37" t="n">
        <v>0.9597989949748744</v>
      </c>
      <c r="N362" s="37" t="n">
        <v>0.321608040201005</v>
      </c>
      <c r="O362" s="36" t="n">
        <v>0</v>
      </c>
      <c r="P362" s="36" t="n">
        <v>2.5</v>
      </c>
      <c r="Q362" s="36" t="n">
        <v>14.1</v>
      </c>
      <c r="R362" s="36" t="n">
        <v>74.23999999999999</v>
      </c>
      <c r="S362" s="36" t="n">
        <v>0</v>
      </c>
      <c r="T362" s="37" t="n">
        <v>0.6635071090047393</v>
      </c>
      <c r="U362" s="37" t="n">
        <v>0.3146853146853147</v>
      </c>
      <c r="V362" s="37" t="n">
        <v>0.8422939068100358</v>
      </c>
      <c r="W362" s="37" t="n">
        <v>0.8888888888888888</v>
      </c>
    </row>
    <row r="363">
      <c r="A363" s="53" t="n">
        <v>45758</v>
      </c>
      <c r="B363" t="inlineStr">
        <is>
          <t>R05_Jawa Tengah DIY</t>
        </is>
      </c>
      <c r="C363" t="inlineStr">
        <is>
          <t>NOP SURAKARTA</t>
        </is>
      </c>
      <c r="D363" s="36" t="n">
        <v>5.48</v>
      </c>
      <c r="E363" s="36" t="n">
        <v>2.15</v>
      </c>
      <c r="F363" s="36" t="n">
        <v>2.8</v>
      </c>
      <c r="G363" s="36" t="n">
        <v>4.39</v>
      </c>
      <c r="H363" s="37" t="n">
        <v>0.6559139784946236</v>
      </c>
      <c r="I363" s="37" t="n">
        <v>0.8387096774193549</v>
      </c>
      <c r="J363" s="37" t="n">
        <v>0.6330645161290323</v>
      </c>
      <c r="K363" s="37" t="n">
        <v>0.9615384615384616</v>
      </c>
      <c r="L363" s="37" t="n">
        <v>0.9615384615384616</v>
      </c>
      <c r="M363" s="37" t="n">
        <v>0.974910394265233</v>
      </c>
      <c r="N363" s="37" t="n">
        <v>0.4874551971326165</v>
      </c>
      <c r="O363" s="36" t="n">
        <v>0.14</v>
      </c>
      <c r="P363" s="36" t="n">
        <v>3.75</v>
      </c>
      <c r="Q363" s="36" t="n">
        <v>12.99</v>
      </c>
      <c r="R363" s="36" t="n">
        <v>72.45999999999999</v>
      </c>
      <c r="S363" s="36" t="n">
        <v>0</v>
      </c>
      <c r="T363" s="37" t="n">
        <v>0.7948113207547169</v>
      </c>
      <c r="U363" s="37" t="n">
        <v>0.7218045112781954</v>
      </c>
      <c r="V363" s="37" t="n">
        <v>0.8281786941580757</v>
      </c>
      <c r="W363" s="37" t="n">
        <v>0.78125</v>
      </c>
    </row>
    <row r="364">
      <c r="A364" s="53" t="n">
        <v>45758</v>
      </c>
      <c r="B364" t="inlineStr">
        <is>
          <t>R05_Jawa Tengah DIY</t>
        </is>
      </c>
      <c r="C364" t="inlineStr">
        <is>
          <t>NOP YOGYAKARTA</t>
        </is>
      </c>
      <c r="D364" s="36" t="n">
        <v>2.25</v>
      </c>
      <c r="E364" s="36" t="n">
        <v>0</v>
      </c>
      <c r="F364" s="36" t="n">
        <v>3.34</v>
      </c>
      <c r="G364" s="36" t="n">
        <v>5.04</v>
      </c>
      <c r="H364" s="37" t="n">
        <v>0.6358974358974359</v>
      </c>
      <c r="I364" s="37" t="n">
        <v>0.8571428571428571</v>
      </c>
      <c r="J364" s="37" t="n">
        <v>0.6276595744680851</v>
      </c>
      <c r="K364" s="37" t="n">
        <v>1</v>
      </c>
      <c r="L364" s="37" t="n">
        <v>1</v>
      </c>
      <c r="M364" s="37" t="n">
        <v>0.9948717948717949</v>
      </c>
      <c r="N364" s="37" t="n">
        <v>0.4205128205128205</v>
      </c>
      <c r="O364" s="36" t="n">
        <v>0</v>
      </c>
      <c r="P364" s="36" t="n">
        <v>2.82</v>
      </c>
      <c r="Q364" s="36" t="n">
        <v>16.81</v>
      </c>
      <c r="R364" s="36" t="n">
        <v>44.52</v>
      </c>
      <c r="S364" s="36" t="n">
        <v>0</v>
      </c>
      <c r="T364" s="37" t="n">
        <v>0.9259259259259259</v>
      </c>
      <c r="U364" s="37" t="n">
        <v>0.8</v>
      </c>
      <c r="V364" s="37" t="n">
        <v>0.9482288828337875</v>
      </c>
      <c r="W364" s="37" t="n">
        <v>0.9807692307692307</v>
      </c>
    </row>
    <row r="365">
      <c r="A365" s="53" t="n">
        <v>45758</v>
      </c>
      <c r="B365" t="inlineStr">
        <is>
          <t>R06_Jawa Timur</t>
        </is>
      </c>
      <c r="C365" t="inlineStr">
        <is>
          <t>NOP JEMBER</t>
        </is>
      </c>
      <c r="D365" s="36" t="n">
        <v>2.11</v>
      </c>
      <c r="E365" s="36" t="n">
        <v>2.64</v>
      </c>
      <c r="F365" s="36" t="n">
        <v>4.88</v>
      </c>
      <c r="G365" s="36" t="n">
        <v>4.81</v>
      </c>
      <c r="H365" s="37" t="n">
        <v>0.7122641509433962</v>
      </c>
      <c r="I365" s="37" t="n">
        <v>0.7222222222222222</v>
      </c>
      <c r="J365" s="37" t="n">
        <v>0.711340206185567</v>
      </c>
      <c r="K365" s="37" t="n">
        <v>0.6923076923076923</v>
      </c>
      <c r="L365" s="37" t="n">
        <v>0.6923076923076923</v>
      </c>
      <c r="M365" s="37" t="n">
        <v>0.9952830188679245</v>
      </c>
      <c r="N365" s="37" t="n">
        <v>0.3443396226415094</v>
      </c>
      <c r="O365" s="36" t="n">
        <v>0</v>
      </c>
      <c r="P365" s="36" t="n">
        <v>2.72</v>
      </c>
      <c r="Q365" s="36" t="n">
        <v>5.21</v>
      </c>
      <c r="R365" s="36" t="n">
        <v>59.57</v>
      </c>
      <c r="S365" s="36" t="n">
        <v>0</v>
      </c>
      <c r="T365" s="37" t="n">
        <v>0.7972972972972973</v>
      </c>
      <c r="U365" s="37" t="n">
        <v>0.7534246575342466</v>
      </c>
      <c r="V365" s="37" t="n">
        <v>0.8116591928251121</v>
      </c>
      <c r="W365" s="37" t="n">
        <v>0.7272727272727273</v>
      </c>
    </row>
    <row r="366">
      <c r="A366" s="53" t="n">
        <v>45758</v>
      </c>
      <c r="B366" t="inlineStr">
        <is>
          <t>R06_Jawa Timur</t>
        </is>
      </c>
      <c r="C366" t="inlineStr">
        <is>
          <t>NOP KEDIRI</t>
        </is>
      </c>
      <c r="D366" s="36" t="n">
        <v>1.15</v>
      </c>
      <c r="E366" s="36" t="n">
        <v>0.7</v>
      </c>
      <c r="F366" s="36" t="n">
        <v>2.32</v>
      </c>
      <c r="G366" s="36" t="n">
        <v>1.94</v>
      </c>
      <c r="H366" s="37" t="n">
        <v>0.875</v>
      </c>
      <c r="I366" s="37" t="n">
        <v>0.75</v>
      </c>
      <c r="J366" s="37" t="n">
        <v>0.88</v>
      </c>
      <c r="K366" s="37" t="n">
        <v>0.6666666666666666</v>
      </c>
      <c r="L366" s="37" t="n">
        <v>0.6666666666666666</v>
      </c>
      <c r="M366" s="37" t="n">
        <v>1</v>
      </c>
      <c r="N366" s="37" t="n">
        <v>0.5865384615384616</v>
      </c>
      <c r="O366" s="36" t="n">
        <v>0</v>
      </c>
      <c r="P366" s="36" t="n">
        <v>2.03</v>
      </c>
      <c r="Q366" s="36" t="n">
        <v>3.6</v>
      </c>
      <c r="R366" s="36" t="n">
        <v>13.58</v>
      </c>
      <c r="S366" s="36" t="n">
        <v>0</v>
      </c>
      <c r="T366" s="37" t="n">
        <v>0.9588235294117647</v>
      </c>
      <c r="U366" s="37" t="n">
        <v>0.9</v>
      </c>
      <c r="V366" s="37" t="n">
        <v>0.9769230769230769</v>
      </c>
      <c r="W366" s="37" t="n">
        <v>0.8611111111111112</v>
      </c>
    </row>
    <row r="367">
      <c r="A367" s="53" t="n">
        <v>45758</v>
      </c>
      <c r="B367" t="inlineStr">
        <is>
          <t>R06_Jawa Timur</t>
        </is>
      </c>
      <c r="C367" t="inlineStr">
        <is>
          <t>NOP LAMONGAN</t>
        </is>
      </c>
      <c r="D367" s="36" t="n">
        <v>2.04</v>
      </c>
      <c r="E367" s="36" t="n">
        <v>1.01</v>
      </c>
      <c r="F367" s="36" t="n">
        <v>3.22</v>
      </c>
      <c r="G367" s="36" t="n">
        <v>2.47</v>
      </c>
      <c r="H367" s="37" t="n">
        <v>0.8026315789473685</v>
      </c>
      <c r="I367" s="37" t="n">
        <v>1</v>
      </c>
      <c r="J367" s="37" t="n">
        <v>0.7794117647058824</v>
      </c>
      <c r="K367" s="37" t="n">
        <v>0.875</v>
      </c>
      <c r="L367" s="37" t="n">
        <v>0.875</v>
      </c>
      <c r="M367" s="37" t="n">
        <v>1</v>
      </c>
      <c r="N367" s="37" t="n">
        <v>0.7105263157894737</v>
      </c>
      <c r="O367" s="36" t="n">
        <v>0</v>
      </c>
      <c r="P367" s="36" t="n">
        <v>2.36</v>
      </c>
      <c r="Q367" s="36" t="n">
        <v>8.99</v>
      </c>
      <c r="R367" s="36" t="n">
        <v>30.63</v>
      </c>
      <c r="S367" s="36" t="n">
        <v>0</v>
      </c>
      <c r="T367" s="37" t="n">
        <v>0.73</v>
      </c>
      <c r="U367" s="37" t="n">
        <v>0.6097560975609756</v>
      </c>
      <c r="V367" s="37" t="n">
        <v>0.8135593220338984</v>
      </c>
      <c r="W367" s="37" t="n">
        <v>0.88</v>
      </c>
    </row>
    <row r="368">
      <c r="A368" s="53" t="n">
        <v>45758</v>
      </c>
      <c r="B368" t="inlineStr">
        <is>
          <t>R06_Jawa Timur</t>
        </is>
      </c>
      <c r="C368" t="inlineStr">
        <is>
          <t>NOP MADIUN</t>
        </is>
      </c>
      <c r="D368" s="36" t="n">
        <v>0</v>
      </c>
      <c r="E368" s="36" t="n">
        <v>0</v>
      </c>
      <c r="F368" s="36" t="n">
        <v>2.73</v>
      </c>
      <c r="G368" s="36" t="n">
        <v>3.59</v>
      </c>
      <c r="H368" s="37" t="n">
        <v>0.6237623762376238</v>
      </c>
      <c r="I368" s="37" t="n">
        <v>0</v>
      </c>
      <c r="J368" s="37" t="n">
        <v>0.6237623762376238</v>
      </c>
      <c r="K368" s="37" t="n">
        <v>0</v>
      </c>
      <c r="L368" s="37" t="n">
        <v>0</v>
      </c>
      <c r="M368" s="37" t="n">
        <v>1</v>
      </c>
      <c r="N368" s="37" t="n">
        <v>0.3762376237623762</v>
      </c>
      <c r="O368" s="36" t="n">
        <v>0</v>
      </c>
      <c r="P368" s="36" t="n">
        <v>2.47</v>
      </c>
      <c r="Q368" s="36" t="n">
        <v>9.31</v>
      </c>
      <c r="R368" s="36" t="n">
        <v>11.76</v>
      </c>
      <c r="S368" s="36" t="n">
        <v>0</v>
      </c>
      <c r="T368" s="37" t="n">
        <v>0.6604938271604939</v>
      </c>
      <c r="U368" s="37" t="n">
        <v>0.6333333333333333</v>
      </c>
      <c r="V368" s="37" t="n">
        <v>0.6764705882352942</v>
      </c>
      <c r="W368" s="37" t="n">
        <v>0.7105263157894737</v>
      </c>
    </row>
    <row r="369">
      <c r="A369" s="53" t="n">
        <v>45758</v>
      </c>
      <c r="B369" t="inlineStr">
        <is>
          <t>R06_Jawa Timur</t>
        </is>
      </c>
      <c r="C369" t="inlineStr">
        <is>
          <t>NOP MALANG</t>
        </is>
      </c>
      <c r="D369" s="36" t="n">
        <v>1.19</v>
      </c>
      <c r="E369" s="36" t="n">
        <v>0</v>
      </c>
      <c r="F369" s="36" t="n">
        <v>2.48</v>
      </c>
      <c r="G369" s="36" t="n">
        <v>2.35</v>
      </c>
      <c r="H369" s="37" t="n">
        <v>0.8410596026490066</v>
      </c>
      <c r="I369" s="37" t="n">
        <v>0.5</v>
      </c>
      <c r="J369" s="37" t="n">
        <v>0.8456375838926175</v>
      </c>
      <c r="K369" s="37" t="n">
        <v>1</v>
      </c>
      <c r="L369" s="37" t="n">
        <v>1</v>
      </c>
      <c r="M369" s="37" t="n">
        <v>1</v>
      </c>
      <c r="N369" s="37" t="n">
        <v>0.7947019867549668</v>
      </c>
      <c r="O369" s="36" t="n">
        <v>0.02</v>
      </c>
      <c r="P369" s="36" t="n">
        <v>3.08</v>
      </c>
      <c r="Q369" s="36" t="n">
        <v>3.89</v>
      </c>
      <c r="R369" s="36" t="n">
        <v>63.77</v>
      </c>
      <c r="S369" s="36" t="n">
        <v>0</v>
      </c>
      <c r="T369" s="37" t="n">
        <v>0.75</v>
      </c>
      <c r="U369" s="37" t="n">
        <v>0.6279069767441861</v>
      </c>
      <c r="V369" s="37" t="n">
        <v>0.8307692307692308</v>
      </c>
      <c r="W369" s="37" t="n">
        <v>0.5925925925925926</v>
      </c>
    </row>
    <row r="370">
      <c r="A370" s="53" t="n">
        <v>45758</v>
      </c>
      <c r="B370" t="inlineStr">
        <is>
          <t>R06_Jawa Timur</t>
        </is>
      </c>
      <c r="C370" t="inlineStr">
        <is>
          <t>NOP SIDOARJO</t>
        </is>
      </c>
      <c r="D370" s="36" t="n">
        <v>3.64</v>
      </c>
      <c r="E370" s="36" t="n">
        <v>6.27</v>
      </c>
      <c r="F370" s="36" t="n">
        <v>3.02</v>
      </c>
      <c r="G370" s="36" t="n">
        <v>3.65</v>
      </c>
      <c r="H370" s="37" t="n">
        <v>0.6323529411764706</v>
      </c>
      <c r="I370" s="37" t="n">
        <v>0.9333333333333333</v>
      </c>
      <c r="J370" s="37" t="n">
        <v>0.5950413223140496</v>
      </c>
      <c r="K370" s="37" t="n">
        <v>0.9285714285714286</v>
      </c>
      <c r="L370" s="37" t="n">
        <v>0.9285714285714286</v>
      </c>
      <c r="M370" s="37" t="n">
        <v>0.9705882352941176</v>
      </c>
      <c r="N370" s="37" t="n">
        <v>0.4338235294117647</v>
      </c>
      <c r="O370" s="36" t="n">
        <v>0</v>
      </c>
      <c r="P370" s="36" t="n">
        <v>5.41</v>
      </c>
      <c r="Q370" s="36" t="n">
        <v>11.86</v>
      </c>
      <c r="R370" s="36" t="n">
        <v>88.23</v>
      </c>
      <c r="S370" s="36" t="n">
        <v>0</v>
      </c>
      <c r="T370" s="37" t="n">
        <v>0.7212121212121212</v>
      </c>
      <c r="U370" s="37" t="n">
        <v>0.4594594594594595</v>
      </c>
      <c r="V370" s="37" t="n">
        <v>0.796875</v>
      </c>
      <c r="W370" s="37" t="n">
        <v>0.4705882352941176</v>
      </c>
    </row>
    <row r="371">
      <c r="A371" s="53" t="n">
        <v>45758</v>
      </c>
      <c r="B371" t="inlineStr">
        <is>
          <t>R06_Jawa Timur</t>
        </is>
      </c>
      <c r="C371" t="inlineStr">
        <is>
          <t>NOP SURABAYA</t>
        </is>
      </c>
      <c r="D371" s="36" t="n">
        <v>2.95</v>
      </c>
      <c r="E371" s="36" t="n">
        <v>0</v>
      </c>
      <c r="F371" s="36" t="n">
        <v>4.5</v>
      </c>
      <c r="G371" s="36" t="n">
        <v>2.76</v>
      </c>
      <c r="H371" s="37" t="n">
        <v>0.4947916666666667</v>
      </c>
      <c r="I371" s="37" t="n">
        <v>0.3</v>
      </c>
      <c r="J371" s="37" t="n">
        <v>0.5174418604651163</v>
      </c>
      <c r="K371" s="37" t="n">
        <v>1</v>
      </c>
      <c r="L371" s="37" t="n">
        <v>1</v>
      </c>
      <c r="M371" s="37" t="n">
        <v>0.984375</v>
      </c>
      <c r="N371" s="37" t="n">
        <v>0.34375</v>
      </c>
      <c r="O371" s="36" t="n">
        <v>0.04</v>
      </c>
      <c r="P371" s="36" t="n">
        <v>3.44</v>
      </c>
      <c r="Q371" s="36" t="n">
        <v>8.039999999999999</v>
      </c>
      <c r="R371" s="36" t="n">
        <v>25.1</v>
      </c>
      <c r="S371" s="36" t="n">
        <v>0</v>
      </c>
      <c r="T371" s="37" t="n">
        <v>0.6277777777777778</v>
      </c>
      <c r="U371" s="37" t="n">
        <v>0.391304347826087</v>
      </c>
      <c r="V371" s="37" t="n">
        <v>0.6624203821656051</v>
      </c>
      <c r="W371" s="37" t="n">
        <v>0.6111111111111112</v>
      </c>
    </row>
    <row r="372">
      <c r="A372" s="53" t="n">
        <v>45758</v>
      </c>
      <c r="B372" t="inlineStr">
        <is>
          <t>R07_Bali Nusra</t>
        </is>
      </c>
      <c r="C372" t="inlineStr">
        <is>
          <t>NOP DENPASAR</t>
        </is>
      </c>
      <c r="D372" s="36" t="n">
        <v>4.44</v>
      </c>
      <c r="E372" s="36" t="n">
        <v>0</v>
      </c>
      <c r="F372" s="36" t="n">
        <v>3.54</v>
      </c>
      <c r="G372" s="36" t="n">
        <v>4.42</v>
      </c>
      <c r="H372" s="37" t="n">
        <v>0.8819444444444444</v>
      </c>
      <c r="I372" s="37" t="n">
        <v>0.8571428571428571</v>
      </c>
      <c r="J372" s="37" t="n">
        <v>0.8879310344827587</v>
      </c>
      <c r="K372" s="37" t="n">
        <v>0.9166666666666666</v>
      </c>
      <c r="L372" s="37" t="n">
        <v>0.9166666666666666</v>
      </c>
      <c r="M372" s="37" t="n">
        <v>0.9583333333333334</v>
      </c>
      <c r="N372" s="37" t="n">
        <v>0.8611111111111112</v>
      </c>
      <c r="O372" s="36" t="n">
        <v>0</v>
      </c>
      <c r="P372" s="36" t="n">
        <v>145.96</v>
      </c>
      <c r="Q372" s="36" t="n">
        <v>32.03</v>
      </c>
      <c r="R372" s="36" t="n">
        <v>95.02</v>
      </c>
      <c r="S372" s="36" t="n">
        <v>0</v>
      </c>
      <c r="T372" s="37" t="n">
        <v>0.8547008547008547</v>
      </c>
      <c r="U372" s="37" t="n">
        <v>0.8260869565217391</v>
      </c>
      <c r="V372" s="37" t="n">
        <v>0.8617021276595744</v>
      </c>
      <c r="W372" s="37" t="n">
        <v>0.3947368421052632</v>
      </c>
    </row>
    <row r="373">
      <c r="A373" s="53" t="n">
        <v>45758</v>
      </c>
      <c r="B373" t="inlineStr">
        <is>
          <t>R07_Bali Nusra</t>
        </is>
      </c>
      <c r="C373" t="inlineStr">
        <is>
          <t>NOP FLORES</t>
        </is>
      </c>
      <c r="D373" s="36" t="n">
        <v>3.76</v>
      </c>
      <c r="E373" s="36" t="n">
        <v>4.67</v>
      </c>
      <c r="F373" s="36" t="n">
        <v>8.380000000000001</v>
      </c>
      <c r="G373" s="36" t="n">
        <v>9.050000000000001</v>
      </c>
      <c r="H373" s="37" t="n">
        <v>0.413075780089153</v>
      </c>
      <c r="I373" s="37" t="n">
        <v>0.4931506849315068</v>
      </c>
      <c r="J373" s="37" t="n">
        <v>0.3908918406072106</v>
      </c>
      <c r="K373" s="37" t="n">
        <v>0.5416666666666666</v>
      </c>
      <c r="L373" s="37" t="n">
        <v>0.5416666666666666</v>
      </c>
      <c r="M373" s="37" t="n">
        <v>0.9821693907875185</v>
      </c>
      <c r="N373" s="37" t="n">
        <v>0.2273402674591382</v>
      </c>
      <c r="O373" s="36" t="n">
        <v>0.17</v>
      </c>
      <c r="P373" s="36" t="n">
        <v>12.57</v>
      </c>
      <c r="Q373" s="36" t="n">
        <v>10.07</v>
      </c>
      <c r="R373" s="36" t="n">
        <v>53.87</v>
      </c>
      <c r="S373" s="36" t="n">
        <v>0</v>
      </c>
      <c r="T373" s="37" t="n">
        <v>0.4428104575163399</v>
      </c>
      <c r="U373" s="37" t="n">
        <v>0.4852607709750567</v>
      </c>
      <c r="V373" s="37" t="n">
        <v>0.3333333333333333</v>
      </c>
      <c r="W373" s="37" t="n">
        <v>0.647196261682243</v>
      </c>
    </row>
    <row r="374">
      <c r="A374" s="53" t="n">
        <v>45758</v>
      </c>
      <c r="B374" t="inlineStr">
        <is>
          <t>R07_Bali Nusra</t>
        </is>
      </c>
      <c r="C374" t="inlineStr">
        <is>
          <t>NOP KUPANG</t>
        </is>
      </c>
      <c r="D374" s="36" t="n">
        <v>1.09</v>
      </c>
      <c r="E374" s="36" t="n">
        <v>2.57</v>
      </c>
      <c r="F374" s="36" t="n">
        <v>2.94</v>
      </c>
      <c r="G374" s="36" t="n">
        <v>6.12</v>
      </c>
      <c r="H374" s="37" t="n">
        <v>0.5506172839506173</v>
      </c>
      <c r="I374" s="37" t="n">
        <v>0.5208333333333334</v>
      </c>
      <c r="J374" s="37" t="n">
        <v>0.5546218487394958</v>
      </c>
      <c r="K374" s="37" t="n">
        <v>0.6</v>
      </c>
      <c r="L374" s="37" t="n">
        <v>0.6</v>
      </c>
      <c r="M374" s="37" t="n">
        <v>0.9975308641975309</v>
      </c>
      <c r="N374" s="37" t="n">
        <v>0.1679012345679012</v>
      </c>
      <c r="O374" s="36" t="n">
        <v>0.01</v>
      </c>
      <c r="P374" s="36" t="n">
        <v>21.07</v>
      </c>
      <c r="Q374" s="36" t="n">
        <v>16.36</v>
      </c>
      <c r="R374" s="36" t="n">
        <v>263.23</v>
      </c>
      <c r="S374" s="36" t="n">
        <v>0</v>
      </c>
      <c r="T374" s="37" t="n">
        <v>0.5594149908592322</v>
      </c>
      <c r="U374" s="37" t="n">
        <v>0.6017964071856288</v>
      </c>
      <c r="V374" s="37" t="n">
        <v>0.4929577464788732</v>
      </c>
      <c r="W374" s="37" t="n">
        <v>0.572139303482587</v>
      </c>
    </row>
    <row r="375">
      <c r="A375" s="53" t="n">
        <v>45758</v>
      </c>
      <c r="B375" t="inlineStr">
        <is>
          <t>R07_Bali Nusra</t>
        </is>
      </c>
      <c r="C375" t="inlineStr">
        <is>
          <t>NOP MATARAM</t>
        </is>
      </c>
      <c r="D375" s="36" t="n">
        <v>1.21</v>
      </c>
      <c r="E375" s="36" t="n">
        <v>6.78</v>
      </c>
      <c r="F375" s="36" t="n">
        <v>4.18</v>
      </c>
      <c r="G375" s="36" t="n">
        <v>8.210000000000001</v>
      </c>
      <c r="H375" s="37" t="n">
        <v>0.4581005586592179</v>
      </c>
      <c r="I375" s="37" t="n">
        <v>0.6521739130434783</v>
      </c>
      <c r="J375" s="37" t="n">
        <v>0.4294871794871795</v>
      </c>
      <c r="K375" s="37" t="n">
        <v>0.8666666666666667</v>
      </c>
      <c r="L375" s="37" t="n">
        <v>0.8666666666666667</v>
      </c>
      <c r="M375" s="37" t="n">
        <v>1</v>
      </c>
      <c r="N375" s="37" t="n">
        <v>0.3072625698324022</v>
      </c>
      <c r="O375" s="36" t="n">
        <v>0</v>
      </c>
      <c r="P375" s="36" t="n">
        <v>26.56</v>
      </c>
      <c r="Q375" s="36" t="n">
        <v>11.16</v>
      </c>
      <c r="R375" s="36" t="n">
        <v>25.59</v>
      </c>
      <c r="S375" s="36" t="n">
        <v>0</v>
      </c>
      <c r="T375" s="37" t="n">
        <v>0.2954954954954955</v>
      </c>
      <c r="U375" s="37" t="n">
        <v>0.2947368421052631</v>
      </c>
      <c r="V375" s="37" t="n">
        <v>0.2962962962962963</v>
      </c>
      <c r="W375" s="37" t="n">
        <v>0.5714285714285714</v>
      </c>
    </row>
    <row r="376">
      <c r="A376" s="53" t="n">
        <v>45759</v>
      </c>
      <c r="B376" t="inlineStr">
        <is>
          <t>R01_Sumbagut</t>
        </is>
      </c>
      <c r="C376" t="inlineStr">
        <is>
          <t>NOP ACEH</t>
        </is>
      </c>
      <c r="D376" s="36" t="n">
        <v>1.88</v>
      </c>
      <c r="E376" s="36" t="n">
        <v>4.65</v>
      </c>
      <c r="F376" s="36" t="n">
        <v>12.1</v>
      </c>
      <c r="G376" s="36" t="n">
        <v>13.92</v>
      </c>
      <c r="H376" s="37" t="n">
        <v>0.849290780141844</v>
      </c>
      <c r="I376" s="37" t="n">
        <v>0.8705501618122977</v>
      </c>
      <c r="J376" s="37" t="n">
        <v>0.8412698412698413</v>
      </c>
      <c r="K376" s="37" t="n">
        <v>0.379182156133829</v>
      </c>
      <c r="L376" s="37" t="n">
        <v>0.3820224719101123</v>
      </c>
      <c r="M376" s="37" t="n">
        <v>1</v>
      </c>
      <c r="N376" s="37" t="n">
        <v>0.2925531914893617</v>
      </c>
      <c r="O376" s="36" t="n">
        <v>0.06</v>
      </c>
      <c r="P376" s="36" t="n">
        <v>5.43</v>
      </c>
      <c r="Q376" s="36" t="n">
        <v>63.34</v>
      </c>
      <c r="R376" s="36" t="n">
        <v>123.4</v>
      </c>
      <c r="S376" s="36" t="n">
        <v>0</v>
      </c>
      <c r="T376" s="37" t="n">
        <v>0.8750925697358677</v>
      </c>
      <c r="U376" s="37" t="n">
        <v>0.7140039447731755</v>
      </c>
      <c r="V376" s="37" t="n">
        <v>0.8996040723981901</v>
      </c>
      <c r="W376" s="37" t="n">
        <v>0.212707182320442</v>
      </c>
    </row>
    <row r="377">
      <c r="A377" s="53" t="n">
        <v>45759</v>
      </c>
      <c r="B377" t="inlineStr">
        <is>
          <t>R01_Sumbagut</t>
        </is>
      </c>
      <c r="C377" t="inlineStr">
        <is>
          <t>NOP BINJAI</t>
        </is>
      </c>
      <c r="D377" s="36" t="n">
        <v>0</v>
      </c>
      <c r="E377" s="36" t="n">
        <v>4.2</v>
      </c>
      <c r="F377" s="36" t="n">
        <v>3.35</v>
      </c>
      <c r="G377" s="36" t="n">
        <v>4.33</v>
      </c>
      <c r="H377" s="37" t="n">
        <v>0.5594262295081968</v>
      </c>
      <c r="I377" s="37" t="n">
        <v>0.6274509803921569</v>
      </c>
      <c r="J377" s="37" t="n">
        <v>0.5414507772020726</v>
      </c>
      <c r="K377" s="37" t="n">
        <v>0.4375</v>
      </c>
      <c r="L377" s="37" t="n">
        <v>0.4375</v>
      </c>
      <c r="M377" s="37" t="n">
        <v>1</v>
      </c>
      <c r="N377" s="37" t="n">
        <v>0.2786885245901639</v>
      </c>
      <c r="O377" s="36" t="n">
        <v>0.01</v>
      </c>
      <c r="P377" s="36" t="n">
        <v>2.66</v>
      </c>
      <c r="Q377" s="36" t="n">
        <v>38.82</v>
      </c>
      <c r="R377" s="36" t="n">
        <v>104.06</v>
      </c>
      <c r="S377" s="36" t="n">
        <v>0</v>
      </c>
      <c r="T377" s="37" t="n">
        <v>0.6241480038948394</v>
      </c>
      <c r="U377" s="37" t="n">
        <v>0.5638766519823789</v>
      </c>
      <c r="V377" s="37" t="n">
        <v>0.6424870466321243</v>
      </c>
      <c r="W377" s="37" t="n">
        <v>0.46875</v>
      </c>
    </row>
    <row r="378">
      <c r="A378" s="53" t="n">
        <v>45759</v>
      </c>
      <c r="B378" t="inlineStr">
        <is>
          <t>R01_Sumbagut</t>
        </is>
      </c>
      <c r="C378" t="inlineStr">
        <is>
          <t>NOP MEDAN</t>
        </is>
      </c>
      <c r="D378" s="36" t="n">
        <v>2.66</v>
      </c>
      <c r="E378" s="36" t="n">
        <v>4.12</v>
      </c>
      <c r="F378" s="36" t="n">
        <v>3.93</v>
      </c>
      <c r="G378" s="36" t="n">
        <v>4.82</v>
      </c>
      <c r="H378" s="37" t="n">
        <v>0.4208144796380091</v>
      </c>
      <c r="I378" s="37" t="n">
        <v>0.4576271186440678</v>
      </c>
      <c r="J378" s="37" t="n">
        <v>0.4074074074074074</v>
      </c>
      <c r="K378" s="37" t="n">
        <v>0.7777777777777778</v>
      </c>
      <c r="L378" s="37" t="n">
        <v>0.7777777777777778</v>
      </c>
      <c r="M378" s="37" t="n">
        <v>1</v>
      </c>
      <c r="N378" s="37" t="n">
        <v>0.2601809954751131</v>
      </c>
      <c r="O378" s="36" t="n">
        <v>0</v>
      </c>
      <c r="P378" s="36" t="n">
        <v>3.5</v>
      </c>
      <c r="Q378" s="36" t="n">
        <v>15.7</v>
      </c>
      <c r="R378" s="36" t="n">
        <v>18.99</v>
      </c>
      <c r="S378" s="36" t="n">
        <v>0</v>
      </c>
      <c r="T378" s="37" t="n">
        <v>0.2774451097804391</v>
      </c>
      <c r="U378" s="37" t="n">
        <v>0.1975308641975309</v>
      </c>
      <c r="V378" s="37" t="n">
        <v>0.3322884012539185</v>
      </c>
      <c r="W378" s="37" t="n">
        <v>0.84375</v>
      </c>
    </row>
    <row r="379">
      <c r="A379" s="53" t="n">
        <v>45759</v>
      </c>
      <c r="B379" t="inlineStr">
        <is>
          <t>R01_Sumbagut</t>
        </is>
      </c>
      <c r="C379" t="inlineStr">
        <is>
          <t>NOP PADANG SIDEMPUAN</t>
        </is>
      </c>
      <c r="D379" s="36" t="n">
        <v>3.08</v>
      </c>
      <c r="E379" s="36" t="n">
        <v>3.51</v>
      </c>
      <c r="F379" s="36" t="n">
        <v>4.77</v>
      </c>
      <c r="G379" s="36" t="n">
        <v>6.09</v>
      </c>
      <c r="H379" s="37" t="n">
        <v>0.2924037460978148</v>
      </c>
      <c r="I379" s="37" t="n">
        <v>0.4864864864864865</v>
      </c>
      <c r="J379" s="37" t="n">
        <v>0.2670588235294117</v>
      </c>
      <c r="K379" s="37" t="n">
        <v>0.5</v>
      </c>
      <c r="L379" s="37" t="n">
        <v>0.5</v>
      </c>
      <c r="M379" s="37" t="n">
        <v>0.991675338189386</v>
      </c>
      <c r="N379" s="37" t="n">
        <v>0.117585848074922</v>
      </c>
      <c r="O379" s="36" t="n">
        <v>0.01</v>
      </c>
      <c r="P379" s="36" t="n">
        <v>2.56</v>
      </c>
      <c r="Q379" s="36" t="n">
        <v>12.53</v>
      </c>
      <c r="R379" s="36" t="n">
        <v>104.92</v>
      </c>
      <c r="S379" s="36" t="n">
        <v>0</v>
      </c>
      <c r="T379" s="37" t="n">
        <v>0.2996742671009772</v>
      </c>
      <c r="U379" s="37" t="n">
        <v>0.4301745635910225</v>
      </c>
      <c r="V379" s="37" t="n">
        <v>0.2543275632490014</v>
      </c>
      <c r="W379" s="37" t="n">
        <v>0.4898550724637681</v>
      </c>
    </row>
    <row r="380">
      <c r="A380" s="53" t="n">
        <v>45759</v>
      </c>
      <c r="B380" t="inlineStr">
        <is>
          <t>R01_Sumbagut</t>
        </is>
      </c>
      <c r="C380" t="inlineStr">
        <is>
          <t>NOP PEMATANG SIANTAR</t>
        </is>
      </c>
      <c r="D380" s="36" t="n">
        <v>1.14</v>
      </c>
      <c r="E380" s="36" t="n">
        <v>3.49</v>
      </c>
      <c r="F380" s="36" t="n">
        <v>4.4</v>
      </c>
      <c r="G380" s="36" t="n">
        <v>5.23</v>
      </c>
      <c r="H380" s="37" t="n">
        <v>0.2759433962264151</v>
      </c>
      <c r="I380" s="37" t="n">
        <v>0.2700228832951945</v>
      </c>
      <c r="J380" s="37" t="n">
        <v>0.2790419161676647</v>
      </c>
      <c r="K380" s="37" t="n">
        <v>0.635593220338983</v>
      </c>
      <c r="L380" s="37" t="n">
        <v>0.646551724137931</v>
      </c>
      <c r="M380" s="37" t="n">
        <v>0.9992138364779874</v>
      </c>
      <c r="N380" s="37" t="n">
        <v>0.1422955974842767</v>
      </c>
      <c r="O380" s="36" t="n">
        <v>0.01</v>
      </c>
      <c r="P380" s="36" t="n">
        <v>3.63</v>
      </c>
      <c r="Q380" s="36" t="n">
        <v>67.52</v>
      </c>
      <c r="R380" s="36" t="n">
        <v>63.83</v>
      </c>
      <c r="S380" s="36" t="n">
        <v>0</v>
      </c>
      <c r="T380" s="37" t="n">
        <v>0.1071743345672484</v>
      </c>
      <c r="U380" s="37" t="n">
        <v>0.3234200743494424</v>
      </c>
      <c r="V380" s="37" t="n">
        <v>0.08282749167808889</v>
      </c>
      <c r="W380" s="37" t="n">
        <v>0.8333333333333334</v>
      </c>
    </row>
    <row r="381">
      <c r="A381" s="53" t="n">
        <v>45759</v>
      </c>
      <c r="B381" t="inlineStr">
        <is>
          <t>R01_Sumbagut</t>
        </is>
      </c>
      <c r="C381" t="inlineStr">
        <is>
          <t>NOP RANTAU PRAPAT</t>
        </is>
      </c>
      <c r="D381" s="36" t="n">
        <v>3.52</v>
      </c>
      <c r="E381" s="36" t="n">
        <v>6.21</v>
      </c>
      <c r="F381" s="36" t="n">
        <v>5.74</v>
      </c>
      <c r="G381" s="36" t="n">
        <v>6.88</v>
      </c>
      <c r="H381" s="37" t="n">
        <v>0.2802170695609275</v>
      </c>
      <c r="I381" s="37" t="n">
        <v>0.2904040404040404</v>
      </c>
      <c r="J381" s="37" t="n">
        <v>0.2777437155119559</v>
      </c>
      <c r="K381" s="37" t="n">
        <v>0.6086956521739131</v>
      </c>
      <c r="L381" s="37" t="n">
        <v>0.6086956521739131</v>
      </c>
      <c r="M381" s="37" t="n">
        <v>0.9886531820424272</v>
      </c>
      <c r="N381" s="37" t="n">
        <v>0.1539220522940306</v>
      </c>
      <c r="O381" s="36" t="n">
        <v>0.02</v>
      </c>
      <c r="P381" s="36" t="n">
        <v>4.13</v>
      </c>
      <c r="Q381" s="36" t="n">
        <v>34.76</v>
      </c>
      <c r="R381" s="36" t="n">
        <v>36.06</v>
      </c>
      <c r="S381" s="36" t="n">
        <v>0</v>
      </c>
      <c r="T381" s="37" t="n">
        <v>0.07062640379336162</v>
      </c>
      <c r="U381" s="37" t="n">
        <v>0.1495327102803738</v>
      </c>
      <c r="V381" s="37" t="n">
        <v>0.05107132374523041</v>
      </c>
      <c r="W381" s="37" t="n">
        <v>0.65</v>
      </c>
    </row>
    <row r="382">
      <c r="A382" s="53" t="n">
        <v>45759</v>
      </c>
      <c r="B382" t="inlineStr">
        <is>
          <t>R10_Sumbagteng</t>
        </is>
      </c>
      <c r="C382" t="inlineStr">
        <is>
          <t>NOP BATAM</t>
        </is>
      </c>
      <c r="D382" s="36" t="n">
        <v>2.09</v>
      </c>
      <c r="E382" s="36" t="n">
        <v>6.95</v>
      </c>
      <c r="F382" s="36" t="n">
        <v>6.88</v>
      </c>
      <c r="G382" s="36" t="n">
        <v>9.44</v>
      </c>
      <c r="H382" s="37" t="n">
        <v>0.2710843373493976</v>
      </c>
      <c r="I382" s="37" t="n">
        <v>0.2986577181208054</v>
      </c>
      <c r="J382" s="37" t="n">
        <v>0.2642140468227425</v>
      </c>
      <c r="K382" s="37" t="n">
        <v>0.6404494382022472</v>
      </c>
      <c r="L382" s="37" t="n">
        <v>0.6404494382022472</v>
      </c>
      <c r="M382" s="37" t="n">
        <v>0.9926372155287818</v>
      </c>
      <c r="N382" s="37" t="n">
        <v>0.1673360107095047</v>
      </c>
      <c r="O382" s="36" t="n">
        <v>0</v>
      </c>
      <c r="P382" s="36" t="n">
        <v>6.59</v>
      </c>
      <c r="Q382" s="36" t="n">
        <v>38.71</v>
      </c>
      <c r="R382" s="36" t="n">
        <v>10.44</v>
      </c>
      <c r="S382" s="36" t="n">
        <v>0</v>
      </c>
      <c r="T382" s="37" t="n">
        <v>0.06801470588235294</v>
      </c>
      <c r="U382" s="37" t="n">
        <v>0.2086230876216968</v>
      </c>
      <c r="V382" s="37" t="n">
        <v>0.04621938232161874</v>
      </c>
      <c r="W382" s="37" t="n">
        <v>0.8733333333333333</v>
      </c>
    </row>
    <row r="383">
      <c r="A383" s="53" t="n">
        <v>45759</v>
      </c>
      <c r="B383" t="inlineStr">
        <is>
          <t>R10_Sumbagteng</t>
        </is>
      </c>
      <c r="C383" t="inlineStr">
        <is>
          <t>NOP BUKITTINGGI</t>
        </is>
      </c>
      <c r="D383" s="36" t="n">
        <v>1.87</v>
      </c>
      <c r="E383" s="36" t="n">
        <v>5.92</v>
      </c>
      <c r="F383" s="36" t="n">
        <v>3.38</v>
      </c>
      <c r="G383" s="36" t="n">
        <v>4.91</v>
      </c>
      <c r="H383" s="37" t="n">
        <v>0.7571428571428571</v>
      </c>
      <c r="I383" s="37" t="n">
        <v>0.8181818181818182</v>
      </c>
      <c r="J383" s="37" t="n">
        <v>0.7371273712737128</v>
      </c>
      <c r="K383" s="37" t="n">
        <v>0.6262626262626263</v>
      </c>
      <c r="L383" s="37" t="n">
        <v>0.6262626262626263</v>
      </c>
      <c r="M383" s="37" t="n">
        <v>0.9938775510204082</v>
      </c>
      <c r="N383" s="37" t="n">
        <v>0.4469387755102041</v>
      </c>
      <c r="O383" s="36" t="n">
        <v>0</v>
      </c>
      <c r="P383" s="36" t="n">
        <v>3.4</v>
      </c>
      <c r="Q383" s="36" t="n">
        <v>8.5</v>
      </c>
      <c r="R383" s="36" t="n">
        <v>126.78</v>
      </c>
      <c r="S383" s="36" t="n">
        <v>0</v>
      </c>
      <c r="T383" s="37" t="n">
        <v>0.3660531697341513</v>
      </c>
      <c r="U383" s="37" t="n">
        <v>0.7447916666666666</v>
      </c>
      <c r="V383" s="37" t="n">
        <v>0.3243860651056539</v>
      </c>
      <c r="W383" s="37" t="n">
        <v>0.6083916083916084</v>
      </c>
    </row>
    <row r="384">
      <c r="A384" s="53" t="n">
        <v>45759</v>
      </c>
      <c r="B384" t="inlineStr">
        <is>
          <t>R10_Sumbagteng</t>
        </is>
      </c>
      <c r="C384" t="inlineStr">
        <is>
          <t>NOP DUMAI</t>
        </is>
      </c>
      <c r="D384" s="36" t="n">
        <v>6.07</v>
      </c>
      <c r="E384" s="36" t="n">
        <v>7.34</v>
      </c>
      <c r="F384" s="36" t="n">
        <v>5.76</v>
      </c>
      <c r="G384" s="36" t="n">
        <v>6</v>
      </c>
      <c r="H384" s="37" t="n">
        <v>0.3967517401392112</v>
      </c>
      <c r="I384" s="37" t="n">
        <v>0.4790874524714829</v>
      </c>
      <c r="J384" s="37" t="n">
        <v>0.3701657458563536</v>
      </c>
      <c r="K384" s="37" t="n">
        <v>0.7023809523809523</v>
      </c>
      <c r="L384" s="37" t="n">
        <v>0.7280334728033473</v>
      </c>
      <c r="M384" s="37" t="n">
        <v>0.9740139211136891</v>
      </c>
      <c r="N384" s="37" t="n">
        <v>0.2190255220417633</v>
      </c>
      <c r="O384" s="36" t="n">
        <v>0.11</v>
      </c>
      <c r="P384" s="36" t="n">
        <v>5.85</v>
      </c>
      <c r="Q384" s="36" t="n">
        <v>51.83</v>
      </c>
      <c r="R384" s="36" t="n">
        <v>126.03</v>
      </c>
      <c r="S384" s="36" t="n">
        <v>0</v>
      </c>
      <c r="T384" s="37" t="n">
        <v>0.2981429661663699</v>
      </c>
      <c r="U384" s="37" t="n">
        <v>0.3197530864197531</v>
      </c>
      <c r="V384" s="37" t="n">
        <v>0.3011325782811459</v>
      </c>
      <c r="W384" s="37" t="n">
        <v>0.9305019305019305</v>
      </c>
    </row>
    <row r="385">
      <c r="A385" s="53" t="n">
        <v>45759</v>
      </c>
      <c r="B385" t="inlineStr">
        <is>
          <t>R10_Sumbagteng</t>
        </is>
      </c>
      <c r="C385" t="inlineStr">
        <is>
          <t>NOP PADANG</t>
        </is>
      </c>
      <c r="D385" s="36" t="n">
        <v>3.58</v>
      </c>
      <c r="E385" s="36" t="n">
        <v>2.47</v>
      </c>
      <c r="F385" s="36" t="n">
        <v>5.76</v>
      </c>
      <c r="G385" s="36" t="n">
        <v>8.48</v>
      </c>
      <c r="H385" s="37" t="n">
        <v>0.7464788732394366</v>
      </c>
      <c r="I385" s="37" t="n">
        <v>0.6901408450704225</v>
      </c>
      <c r="J385" s="37" t="n">
        <v>0.7535211267605634</v>
      </c>
      <c r="K385" s="37" t="n">
        <v>0.5306122448979592</v>
      </c>
      <c r="L385" s="37" t="n">
        <v>0.5306122448979592</v>
      </c>
      <c r="M385" s="37" t="n">
        <v>0.9890453834115805</v>
      </c>
      <c r="N385" s="37" t="n">
        <v>0.3286384976525822</v>
      </c>
      <c r="O385" s="36" t="n">
        <v>0</v>
      </c>
      <c r="P385" s="36" t="n">
        <v>5.47</v>
      </c>
      <c r="Q385" s="36" t="n">
        <v>49.97</v>
      </c>
      <c r="R385" s="36" t="n">
        <v>58.13</v>
      </c>
      <c r="S385" s="36" t="n">
        <v>0</v>
      </c>
      <c r="T385" s="37" t="n">
        <v>0.6739130434782609</v>
      </c>
      <c r="U385" s="37" t="n">
        <v>0.5904255319148937</v>
      </c>
      <c r="V385" s="37" t="n">
        <v>0.6865026595744681</v>
      </c>
      <c r="W385" s="37" t="n">
        <v>0.4954954954954955</v>
      </c>
    </row>
    <row r="386">
      <c r="A386" s="53" t="n">
        <v>45759</v>
      </c>
      <c r="B386" t="inlineStr">
        <is>
          <t>R10_Sumbagteng</t>
        </is>
      </c>
      <c r="C386" t="inlineStr">
        <is>
          <t>NOP PEKANBARU</t>
        </is>
      </c>
      <c r="D386" s="36" t="n">
        <v>6.67</v>
      </c>
      <c r="E386" s="36" t="n">
        <v>5.7</v>
      </c>
      <c r="F386" s="36" t="n">
        <v>6.45</v>
      </c>
      <c r="G386" s="36" t="n">
        <v>7.54</v>
      </c>
      <c r="H386" s="37" t="n">
        <v>0.3799621928166352</v>
      </c>
      <c r="I386" s="37" t="n">
        <v>0.5218658892128279</v>
      </c>
      <c r="J386" s="37" t="n">
        <v>0.3525098702763678</v>
      </c>
      <c r="K386" s="37" t="n">
        <v>0.7541899441340782</v>
      </c>
      <c r="L386" s="37" t="n">
        <v>0.7657142857142857</v>
      </c>
      <c r="M386" s="37" t="n">
        <v>0.9905482041587902</v>
      </c>
      <c r="N386" s="37" t="n">
        <v>0.2126654064272212</v>
      </c>
      <c r="O386" s="36" t="n">
        <v>0.03</v>
      </c>
      <c r="P386" s="36" t="n">
        <v>3.04</v>
      </c>
      <c r="Q386" s="36" t="n">
        <v>47.95</v>
      </c>
      <c r="R386" s="36" t="n">
        <v>86.27</v>
      </c>
      <c r="S386" s="36" t="n">
        <v>0</v>
      </c>
      <c r="T386" s="37" t="n">
        <v>0.305843963215663</v>
      </c>
      <c r="U386" s="37" t="n">
        <v>0.3052325581395349</v>
      </c>
      <c r="V386" s="37" t="n">
        <v>0.3075571177504394</v>
      </c>
      <c r="W386" s="37" t="n">
        <v>0.873015873015873</v>
      </c>
    </row>
    <row r="387">
      <c r="A387" s="53" t="n">
        <v>45759</v>
      </c>
      <c r="B387" t="inlineStr">
        <is>
          <t>R02_Sumbagsel</t>
        </is>
      </c>
      <c r="C387" t="inlineStr">
        <is>
          <t>NOP BENGKULU</t>
        </is>
      </c>
      <c r="D387" s="36" t="n">
        <v>2.09</v>
      </c>
      <c r="E387" s="36" t="n">
        <v>3.69</v>
      </c>
      <c r="F387" s="36" t="n">
        <v>2.82</v>
      </c>
      <c r="G387" s="36" t="n">
        <v>6.73</v>
      </c>
      <c r="H387" s="37" t="n">
        <v>0.3763440860215054</v>
      </c>
      <c r="I387" s="37" t="n">
        <v>0.4921259842519685</v>
      </c>
      <c r="J387" s="37" t="n">
        <v>0.3381014304291287</v>
      </c>
      <c r="K387" s="37" t="n">
        <v>0.68</v>
      </c>
      <c r="L387" s="37" t="n">
        <v>0.68</v>
      </c>
      <c r="M387" s="37" t="n">
        <v>0.9941348973607038</v>
      </c>
      <c r="N387" s="37" t="n">
        <v>0.1955034213098729</v>
      </c>
      <c r="O387" s="36" t="n">
        <v>0</v>
      </c>
      <c r="P387" s="36" t="n">
        <v>5.27</v>
      </c>
      <c r="Q387" s="36" t="n">
        <v>5.72</v>
      </c>
      <c r="R387" s="36" t="n">
        <v>16.96</v>
      </c>
      <c r="S387" s="36" t="n">
        <v>0</v>
      </c>
      <c r="T387" s="37" t="n">
        <v>0.4460916442048518</v>
      </c>
      <c r="U387" s="37" t="n">
        <v>0.3648468708388815</v>
      </c>
      <c r="V387" s="37" t="n">
        <v>0.6432246998284734</v>
      </c>
      <c r="W387" s="37" t="n">
        <v>0.8777372262773723</v>
      </c>
    </row>
    <row r="388">
      <c r="A388" s="53" t="n">
        <v>45759</v>
      </c>
      <c r="B388" t="inlineStr">
        <is>
          <t>R02_Sumbagsel</t>
        </is>
      </c>
      <c r="C388" t="inlineStr">
        <is>
          <t>NOP JAMBI</t>
        </is>
      </c>
      <c r="D388" s="36" t="n">
        <v>3.58</v>
      </c>
      <c r="E388" s="36" t="n">
        <v>5.22</v>
      </c>
      <c r="F388" s="36" t="n">
        <v>6.33</v>
      </c>
      <c r="G388" s="36" t="n">
        <v>7.66</v>
      </c>
      <c r="H388" s="37" t="n">
        <v>0.5127462340672074</v>
      </c>
      <c r="I388" s="37" t="n">
        <v>0.5700197238658777</v>
      </c>
      <c r="J388" s="37" t="n">
        <v>0.4889253486464315</v>
      </c>
      <c r="K388" s="37" t="n">
        <v>0.6470588235294118</v>
      </c>
      <c r="L388" s="37" t="n">
        <v>0.6480836236933798</v>
      </c>
      <c r="M388" s="37" t="n">
        <v>1</v>
      </c>
      <c r="N388" s="37" t="n">
        <v>0.2694090382387022</v>
      </c>
      <c r="O388" s="36" t="n">
        <v>0</v>
      </c>
      <c r="P388" s="36" t="n">
        <v>6.84</v>
      </c>
      <c r="Q388" s="36" t="n">
        <v>13.59</v>
      </c>
      <c r="R388" s="36" t="n">
        <v>19</v>
      </c>
      <c r="S388" s="36" t="n">
        <v>0</v>
      </c>
      <c r="T388" s="37" t="n">
        <v>0.6372549019607843</v>
      </c>
      <c r="U388" s="37" t="n">
        <v>0.6157567380787837</v>
      </c>
      <c r="V388" s="37" t="n">
        <v>0.6785714285714286</v>
      </c>
      <c r="W388" s="37" t="n">
        <v>0.7182940516273849</v>
      </c>
    </row>
    <row r="389">
      <c r="A389" s="53" t="n">
        <v>45759</v>
      </c>
      <c r="B389" t="inlineStr">
        <is>
          <t>R02_Sumbagsel</t>
        </is>
      </c>
      <c r="C389" t="inlineStr">
        <is>
          <t>NOP LAMPUNG</t>
        </is>
      </c>
      <c r="D389" s="36" t="n">
        <v>3.63</v>
      </c>
      <c r="E389" s="36" t="n">
        <v>5.81</v>
      </c>
      <c r="F389" s="36" t="n">
        <v>4.14</v>
      </c>
      <c r="G389" s="36" t="n">
        <v>6.45</v>
      </c>
      <c r="H389" s="37" t="n">
        <v>0.5093378607809848</v>
      </c>
      <c r="I389" s="37" t="n">
        <v>0.7039473684210527</v>
      </c>
      <c r="J389" s="37" t="n">
        <v>0.4416475972540046</v>
      </c>
      <c r="K389" s="37" t="n">
        <v>0.6915887850467289</v>
      </c>
      <c r="L389" s="37" t="n">
        <v>0.6915887850467289</v>
      </c>
      <c r="M389" s="37" t="n">
        <v>1</v>
      </c>
      <c r="N389" s="37" t="n">
        <v>0.3429541595925297</v>
      </c>
      <c r="O389" s="36" t="n">
        <v>1.51</v>
      </c>
      <c r="P389" s="36" t="n">
        <v>8.81</v>
      </c>
      <c r="Q389" s="36" t="n">
        <v>6.16</v>
      </c>
      <c r="R389" s="36" t="n">
        <v>30.12</v>
      </c>
      <c r="S389" s="36" t="n">
        <v>0</v>
      </c>
      <c r="T389" s="37" t="n">
        <v>0.8957983193277311</v>
      </c>
      <c r="U389" s="37" t="n">
        <v>0.791005291005291</v>
      </c>
      <c r="V389" s="37" t="n">
        <v>0.9422355588897224</v>
      </c>
      <c r="W389" s="37" t="n">
        <v>0.8327759197324415</v>
      </c>
    </row>
    <row r="390">
      <c r="A390" s="53" t="n">
        <v>45759</v>
      </c>
      <c r="B390" t="inlineStr">
        <is>
          <t>R02_Sumbagsel</t>
        </is>
      </c>
      <c r="C390" t="inlineStr">
        <is>
          <t>NOP MUARA ENIM</t>
        </is>
      </c>
      <c r="D390" s="36" t="n">
        <v>2.91</v>
      </c>
      <c r="E390" s="36" t="n">
        <v>3.83</v>
      </c>
      <c r="F390" s="36" t="n">
        <v>4.25</v>
      </c>
      <c r="G390" s="36" t="n">
        <v>5.01</v>
      </c>
      <c r="H390" s="37" t="n">
        <v>0.3655984303466318</v>
      </c>
      <c r="I390" s="37" t="n">
        <v>0.2727272727272727</v>
      </c>
      <c r="J390" s="37" t="n">
        <v>0.3859649122807017</v>
      </c>
      <c r="K390" s="37" t="n">
        <v>0.5733333333333334</v>
      </c>
      <c r="L390" s="37" t="n">
        <v>0.5833333333333334</v>
      </c>
      <c r="M390" s="37" t="n">
        <v>0.9810333551340745</v>
      </c>
      <c r="N390" s="37" t="n">
        <v>0.18378024852845</v>
      </c>
      <c r="O390" s="36" t="n">
        <v>0</v>
      </c>
      <c r="P390" s="36" t="n">
        <v>4.87</v>
      </c>
      <c r="Q390" s="36" t="n">
        <v>5.8</v>
      </c>
      <c r="R390" s="36" t="n">
        <v>10.14</v>
      </c>
      <c r="S390" s="36" t="n">
        <v>0</v>
      </c>
      <c r="T390" s="37" t="n">
        <v>0.5087873462214412</v>
      </c>
      <c r="U390" s="37" t="n">
        <v>0.5248826291079812</v>
      </c>
      <c r="V390" s="37" t="n">
        <v>0.574761399787911</v>
      </c>
      <c r="W390" s="37" t="n">
        <v>0.8085867620751341</v>
      </c>
    </row>
    <row r="391">
      <c r="A391" s="53" t="n">
        <v>45759</v>
      </c>
      <c r="B391" t="inlineStr">
        <is>
          <t>R02_Sumbagsel</t>
        </is>
      </c>
      <c r="C391" t="inlineStr">
        <is>
          <t>NOP PALEMBANG</t>
        </is>
      </c>
      <c r="D391" s="36" t="n">
        <v>3.13</v>
      </c>
      <c r="E391" s="36" t="n">
        <v>4.98</v>
      </c>
      <c r="F391" s="36" t="n">
        <v>9.539999999999999</v>
      </c>
      <c r="G391" s="36" t="n">
        <v>9.32</v>
      </c>
      <c r="H391" s="37" t="n">
        <v>0.3200490496627836</v>
      </c>
      <c r="I391" s="37" t="n">
        <v>0.2857142857142857</v>
      </c>
      <c r="J391" s="37" t="n">
        <v>0.3239917976760082</v>
      </c>
      <c r="K391" s="37" t="n">
        <v>0.5416666666666666</v>
      </c>
      <c r="L391" s="37" t="n">
        <v>0.5416666666666666</v>
      </c>
      <c r="M391" s="37" t="n">
        <v>1</v>
      </c>
      <c r="N391" s="37" t="n">
        <v>0.1526670754138565</v>
      </c>
      <c r="O391" s="36" t="n">
        <v>0</v>
      </c>
      <c r="P391" s="36" t="n">
        <v>5.99</v>
      </c>
      <c r="Q391" s="36" t="n">
        <v>10.11</v>
      </c>
      <c r="R391" s="36" t="n">
        <v>7.68</v>
      </c>
      <c r="S391" s="36" t="n">
        <v>0</v>
      </c>
      <c r="T391" s="37" t="n">
        <v>0.283313325330132</v>
      </c>
      <c r="U391" s="37" t="n">
        <v>0.228310502283105</v>
      </c>
      <c r="V391" s="37" t="n">
        <v>0.4160583941605839</v>
      </c>
      <c r="W391" s="37" t="n">
        <v>0.436</v>
      </c>
    </row>
    <row r="392">
      <c r="A392" s="53" t="n">
        <v>45759</v>
      </c>
      <c r="B392" t="inlineStr">
        <is>
          <t>R02_Sumbagsel</t>
        </is>
      </c>
      <c r="C392" t="inlineStr">
        <is>
          <t>NOP PANGKAL PINANG</t>
        </is>
      </c>
      <c r="D392" s="36" t="n">
        <v>2.01</v>
      </c>
      <c r="E392" s="36" t="n">
        <v>2.05</v>
      </c>
      <c r="F392" s="36" t="n">
        <v>5.34</v>
      </c>
      <c r="G392" s="36" t="n">
        <v>7.1</v>
      </c>
      <c r="H392" s="37" t="n">
        <v>0.6650943396226415</v>
      </c>
      <c r="I392" s="37" t="n">
        <v>1</v>
      </c>
      <c r="J392" s="37" t="n">
        <v>0.6519607843137255</v>
      </c>
      <c r="K392" s="37" t="n">
        <v>0.5</v>
      </c>
      <c r="L392" s="37" t="n">
        <v>0.5</v>
      </c>
      <c r="M392" s="37" t="n">
        <v>0.9952830188679245</v>
      </c>
      <c r="N392" s="37" t="n">
        <v>0.3584905660377358</v>
      </c>
      <c r="O392" s="36" t="n">
        <v>0</v>
      </c>
      <c r="P392" s="36" t="n">
        <v>3.32</v>
      </c>
      <c r="Q392" s="36" t="n">
        <v>5.53</v>
      </c>
      <c r="R392" s="36" t="n">
        <v>7.33</v>
      </c>
      <c r="S392" s="36" t="n">
        <v>0</v>
      </c>
      <c r="T392" s="37" t="n">
        <v>0.7980501392757661</v>
      </c>
      <c r="U392" s="37" t="n">
        <v>0.8571428571428571</v>
      </c>
      <c r="V392" s="37" t="n">
        <v>0.8785529715762274</v>
      </c>
      <c r="W392" s="37" t="n">
        <v>0.7456140350877193</v>
      </c>
    </row>
    <row r="393">
      <c r="A393" s="53" t="n">
        <v>45759</v>
      </c>
      <c r="B393" t="inlineStr">
        <is>
          <t>R05_Jawa Tengah DIY</t>
        </is>
      </c>
      <c r="C393" t="inlineStr">
        <is>
          <t>NOP MAGELANG</t>
        </is>
      </c>
      <c r="D393" s="36" t="n">
        <v>5.03</v>
      </c>
      <c r="E393" s="36" t="n">
        <v>0</v>
      </c>
      <c r="F393" s="36" t="n">
        <v>4.53</v>
      </c>
      <c r="G393" s="36" t="n">
        <v>5.16</v>
      </c>
      <c r="H393" s="37" t="n">
        <v>0.7085201793721974</v>
      </c>
      <c r="I393" s="37" t="n">
        <v>0.9565217391304348</v>
      </c>
      <c r="J393" s="37" t="n">
        <v>0.68</v>
      </c>
      <c r="K393" s="37" t="n">
        <v>0.6818181818181818</v>
      </c>
      <c r="L393" s="37" t="n">
        <v>0.6818181818181818</v>
      </c>
      <c r="M393" s="37" t="n">
        <v>1</v>
      </c>
      <c r="N393" s="37" t="n">
        <v>0.6053811659192825</v>
      </c>
      <c r="O393" s="36" t="n">
        <v>0.3</v>
      </c>
      <c r="P393" s="36" t="n">
        <v>8.48</v>
      </c>
      <c r="Q393" s="36" t="n">
        <v>13.78</v>
      </c>
      <c r="R393" s="36" t="n">
        <v>24.39</v>
      </c>
      <c r="S393" s="36" t="n">
        <v>0</v>
      </c>
      <c r="T393" s="37" t="n">
        <v>0.9080779944289693</v>
      </c>
      <c r="U393" s="37" t="n">
        <v>0.8928571428571429</v>
      </c>
      <c r="V393" s="37" t="n">
        <v>0.9108910891089109</v>
      </c>
      <c r="W393" s="37" t="n">
        <v>0.8</v>
      </c>
    </row>
    <row r="394">
      <c r="A394" s="53" t="n">
        <v>45759</v>
      </c>
      <c r="B394" t="inlineStr">
        <is>
          <t>R05_Jawa Tengah DIY</t>
        </is>
      </c>
      <c r="C394" t="inlineStr">
        <is>
          <t>NOP PEKALONGAN</t>
        </is>
      </c>
      <c r="D394" s="36" t="n">
        <v>3.93</v>
      </c>
      <c r="E394" s="36" t="n">
        <v>0</v>
      </c>
      <c r="F394" s="36" t="n">
        <v>3.42</v>
      </c>
      <c r="G394" s="36" t="n">
        <v>3.24</v>
      </c>
      <c r="H394" s="37" t="n">
        <v>0.6172839506172839</v>
      </c>
      <c r="I394" s="37" t="n">
        <v>0.9230769230769231</v>
      </c>
      <c r="J394" s="37" t="n">
        <v>0.5906040268456376</v>
      </c>
      <c r="K394" s="37" t="n">
        <v>1</v>
      </c>
      <c r="L394" s="37" t="n">
        <v>1</v>
      </c>
      <c r="M394" s="37" t="n">
        <v>0.9814814814814815</v>
      </c>
      <c r="N394" s="37" t="n">
        <v>0.6419753086419753</v>
      </c>
      <c r="O394" s="36" t="n">
        <v>0</v>
      </c>
      <c r="P394" s="36" t="n">
        <v>2.9</v>
      </c>
      <c r="Q394" s="36" t="n">
        <v>5.86</v>
      </c>
      <c r="R394" s="36" t="n">
        <v>53.49</v>
      </c>
      <c r="S394" s="36" t="n">
        <v>0</v>
      </c>
      <c r="T394" s="37" t="n">
        <v>0.8471760797342193</v>
      </c>
      <c r="U394" s="37" t="n">
        <v>0.7638888888888888</v>
      </c>
      <c r="V394" s="37" t="n">
        <v>0.8733624454148472</v>
      </c>
      <c r="W394" s="37" t="n">
        <v>0.7090909090909091</v>
      </c>
    </row>
    <row r="395">
      <c r="A395" s="53" t="n">
        <v>45759</v>
      </c>
      <c r="B395" t="inlineStr">
        <is>
          <t>R05_Jawa Tengah DIY</t>
        </is>
      </c>
      <c r="C395" t="inlineStr">
        <is>
          <t>NOP PURWOKERTO</t>
        </is>
      </c>
      <c r="D395" s="36" t="n">
        <v>2.1</v>
      </c>
      <c r="E395" s="36" t="n">
        <v>0</v>
      </c>
      <c r="F395" s="36" t="n">
        <v>3.41</v>
      </c>
      <c r="G395" s="36" t="n">
        <v>4.37</v>
      </c>
      <c r="H395" s="37" t="n">
        <v>0.8229665071770335</v>
      </c>
      <c r="I395" s="37" t="n">
        <v>0.7142857142857143</v>
      </c>
      <c r="J395" s="37" t="n">
        <v>0.8351063829787234</v>
      </c>
      <c r="K395" s="37" t="n">
        <v>1</v>
      </c>
      <c r="L395" s="37" t="n">
        <v>1</v>
      </c>
      <c r="M395" s="37" t="n">
        <v>0.9712918660287081</v>
      </c>
      <c r="N395" s="37" t="n">
        <v>0.5598086124401914</v>
      </c>
      <c r="O395" s="36" t="n">
        <v>0.31</v>
      </c>
      <c r="P395" s="36" t="n">
        <v>3.78</v>
      </c>
      <c r="Q395" s="36" t="n">
        <v>8.859999999999999</v>
      </c>
      <c r="R395" s="36" t="n">
        <v>49.26</v>
      </c>
      <c r="S395" s="36" t="n">
        <v>0</v>
      </c>
      <c r="T395" s="37" t="n">
        <v>0.7845117845117845</v>
      </c>
      <c r="U395" s="37" t="n">
        <v>0.7808219178082192</v>
      </c>
      <c r="V395" s="37" t="n">
        <v>0.7857142857142857</v>
      </c>
      <c r="W395" s="37" t="n">
        <v>0.7368421052631579</v>
      </c>
    </row>
    <row r="396">
      <c r="A396" s="53" t="n">
        <v>45759</v>
      </c>
      <c r="B396" t="inlineStr">
        <is>
          <t>R05_Jawa Tengah DIY</t>
        </is>
      </c>
      <c r="C396" t="inlineStr">
        <is>
          <t>NOP SEMARANG</t>
        </is>
      </c>
      <c r="D396" s="36" t="n">
        <v>2.91</v>
      </c>
      <c r="E396" s="36" t="n">
        <v>1.7</v>
      </c>
      <c r="F396" s="36" t="n">
        <v>2.57</v>
      </c>
      <c r="G396" s="36" t="n">
        <v>3.25</v>
      </c>
      <c r="H396" s="37" t="n">
        <v>0.4722222222222222</v>
      </c>
      <c r="I396" s="37" t="n">
        <v>0.5454545454545454</v>
      </c>
      <c r="J396" s="37" t="n">
        <v>0.4639175257731959</v>
      </c>
      <c r="K396" s="37" t="n">
        <v>1</v>
      </c>
      <c r="L396" s="37" t="n">
        <v>1</v>
      </c>
      <c r="M396" s="37" t="n">
        <v>0.9629629629629629</v>
      </c>
      <c r="N396" s="37" t="n">
        <v>0.3194444444444444</v>
      </c>
      <c r="O396" s="36" t="n">
        <v>0</v>
      </c>
      <c r="P396" s="36" t="n">
        <v>2.56</v>
      </c>
      <c r="Q396" s="36" t="n">
        <v>13.9</v>
      </c>
      <c r="R396" s="36" t="n">
        <v>71.95999999999999</v>
      </c>
      <c r="S396" s="36" t="n">
        <v>0</v>
      </c>
      <c r="T396" s="37" t="n">
        <v>0.6747787610619469</v>
      </c>
      <c r="U396" s="37" t="n">
        <v>0.3355704697986577</v>
      </c>
      <c r="V396" s="37" t="n">
        <v>0.8415841584158416</v>
      </c>
      <c r="W396" s="37" t="n">
        <v>0.88</v>
      </c>
    </row>
    <row r="397">
      <c r="A397" s="53" t="n">
        <v>45759</v>
      </c>
      <c r="B397" t="inlineStr">
        <is>
          <t>R05_Jawa Tengah DIY</t>
        </is>
      </c>
      <c r="C397" t="inlineStr">
        <is>
          <t>NOP SURAKARTA</t>
        </is>
      </c>
      <c r="D397" s="36" t="n">
        <v>5</v>
      </c>
      <c r="E397" s="36" t="n">
        <v>2.15</v>
      </c>
      <c r="F397" s="36" t="n">
        <v>2.8</v>
      </c>
      <c r="G397" s="36" t="n">
        <v>4.42</v>
      </c>
      <c r="H397" s="37" t="n">
        <v>0.6552901023890785</v>
      </c>
      <c r="I397" s="37" t="n">
        <v>0.8529411764705882</v>
      </c>
      <c r="J397" s="37" t="n">
        <v>0.6293436293436293</v>
      </c>
      <c r="K397" s="37" t="n">
        <v>0.9310344827586207</v>
      </c>
      <c r="L397" s="37" t="n">
        <v>0.9310344827586207</v>
      </c>
      <c r="M397" s="37" t="n">
        <v>0.9761092150170648</v>
      </c>
      <c r="N397" s="37" t="n">
        <v>0.4812286689419795</v>
      </c>
      <c r="O397" s="36" t="n">
        <v>0.14</v>
      </c>
      <c r="P397" s="36" t="n">
        <v>3.69</v>
      </c>
      <c r="Q397" s="36" t="n">
        <v>11.64</v>
      </c>
      <c r="R397" s="36" t="n">
        <v>72.38</v>
      </c>
      <c r="S397" s="36" t="n">
        <v>0</v>
      </c>
      <c r="T397" s="37" t="n">
        <v>0.7758241758241758</v>
      </c>
      <c r="U397" s="37" t="n">
        <v>0.7050359712230215</v>
      </c>
      <c r="V397" s="37" t="n">
        <v>0.8069620253164557</v>
      </c>
      <c r="W397" s="37" t="n">
        <v>0.7755102040816326</v>
      </c>
    </row>
    <row r="398">
      <c r="A398" s="53" t="n">
        <v>45759</v>
      </c>
      <c r="B398" t="inlineStr">
        <is>
          <t>R05_Jawa Tengah DIY</t>
        </is>
      </c>
      <c r="C398" t="inlineStr">
        <is>
          <t>NOP YOGYAKARTA</t>
        </is>
      </c>
      <c r="D398" s="36" t="n">
        <v>2.93</v>
      </c>
      <c r="E398" s="36" t="n">
        <v>0</v>
      </c>
      <c r="F398" s="36" t="n">
        <v>3.66</v>
      </c>
      <c r="G398" s="36" t="n">
        <v>4.14</v>
      </c>
      <c r="H398" s="37" t="n">
        <v>0.6586345381526104</v>
      </c>
      <c r="I398" s="37" t="n">
        <v>0.9411764705882353</v>
      </c>
      <c r="J398" s="37" t="n">
        <v>0.6379310344827587</v>
      </c>
      <c r="K398" s="37" t="n">
        <v>0.875</v>
      </c>
      <c r="L398" s="37" t="n">
        <v>0.8571428571428571</v>
      </c>
      <c r="M398" s="37" t="n">
        <v>0.9919678714859438</v>
      </c>
      <c r="N398" s="37" t="n">
        <v>0.4377510040160643</v>
      </c>
      <c r="O398" s="36" t="n">
        <v>0</v>
      </c>
      <c r="P398" s="36" t="n">
        <v>3.03</v>
      </c>
      <c r="Q398" s="36" t="n">
        <v>15.42</v>
      </c>
      <c r="R398" s="36" t="n">
        <v>44.54</v>
      </c>
      <c r="S398" s="36" t="n">
        <v>0</v>
      </c>
      <c r="T398" s="37" t="n">
        <v>0.9281553398058252</v>
      </c>
      <c r="U398" s="37" t="n">
        <v>0.8444444444444444</v>
      </c>
      <c r="V398" s="37" t="n">
        <v>0.9458823529411765</v>
      </c>
      <c r="W398" s="37" t="n">
        <v>0.9868421052631579</v>
      </c>
    </row>
    <row r="399">
      <c r="A399" s="53" t="n">
        <v>45759</v>
      </c>
      <c r="B399" t="inlineStr">
        <is>
          <t>R06_Jawa Timur</t>
        </is>
      </c>
      <c r="C399" t="inlineStr">
        <is>
          <t>NOP JEMBER</t>
        </is>
      </c>
      <c r="D399" s="36" t="n">
        <v>2.1</v>
      </c>
      <c r="E399" s="36" t="n">
        <v>2.64</v>
      </c>
      <c r="F399" s="36" t="n">
        <v>4.59</v>
      </c>
      <c r="G399" s="36" t="n">
        <v>4.66</v>
      </c>
      <c r="H399" s="37" t="n">
        <v>0.7030567685589519</v>
      </c>
      <c r="I399" s="37" t="n">
        <v>0.7142857142857143</v>
      </c>
      <c r="J399" s="37" t="n">
        <v>0.7019230769230769</v>
      </c>
      <c r="K399" s="37" t="n">
        <v>0.7333333333333333</v>
      </c>
      <c r="L399" s="37" t="n">
        <v>0.7333333333333333</v>
      </c>
      <c r="M399" s="37" t="n">
        <v>0.9912663755458515</v>
      </c>
      <c r="N399" s="37" t="n">
        <v>0.3406113537117904</v>
      </c>
      <c r="O399" s="36" t="n">
        <v>0</v>
      </c>
      <c r="P399" s="36" t="n">
        <v>2.71</v>
      </c>
      <c r="Q399" s="36" t="n">
        <v>4.76</v>
      </c>
      <c r="R399" s="36" t="n">
        <v>113.87</v>
      </c>
      <c r="S399" s="36" t="n">
        <v>0</v>
      </c>
      <c r="T399" s="37" t="n">
        <v>0.79375</v>
      </c>
      <c r="U399" s="37" t="n">
        <v>0.7466666666666667</v>
      </c>
      <c r="V399" s="37" t="n">
        <v>0.8081632653061225</v>
      </c>
      <c r="W399" s="37" t="n">
        <v>0.7321428571428571</v>
      </c>
    </row>
    <row r="400">
      <c r="A400" s="53" t="n">
        <v>45759</v>
      </c>
      <c r="B400" t="inlineStr">
        <is>
          <t>R06_Jawa Timur</t>
        </is>
      </c>
      <c r="C400" t="inlineStr">
        <is>
          <t>NOP KEDIRI</t>
        </is>
      </c>
      <c r="D400" s="36" t="n">
        <v>1.15</v>
      </c>
      <c r="E400" s="36" t="n">
        <v>0.7</v>
      </c>
      <c r="F400" s="36" t="n">
        <v>2.21</v>
      </c>
      <c r="G400" s="36" t="n">
        <v>1.95</v>
      </c>
      <c r="H400" s="37" t="n">
        <v>0.8571428571428571</v>
      </c>
      <c r="I400" s="37" t="n">
        <v>0.75</v>
      </c>
      <c r="J400" s="37" t="n">
        <v>0.8611111111111112</v>
      </c>
      <c r="K400" s="37" t="n">
        <v>0.6666666666666666</v>
      </c>
      <c r="L400" s="37" t="n">
        <v>0.6666666666666666</v>
      </c>
      <c r="M400" s="37" t="n">
        <v>1</v>
      </c>
      <c r="N400" s="37" t="n">
        <v>0.5803571428571429</v>
      </c>
      <c r="O400" s="36" t="n">
        <v>0</v>
      </c>
      <c r="P400" s="36" t="n">
        <v>2.03</v>
      </c>
      <c r="Q400" s="36" t="n">
        <v>3.53</v>
      </c>
      <c r="R400" s="36" t="n">
        <v>13.53</v>
      </c>
      <c r="S400" s="36" t="n">
        <v>0</v>
      </c>
      <c r="T400" s="37" t="n">
        <v>0.9606741573033708</v>
      </c>
      <c r="U400" s="37" t="n">
        <v>0.9</v>
      </c>
      <c r="V400" s="37" t="n">
        <v>0.9782608695652174</v>
      </c>
      <c r="W400" s="37" t="n">
        <v>0.8611111111111112</v>
      </c>
    </row>
    <row r="401">
      <c r="A401" s="53" t="n">
        <v>45759</v>
      </c>
      <c r="B401" t="inlineStr">
        <is>
          <t>R06_Jawa Timur</t>
        </is>
      </c>
      <c r="C401" t="inlineStr">
        <is>
          <t>NOP LAMONGAN</t>
        </is>
      </c>
      <c r="D401" s="36" t="n">
        <v>2.04</v>
      </c>
      <c r="E401" s="36" t="n">
        <v>1.01</v>
      </c>
      <c r="F401" s="36" t="n">
        <v>3.21</v>
      </c>
      <c r="G401" s="36" t="n">
        <v>2.2</v>
      </c>
      <c r="H401" s="37" t="n">
        <v>0.7752808988764045</v>
      </c>
      <c r="I401" s="37" t="n">
        <v>1</v>
      </c>
      <c r="J401" s="37" t="n">
        <v>0.7530864197530864</v>
      </c>
      <c r="K401" s="37" t="n">
        <v>0.875</v>
      </c>
      <c r="L401" s="37" t="n">
        <v>0.875</v>
      </c>
      <c r="M401" s="37" t="n">
        <v>1</v>
      </c>
      <c r="N401" s="37" t="n">
        <v>0.6966292134831461</v>
      </c>
      <c r="O401" s="36" t="n">
        <v>0</v>
      </c>
      <c r="P401" s="36" t="n">
        <v>2.35</v>
      </c>
      <c r="Q401" s="36" t="n">
        <v>8.720000000000001</v>
      </c>
      <c r="R401" s="36" t="n">
        <v>29.24</v>
      </c>
      <c r="S401" s="36" t="n">
        <v>0</v>
      </c>
      <c r="T401" s="37" t="n">
        <v>0.7457627118644068</v>
      </c>
      <c r="U401" s="37" t="n">
        <v>0.660377358490566</v>
      </c>
      <c r="V401" s="37" t="n">
        <v>0.8153846153846154</v>
      </c>
      <c r="W401" s="37" t="n">
        <v>0.8285714285714286</v>
      </c>
    </row>
    <row r="402">
      <c r="A402" s="53" t="n">
        <v>45759</v>
      </c>
      <c r="B402" t="inlineStr">
        <is>
          <t>R06_Jawa Timur</t>
        </is>
      </c>
      <c r="C402" t="inlineStr">
        <is>
          <t>NOP MADIUN</t>
        </is>
      </c>
      <c r="D402" s="36" t="n">
        <v>0</v>
      </c>
      <c r="E402" s="36" t="n">
        <v>0</v>
      </c>
      <c r="F402" s="36" t="n">
        <v>2.7</v>
      </c>
      <c r="G402" s="36" t="n">
        <v>3.55</v>
      </c>
      <c r="H402" s="37" t="n">
        <v>0.6347826086956522</v>
      </c>
      <c r="I402" s="37" t="n">
        <v>0</v>
      </c>
      <c r="J402" s="37" t="n">
        <v>0.6347826086956522</v>
      </c>
      <c r="K402" s="37" t="n">
        <v>0</v>
      </c>
      <c r="L402" s="37" t="n">
        <v>0</v>
      </c>
      <c r="M402" s="37" t="n">
        <v>1</v>
      </c>
      <c r="N402" s="37" t="n">
        <v>0.3739130434782609</v>
      </c>
      <c r="O402" s="36" t="n">
        <v>0</v>
      </c>
      <c r="P402" s="36" t="n">
        <v>2.53</v>
      </c>
      <c r="Q402" s="36" t="n">
        <v>6.41</v>
      </c>
      <c r="R402" s="36" t="n">
        <v>11.58</v>
      </c>
      <c r="S402" s="36" t="n">
        <v>0</v>
      </c>
      <c r="T402" s="37" t="n">
        <v>0.6581632653061225</v>
      </c>
      <c r="U402" s="37" t="n">
        <v>0.6805555555555556</v>
      </c>
      <c r="V402" s="37" t="n">
        <v>0.6451612903225806</v>
      </c>
      <c r="W402" s="37" t="n">
        <v>0.7142857142857143</v>
      </c>
    </row>
    <row r="403">
      <c r="A403" s="53" t="n">
        <v>45759</v>
      </c>
      <c r="B403" t="inlineStr">
        <is>
          <t>R06_Jawa Timur</t>
        </is>
      </c>
      <c r="C403" t="inlineStr">
        <is>
          <t>NOP MALANG</t>
        </is>
      </c>
      <c r="D403" s="36" t="n">
        <v>1.19</v>
      </c>
      <c r="E403" s="36" t="n">
        <v>0</v>
      </c>
      <c r="F403" s="36" t="n">
        <v>2.88</v>
      </c>
      <c r="G403" s="36" t="n">
        <v>2.34</v>
      </c>
      <c r="H403" s="37" t="n">
        <v>0.8375</v>
      </c>
      <c r="I403" s="37" t="n">
        <v>0.5</v>
      </c>
      <c r="J403" s="37" t="n">
        <v>0.8417721518987342</v>
      </c>
      <c r="K403" s="37" t="n">
        <v>1</v>
      </c>
      <c r="L403" s="37" t="n">
        <v>1</v>
      </c>
      <c r="M403" s="37" t="n">
        <v>1</v>
      </c>
      <c r="N403" s="37" t="n">
        <v>0.7875</v>
      </c>
      <c r="O403" s="36" t="n">
        <v>0.02</v>
      </c>
      <c r="P403" s="36" t="n">
        <v>3</v>
      </c>
      <c r="Q403" s="36" t="n">
        <v>4.75</v>
      </c>
      <c r="R403" s="36" t="n">
        <v>63.3</v>
      </c>
      <c r="S403" s="36" t="n">
        <v>0</v>
      </c>
      <c r="T403" s="37" t="n">
        <v>0.75</v>
      </c>
      <c r="U403" s="37" t="n">
        <v>0.6041666666666666</v>
      </c>
      <c r="V403" s="37" t="n">
        <v>0.8472222222222222</v>
      </c>
      <c r="W403" s="37" t="n">
        <v>0.6206896551724138</v>
      </c>
    </row>
    <row r="404">
      <c r="A404" s="53" t="n">
        <v>45759</v>
      </c>
      <c r="B404" t="inlineStr">
        <is>
          <t>R06_Jawa Timur</t>
        </is>
      </c>
      <c r="C404" t="inlineStr">
        <is>
          <t>NOP SIDOARJO</t>
        </is>
      </c>
      <c r="D404" s="36" t="n">
        <v>3.47</v>
      </c>
      <c r="E404" s="36" t="n">
        <v>6.27</v>
      </c>
      <c r="F404" s="36" t="n">
        <v>3.02</v>
      </c>
      <c r="G404" s="36" t="n">
        <v>4</v>
      </c>
      <c r="H404" s="37" t="n">
        <v>0.62</v>
      </c>
      <c r="I404" s="37" t="n">
        <v>0.9444444444444444</v>
      </c>
      <c r="J404" s="37" t="n">
        <v>0.5757575757575758</v>
      </c>
      <c r="K404" s="37" t="n">
        <v>0.9411764705882353</v>
      </c>
      <c r="L404" s="37" t="n">
        <v>0.9411764705882353</v>
      </c>
      <c r="M404" s="37" t="n">
        <v>0.9733333333333334</v>
      </c>
      <c r="N404" s="37" t="n">
        <v>0.44</v>
      </c>
      <c r="O404" s="36" t="n">
        <v>0</v>
      </c>
      <c r="P404" s="36" t="n">
        <v>14.9</v>
      </c>
      <c r="Q404" s="36" t="n">
        <v>11.6</v>
      </c>
      <c r="R404" s="36" t="n">
        <v>84.17</v>
      </c>
      <c r="S404" s="36" t="n">
        <v>0</v>
      </c>
      <c r="T404" s="37" t="n">
        <v>0.7167630057803468</v>
      </c>
      <c r="U404" s="37" t="n">
        <v>0.45</v>
      </c>
      <c r="V404" s="37" t="n">
        <v>0.7969924812030075</v>
      </c>
      <c r="W404" s="37" t="n">
        <v>0.5</v>
      </c>
    </row>
    <row r="405">
      <c r="A405" s="53" t="n">
        <v>45759</v>
      </c>
      <c r="B405" t="inlineStr">
        <is>
          <t>R06_Jawa Timur</t>
        </is>
      </c>
      <c r="C405" t="inlineStr">
        <is>
          <t>NOP SURABAYA</t>
        </is>
      </c>
      <c r="D405" s="36" t="n">
        <v>2.68</v>
      </c>
      <c r="E405" s="36" t="n">
        <v>0</v>
      </c>
      <c r="F405" s="36" t="n">
        <v>4.5</v>
      </c>
      <c r="G405" s="36" t="n">
        <v>2.79</v>
      </c>
      <c r="H405" s="37" t="n">
        <v>0.4903846153846154</v>
      </c>
      <c r="I405" s="37" t="n">
        <v>0.2608695652173913</v>
      </c>
      <c r="J405" s="37" t="n">
        <v>0.5189189189189189</v>
      </c>
      <c r="K405" s="37" t="n">
        <v>1</v>
      </c>
      <c r="L405" s="37" t="n">
        <v>1</v>
      </c>
      <c r="M405" s="37" t="n">
        <v>0.9711538461538461</v>
      </c>
      <c r="N405" s="37" t="n">
        <v>0.3461538461538461</v>
      </c>
      <c r="O405" s="36" t="n">
        <v>0.04</v>
      </c>
      <c r="P405" s="36" t="n">
        <v>3.4</v>
      </c>
      <c r="Q405" s="36" t="n">
        <v>8.02</v>
      </c>
      <c r="R405" s="36" t="n">
        <v>24.72</v>
      </c>
      <c r="S405" s="36" t="n">
        <v>0</v>
      </c>
      <c r="T405" s="37" t="n">
        <v>0.6272040302267002</v>
      </c>
      <c r="U405" s="37" t="n">
        <v>0.3958333333333333</v>
      </c>
      <c r="V405" s="37" t="n">
        <v>0.6590257879656161</v>
      </c>
      <c r="W405" s="37" t="n">
        <v>0.631578947368421</v>
      </c>
    </row>
    <row r="406">
      <c r="A406" s="53" t="n">
        <v>45759</v>
      </c>
      <c r="B406" t="inlineStr">
        <is>
          <t>R07_Bali Nusra</t>
        </is>
      </c>
      <c r="C406" t="inlineStr">
        <is>
          <t>NOP DENPASAR</t>
        </is>
      </c>
      <c r="D406" s="36" t="n">
        <v>3.74</v>
      </c>
      <c r="E406" s="36" t="n">
        <v>0</v>
      </c>
      <c r="F406" s="36" t="n">
        <v>5.36</v>
      </c>
      <c r="G406" s="36" t="n">
        <v>4.6</v>
      </c>
      <c r="H406" s="37" t="n">
        <v>0.8888888888888888</v>
      </c>
      <c r="I406" s="37" t="n">
        <v>0.8787878787878788</v>
      </c>
      <c r="J406" s="37" t="n">
        <v>0.8914728682170543</v>
      </c>
      <c r="K406" s="37" t="n">
        <v>0.9310344827586207</v>
      </c>
      <c r="L406" s="37" t="n">
        <v>0.9310344827586207</v>
      </c>
      <c r="M406" s="37" t="n">
        <v>0.9629629629629629</v>
      </c>
      <c r="N406" s="37" t="n">
        <v>0.8641975308641975</v>
      </c>
      <c r="O406" s="36" t="n">
        <v>0</v>
      </c>
      <c r="P406" s="36" t="n">
        <v>235.55</v>
      </c>
      <c r="Q406" s="36" t="n">
        <v>25.5</v>
      </c>
      <c r="R406" s="36" t="n">
        <v>87.62</v>
      </c>
      <c r="S406" s="36" t="n">
        <v>0</v>
      </c>
      <c r="T406" s="37" t="n">
        <v>0.8528301886792453</v>
      </c>
      <c r="U406" s="37" t="n">
        <v>0.7843137254901961</v>
      </c>
      <c r="V406" s="37" t="n">
        <v>0.8691588785046729</v>
      </c>
      <c r="W406" s="37" t="n">
        <v>0.4</v>
      </c>
    </row>
    <row r="407">
      <c r="A407" s="53" t="n">
        <v>45759</v>
      </c>
      <c r="B407" t="inlineStr">
        <is>
          <t>R07_Bali Nusra</t>
        </is>
      </c>
      <c r="C407" t="inlineStr">
        <is>
          <t>NOP FLORES</t>
        </is>
      </c>
      <c r="D407" s="36" t="n">
        <v>8.99</v>
      </c>
      <c r="E407" s="36" t="n">
        <v>6.05</v>
      </c>
      <c r="F407" s="36" t="n">
        <v>9.050000000000001</v>
      </c>
      <c r="G407" s="36" t="n">
        <v>9.31</v>
      </c>
      <c r="H407" s="37" t="n">
        <v>0.4266666666666667</v>
      </c>
      <c r="I407" s="37" t="n">
        <v>0.5425531914893617</v>
      </c>
      <c r="J407" s="37" t="n">
        <v>0.3879003558718861</v>
      </c>
      <c r="K407" s="37" t="n">
        <v>0.6470588235294118</v>
      </c>
      <c r="L407" s="37" t="n">
        <v>0.6470588235294118</v>
      </c>
      <c r="M407" s="37" t="n">
        <v>0.984</v>
      </c>
      <c r="N407" s="37" t="n">
        <v>0.2533333333333334</v>
      </c>
      <c r="O407" s="36" t="n">
        <v>0.17</v>
      </c>
      <c r="P407" s="36" t="n">
        <v>13.4</v>
      </c>
      <c r="Q407" s="36" t="n">
        <v>9.56</v>
      </c>
      <c r="R407" s="36" t="n">
        <v>48.62</v>
      </c>
      <c r="S407" s="36" t="n">
        <v>0</v>
      </c>
      <c r="T407" s="37" t="n">
        <v>0.4373156342182891</v>
      </c>
      <c r="U407" s="37" t="n">
        <v>0.479296066252588</v>
      </c>
      <c r="V407" s="37" t="n">
        <v>0.3333333333333333</v>
      </c>
      <c r="W407" s="37" t="n">
        <v>0.6501079913606912</v>
      </c>
    </row>
    <row r="408">
      <c r="A408" s="53" t="n">
        <v>45759</v>
      </c>
      <c r="B408" t="inlineStr">
        <is>
          <t>R07_Bali Nusra</t>
        </is>
      </c>
      <c r="C408" t="inlineStr">
        <is>
          <t>NOP KUPANG</t>
        </is>
      </c>
      <c r="D408" s="36" t="n">
        <v>1.18</v>
      </c>
      <c r="E408" s="36" t="n">
        <v>2.82</v>
      </c>
      <c r="F408" s="36" t="n">
        <v>3.84</v>
      </c>
      <c r="G408" s="36" t="n">
        <v>6.46</v>
      </c>
      <c r="H408" s="37" t="n">
        <v>0.5778210116731517</v>
      </c>
      <c r="I408" s="37" t="n">
        <v>0.59375</v>
      </c>
      <c r="J408" s="37" t="n">
        <v>0.5755555555555556</v>
      </c>
      <c r="K408" s="37" t="n">
        <v>0.6052631578947368</v>
      </c>
      <c r="L408" s="37" t="n">
        <v>0.6052631578947368</v>
      </c>
      <c r="M408" s="37" t="n">
        <v>0.9902723735408561</v>
      </c>
      <c r="N408" s="37" t="n">
        <v>0.1945525291828794</v>
      </c>
      <c r="O408" s="36" t="n">
        <v>0.12</v>
      </c>
      <c r="P408" s="36" t="n">
        <v>13.39</v>
      </c>
      <c r="Q408" s="36" t="n">
        <v>16.24</v>
      </c>
      <c r="R408" s="36" t="n">
        <v>343.96</v>
      </c>
      <c r="S408" s="36" t="n">
        <v>0</v>
      </c>
      <c r="T408" s="37" t="n">
        <v>0.6177285318559557</v>
      </c>
      <c r="U408" s="37" t="n">
        <v>0.6447963800904978</v>
      </c>
      <c r="V408" s="37" t="n">
        <v>0.575</v>
      </c>
      <c r="W408" s="37" t="n">
        <v>0.6175438596491228</v>
      </c>
    </row>
    <row r="409">
      <c r="A409" s="53" t="n">
        <v>45759</v>
      </c>
      <c r="B409" t="inlineStr">
        <is>
          <t>R07_Bali Nusra</t>
        </is>
      </c>
      <c r="C409" t="inlineStr">
        <is>
          <t>NOP MATARAM</t>
        </is>
      </c>
      <c r="D409" s="36" t="n">
        <v>1.28</v>
      </c>
      <c r="E409" s="36" t="n">
        <v>6.25</v>
      </c>
      <c r="F409" s="36" t="n">
        <v>5.3</v>
      </c>
      <c r="G409" s="36" t="n">
        <v>6.1</v>
      </c>
      <c r="H409" s="37" t="n">
        <v>0.4471153846153846</v>
      </c>
      <c r="I409" s="37" t="n">
        <v>0.6666666666666666</v>
      </c>
      <c r="J409" s="37" t="n">
        <v>0.4143646408839779</v>
      </c>
      <c r="K409" s="37" t="n">
        <v>0.7777777777777778</v>
      </c>
      <c r="L409" s="37" t="n">
        <v>0.7777777777777778</v>
      </c>
      <c r="M409" s="37" t="n">
        <v>1</v>
      </c>
      <c r="N409" s="37" t="n">
        <v>0.2980769230769231</v>
      </c>
      <c r="O409" s="36" t="n">
        <v>0.02</v>
      </c>
      <c r="P409" s="36" t="n">
        <v>24.8</v>
      </c>
      <c r="Q409" s="36" t="n">
        <v>9.9</v>
      </c>
      <c r="R409" s="36" t="n">
        <v>25.52</v>
      </c>
      <c r="S409" s="36" t="n">
        <v>0</v>
      </c>
      <c r="T409" s="37" t="n">
        <v>0.2981878088962109</v>
      </c>
      <c r="U409" s="37" t="n">
        <v>0.3050314465408805</v>
      </c>
      <c r="V409" s="37" t="n">
        <v>0.2906574394463668</v>
      </c>
      <c r="W409" s="37" t="n">
        <v>0.5670103092783505</v>
      </c>
    </row>
    <row r="410">
      <c r="A410" s="53" t="n">
        <v>45760</v>
      </c>
      <c r="B410" t="inlineStr">
        <is>
          <t>R01_Sumbagut</t>
        </is>
      </c>
      <c r="C410" t="inlineStr">
        <is>
          <t>NOP ACEH</t>
        </is>
      </c>
      <c r="D410" s="36" t="n">
        <v>1.88</v>
      </c>
      <c r="E410" s="36" t="n">
        <v>4.67</v>
      </c>
      <c r="F410" s="36" t="n">
        <v>11.82</v>
      </c>
      <c r="G410" s="36" t="n">
        <v>14.81</v>
      </c>
      <c r="H410" s="37" t="n">
        <v>0.8455284552845529</v>
      </c>
      <c r="I410" s="37" t="n">
        <v>0.8698224852071006</v>
      </c>
      <c r="J410" s="37" t="n">
        <v>0.8363228699551569</v>
      </c>
      <c r="K410" s="37" t="n">
        <v>0.3775510204081632</v>
      </c>
      <c r="L410" s="37" t="n">
        <v>0.3801369863013699</v>
      </c>
      <c r="M410" s="37" t="n">
        <v>1</v>
      </c>
      <c r="N410" s="37" t="n">
        <v>0.2878048780487805</v>
      </c>
      <c r="O410" s="36" t="n">
        <v>0.06</v>
      </c>
      <c r="P410" s="36" t="n">
        <v>5.1</v>
      </c>
      <c r="Q410" s="36" t="n">
        <v>66.25</v>
      </c>
      <c r="R410" s="36" t="n">
        <v>122.86</v>
      </c>
      <c r="S410" s="36" t="n">
        <v>0</v>
      </c>
      <c r="T410" s="37" t="n">
        <v>0.8747115828334102</v>
      </c>
      <c r="U410" s="37" t="n">
        <v>0.72</v>
      </c>
      <c r="V410" s="37" t="n">
        <v>0.8995227995758218</v>
      </c>
      <c r="W410" s="37" t="n">
        <v>0.2045454545454546</v>
      </c>
    </row>
    <row r="411">
      <c r="A411" s="53" t="n">
        <v>45760</v>
      </c>
      <c r="B411" t="inlineStr">
        <is>
          <t>R01_Sumbagut</t>
        </is>
      </c>
      <c r="C411" t="inlineStr">
        <is>
          <t>NOP BINJAI</t>
        </is>
      </c>
      <c r="D411" s="36" t="n">
        <v>0</v>
      </c>
      <c r="E411" s="36" t="n">
        <v>5.45</v>
      </c>
      <c r="F411" s="36" t="n">
        <v>3.32</v>
      </c>
      <c r="G411" s="36" t="n">
        <v>4.33</v>
      </c>
      <c r="H411" s="37" t="n">
        <v>0.574108818011257</v>
      </c>
      <c r="I411" s="37" t="n">
        <v>0.6771653543307087</v>
      </c>
      <c r="J411" s="37" t="n">
        <v>0.541871921182266</v>
      </c>
      <c r="K411" s="37" t="n">
        <v>0.4534883720930232</v>
      </c>
      <c r="L411" s="37" t="n">
        <v>0.4534883720930232</v>
      </c>
      <c r="M411" s="37" t="n">
        <v>1</v>
      </c>
      <c r="N411" s="37" t="n">
        <v>0.2870544090056285</v>
      </c>
      <c r="O411" s="36" t="n">
        <v>0.02</v>
      </c>
      <c r="P411" s="36" t="n">
        <v>2.74</v>
      </c>
      <c r="Q411" s="36" t="n">
        <v>39.1</v>
      </c>
      <c r="R411" s="36" t="n">
        <v>115.86</v>
      </c>
      <c r="S411" s="36" t="n">
        <v>0</v>
      </c>
      <c r="T411" s="37" t="n">
        <v>0.6270888302550571</v>
      </c>
      <c r="U411" s="37" t="n">
        <v>0.569811320754717</v>
      </c>
      <c r="V411" s="37" t="n">
        <v>0.6511350059737157</v>
      </c>
      <c r="W411" s="37" t="n">
        <v>0.4370860927152318</v>
      </c>
    </row>
    <row r="412">
      <c r="A412" s="53" t="n">
        <v>45760</v>
      </c>
      <c r="B412" t="inlineStr">
        <is>
          <t>R01_Sumbagut</t>
        </is>
      </c>
      <c r="C412" t="inlineStr">
        <is>
          <t>NOP MEDAN</t>
        </is>
      </c>
      <c r="D412" s="36" t="n">
        <v>2.66</v>
      </c>
      <c r="E412" s="36" t="n">
        <v>4.15</v>
      </c>
      <c r="F412" s="36" t="n">
        <v>3.92</v>
      </c>
      <c r="G412" s="36" t="n">
        <v>4.99</v>
      </c>
      <c r="H412" s="37" t="n">
        <v>0.4186046511627907</v>
      </c>
      <c r="I412" s="37" t="n">
        <v>0.4765625</v>
      </c>
      <c r="J412" s="37" t="n">
        <v>0.3971014492753623</v>
      </c>
      <c r="K412" s="37" t="n">
        <v>0.7704918032786885</v>
      </c>
      <c r="L412" s="37" t="n">
        <v>0.7704918032786885</v>
      </c>
      <c r="M412" s="37" t="n">
        <v>1</v>
      </c>
      <c r="N412" s="37" t="n">
        <v>0.2621564482029599</v>
      </c>
      <c r="O412" s="36" t="n">
        <v>0</v>
      </c>
      <c r="P412" s="36" t="n">
        <v>3.61</v>
      </c>
      <c r="Q412" s="36" t="n">
        <v>16.35</v>
      </c>
      <c r="R412" s="36" t="n">
        <v>16.07</v>
      </c>
      <c r="S412" s="36" t="n">
        <v>0</v>
      </c>
      <c r="T412" s="37" t="n">
        <v>0.2846715328467153</v>
      </c>
      <c r="U412" s="37" t="n">
        <v>0.1893491124260355</v>
      </c>
      <c r="V412" s="37" t="n">
        <v>0.3456090651558074</v>
      </c>
      <c r="W412" s="37" t="n">
        <v>0.84375</v>
      </c>
    </row>
    <row r="413">
      <c r="A413" s="53" t="n">
        <v>45760</v>
      </c>
      <c r="B413" t="inlineStr">
        <is>
          <t>R01_Sumbagut</t>
        </is>
      </c>
      <c r="C413" t="inlineStr">
        <is>
          <t>NOP PADANG SIDEMPUAN</t>
        </is>
      </c>
      <c r="D413" s="36" t="n">
        <v>3.08</v>
      </c>
      <c r="E413" s="36" t="n">
        <v>3.51</v>
      </c>
      <c r="F413" s="36" t="n">
        <v>4.52</v>
      </c>
      <c r="G413" s="36" t="n">
        <v>6.16</v>
      </c>
      <c r="H413" s="37" t="n">
        <v>0.2944606413994169</v>
      </c>
      <c r="I413" s="37" t="n">
        <v>0.5</v>
      </c>
      <c r="J413" s="37" t="n">
        <v>0.2673267326732673</v>
      </c>
      <c r="K413" s="37" t="n">
        <v>0.5333333333333333</v>
      </c>
      <c r="L413" s="37" t="n">
        <v>0.5333333333333333</v>
      </c>
      <c r="M413" s="37" t="n">
        <v>0.9922254616132167</v>
      </c>
      <c r="N413" s="37" t="n">
        <v>0.1185617103984451</v>
      </c>
      <c r="O413" s="36" t="n">
        <v>0.01</v>
      </c>
      <c r="P413" s="36" t="n">
        <v>2.34</v>
      </c>
      <c r="Q413" s="36" t="n">
        <v>12.27</v>
      </c>
      <c r="R413" s="36" t="n">
        <v>100.2</v>
      </c>
      <c r="S413" s="36" t="n">
        <v>0</v>
      </c>
      <c r="T413" s="37" t="n">
        <v>0.2950868783702816</v>
      </c>
      <c r="U413" s="37" t="n">
        <v>0.4240362811791383</v>
      </c>
      <c r="V413" s="37" t="n">
        <v>0.2494870742716455</v>
      </c>
      <c r="W413" s="37" t="n">
        <v>0.4919786096256685</v>
      </c>
    </row>
    <row r="414">
      <c r="A414" s="53" t="n">
        <v>45760</v>
      </c>
      <c r="B414" t="inlineStr">
        <is>
          <t>R01_Sumbagut</t>
        </is>
      </c>
      <c r="C414" t="inlineStr">
        <is>
          <t>NOP PEMATANG SIANTAR</t>
        </is>
      </c>
      <c r="D414" s="36" t="n">
        <v>1.3</v>
      </c>
      <c r="E414" s="36" t="n">
        <v>3.5</v>
      </c>
      <c r="F414" s="36" t="n">
        <v>4.3</v>
      </c>
      <c r="G414" s="36" t="n">
        <v>5.26</v>
      </c>
      <c r="H414" s="37" t="n">
        <v>0.2836363636363636</v>
      </c>
      <c r="I414" s="37" t="n">
        <v>0.2748917748917749</v>
      </c>
      <c r="J414" s="37" t="n">
        <v>0.2880613362541073</v>
      </c>
      <c r="K414" s="37" t="n">
        <v>0.6535433070866141</v>
      </c>
      <c r="L414" s="37" t="n">
        <v>0.664</v>
      </c>
      <c r="M414" s="37" t="n">
        <v>0.9992727272727273</v>
      </c>
      <c r="N414" s="37" t="n">
        <v>0.1469090909090909</v>
      </c>
      <c r="O414" s="36" t="n">
        <v>0.01</v>
      </c>
      <c r="P414" s="36" t="n">
        <v>3.65</v>
      </c>
      <c r="Q414" s="36" t="n">
        <v>67.22</v>
      </c>
      <c r="R414" s="36" t="n">
        <v>63.65</v>
      </c>
      <c r="S414" s="36" t="n">
        <v>0</v>
      </c>
      <c r="T414" s="37" t="n">
        <v>0.1055030934549007</v>
      </c>
      <c r="U414" s="37" t="n">
        <v>0.3181818181818182</v>
      </c>
      <c r="V414" s="37" t="n">
        <v>0.08214479147860625</v>
      </c>
      <c r="W414" s="37" t="n">
        <v>0.8406593406593407</v>
      </c>
    </row>
    <row r="415">
      <c r="A415" s="53" t="n">
        <v>45760</v>
      </c>
      <c r="B415" t="inlineStr">
        <is>
          <t>R01_Sumbagut</t>
        </is>
      </c>
      <c r="C415" t="inlineStr">
        <is>
          <t>NOP RANTAU PRAPAT</t>
        </is>
      </c>
      <c r="D415" s="36" t="n">
        <v>3.49</v>
      </c>
      <c r="E415" s="36" t="n">
        <v>6.22</v>
      </c>
      <c r="F415" s="36" t="n">
        <v>5.39</v>
      </c>
      <c r="G415" s="36" t="n">
        <v>6.77</v>
      </c>
      <c r="H415" s="37" t="n">
        <v>0.2815126050420168</v>
      </c>
      <c r="I415" s="37" t="n">
        <v>0.2948402948402948</v>
      </c>
      <c r="J415" s="37" t="n">
        <v>0.2783861671469741</v>
      </c>
      <c r="K415" s="37" t="n">
        <v>0.625</v>
      </c>
      <c r="L415" s="37" t="n">
        <v>0.625</v>
      </c>
      <c r="M415" s="37" t="n">
        <v>0.9892623716153128</v>
      </c>
      <c r="N415" s="37" t="n">
        <v>0.1591970121381886</v>
      </c>
      <c r="O415" s="36" t="n">
        <v>0.02</v>
      </c>
      <c r="P415" s="36" t="n">
        <v>3.95</v>
      </c>
      <c r="Q415" s="36" t="n">
        <v>34.85</v>
      </c>
      <c r="R415" s="36" t="n">
        <v>40.54</v>
      </c>
      <c r="S415" s="36" t="n">
        <v>0</v>
      </c>
      <c r="T415" s="37" t="n">
        <v>0.06965980097199723</v>
      </c>
      <c r="U415" s="37" t="n">
        <v>0.1487889273356401</v>
      </c>
      <c r="V415" s="37" t="n">
        <v>0.05013623978201635</v>
      </c>
      <c r="W415" s="37" t="n">
        <v>0.6627906976744186</v>
      </c>
    </row>
    <row r="416">
      <c r="A416" s="53" t="n">
        <v>45760</v>
      </c>
      <c r="B416" t="inlineStr">
        <is>
          <t>R10_Sumbagteng</t>
        </is>
      </c>
      <c r="C416" t="inlineStr">
        <is>
          <t>NOP BATAM</t>
        </is>
      </c>
      <c r="D416" s="36" t="n">
        <v>2.09</v>
      </c>
      <c r="E416" s="36" t="n">
        <v>9.69</v>
      </c>
      <c r="F416" s="36" t="n">
        <v>6.89</v>
      </c>
      <c r="G416" s="36" t="n">
        <v>9.539999999999999</v>
      </c>
      <c r="H416" s="37" t="n">
        <v>0.2863274064990803</v>
      </c>
      <c r="I416" s="37" t="n">
        <v>0.3149847094801223</v>
      </c>
      <c r="J416" s="37" t="n">
        <v>0.2791411042944785</v>
      </c>
      <c r="K416" s="37" t="n">
        <v>0.6116504854368932</v>
      </c>
      <c r="L416" s="37" t="n">
        <v>0.6116504854368932</v>
      </c>
      <c r="M416" s="37" t="n">
        <v>0.9926425505824648</v>
      </c>
      <c r="N416" s="37" t="n">
        <v>0.1716738197424893</v>
      </c>
      <c r="O416" s="36" t="n">
        <v>0</v>
      </c>
      <c r="P416" s="36" t="n">
        <v>7.31</v>
      </c>
      <c r="Q416" s="36" t="n">
        <v>37.18</v>
      </c>
      <c r="R416" s="36" t="n">
        <v>10.44</v>
      </c>
      <c r="S416" s="36" t="n">
        <v>0</v>
      </c>
      <c r="T416" s="37" t="n">
        <v>0.07670117088070592</v>
      </c>
      <c r="U416" s="37" t="n">
        <v>0.2229299363057325</v>
      </c>
      <c r="V416" s="37" t="n">
        <v>0.05378250591016549</v>
      </c>
      <c r="W416" s="37" t="n">
        <v>0.84</v>
      </c>
    </row>
    <row r="417">
      <c r="A417" s="53" t="n">
        <v>45760</v>
      </c>
      <c r="B417" t="inlineStr">
        <is>
          <t>R10_Sumbagteng</t>
        </is>
      </c>
      <c r="C417" t="inlineStr">
        <is>
          <t>NOP BUKITTINGGI</t>
        </is>
      </c>
      <c r="D417" s="36" t="n">
        <v>1.87</v>
      </c>
      <c r="E417" s="36" t="n">
        <v>6.29</v>
      </c>
      <c r="F417" s="36" t="n">
        <v>3.42</v>
      </c>
      <c r="G417" s="36" t="n">
        <v>5.25</v>
      </c>
      <c r="H417" s="37" t="n">
        <v>0.7576923076923077</v>
      </c>
      <c r="I417" s="37" t="n">
        <v>0.8225806451612904</v>
      </c>
      <c r="J417" s="37" t="n">
        <v>0.7373737373737373</v>
      </c>
      <c r="K417" s="37" t="n">
        <v>0.6274509803921569</v>
      </c>
      <c r="L417" s="37" t="n">
        <v>0.6274509803921569</v>
      </c>
      <c r="M417" s="37" t="n">
        <v>0.9942307692307693</v>
      </c>
      <c r="N417" s="37" t="n">
        <v>0.4480769230769231</v>
      </c>
      <c r="O417" s="36" t="n">
        <v>0</v>
      </c>
      <c r="P417" s="36" t="n">
        <v>3.99</v>
      </c>
      <c r="Q417" s="36" t="n">
        <v>9.130000000000001</v>
      </c>
      <c r="R417" s="36" t="n">
        <v>106.13</v>
      </c>
      <c r="S417" s="36" t="n">
        <v>0</v>
      </c>
      <c r="T417" s="37" t="n">
        <v>0.3343386471348557</v>
      </c>
      <c r="U417" s="37" t="n">
        <v>0.7391304347826086</v>
      </c>
      <c r="V417" s="37" t="n">
        <v>0.2942857142857143</v>
      </c>
      <c r="W417" s="37" t="n">
        <v>0.6143790849673203</v>
      </c>
    </row>
    <row r="418">
      <c r="A418" s="53" t="n">
        <v>45760</v>
      </c>
      <c r="B418" t="inlineStr">
        <is>
          <t>R10_Sumbagteng</t>
        </is>
      </c>
      <c r="C418" t="inlineStr">
        <is>
          <t>NOP DUMAI</t>
        </is>
      </c>
      <c r="D418" s="36" t="n">
        <v>5.92</v>
      </c>
      <c r="E418" s="36" t="n">
        <v>6.85</v>
      </c>
      <c r="F418" s="36" t="n">
        <v>5.69</v>
      </c>
      <c r="G418" s="36" t="n">
        <v>5.99</v>
      </c>
      <c r="H418" s="37" t="n">
        <v>0.3979726751873072</v>
      </c>
      <c r="I418" s="37" t="n">
        <v>0.4761061946902655</v>
      </c>
      <c r="J418" s="37" t="n">
        <v>0.3720657276995305</v>
      </c>
      <c r="K418" s="37" t="n">
        <v>0.6914498141263941</v>
      </c>
      <c r="L418" s="37" t="n">
        <v>0.7165354330708661</v>
      </c>
      <c r="M418" s="37" t="n">
        <v>0.9748788012340238</v>
      </c>
      <c r="N418" s="37" t="n">
        <v>0.2177170559717937</v>
      </c>
      <c r="O418" s="36" t="n">
        <v>0.11</v>
      </c>
      <c r="P418" s="36" t="n">
        <v>5.61</v>
      </c>
      <c r="Q418" s="36" t="n">
        <v>53.2</v>
      </c>
      <c r="R418" s="36" t="n">
        <v>121.94</v>
      </c>
      <c r="S418" s="36" t="n">
        <v>0</v>
      </c>
      <c r="T418" s="37" t="n">
        <v>0.2998328956791597</v>
      </c>
      <c r="U418" s="37" t="n">
        <v>0.3221320973348784</v>
      </c>
      <c r="V418" s="37" t="n">
        <v>0.3047589032461393</v>
      </c>
      <c r="W418" s="37" t="n">
        <v>0.9316546762589928</v>
      </c>
    </row>
    <row r="419">
      <c r="A419" s="53" t="n">
        <v>45760</v>
      </c>
      <c r="B419" t="inlineStr">
        <is>
          <t>R10_Sumbagteng</t>
        </is>
      </c>
      <c r="C419" t="inlineStr">
        <is>
          <t>NOP PADANG</t>
        </is>
      </c>
      <c r="D419" s="36" t="n">
        <v>3.58</v>
      </c>
      <c r="E419" s="36" t="n">
        <v>2.54</v>
      </c>
      <c r="F419" s="36" t="n">
        <v>5.48</v>
      </c>
      <c r="G419" s="36" t="n">
        <v>7.7</v>
      </c>
      <c r="H419" s="37" t="n">
        <v>0.7570621468926554</v>
      </c>
      <c r="I419" s="37" t="n">
        <v>0.7125</v>
      </c>
      <c r="J419" s="37" t="n">
        <v>0.7627388535031847</v>
      </c>
      <c r="K419" s="37" t="n">
        <v>0.5263157894736842</v>
      </c>
      <c r="L419" s="37" t="n">
        <v>0.5263157894736842</v>
      </c>
      <c r="M419" s="37" t="n">
        <v>0.9872881355932204</v>
      </c>
      <c r="N419" s="37" t="n">
        <v>0.3347457627118644</v>
      </c>
      <c r="O419" s="36" t="n">
        <v>0.06</v>
      </c>
      <c r="P419" s="36" t="n">
        <v>4.9</v>
      </c>
      <c r="Q419" s="36" t="n">
        <v>50.58</v>
      </c>
      <c r="R419" s="36" t="n">
        <v>54.54</v>
      </c>
      <c r="S419" s="36" t="n">
        <v>0</v>
      </c>
      <c r="T419" s="37" t="n">
        <v>0.6853425385023898</v>
      </c>
      <c r="U419" s="37" t="n">
        <v>0.6097560975609756</v>
      </c>
      <c r="V419" s="37" t="n">
        <v>0.6975624435750828</v>
      </c>
      <c r="W419" s="37" t="n">
        <v>0.488</v>
      </c>
    </row>
    <row r="420">
      <c r="A420" s="53" t="n">
        <v>45760</v>
      </c>
      <c r="B420" t="inlineStr">
        <is>
          <t>R10_Sumbagteng</t>
        </is>
      </c>
      <c r="C420" t="inlineStr">
        <is>
          <t>NOP PEKANBARU</t>
        </is>
      </c>
      <c r="D420" s="36" t="n">
        <v>6.67</v>
      </c>
      <c r="E420" s="36" t="n">
        <v>5.81</v>
      </c>
      <c r="F420" s="36" t="n">
        <v>6.65</v>
      </c>
      <c r="G420" s="36" t="n">
        <v>9.140000000000001</v>
      </c>
      <c r="H420" s="37" t="n">
        <v>0.3743820224719101</v>
      </c>
      <c r="I420" s="37" t="n">
        <v>0.5211267605633803</v>
      </c>
      <c r="J420" s="37" t="n">
        <v>0.346524064171123</v>
      </c>
      <c r="K420" s="37" t="n">
        <v>0.7567567567567568</v>
      </c>
      <c r="L420" s="37" t="n">
        <v>0.7679558011049724</v>
      </c>
      <c r="M420" s="37" t="n">
        <v>0.9910112359550561</v>
      </c>
      <c r="N420" s="37" t="n">
        <v>0.2125842696629213</v>
      </c>
      <c r="O420" s="36" t="n">
        <v>0.03</v>
      </c>
      <c r="P420" s="36" t="n">
        <v>3.01</v>
      </c>
      <c r="Q420" s="36" t="n">
        <v>47.86</v>
      </c>
      <c r="R420" s="36" t="n">
        <v>83.12</v>
      </c>
      <c r="S420" s="36" t="n">
        <v>0</v>
      </c>
      <c r="T420" s="37" t="n">
        <v>0.3041538890437692</v>
      </c>
      <c r="U420" s="37" t="n">
        <v>0.3019891500904159</v>
      </c>
      <c r="V420" s="37" t="n">
        <v>0.3083645443196005</v>
      </c>
      <c r="W420" s="37" t="n">
        <v>0.8802395209580839</v>
      </c>
    </row>
    <row r="421">
      <c r="A421" s="53" t="n">
        <v>45760</v>
      </c>
      <c r="B421" t="inlineStr">
        <is>
          <t>R02_Sumbagsel</t>
        </is>
      </c>
      <c r="C421" t="inlineStr">
        <is>
          <t>NOP BENGKULU</t>
        </is>
      </c>
      <c r="D421" s="36" t="n">
        <v>2.09</v>
      </c>
      <c r="E421" s="36" t="n">
        <v>3.69</v>
      </c>
      <c r="F421" s="36" t="n">
        <v>2.99</v>
      </c>
      <c r="G421" s="36" t="n">
        <v>6.58</v>
      </c>
      <c r="H421" s="37" t="n">
        <v>0.3871841155234657</v>
      </c>
      <c r="I421" s="37" t="n">
        <v>0.4942528735632184</v>
      </c>
      <c r="J421" s="37" t="n">
        <v>0.3541912632821724</v>
      </c>
      <c r="K421" s="37" t="n">
        <v>0.6821705426356589</v>
      </c>
      <c r="L421" s="37" t="n">
        <v>0.6821705426356589</v>
      </c>
      <c r="M421" s="37" t="n">
        <v>0.9945848375451264</v>
      </c>
      <c r="N421" s="37" t="n">
        <v>0.2012635379061372</v>
      </c>
      <c r="O421" s="36" t="n">
        <v>0</v>
      </c>
      <c r="P421" s="36" t="n">
        <v>5.41</v>
      </c>
      <c r="Q421" s="36" t="n">
        <v>5.68</v>
      </c>
      <c r="R421" s="36" t="n">
        <v>16.96</v>
      </c>
      <c r="S421" s="36" t="n">
        <v>0</v>
      </c>
      <c r="T421" s="37" t="n">
        <v>0.455982905982906</v>
      </c>
      <c r="U421" s="37" t="n">
        <v>0.3733248245054244</v>
      </c>
      <c r="V421" s="37" t="n">
        <v>0.6555023923444976</v>
      </c>
      <c r="W421" s="37" t="n">
        <v>0.882051282051282</v>
      </c>
    </row>
    <row r="422">
      <c r="A422" s="53" t="n">
        <v>45760</v>
      </c>
      <c r="B422" t="inlineStr">
        <is>
          <t>R02_Sumbagsel</t>
        </is>
      </c>
      <c r="C422" t="inlineStr">
        <is>
          <t>NOP JAMBI</t>
        </is>
      </c>
      <c r="D422" s="36" t="n">
        <v>3.58</v>
      </c>
      <c r="E422" s="36" t="n">
        <v>5.08</v>
      </c>
      <c r="F422" s="36" t="n">
        <v>6.33</v>
      </c>
      <c r="G422" s="36" t="n">
        <v>7.66</v>
      </c>
      <c r="H422" s="37" t="n">
        <v>0.5156167284277395</v>
      </c>
      <c r="I422" s="37" t="n">
        <v>0.5652951699463328</v>
      </c>
      <c r="J422" s="37" t="n">
        <v>0.4947368421052631</v>
      </c>
      <c r="K422" s="37" t="n">
        <v>0.6550632911392406</v>
      </c>
      <c r="L422" s="37" t="n">
        <v>0.6560509554140127</v>
      </c>
      <c r="M422" s="37" t="n">
        <v>1</v>
      </c>
      <c r="N422" s="37" t="n">
        <v>0.2715722604552673</v>
      </c>
      <c r="O422" s="36" t="n">
        <v>0</v>
      </c>
      <c r="P422" s="36" t="n">
        <v>6.59</v>
      </c>
      <c r="Q422" s="36" t="n">
        <v>14.23</v>
      </c>
      <c r="R422" s="36" t="n">
        <v>19</v>
      </c>
      <c r="S422" s="36" t="n">
        <v>0</v>
      </c>
      <c r="T422" s="37" t="n">
        <v>0.6371293800539084</v>
      </c>
      <c r="U422" s="37" t="n">
        <v>0.6172523961661341</v>
      </c>
      <c r="V422" s="37" t="n">
        <v>0.672945205479452</v>
      </c>
      <c r="W422" s="37" t="n">
        <v>0.7308488612836439</v>
      </c>
    </row>
    <row r="423">
      <c r="A423" s="53" t="n">
        <v>45760</v>
      </c>
      <c r="B423" t="inlineStr">
        <is>
          <t>R02_Sumbagsel</t>
        </is>
      </c>
      <c r="C423" t="inlineStr">
        <is>
          <t>NOP LAMPUNG</t>
        </is>
      </c>
      <c r="D423" s="36" t="n">
        <v>3.63</v>
      </c>
      <c r="E423" s="36" t="n">
        <v>5.73</v>
      </c>
      <c r="F423" s="36" t="n">
        <v>4.14</v>
      </c>
      <c r="G423" s="36" t="n">
        <v>5.96</v>
      </c>
      <c r="H423" s="37" t="n">
        <v>0.5118483412322274</v>
      </c>
      <c r="I423" s="37" t="n">
        <v>0.6909090909090909</v>
      </c>
      <c r="J423" s="37" t="n">
        <v>0.4487179487179487</v>
      </c>
      <c r="K423" s="37" t="n">
        <v>0.7017543859649122</v>
      </c>
      <c r="L423" s="37" t="n">
        <v>0.7017543859649122</v>
      </c>
      <c r="M423" s="37" t="n">
        <v>1</v>
      </c>
      <c r="N423" s="37" t="n">
        <v>0.3459715639810427</v>
      </c>
      <c r="O423" s="36" t="n">
        <v>1.51</v>
      </c>
      <c r="P423" s="36" t="n">
        <v>7.45</v>
      </c>
      <c r="Q423" s="36" t="n">
        <v>5.96</v>
      </c>
      <c r="R423" s="36" t="n">
        <v>29.93</v>
      </c>
      <c r="S423" s="36" t="n">
        <v>0</v>
      </c>
      <c r="T423" s="37" t="n">
        <v>0.8969505783385909</v>
      </c>
      <c r="U423" s="37" t="n">
        <v>0.7821782178217822</v>
      </c>
      <c r="V423" s="37" t="n">
        <v>0.9457364341085271</v>
      </c>
      <c r="W423" s="37" t="n">
        <v>0.8354430379746836</v>
      </c>
    </row>
    <row r="424">
      <c r="A424" s="53" t="n">
        <v>45760</v>
      </c>
      <c r="B424" t="inlineStr">
        <is>
          <t>R02_Sumbagsel</t>
        </is>
      </c>
      <c r="C424" t="inlineStr">
        <is>
          <t>NOP MUARA ENIM</t>
        </is>
      </c>
      <c r="D424" s="36" t="n">
        <v>2.79</v>
      </c>
      <c r="E424" s="36" t="n">
        <v>3.91</v>
      </c>
      <c r="F424" s="36" t="n">
        <v>4.24</v>
      </c>
      <c r="G424" s="36" t="n">
        <v>4.76</v>
      </c>
      <c r="H424" s="37" t="n">
        <v>0.384032634032634</v>
      </c>
      <c r="I424" s="37" t="n">
        <v>0.2972136222910217</v>
      </c>
      <c r="J424" s="37" t="n">
        <v>0.4041636755204595</v>
      </c>
      <c r="K424" s="37" t="n">
        <v>0.5416666666666666</v>
      </c>
      <c r="L424" s="37" t="n">
        <v>0.5604395604395604</v>
      </c>
      <c r="M424" s="37" t="n">
        <v>0.9766899766899767</v>
      </c>
      <c r="N424" s="37" t="n">
        <v>0.1853146853146853</v>
      </c>
      <c r="O424" s="36" t="n">
        <v>0</v>
      </c>
      <c r="P424" s="36" t="n">
        <v>4.61</v>
      </c>
      <c r="Q424" s="36" t="n">
        <v>5.72</v>
      </c>
      <c r="R424" s="36" t="n">
        <v>10.17</v>
      </c>
      <c r="S424" s="36" t="n">
        <v>0</v>
      </c>
      <c r="T424" s="37" t="n">
        <v>0.5022421524663677</v>
      </c>
      <c r="U424" s="37" t="n">
        <v>0.5165217391304348</v>
      </c>
      <c r="V424" s="37" t="n">
        <v>0.568762278978389</v>
      </c>
      <c r="W424" s="37" t="n">
        <v>0.8080808080808081</v>
      </c>
    </row>
    <row r="425">
      <c r="A425" s="53" t="n">
        <v>45760</v>
      </c>
      <c r="B425" t="inlineStr">
        <is>
          <t>R02_Sumbagsel</t>
        </is>
      </c>
      <c r="C425" t="inlineStr">
        <is>
          <t>NOP PALEMBANG</t>
        </is>
      </c>
      <c r="D425" s="36" t="n">
        <v>4.06</v>
      </c>
      <c r="E425" s="36" t="n">
        <v>6.5</v>
      </c>
      <c r="F425" s="36" t="n">
        <v>9.07</v>
      </c>
      <c r="G425" s="36" t="n">
        <v>9.41</v>
      </c>
      <c r="H425" s="37" t="n">
        <v>0.3176599234554401</v>
      </c>
      <c r="I425" s="37" t="n">
        <v>0.2841530054644809</v>
      </c>
      <c r="J425" s="37" t="n">
        <v>0.3213851761846901</v>
      </c>
      <c r="K425" s="37" t="n">
        <v>0.5192307692307693</v>
      </c>
      <c r="L425" s="37" t="n">
        <v>0.5192307692307693</v>
      </c>
      <c r="M425" s="37" t="n">
        <v>1</v>
      </c>
      <c r="N425" s="37" t="n">
        <v>0.1503553854565336</v>
      </c>
      <c r="O425" s="36" t="n">
        <v>0</v>
      </c>
      <c r="P425" s="36" t="n">
        <v>6.18</v>
      </c>
      <c r="Q425" s="36" t="n">
        <v>10.69</v>
      </c>
      <c r="R425" s="36" t="n">
        <v>8</v>
      </c>
      <c r="S425" s="36" t="n">
        <v>0</v>
      </c>
      <c r="T425" s="37" t="n">
        <v>0.2790086368757041</v>
      </c>
      <c r="U425" s="37" t="n">
        <v>0.2265426880811496</v>
      </c>
      <c r="V425" s="37" t="n">
        <v>0.4091695501730104</v>
      </c>
      <c r="W425" s="37" t="n">
        <v>0.4514925373134329</v>
      </c>
    </row>
    <row r="426">
      <c r="A426" s="53" t="n">
        <v>45760</v>
      </c>
      <c r="B426" t="inlineStr">
        <is>
          <t>R02_Sumbagsel</t>
        </is>
      </c>
      <c r="C426" t="inlineStr">
        <is>
          <t>NOP PANGKAL PINANG</t>
        </is>
      </c>
      <c r="D426" s="36" t="n">
        <v>2.01</v>
      </c>
      <c r="E426" s="36" t="n">
        <v>1.91</v>
      </c>
      <c r="F426" s="36" t="n">
        <v>5.34</v>
      </c>
      <c r="G426" s="36" t="n">
        <v>7.34</v>
      </c>
      <c r="H426" s="37" t="n">
        <v>0.668141592920354</v>
      </c>
      <c r="I426" s="37" t="n">
        <v>0.8888888888888888</v>
      </c>
      <c r="J426" s="37" t="n">
        <v>0.6589861751152074</v>
      </c>
      <c r="K426" s="37" t="n">
        <v>0.5</v>
      </c>
      <c r="L426" s="37" t="n">
        <v>0.5</v>
      </c>
      <c r="M426" s="37" t="n">
        <v>0.995575221238938</v>
      </c>
      <c r="N426" s="37" t="n">
        <v>0.3584070796460177</v>
      </c>
      <c r="O426" s="36" t="n">
        <v>0</v>
      </c>
      <c r="P426" s="36" t="n">
        <v>3.29</v>
      </c>
      <c r="Q426" s="36" t="n">
        <v>7.3</v>
      </c>
      <c r="R426" s="36" t="n">
        <v>7.32</v>
      </c>
      <c r="S426" s="36" t="n">
        <v>0</v>
      </c>
      <c r="T426" s="37" t="n">
        <v>0.7747747747747747</v>
      </c>
      <c r="U426" s="37" t="n">
        <v>0.8529411764705882</v>
      </c>
      <c r="V426" s="37" t="n">
        <v>0.8544600938967136</v>
      </c>
      <c r="W426" s="37" t="n">
        <v>0.7456896551724138</v>
      </c>
    </row>
    <row r="427">
      <c r="A427" s="53" t="n">
        <v>45760</v>
      </c>
      <c r="B427" t="inlineStr">
        <is>
          <t>R05_Jawa Tengah DIY</t>
        </is>
      </c>
      <c r="C427" t="inlineStr">
        <is>
          <t>NOP MAGELANG</t>
        </is>
      </c>
      <c r="D427" s="36" t="n">
        <v>5.03</v>
      </c>
      <c r="E427" s="36" t="n">
        <v>0</v>
      </c>
      <c r="F427" s="36" t="n">
        <v>4.72</v>
      </c>
      <c r="G427" s="36" t="n">
        <v>5.26</v>
      </c>
      <c r="H427" s="37" t="n">
        <v>0.7258064516129032</v>
      </c>
      <c r="I427" s="37" t="n">
        <v>0.9565217391304348</v>
      </c>
      <c r="J427" s="37" t="n">
        <v>0.7022222222222222</v>
      </c>
      <c r="K427" s="37" t="n">
        <v>0.6818181818181818</v>
      </c>
      <c r="L427" s="37" t="n">
        <v>0.6818181818181818</v>
      </c>
      <c r="M427" s="37" t="n">
        <v>1</v>
      </c>
      <c r="N427" s="37" t="n">
        <v>0.6290322580645161</v>
      </c>
      <c r="O427" s="36" t="n">
        <v>0.3</v>
      </c>
      <c r="P427" s="36" t="n">
        <v>7.86</v>
      </c>
      <c r="Q427" s="36" t="n">
        <v>13.43</v>
      </c>
      <c r="R427" s="36" t="n">
        <v>22.94</v>
      </c>
      <c r="S427" s="36" t="n">
        <v>0</v>
      </c>
      <c r="T427" s="37" t="n">
        <v>0.9115479115479116</v>
      </c>
      <c r="U427" s="37" t="n">
        <v>0.8769230769230769</v>
      </c>
      <c r="V427" s="37" t="n">
        <v>0.9181286549707602</v>
      </c>
      <c r="W427" s="37" t="n">
        <v>0.8245614035087719</v>
      </c>
    </row>
    <row r="428">
      <c r="A428" s="53" t="n">
        <v>45760</v>
      </c>
      <c r="B428" t="inlineStr">
        <is>
          <t>R05_Jawa Tengah DIY</t>
        </is>
      </c>
      <c r="C428" t="inlineStr">
        <is>
          <t>NOP PEKALONGAN</t>
        </is>
      </c>
      <c r="D428" s="36" t="n">
        <v>3.93</v>
      </c>
      <c r="E428" s="36" t="n">
        <v>0</v>
      </c>
      <c r="F428" s="36" t="n">
        <v>3.3</v>
      </c>
      <c r="G428" s="36" t="n">
        <v>3.21</v>
      </c>
      <c r="H428" s="37" t="n">
        <v>0.6242774566473989</v>
      </c>
      <c r="I428" s="37" t="n">
        <v>0.9230769230769231</v>
      </c>
      <c r="J428" s="37" t="n">
        <v>0.6</v>
      </c>
      <c r="K428" s="37" t="n">
        <v>1</v>
      </c>
      <c r="L428" s="37" t="n">
        <v>1</v>
      </c>
      <c r="M428" s="37" t="n">
        <v>0.9826589595375722</v>
      </c>
      <c r="N428" s="37" t="n">
        <v>0.6589595375722543</v>
      </c>
      <c r="O428" s="36" t="n">
        <v>0</v>
      </c>
      <c r="P428" s="36" t="n">
        <v>3</v>
      </c>
      <c r="Q428" s="36" t="n">
        <v>5.6</v>
      </c>
      <c r="R428" s="36" t="n">
        <v>55.25</v>
      </c>
      <c r="S428" s="36" t="n">
        <v>0</v>
      </c>
      <c r="T428" s="37" t="n">
        <v>0.8408408408408409</v>
      </c>
      <c r="U428" s="37" t="n">
        <v>0.7468354430379747</v>
      </c>
      <c r="V428" s="37" t="n">
        <v>0.8700787401574803</v>
      </c>
      <c r="W428" s="37" t="n">
        <v>0.6779661016949152</v>
      </c>
    </row>
    <row r="429">
      <c r="A429" s="53" t="n">
        <v>45760</v>
      </c>
      <c r="B429" t="inlineStr">
        <is>
          <t>R05_Jawa Tengah DIY</t>
        </is>
      </c>
      <c r="C429" t="inlineStr">
        <is>
          <t>NOP PURWOKERTO</t>
        </is>
      </c>
      <c r="D429" s="36" t="n">
        <v>2.12</v>
      </c>
      <c r="E429" s="36" t="n">
        <v>0</v>
      </c>
      <c r="F429" s="36" t="n">
        <v>3.38</v>
      </c>
      <c r="G429" s="36" t="n">
        <v>4.37</v>
      </c>
      <c r="H429" s="37" t="n">
        <v>0.8071748878923767</v>
      </c>
      <c r="I429" s="37" t="n">
        <v>0.7272727272727273</v>
      </c>
      <c r="J429" s="37" t="n">
        <v>0.8159203980099502</v>
      </c>
      <c r="K429" s="37" t="n">
        <v>1</v>
      </c>
      <c r="L429" s="37" t="n">
        <v>1</v>
      </c>
      <c r="M429" s="37" t="n">
        <v>0.9730941704035875</v>
      </c>
      <c r="N429" s="37" t="n">
        <v>0.547085201793722</v>
      </c>
      <c r="O429" s="36" t="n">
        <v>0.31</v>
      </c>
      <c r="P429" s="36" t="n">
        <v>3.82</v>
      </c>
      <c r="Q429" s="36" t="n">
        <v>11.48</v>
      </c>
      <c r="R429" s="36" t="n">
        <v>49.21</v>
      </c>
      <c r="S429" s="36" t="n">
        <v>0</v>
      </c>
      <c r="T429" s="37" t="n">
        <v>0.7710843373493976</v>
      </c>
      <c r="U429" s="37" t="n">
        <v>0.7721518987341772</v>
      </c>
      <c r="V429" s="37" t="n">
        <v>0.7707509881422925</v>
      </c>
      <c r="W429" s="37" t="n">
        <v>0.7540983606557377</v>
      </c>
    </row>
    <row r="430">
      <c r="A430" s="53" t="n">
        <v>45760</v>
      </c>
      <c r="B430" t="inlineStr">
        <is>
          <t>R05_Jawa Tengah DIY</t>
        </is>
      </c>
      <c r="C430" t="inlineStr">
        <is>
          <t>NOP SEMARANG</t>
        </is>
      </c>
      <c r="D430" s="36" t="n">
        <v>2.9</v>
      </c>
      <c r="E430" s="36" t="n">
        <v>1.7</v>
      </c>
      <c r="F430" s="36" t="n">
        <v>2.59</v>
      </c>
      <c r="G430" s="36" t="n">
        <v>3.24</v>
      </c>
      <c r="H430" s="37" t="n">
        <v>0.4478260869565218</v>
      </c>
      <c r="I430" s="37" t="n">
        <v>0.48</v>
      </c>
      <c r="J430" s="37" t="n">
        <v>0.4439024390243902</v>
      </c>
      <c r="K430" s="37" t="n">
        <v>1</v>
      </c>
      <c r="L430" s="37" t="n">
        <v>1</v>
      </c>
      <c r="M430" s="37" t="n">
        <v>0.9521739130434783</v>
      </c>
      <c r="N430" s="37" t="n">
        <v>0.3043478260869565</v>
      </c>
      <c r="O430" s="36" t="n">
        <v>0</v>
      </c>
      <c r="P430" s="36" t="n">
        <v>2.79</v>
      </c>
      <c r="Q430" s="36" t="n">
        <v>13.46</v>
      </c>
      <c r="R430" s="36" t="n">
        <v>72.25</v>
      </c>
      <c r="S430" s="36" t="n">
        <v>0</v>
      </c>
      <c r="T430" s="37" t="n">
        <v>0.6890756302521008</v>
      </c>
      <c r="U430" s="37" t="n">
        <v>0.3506493506493507</v>
      </c>
      <c r="V430" s="37" t="n">
        <v>0.8509316770186336</v>
      </c>
      <c r="W430" s="37" t="n">
        <v>0.8703703703703703</v>
      </c>
    </row>
    <row r="431">
      <c r="A431" s="53" t="n">
        <v>45760</v>
      </c>
      <c r="B431" t="inlineStr">
        <is>
          <t>R05_Jawa Tengah DIY</t>
        </is>
      </c>
      <c r="C431" t="inlineStr">
        <is>
          <t>NOP SURAKARTA</t>
        </is>
      </c>
      <c r="D431" s="36" t="n">
        <v>4.68</v>
      </c>
      <c r="E431" s="36" t="n">
        <v>2.15</v>
      </c>
      <c r="F431" s="36" t="n">
        <v>2.74</v>
      </c>
      <c r="G431" s="36" t="n">
        <v>4.47</v>
      </c>
      <c r="H431" s="37" t="n">
        <v>0.6349693251533742</v>
      </c>
      <c r="I431" s="37" t="n">
        <v>0.8333333333333334</v>
      </c>
      <c r="J431" s="37" t="n">
        <v>0.6103448275862069</v>
      </c>
      <c r="K431" s="37" t="n">
        <v>0.9333333333333333</v>
      </c>
      <c r="L431" s="37" t="n">
        <v>0.9333333333333333</v>
      </c>
      <c r="M431" s="37" t="n">
        <v>0.9723926380368099</v>
      </c>
      <c r="N431" s="37" t="n">
        <v>0.4570552147239264</v>
      </c>
      <c r="O431" s="36" t="n">
        <v>0.14</v>
      </c>
      <c r="P431" s="36" t="n">
        <v>3.61</v>
      </c>
      <c r="Q431" s="36" t="n">
        <v>11.77</v>
      </c>
      <c r="R431" s="36" t="n">
        <v>72.23</v>
      </c>
      <c r="S431" s="36" t="n">
        <v>0</v>
      </c>
      <c r="T431" s="37" t="n">
        <v>0.7796257796257796</v>
      </c>
      <c r="U431" s="37" t="n">
        <v>0.7083333333333334</v>
      </c>
      <c r="V431" s="37" t="n">
        <v>0.8100890207715133</v>
      </c>
      <c r="W431" s="37" t="n">
        <v>0.7843137254901961</v>
      </c>
    </row>
    <row r="432">
      <c r="A432" s="53" t="n">
        <v>45760</v>
      </c>
      <c r="B432" t="inlineStr">
        <is>
          <t>R05_Jawa Tengah DIY</t>
        </is>
      </c>
      <c r="C432" t="inlineStr">
        <is>
          <t>NOP YOGYAKARTA</t>
        </is>
      </c>
      <c r="D432" s="36" t="n">
        <v>2.94</v>
      </c>
      <c r="E432" s="36" t="n">
        <v>0</v>
      </c>
      <c r="F432" s="36" t="n">
        <v>3.79</v>
      </c>
      <c r="G432" s="36" t="n">
        <v>4.01</v>
      </c>
      <c r="H432" s="37" t="n">
        <v>0.6445993031358885</v>
      </c>
      <c r="I432" s="37" t="n">
        <v>0.9473684210526315</v>
      </c>
      <c r="J432" s="37" t="n">
        <v>0.6231343283582089</v>
      </c>
      <c r="K432" s="37" t="n">
        <v>0.8888888888888888</v>
      </c>
      <c r="L432" s="37" t="n">
        <v>0.875</v>
      </c>
      <c r="M432" s="37" t="n">
        <v>0.9930313588850174</v>
      </c>
      <c r="N432" s="37" t="n">
        <v>0.421602787456446</v>
      </c>
      <c r="O432" s="36" t="n">
        <v>0</v>
      </c>
      <c r="P432" s="36" t="n">
        <v>3.03</v>
      </c>
      <c r="Q432" s="36" t="n">
        <v>16.92</v>
      </c>
      <c r="R432" s="36" t="n">
        <v>44.37</v>
      </c>
      <c r="S432" s="36" t="n">
        <v>0</v>
      </c>
      <c r="T432" s="37" t="n">
        <v>0.9279112754158965</v>
      </c>
      <c r="U432" s="37" t="n">
        <v>0.8444444444444444</v>
      </c>
      <c r="V432" s="37" t="n">
        <v>0.9445676274944568</v>
      </c>
      <c r="W432" s="37" t="n">
        <v>0.9868421052631579</v>
      </c>
    </row>
    <row r="433">
      <c r="A433" s="53" t="n">
        <v>45760</v>
      </c>
      <c r="B433" t="inlineStr">
        <is>
          <t>R06_Jawa Timur</t>
        </is>
      </c>
      <c r="C433" t="inlineStr">
        <is>
          <t>NOP JEMBER</t>
        </is>
      </c>
      <c r="D433" s="36" t="n">
        <v>2.09</v>
      </c>
      <c r="E433" s="36" t="n">
        <v>2.64</v>
      </c>
      <c r="F433" s="36" t="n">
        <v>4.47</v>
      </c>
      <c r="G433" s="36" t="n">
        <v>4.33</v>
      </c>
      <c r="H433" s="37" t="n">
        <v>0.6885245901639344</v>
      </c>
      <c r="I433" s="37" t="n">
        <v>0.6818181818181818</v>
      </c>
      <c r="J433" s="37" t="n">
        <v>0.6891891891891891</v>
      </c>
      <c r="K433" s="37" t="n">
        <v>0.7333333333333333</v>
      </c>
      <c r="L433" s="37" t="n">
        <v>0.7333333333333333</v>
      </c>
      <c r="M433" s="37" t="n">
        <v>0.9877049180327869</v>
      </c>
      <c r="N433" s="37" t="n">
        <v>0.3401639344262295</v>
      </c>
      <c r="O433" s="36" t="n">
        <v>0</v>
      </c>
      <c r="P433" s="36" t="n">
        <v>2.7</v>
      </c>
      <c r="Q433" s="36" t="n">
        <v>5.54</v>
      </c>
      <c r="R433" s="36" t="n">
        <v>113.8</v>
      </c>
      <c r="S433" s="36" t="n">
        <v>0</v>
      </c>
      <c r="T433" s="37" t="n">
        <v>0.7964071856287425</v>
      </c>
      <c r="U433" s="37" t="n">
        <v>0.7468354430379747</v>
      </c>
      <c r="V433" s="37" t="n">
        <v>0.8117647058823529</v>
      </c>
      <c r="W433" s="37" t="n">
        <v>0.7457627118644068</v>
      </c>
    </row>
    <row r="434">
      <c r="A434" s="53" t="n">
        <v>45760</v>
      </c>
      <c r="B434" t="inlineStr">
        <is>
          <t>R06_Jawa Timur</t>
        </is>
      </c>
      <c r="C434" t="inlineStr">
        <is>
          <t>NOP KEDIRI</t>
        </is>
      </c>
      <c r="D434" s="36" t="n">
        <v>1.15</v>
      </c>
      <c r="E434" s="36" t="n">
        <v>0.7</v>
      </c>
      <c r="F434" s="36" t="n">
        <v>2.19</v>
      </c>
      <c r="G434" s="36" t="n">
        <v>1.94</v>
      </c>
      <c r="H434" s="37" t="n">
        <v>0.8508771929824561</v>
      </c>
      <c r="I434" s="37" t="n">
        <v>0.75</v>
      </c>
      <c r="J434" s="37" t="n">
        <v>0.8545454545454545</v>
      </c>
      <c r="K434" s="37" t="n">
        <v>0.6666666666666666</v>
      </c>
      <c r="L434" s="37" t="n">
        <v>0.6666666666666666</v>
      </c>
      <c r="M434" s="37" t="n">
        <v>1</v>
      </c>
      <c r="N434" s="37" t="n">
        <v>0.5789473684210527</v>
      </c>
      <c r="O434" s="36" t="n">
        <v>0</v>
      </c>
      <c r="P434" s="36" t="n">
        <v>2.03</v>
      </c>
      <c r="Q434" s="36" t="n">
        <v>3.54</v>
      </c>
      <c r="R434" s="36" t="n">
        <v>13.53</v>
      </c>
      <c r="S434" s="36" t="n">
        <v>0</v>
      </c>
      <c r="T434" s="37" t="n">
        <v>0.9615384615384616</v>
      </c>
      <c r="U434" s="37" t="n">
        <v>0.9</v>
      </c>
      <c r="V434" s="37" t="n">
        <v>0.9788732394366197</v>
      </c>
      <c r="W434" s="37" t="n">
        <v>0.8611111111111112</v>
      </c>
    </row>
    <row r="435">
      <c r="A435" s="53" t="n">
        <v>45760</v>
      </c>
      <c r="B435" t="inlineStr">
        <is>
          <t>R06_Jawa Timur</t>
        </is>
      </c>
      <c r="C435" t="inlineStr">
        <is>
          <t>NOP LAMONGAN</t>
        </is>
      </c>
      <c r="D435" s="36" t="n">
        <v>1.91</v>
      </c>
      <c r="E435" s="36" t="n">
        <v>1.01</v>
      </c>
      <c r="F435" s="36" t="n">
        <v>3.2</v>
      </c>
      <c r="G435" s="36" t="n">
        <v>2.2</v>
      </c>
      <c r="H435" s="37" t="n">
        <v>0.7741935483870968</v>
      </c>
      <c r="I435" s="37" t="n">
        <v>1</v>
      </c>
      <c r="J435" s="37" t="n">
        <v>0.75</v>
      </c>
      <c r="K435" s="37" t="n">
        <v>0.8888888888888888</v>
      </c>
      <c r="L435" s="37" t="n">
        <v>0.8888888888888888</v>
      </c>
      <c r="M435" s="37" t="n">
        <v>1</v>
      </c>
      <c r="N435" s="37" t="n">
        <v>0.6881720430107527</v>
      </c>
      <c r="O435" s="36" t="n">
        <v>0</v>
      </c>
      <c r="P435" s="36" t="n">
        <v>2.35</v>
      </c>
      <c r="Q435" s="36" t="n">
        <v>8.640000000000001</v>
      </c>
      <c r="R435" s="36" t="n">
        <v>28.66</v>
      </c>
      <c r="S435" s="36" t="n">
        <v>0</v>
      </c>
      <c r="T435" s="37" t="n">
        <v>0.7540983606557377</v>
      </c>
      <c r="U435" s="37" t="n">
        <v>0.660377358490566</v>
      </c>
      <c r="V435" s="37" t="n">
        <v>0.8260869565217391</v>
      </c>
      <c r="W435" s="37" t="n">
        <v>0.8285714285714286</v>
      </c>
    </row>
    <row r="436">
      <c r="A436" s="53" t="n">
        <v>45760</v>
      </c>
      <c r="B436" t="inlineStr">
        <is>
          <t>R06_Jawa Timur</t>
        </is>
      </c>
      <c r="C436" t="inlineStr">
        <is>
          <t>NOP MADIUN</t>
        </is>
      </c>
      <c r="D436" s="36" t="n">
        <v>0</v>
      </c>
      <c r="E436" s="36" t="n">
        <v>0</v>
      </c>
      <c r="F436" s="36" t="n">
        <v>2.66</v>
      </c>
      <c r="G436" s="36" t="n">
        <v>3.57</v>
      </c>
      <c r="H436" s="37" t="n">
        <v>0.6666666666666666</v>
      </c>
      <c r="I436" s="37" t="n">
        <v>0</v>
      </c>
      <c r="J436" s="37" t="n">
        <v>0.6666666666666666</v>
      </c>
      <c r="K436" s="37" t="n">
        <v>0</v>
      </c>
      <c r="L436" s="37" t="n">
        <v>0</v>
      </c>
      <c r="M436" s="37" t="n">
        <v>1</v>
      </c>
      <c r="N436" s="37" t="n">
        <v>0.3875968992248062</v>
      </c>
      <c r="O436" s="36" t="n">
        <v>0</v>
      </c>
      <c r="P436" s="36" t="n">
        <v>2.54</v>
      </c>
      <c r="Q436" s="36" t="n">
        <v>5.79</v>
      </c>
      <c r="R436" s="36" t="n">
        <v>11.39</v>
      </c>
      <c r="S436" s="36" t="n">
        <v>0</v>
      </c>
      <c r="T436" s="37" t="n">
        <v>0.6589861751152074</v>
      </c>
      <c r="U436" s="37" t="n">
        <v>0.691358024691358</v>
      </c>
      <c r="V436" s="37" t="n">
        <v>0.6397058823529411</v>
      </c>
      <c r="W436" s="37" t="n">
        <v>0.7142857142857143</v>
      </c>
    </row>
    <row r="437">
      <c r="A437" s="53" t="n">
        <v>45760</v>
      </c>
      <c r="B437" t="inlineStr">
        <is>
          <t>R06_Jawa Timur</t>
        </is>
      </c>
      <c r="C437" t="inlineStr">
        <is>
          <t>NOP MALANG</t>
        </is>
      </c>
      <c r="D437" s="36" t="n">
        <v>1.19</v>
      </c>
      <c r="E437" s="36" t="n">
        <v>0</v>
      </c>
      <c r="F437" s="36" t="n">
        <v>2.47</v>
      </c>
      <c r="G437" s="36" t="n">
        <v>2.31</v>
      </c>
      <c r="H437" s="37" t="n">
        <v>0.8333333333333334</v>
      </c>
      <c r="I437" s="37" t="n">
        <v>0.5</v>
      </c>
      <c r="J437" s="37" t="n">
        <v>0.8370786516853933</v>
      </c>
      <c r="K437" s="37" t="n">
        <v>1</v>
      </c>
      <c r="L437" s="37" t="n">
        <v>1</v>
      </c>
      <c r="M437" s="37" t="n">
        <v>1</v>
      </c>
      <c r="N437" s="37" t="n">
        <v>0.7833333333333333</v>
      </c>
      <c r="O437" s="36" t="n">
        <v>0.02</v>
      </c>
      <c r="P437" s="36" t="n">
        <v>2.93</v>
      </c>
      <c r="Q437" s="36" t="n">
        <v>4.55</v>
      </c>
      <c r="R437" s="36" t="n">
        <v>62.83</v>
      </c>
      <c r="S437" s="36" t="n">
        <v>0</v>
      </c>
      <c r="T437" s="37" t="n">
        <v>0.7518796992481203</v>
      </c>
      <c r="U437" s="37" t="n">
        <v>0.5849056603773585</v>
      </c>
      <c r="V437" s="37" t="n">
        <v>0.8625</v>
      </c>
      <c r="W437" s="37" t="n">
        <v>0.6129032258064516</v>
      </c>
    </row>
    <row r="438">
      <c r="A438" s="53" t="n">
        <v>45760</v>
      </c>
      <c r="B438" t="inlineStr">
        <is>
          <t>R06_Jawa Timur</t>
        </is>
      </c>
      <c r="C438" t="inlineStr">
        <is>
          <t>NOP SIDOARJO</t>
        </is>
      </c>
      <c r="D438" s="36" t="n">
        <v>3.41</v>
      </c>
      <c r="E438" s="36" t="n">
        <v>6.27</v>
      </c>
      <c r="F438" s="36" t="n">
        <v>3.02</v>
      </c>
      <c r="G438" s="36" t="n">
        <v>4.27</v>
      </c>
      <c r="H438" s="37" t="n">
        <v>0.6086956521739131</v>
      </c>
      <c r="I438" s="37" t="n">
        <v>0.9473684210526315</v>
      </c>
      <c r="J438" s="37" t="n">
        <v>0.5633802816901409</v>
      </c>
      <c r="K438" s="37" t="n">
        <v>0.9444444444444444</v>
      </c>
      <c r="L438" s="37" t="n">
        <v>0.9444444444444444</v>
      </c>
      <c r="M438" s="37" t="n">
        <v>0.9751552795031055</v>
      </c>
      <c r="N438" s="37" t="n">
        <v>0.4347826086956522</v>
      </c>
      <c r="O438" s="36" t="n">
        <v>0</v>
      </c>
      <c r="P438" s="36" t="n">
        <v>6.3</v>
      </c>
      <c r="Q438" s="36" t="n">
        <v>11.86</v>
      </c>
      <c r="R438" s="36" t="n">
        <v>71.98999999999999</v>
      </c>
      <c r="S438" s="36" t="n">
        <v>0</v>
      </c>
      <c r="T438" s="37" t="n">
        <v>0.726775956284153</v>
      </c>
      <c r="U438" s="37" t="n">
        <v>0.4634146341463415</v>
      </c>
      <c r="V438" s="37" t="n">
        <v>0.8028169014084507</v>
      </c>
      <c r="W438" s="37" t="n">
        <v>0.4736842105263158</v>
      </c>
    </row>
    <row r="439">
      <c r="A439" s="53" t="n">
        <v>45760</v>
      </c>
      <c r="B439" t="inlineStr">
        <is>
          <t>R06_Jawa Timur</t>
        </is>
      </c>
      <c r="C439" t="inlineStr">
        <is>
          <t>NOP SURABAYA</t>
        </is>
      </c>
      <c r="D439" s="36" t="n">
        <v>2.68</v>
      </c>
      <c r="E439" s="36" t="n">
        <v>0</v>
      </c>
      <c r="F439" s="36" t="n">
        <v>4.58</v>
      </c>
      <c r="G439" s="36" t="n">
        <v>2.79</v>
      </c>
      <c r="H439" s="37" t="n">
        <v>0.4954128440366973</v>
      </c>
      <c r="I439" s="37" t="n">
        <v>0.2608695652173913</v>
      </c>
      <c r="J439" s="37" t="n">
        <v>0.5230769230769231</v>
      </c>
      <c r="K439" s="37" t="n">
        <v>1</v>
      </c>
      <c r="L439" s="37" t="n">
        <v>1</v>
      </c>
      <c r="M439" s="37" t="n">
        <v>0.9724770642201835</v>
      </c>
      <c r="N439" s="37" t="n">
        <v>0.3486238532110092</v>
      </c>
      <c r="O439" s="36" t="n">
        <v>0.04</v>
      </c>
      <c r="P439" s="36" t="n">
        <v>3.2</v>
      </c>
      <c r="Q439" s="36" t="n">
        <v>7.98</v>
      </c>
      <c r="R439" s="36" t="n">
        <v>25.82</v>
      </c>
      <c r="S439" s="36" t="n">
        <v>0</v>
      </c>
      <c r="T439" s="37" t="n">
        <v>0.6229885057471264</v>
      </c>
      <c r="U439" s="37" t="n">
        <v>0.456140350877193</v>
      </c>
      <c r="V439" s="37" t="n">
        <v>0.6481481481481481</v>
      </c>
      <c r="W439" s="37" t="n">
        <v>0.7307692307692307</v>
      </c>
    </row>
    <row r="440">
      <c r="A440" s="53" t="n">
        <v>45760</v>
      </c>
      <c r="B440" t="inlineStr">
        <is>
          <t>R07_Bali Nusra</t>
        </is>
      </c>
      <c r="C440" t="inlineStr">
        <is>
          <t>NOP DENPASAR</t>
        </is>
      </c>
      <c r="D440" s="36" t="n">
        <v>3.64</v>
      </c>
      <c r="E440" s="36" t="n">
        <v>0</v>
      </c>
      <c r="F440" s="36" t="n">
        <v>5.36</v>
      </c>
      <c r="G440" s="36" t="n">
        <v>4.7</v>
      </c>
      <c r="H440" s="37" t="n">
        <v>0.893491124260355</v>
      </c>
      <c r="I440" s="37" t="n">
        <v>0.8823529411764706</v>
      </c>
      <c r="J440" s="37" t="n">
        <v>0.8962962962962963</v>
      </c>
      <c r="K440" s="37" t="n">
        <v>0.9333333333333333</v>
      </c>
      <c r="L440" s="37" t="n">
        <v>0.9333333333333333</v>
      </c>
      <c r="M440" s="37" t="n">
        <v>0.9644970414201184</v>
      </c>
      <c r="N440" s="37" t="n">
        <v>0.863905325443787</v>
      </c>
      <c r="O440" s="36" t="n">
        <v>0</v>
      </c>
      <c r="P440" s="36" t="n">
        <v>177.83</v>
      </c>
      <c r="Q440" s="36" t="n">
        <v>28.66</v>
      </c>
      <c r="R440" s="36" t="n">
        <v>81.88</v>
      </c>
      <c r="S440" s="36" t="n">
        <v>0</v>
      </c>
      <c r="T440" s="37" t="n">
        <v>0.8639455782312925</v>
      </c>
      <c r="U440" s="37" t="n">
        <v>0.7777777777777778</v>
      </c>
      <c r="V440" s="37" t="n">
        <v>0.8833333333333333</v>
      </c>
      <c r="W440" s="37" t="n">
        <v>0.3809523809523809</v>
      </c>
    </row>
    <row r="441">
      <c r="A441" s="53" t="n">
        <v>45760</v>
      </c>
      <c r="B441" t="inlineStr">
        <is>
          <t>R07_Bali Nusra</t>
        </is>
      </c>
      <c r="C441" t="inlineStr">
        <is>
          <t>NOP FLORES</t>
        </is>
      </c>
      <c r="D441" s="36" t="n">
        <v>8.99</v>
      </c>
      <c r="E441" s="36" t="n">
        <v>6.05</v>
      </c>
      <c r="F441" s="36" t="n">
        <v>9.199999999999999</v>
      </c>
      <c r="G441" s="36" t="n">
        <v>9.460000000000001</v>
      </c>
      <c r="H441" s="37" t="n">
        <v>0.4282115869017632</v>
      </c>
      <c r="I441" s="37" t="n">
        <v>0.5404040404040404</v>
      </c>
      <c r="J441" s="37" t="n">
        <v>0.3909395973154363</v>
      </c>
      <c r="K441" s="37" t="n">
        <v>0.6448598130841121</v>
      </c>
      <c r="L441" s="37" t="n">
        <v>0.6448598130841121</v>
      </c>
      <c r="M441" s="37" t="n">
        <v>0.9848866498740554</v>
      </c>
      <c r="N441" s="37" t="n">
        <v>0.2468513853904282</v>
      </c>
      <c r="O441" s="36" t="n">
        <v>0.17</v>
      </c>
      <c r="P441" s="36" t="n">
        <v>13.83</v>
      </c>
      <c r="Q441" s="36" t="n">
        <v>9.08</v>
      </c>
      <c r="R441" s="36" t="n">
        <v>54.79</v>
      </c>
      <c r="S441" s="36" t="n">
        <v>0</v>
      </c>
      <c r="T441" s="37" t="n">
        <v>0.4351407000686342</v>
      </c>
      <c r="U441" s="37" t="n">
        <v>0.472168905950096</v>
      </c>
      <c r="V441" s="37" t="n">
        <v>0.3421686746987952</v>
      </c>
      <c r="W441" s="37" t="n">
        <v>0.6321138211382114</v>
      </c>
    </row>
    <row r="442">
      <c r="A442" s="53" t="n">
        <v>45760</v>
      </c>
      <c r="B442" t="inlineStr">
        <is>
          <t>R07_Bali Nusra</t>
        </is>
      </c>
      <c r="C442" t="inlineStr">
        <is>
          <t>NOP KUPANG</t>
        </is>
      </c>
      <c r="D442" s="36" t="n">
        <v>1.18</v>
      </c>
      <c r="E442" s="36" t="n">
        <v>3.97</v>
      </c>
      <c r="F442" s="36" t="n">
        <v>3.72</v>
      </c>
      <c r="G442" s="36" t="n">
        <v>7.26</v>
      </c>
      <c r="H442" s="37" t="n">
        <v>0.5831842576028623</v>
      </c>
      <c r="I442" s="37" t="n">
        <v>0.6027397260273972</v>
      </c>
      <c r="J442" s="37" t="n">
        <v>0.5802469135802469</v>
      </c>
      <c r="K442" s="37" t="n">
        <v>0.5454545454545454</v>
      </c>
      <c r="L442" s="37" t="n">
        <v>0.5454545454545454</v>
      </c>
      <c r="M442" s="37" t="n">
        <v>0.9910554561717353</v>
      </c>
      <c r="N442" s="37" t="n">
        <v>0.1949910554561717</v>
      </c>
      <c r="O442" s="36" t="n">
        <v>0.12</v>
      </c>
      <c r="P442" s="36" t="n">
        <v>11.32</v>
      </c>
      <c r="Q442" s="36" t="n">
        <v>16.17</v>
      </c>
      <c r="R442" s="36" t="n">
        <v>295.86</v>
      </c>
      <c r="S442" s="36" t="n">
        <v>0</v>
      </c>
      <c r="T442" s="37" t="n">
        <v>0.6171003717472119</v>
      </c>
      <c r="U442" s="37" t="n">
        <v>0.6332665330661322</v>
      </c>
      <c r="V442" s="37" t="n">
        <v>0.5909090909090909</v>
      </c>
      <c r="W442" s="37" t="n">
        <v>0.620253164556962</v>
      </c>
    </row>
    <row r="443">
      <c r="A443" s="53" t="n">
        <v>45760</v>
      </c>
      <c r="B443" t="inlineStr">
        <is>
          <t>R07_Bali Nusra</t>
        </is>
      </c>
      <c r="C443" t="inlineStr">
        <is>
          <t>NOP MATARAM</t>
        </is>
      </c>
      <c r="D443" s="36" t="n">
        <v>3.48</v>
      </c>
      <c r="E443" s="36" t="n">
        <v>5.46</v>
      </c>
      <c r="F443" s="36" t="n">
        <v>5.3</v>
      </c>
      <c r="G443" s="36" t="n">
        <v>5.4</v>
      </c>
      <c r="H443" s="37" t="n">
        <v>0.4254385964912281</v>
      </c>
      <c r="I443" s="37" t="n">
        <v>0.6129032258064516</v>
      </c>
      <c r="J443" s="37" t="n">
        <v>0.3959390862944163</v>
      </c>
      <c r="K443" s="37" t="n">
        <v>0.7894736842105263</v>
      </c>
      <c r="L443" s="37" t="n">
        <v>0.7894736842105263</v>
      </c>
      <c r="M443" s="37" t="n">
        <v>1</v>
      </c>
      <c r="N443" s="37" t="n">
        <v>0.2807017543859649</v>
      </c>
      <c r="O443" s="36" t="n">
        <v>0.02</v>
      </c>
      <c r="P443" s="36" t="n">
        <v>25.1</v>
      </c>
      <c r="Q443" s="36" t="n">
        <v>9.9</v>
      </c>
      <c r="R443" s="36" t="n">
        <v>39.25</v>
      </c>
      <c r="S443" s="36" t="n">
        <v>0</v>
      </c>
      <c r="T443" s="37" t="n">
        <v>0.2957957957957958</v>
      </c>
      <c r="U443" s="37" t="n">
        <v>0.3063583815028902</v>
      </c>
      <c r="V443" s="37" t="n">
        <v>0.284375</v>
      </c>
      <c r="W443" s="37" t="n">
        <v>0.5754716981132075</v>
      </c>
    </row>
    <row r="444">
      <c r="A444" s="53" t="n">
        <v>45761</v>
      </c>
      <c r="B444" t="inlineStr">
        <is>
          <t>R01_Sumbagut</t>
        </is>
      </c>
      <c r="C444" t="inlineStr">
        <is>
          <t>NOP ACEH</t>
        </is>
      </c>
      <c r="D444" s="36" t="n">
        <v>2.45</v>
      </c>
      <c r="E444" s="36" t="n">
        <v>4.7</v>
      </c>
      <c r="F444" s="36" t="n">
        <v>11.36</v>
      </c>
      <c r="G444" s="36" t="n">
        <v>14.2</v>
      </c>
      <c r="H444" s="37" t="n">
        <v>0.8386380458919319</v>
      </c>
      <c r="I444" s="37" t="n">
        <v>0.8547945205479452</v>
      </c>
      <c r="J444" s="37" t="n">
        <v>0.8326572008113591</v>
      </c>
      <c r="K444" s="37" t="n">
        <v>0.3846153846153846</v>
      </c>
      <c r="L444" s="37" t="n">
        <v>0.3870967741935484</v>
      </c>
      <c r="M444" s="37" t="n">
        <v>1</v>
      </c>
      <c r="N444" s="37" t="n">
        <v>0.2938564026646928</v>
      </c>
      <c r="O444" s="36" t="n">
        <v>0.06</v>
      </c>
      <c r="P444" s="36" t="n">
        <v>4.87</v>
      </c>
      <c r="Q444" s="36" t="n">
        <v>70.33</v>
      </c>
      <c r="R444" s="36" t="n">
        <v>125.4</v>
      </c>
      <c r="S444" s="36" t="n">
        <v>0</v>
      </c>
      <c r="T444" s="37" t="n">
        <v>0.8765511339323919</v>
      </c>
      <c r="U444" s="37" t="n">
        <v>0.7159090909090909</v>
      </c>
      <c r="V444" s="37" t="n">
        <v>0.9037605145967343</v>
      </c>
      <c r="W444" s="37" t="n">
        <v>0.2018140589569161</v>
      </c>
    </row>
    <row r="445">
      <c r="A445" s="53" t="n">
        <v>45761</v>
      </c>
      <c r="B445" t="inlineStr">
        <is>
          <t>R01_Sumbagut</t>
        </is>
      </c>
      <c r="C445" t="inlineStr">
        <is>
          <t>NOP BINJAI</t>
        </is>
      </c>
      <c r="D445" s="36" t="n">
        <v>9.9</v>
      </c>
      <c r="E445" s="36" t="n">
        <v>5.04</v>
      </c>
      <c r="F445" s="36" t="n">
        <v>3.31</v>
      </c>
      <c r="G445" s="36" t="n">
        <v>4.47</v>
      </c>
      <c r="H445" s="37" t="n">
        <v>0.5798611111111112</v>
      </c>
      <c r="I445" s="37" t="n">
        <v>0.7006802721088435</v>
      </c>
      <c r="J445" s="37" t="n">
        <v>0.5384615384615384</v>
      </c>
      <c r="K445" s="37" t="n">
        <v>0.4563106796116505</v>
      </c>
      <c r="L445" s="37" t="n">
        <v>0.4509803921568628</v>
      </c>
      <c r="M445" s="37" t="n">
        <v>1</v>
      </c>
      <c r="N445" s="37" t="n">
        <v>0.2951388888888889</v>
      </c>
      <c r="O445" s="36" t="n">
        <v>0.02</v>
      </c>
      <c r="P445" s="36" t="n">
        <v>2.56</v>
      </c>
      <c r="Q445" s="36" t="n">
        <v>43.54</v>
      </c>
      <c r="R445" s="36" t="n">
        <v>108.44</v>
      </c>
      <c r="S445" s="36" t="n">
        <v>0</v>
      </c>
      <c r="T445" s="37" t="n">
        <v>0.6257961783439491</v>
      </c>
      <c r="U445" s="37" t="n">
        <v>0.534375</v>
      </c>
      <c r="V445" s="37" t="n">
        <v>0.6659242761692651</v>
      </c>
      <c r="W445" s="37" t="n">
        <v>0.4619883040935672</v>
      </c>
    </row>
    <row r="446">
      <c r="A446" s="53" t="n">
        <v>45761</v>
      </c>
      <c r="B446" t="inlineStr">
        <is>
          <t>R01_Sumbagut</t>
        </is>
      </c>
      <c r="C446" t="inlineStr">
        <is>
          <t>NOP MEDAN</t>
        </is>
      </c>
      <c r="D446" s="36" t="n">
        <v>2.66</v>
      </c>
      <c r="E446" s="36" t="n">
        <v>4.72</v>
      </c>
      <c r="F446" s="36" t="n">
        <v>3.82</v>
      </c>
      <c r="G446" s="36" t="n">
        <v>5.11</v>
      </c>
      <c r="H446" s="37" t="n">
        <v>0.4186046511627907</v>
      </c>
      <c r="I446" s="37" t="n">
        <v>0.4676258992805755</v>
      </c>
      <c r="J446" s="37" t="n">
        <v>0.4005305039787798</v>
      </c>
      <c r="K446" s="37" t="n">
        <v>0.7846153846153846</v>
      </c>
      <c r="L446" s="37" t="n">
        <v>0.7846153846153846</v>
      </c>
      <c r="M446" s="37" t="n">
        <v>1</v>
      </c>
      <c r="N446" s="37" t="n">
        <v>0.2596899224806202</v>
      </c>
      <c r="O446" s="36" t="n">
        <v>0</v>
      </c>
      <c r="P446" s="36" t="n">
        <v>4.03</v>
      </c>
      <c r="Q446" s="36" t="n">
        <v>16.46</v>
      </c>
      <c r="R446" s="36" t="n">
        <v>12.64</v>
      </c>
      <c r="S446" s="36" t="n">
        <v>0</v>
      </c>
      <c r="T446" s="37" t="n">
        <v>0.2873563218390804</v>
      </c>
      <c r="U446" s="37" t="n">
        <v>0.185792349726776</v>
      </c>
      <c r="V446" s="37" t="n">
        <v>0.3547557840616967</v>
      </c>
      <c r="W446" s="37" t="n">
        <v>0.8529411764705882</v>
      </c>
    </row>
    <row r="447">
      <c r="A447" s="53" t="n">
        <v>45761</v>
      </c>
      <c r="B447" t="inlineStr">
        <is>
          <t>R01_Sumbagut</t>
        </is>
      </c>
      <c r="C447" t="inlineStr">
        <is>
          <t>NOP PADANG SIDEMPUAN</t>
        </is>
      </c>
      <c r="D447" s="36" t="n">
        <v>3.08</v>
      </c>
      <c r="E447" s="36" t="n">
        <v>3.45</v>
      </c>
      <c r="F447" s="36" t="n">
        <v>4.69</v>
      </c>
      <c r="G447" s="36" t="n">
        <v>6.17</v>
      </c>
      <c r="H447" s="37" t="n">
        <v>0.2959001782531194</v>
      </c>
      <c r="I447" s="37" t="n">
        <v>0.4961832061068702</v>
      </c>
      <c r="J447" s="37" t="n">
        <v>0.2694248234106963</v>
      </c>
      <c r="K447" s="37" t="n">
        <v>0.5076923076923077</v>
      </c>
      <c r="L447" s="37" t="n">
        <v>0.5076923076923077</v>
      </c>
      <c r="M447" s="37" t="n">
        <v>0.9928698752228164</v>
      </c>
      <c r="N447" s="37" t="n">
        <v>0.1194295900178253</v>
      </c>
      <c r="O447" s="36" t="n">
        <v>0.01</v>
      </c>
      <c r="P447" s="36" t="n">
        <v>2.34</v>
      </c>
      <c r="Q447" s="36" t="n">
        <v>12.8</v>
      </c>
      <c r="R447" s="36" t="n">
        <v>100.2</v>
      </c>
      <c r="S447" s="36" t="n">
        <v>0</v>
      </c>
      <c r="T447" s="37" t="n">
        <v>0.3</v>
      </c>
      <c r="U447" s="37" t="n">
        <v>0.4297520661157025</v>
      </c>
      <c r="V447" s="37" t="n">
        <v>0.2529614061902942</v>
      </c>
      <c r="W447" s="37" t="n">
        <v>0.4807692307692308</v>
      </c>
    </row>
    <row r="448">
      <c r="A448" s="53" t="n">
        <v>45761</v>
      </c>
      <c r="B448" t="inlineStr">
        <is>
          <t>R01_Sumbagut</t>
        </is>
      </c>
      <c r="C448" t="inlineStr">
        <is>
          <t>NOP PEMATANG SIANTAR</t>
        </is>
      </c>
      <c r="D448" s="36" t="n">
        <v>1.24</v>
      </c>
      <c r="E448" s="36" t="n">
        <v>3.49</v>
      </c>
      <c r="F448" s="36" t="n">
        <v>4.29</v>
      </c>
      <c r="G448" s="36" t="n">
        <v>5.05</v>
      </c>
      <c r="H448" s="37" t="n">
        <v>0.292318150917743</v>
      </c>
      <c r="I448" s="37" t="n">
        <v>0.2801635991820041</v>
      </c>
      <c r="J448" s="37" t="n">
        <v>0.2983706720977597</v>
      </c>
      <c r="K448" s="37" t="n">
        <v>0.6715328467153284</v>
      </c>
      <c r="L448" s="37" t="n">
        <v>0.6814814814814815</v>
      </c>
      <c r="M448" s="37" t="n">
        <v>0.9993201903467029</v>
      </c>
      <c r="N448" s="37" t="n">
        <v>0.1543167912984365</v>
      </c>
      <c r="O448" s="36" t="n">
        <v>0.01</v>
      </c>
      <c r="P448" s="36" t="n">
        <v>3.74</v>
      </c>
      <c r="Q448" s="36" t="n">
        <v>61.16</v>
      </c>
      <c r="R448" s="36" t="n">
        <v>65.65000000000001</v>
      </c>
      <c r="S448" s="36" t="n">
        <v>0</v>
      </c>
      <c r="T448" s="37" t="n">
        <v>0.108843537414966</v>
      </c>
      <c r="U448" s="37" t="n">
        <v>0.3253968253968254</v>
      </c>
      <c r="V448" s="37" t="n">
        <v>0.08476286579212916</v>
      </c>
      <c r="W448" s="37" t="n">
        <v>0.8536585365853658</v>
      </c>
    </row>
    <row r="449">
      <c r="A449" s="53" t="n">
        <v>45761</v>
      </c>
      <c r="B449" t="inlineStr">
        <is>
          <t>R01_Sumbagut</t>
        </is>
      </c>
      <c r="C449" t="inlineStr">
        <is>
          <t>NOP RANTAU PRAPAT</t>
        </is>
      </c>
      <c r="D449" s="36" t="n">
        <v>3.49</v>
      </c>
      <c r="E449" s="36" t="n">
        <v>6.03</v>
      </c>
      <c r="F449" s="36" t="n">
        <v>5.59</v>
      </c>
      <c r="G449" s="36" t="n">
        <v>6.47</v>
      </c>
      <c r="H449" s="37" t="n">
        <v>0.2834061135371179</v>
      </c>
      <c r="I449" s="37" t="n">
        <v>0.2847380410022779</v>
      </c>
      <c r="J449" s="37" t="n">
        <v>0.2830902215018909</v>
      </c>
      <c r="K449" s="37" t="n">
        <v>0.64</v>
      </c>
      <c r="L449" s="37" t="n">
        <v>0.64</v>
      </c>
      <c r="M449" s="37" t="n">
        <v>0.9899563318777292</v>
      </c>
      <c r="N449" s="37" t="n">
        <v>0.1646288209606987</v>
      </c>
      <c r="O449" s="36" t="n">
        <v>0.02</v>
      </c>
      <c r="P449" s="36" t="n">
        <v>4.05</v>
      </c>
      <c r="Q449" s="36" t="n">
        <v>34.86</v>
      </c>
      <c r="R449" s="36" t="n">
        <v>41.79</v>
      </c>
      <c r="S449" s="36" t="n">
        <v>0</v>
      </c>
      <c r="T449" s="37" t="n">
        <v>0.07063197026022305</v>
      </c>
      <c r="U449" s="37" t="n">
        <v>0.1449511400651466</v>
      </c>
      <c r="V449" s="37" t="n">
        <v>0.05161290322580645</v>
      </c>
      <c r="W449" s="37" t="n">
        <v>0.651685393258427</v>
      </c>
    </row>
    <row r="450">
      <c r="A450" s="53" t="n">
        <v>45761</v>
      </c>
      <c r="B450" t="inlineStr">
        <is>
          <t>R10_Sumbagteng</t>
        </is>
      </c>
      <c r="C450" t="inlineStr">
        <is>
          <t>NOP BATAM</t>
        </is>
      </c>
      <c r="D450" s="36" t="n">
        <v>2.09</v>
      </c>
      <c r="E450" s="36" t="n">
        <v>8.119999999999999</v>
      </c>
      <c r="F450" s="36" t="n">
        <v>6.71</v>
      </c>
      <c r="G450" s="36" t="n">
        <v>9.699999999999999</v>
      </c>
      <c r="H450" s="37" t="n">
        <v>0.2889908256880734</v>
      </c>
      <c r="I450" s="37" t="n">
        <v>0.314121037463977</v>
      </c>
      <c r="J450" s="37" t="n">
        <v>0.2827487473156765</v>
      </c>
      <c r="K450" s="37" t="n">
        <v>0.6146788990825688</v>
      </c>
      <c r="L450" s="37" t="n">
        <v>0.6146788990825688</v>
      </c>
      <c r="M450" s="37" t="n">
        <v>0.992545871559633</v>
      </c>
      <c r="N450" s="37" t="n">
        <v>0.1783256880733945</v>
      </c>
      <c r="O450" s="36" t="n">
        <v>0</v>
      </c>
      <c r="P450" s="36" t="n">
        <v>7.46</v>
      </c>
      <c r="Q450" s="36" t="n">
        <v>33.53</v>
      </c>
      <c r="R450" s="36" t="n">
        <v>10.43</v>
      </c>
      <c r="S450" s="36" t="n">
        <v>0</v>
      </c>
      <c r="T450" s="37" t="n">
        <v>0.07774881153197362</v>
      </c>
      <c r="U450" s="37" t="n">
        <v>0.2374269005847953</v>
      </c>
      <c r="V450" s="37" t="n">
        <v>0.05295894792962502</v>
      </c>
      <c r="W450" s="37" t="n">
        <v>0.8226600985221675</v>
      </c>
    </row>
    <row r="451">
      <c r="A451" s="53" t="n">
        <v>45761</v>
      </c>
      <c r="B451" t="inlineStr">
        <is>
          <t>R10_Sumbagteng</t>
        </is>
      </c>
      <c r="C451" t="inlineStr">
        <is>
          <t>NOP BUKITTINGGI</t>
        </is>
      </c>
      <c r="D451" s="36" t="n">
        <v>1.72</v>
      </c>
      <c r="E451" s="36" t="n">
        <v>6.47</v>
      </c>
      <c r="F451" s="36" t="n">
        <v>3.45</v>
      </c>
      <c r="G451" s="36" t="n">
        <v>5.72</v>
      </c>
      <c r="H451" s="37" t="n">
        <v>0.7535714285714286</v>
      </c>
      <c r="I451" s="37" t="n">
        <v>0.837037037037037</v>
      </c>
      <c r="J451" s="37" t="n">
        <v>0.7270588235294118</v>
      </c>
      <c r="K451" s="37" t="n">
        <v>0.6283185840707964</v>
      </c>
      <c r="L451" s="37" t="n">
        <v>0.6283185840707964</v>
      </c>
      <c r="M451" s="37" t="n">
        <v>0.9892857142857143</v>
      </c>
      <c r="N451" s="37" t="n">
        <v>0.4535714285714286</v>
      </c>
      <c r="O451" s="36" t="n">
        <v>0</v>
      </c>
      <c r="P451" s="36" t="n">
        <v>3.98</v>
      </c>
      <c r="Q451" s="36" t="n">
        <v>8.82</v>
      </c>
      <c r="R451" s="36" t="n">
        <v>101.68</v>
      </c>
      <c r="S451" s="36" t="n">
        <v>0</v>
      </c>
      <c r="T451" s="37" t="n">
        <v>0.3129151291512915</v>
      </c>
      <c r="U451" s="37" t="n">
        <v>0.7375565610859729</v>
      </c>
      <c r="V451" s="37" t="n">
        <v>0.2755267423014587</v>
      </c>
      <c r="W451" s="37" t="n">
        <v>0.6134969325153374</v>
      </c>
    </row>
    <row r="452">
      <c r="A452" s="53" t="n">
        <v>45761</v>
      </c>
      <c r="B452" t="inlineStr">
        <is>
          <t>R10_Sumbagteng</t>
        </is>
      </c>
      <c r="C452" t="inlineStr">
        <is>
          <t>NOP DUMAI</t>
        </is>
      </c>
      <c r="D452" s="36" t="n">
        <v>5.92</v>
      </c>
      <c r="E452" s="36" t="n">
        <v>6.31</v>
      </c>
      <c r="F452" s="36" t="n">
        <v>5.7</v>
      </c>
      <c r="G452" s="36" t="n">
        <v>6.2</v>
      </c>
      <c r="H452" s="37" t="n">
        <v>0.4</v>
      </c>
      <c r="I452" s="37" t="n">
        <v>0.466996699669967</v>
      </c>
      <c r="J452" s="37" t="n">
        <v>0.3773057574063723</v>
      </c>
      <c r="K452" s="37" t="n">
        <v>0.6996466431095406</v>
      </c>
      <c r="L452" s="37" t="n">
        <v>0.7238805970149254</v>
      </c>
      <c r="M452" s="37" t="n">
        <v>0.9745302713987474</v>
      </c>
      <c r="N452" s="37" t="n">
        <v>0.2225469728601253</v>
      </c>
      <c r="O452" s="36" t="n">
        <v>0.11</v>
      </c>
      <c r="P452" s="36" t="n">
        <v>5.04</v>
      </c>
      <c r="Q452" s="36" t="n">
        <v>51.81</v>
      </c>
      <c r="R452" s="36" t="n">
        <v>124.85</v>
      </c>
      <c r="S452" s="36" t="n">
        <v>0</v>
      </c>
      <c r="T452" s="37" t="n">
        <v>0.3022222222222222</v>
      </c>
      <c r="U452" s="37" t="n">
        <v>0.3242677824267782</v>
      </c>
      <c r="V452" s="37" t="n">
        <v>0.3079430942501482</v>
      </c>
      <c r="W452" s="37" t="n">
        <v>0.932258064516129</v>
      </c>
    </row>
    <row r="453">
      <c r="A453" s="53" t="n">
        <v>45761</v>
      </c>
      <c r="B453" t="inlineStr">
        <is>
          <t>R10_Sumbagteng</t>
        </is>
      </c>
      <c r="C453" t="inlineStr">
        <is>
          <t>NOP PADANG</t>
        </is>
      </c>
      <c r="D453" s="36" t="n">
        <v>3.58</v>
      </c>
      <c r="E453" s="36" t="n">
        <v>3.01</v>
      </c>
      <c r="F453" s="36" t="n">
        <v>6.21</v>
      </c>
      <c r="G453" s="36" t="n">
        <v>7.48</v>
      </c>
      <c r="H453" s="37" t="n">
        <v>0.7661388550548112</v>
      </c>
      <c r="I453" s="37" t="n">
        <v>0.696969696969697</v>
      </c>
      <c r="J453" s="37" t="n">
        <v>0.775623268698061</v>
      </c>
      <c r="K453" s="37" t="n">
        <v>0.5362318840579711</v>
      </c>
      <c r="L453" s="37" t="n">
        <v>0.5362318840579711</v>
      </c>
      <c r="M453" s="37" t="n">
        <v>0.9853836784409257</v>
      </c>
      <c r="N453" s="37" t="n">
        <v>0.3349573690621194</v>
      </c>
      <c r="O453" s="36" t="n">
        <v>0.06</v>
      </c>
      <c r="P453" s="36" t="n">
        <v>5.14</v>
      </c>
      <c r="Q453" s="36" t="n">
        <v>50.29</v>
      </c>
      <c r="R453" s="36" t="n">
        <v>50.7</v>
      </c>
      <c r="S453" s="36" t="n">
        <v>0</v>
      </c>
      <c r="T453" s="37" t="n">
        <v>0.7046769527483124</v>
      </c>
      <c r="U453" s="37" t="n">
        <v>0.6313465783664459</v>
      </c>
      <c r="V453" s="37" t="n">
        <v>0.7164383561643836</v>
      </c>
      <c r="W453" s="37" t="n">
        <v>0.479020979020979</v>
      </c>
    </row>
    <row r="454">
      <c r="A454" s="53" t="n">
        <v>45761</v>
      </c>
      <c r="B454" t="inlineStr">
        <is>
          <t>R10_Sumbagteng</t>
        </is>
      </c>
      <c r="C454" t="inlineStr">
        <is>
          <t>NOP PEKANBARU</t>
        </is>
      </c>
      <c r="D454" s="36" t="n">
        <v>6.62</v>
      </c>
      <c r="E454" s="36" t="n">
        <v>5.8</v>
      </c>
      <c r="F454" s="36" t="n">
        <v>6.33</v>
      </c>
      <c r="G454" s="36" t="n">
        <v>8.949999999999999</v>
      </c>
      <c r="H454" s="37" t="n">
        <v>0.3809328968903437</v>
      </c>
      <c r="I454" s="37" t="n">
        <v>0.5210526315789473</v>
      </c>
      <c r="J454" s="37" t="n">
        <v>0.3551356589147287</v>
      </c>
      <c r="K454" s="37" t="n">
        <v>0.7626262626262627</v>
      </c>
      <c r="L454" s="37" t="n">
        <v>0.7731958762886598</v>
      </c>
      <c r="M454" s="37" t="n">
        <v>0.9905891980360065</v>
      </c>
      <c r="N454" s="37" t="n">
        <v>0.2139934533551555</v>
      </c>
      <c r="O454" s="36" t="n">
        <v>0.03</v>
      </c>
      <c r="P454" s="36" t="n">
        <v>3.2</v>
      </c>
      <c r="Q454" s="36" t="n">
        <v>49.97</v>
      </c>
      <c r="R454" s="36" t="n">
        <v>88.02</v>
      </c>
      <c r="S454" s="36" t="n">
        <v>0</v>
      </c>
      <c r="T454" s="37" t="n">
        <v>0.3020439061317184</v>
      </c>
      <c r="U454" s="37" t="n">
        <v>0.2999191592562652</v>
      </c>
      <c r="V454" s="37" t="n">
        <v>0.3079584775086505</v>
      </c>
      <c r="W454" s="37" t="n">
        <v>0.8679245283018868</v>
      </c>
    </row>
    <row r="455">
      <c r="A455" s="53" t="n">
        <v>45761</v>
      </c>
      <c r="B455" t="inlineStr">
        <is>
          <t>R02_Sumbagsel</t>
        </is>
      </c>
      <c r="C455" t="inlineStr">
        <is>
          <t>NOP BENGKULU</t>
        </is>
      </c>
      <c r="D455" s="36" t="n">
        <v>2.05</v>
      </c>
      <c r="E455" s="36" t="n">
        <v>4.15</v>
      </c>
      <c r="F455" s="36" t="n">
        <v>3.84</v>
      </c>
      <c r="G455" s="36" t="n">
        <v>6.52</v>
      </c>
      <c r="H455" s="37" t="n">
        <v>0.3788109756097561</v>
      </c>
      <c r="I455" s="37" t="n">
        <v>0.4542682926829268</v>
      </c>
      <c r="J455" s="37" t="n">
        <v>0.3536585365853658</v>
      </c>
      <c r="K455" s="37" t="n">
        <v>0.6912751677852349</v>
      </c>
      <c r="L455" s="37" t="n">
        <v>0.6912751677852349</v>
      </c>
      <c r="M455" s="37" t="n">
        <v>0.9923780487804879</v>
      </c>
      <c r="N455" s="37" t="n">
        <v>0.1958841463414634</v>
      </c>
      <c r="O455" s="36" t="n">
        <v>0</v>
      </c>
      <c r="P455" s="36" t="n">
        <v>5.96</v>
      </c>
      <c r="Q455" s="36" t="n">
        <v>6.33</v>
      </c>
      <c r="R455" s="36" t="n">
        <v>16.83</v>
      </c>
      <c r="S455" s="36" t="n">
        <v>0</v>
      </c>
      <c r="T455" s="37" t="n">
        <v>0.4537325038880249</v>
      </c>
      <c r="U455" s="37" t="n">
        <v>0.3776346604215456</v>
      </c>
      <c r="V455" s="37" t="n">
        <v>0.6364963503649635</v>
      </c>
      <c r="W455" s="37" t="n">
        <v>0.8883720930232558</v>
      </c>
    </row>
    <row r="456">
      <c r="A456" s="53" t="n">
        <v>45761</v>
      </c>
      <c r="B456" t="inlineStr">
        <is>
          <t>R02_Sumbagsel</t>
        </is>
      </c>
      <c r="C456" t="inlineStr">
        <is>
          <t>NOP JAMBI</t>
        </is>
      </c>
      <c r="D456" s="36" t="n">
        <v>3.57</v>
      </c>
      <c r="E456" s="36" t="n">
        <v>5.7</v>
      </c>
      <c r="F456" s="36" t="n">
        <v>6.56</v>
      </c>
      <c r="G456" s="36" t="n">
        <v>8.16</v>
      </c>
      <c r="H456" s="37" t="n">
        <v>0.5176803394625177</v>
      </c>
      <c r="I456" s="37" t="n">
        <v>0.5627836611195158</v>
      </c>
      <c r="J456" s="37" t="n">
        <v>0.4972602739726028</v>
      </c>
      <c r="K456" s="37" t="n">
        <v>0.6586021505376344</v>
      </c>
      <c r="L456" s="37" t="n">
        <v>0.6594594594594595</v>
      </c>
      <c r="M456" s="37" t="n">
        <v>1</v>
      </c>
      <c r="N456" s="37" t="n">
        <v>0.2772277227722773</v>
      </c>
      <c r="O456" s="36" t="n">
        <v>0</v>
      </c>
      <c r="P456" s="36" t="n">
        <v>6.84</v>
      </c>
      <c r="Q456" s="36" t="n">
        <v>14.9</v>
      </c>
      <c r="R456" s="36" t="n">
        <v>19</v>
      </c>
      <c r="S456" s="36" t="n">
        <v>0</v>
      </c>
      <c r="T456" s="37" t="n">
        <v>0.6407259304829284</v>
      </c>
      <c r="U456" s="37" t="n">
        <v>0.624263839811543</v>
      </c>
      <c r="V456" s="37" t="n">
        <v>0.673121611154144</v>
      </c>
      <c r="W456" s="37" t="n">
        <v>0.7339622641509433</v>
      </c>
    </row>
    <row r="457">
      <c r="A457" s="53" t="n">
        <v>45761</v>
      </c>
      <c r="B457" t="inlineStr">
        <is>
          <t>R02_Sumbagsel</t>
        </is>
      </c>
      <c r="C457" t="inlineStr">
        <is>
          <t>NOP LAMPUNG</t>
        </is>
      </c>
      <c r="D457" s="36" t="n">
        <v>3.63</v>
      </c>
      <c r="E457" s="36" t="n">
        <v>5.64</v>
      </c>
      <c r="F457" s="36" t="n">
        <v>3.98</v>
      </c>
      <c r="G457" s="36" t="n">
        <v>5.34</v>
      </c>
      <c r="H457" s="37" t="n">
        <v>0.5133928571428571</v>
      </c>
      <c r="I457" s="37" t="n">
        <v>0.6785714285714286</v>
      </c>
      <c r="J457" s="37" t="n">
        <v>0.4583333333333333</v>
      </c>
      <c r="K457" s="37" t="n">
        <v>0.7017543859649122</v>
      </c>
      <c r="L457" s="37" t="n">
        <v>0.7017543859649122</v>
      </c>
      <c r="M457" s="37" t="n">
        <v>1</v>
      </c>
      <c r="N457" s="37" t="n">
        <v>0.3467261904761905</v>
      </c>
      <c r="O457" s="36" t="n">
        <v>1.51</v>
      </c>
      <c r="P457" s="36" t="n">
        <v>6.9</v>
      </c>
      <c r="Q457" s="36" t="n">
        <v>5.71</v>
      </c>
      <c r="R457" s="36" t="n">
        <v>27.06</v>
      </c>
      <c r="S457" s="36" t="n">
        <v>0</v>
      </c>
      <c r="T457" s="37" t="n">
        <v>0.8961722488038277</v>
      </c>
      <c r="U457" s="37" t="n">
        <v>0.7760180995475113</v>
      </c>
      <c r="V457" s="37" t="n">
        <v>0.9461538461538461</v>
      </c>
      <c r="W457" s="37" t="n">
        <v>0.8425655976676385</v>
      </c>
    </row>
    <row r="458">
      <c r="A458" s="53" t="n">
        <v>45761</v>
      </c>
      <c r="B458" t="inlineStr">
        <is>
          <t>R02_Sumbagsel</t>
        </is>
      </c>
      <c r="C458" t="inlineStr">
        <is>
          <t>NOP MUARA ENIM</t>
        </is>
      </c>
      <c r="D458" s="36" t="n">
        <v>2.8</v>
      </c>
      <c r="E458" s="36" t="n">
        <v>4.07</v>
      </c>
      <c r="F458" s="36" t="n">
        <v>4.24</v>
      </c>
      <c r="G458" s="36" t="n">
        <v>4.84</v>
      </c>
      <c r="H458" s="37" t="n">
        <v>0.3855421686746988</v>
      </c>
      <c r="I458" s="37" t="n">
        <v>0.3061224489795918</v>
      </c>
      <c r="J458" s="37" t="n">
        <v>0.4039109912339852</v>
      </c>
      <c r="K458" s="37" t="n">
        <v>0.5333333333333333</v>
      </c>
      <c r="L458" s="37" t="n">
        <v>0.55</v>
      </c>
      <c r="M458" s="37" t="n">
        <v>0.9764512595837898</v>
      </c>
      <c r="N458" s="37" t="n">
        <v>0.1867469879518072</v>
      </c>
      <c r="O458" s="36" t="n">
        <v>0</v>
      </c>
      <c r="P458" s="36" t="n">
        <v>4.61</v>
      </c>
      <c r="Q458" s="36" t="n">
        <v>5.61</v>
      </c>
      <c r="R458" s="36" t="n">
        <v>9.73</v>
      </c>
      <c r="S458" s="36" t="n">
        <v>0</v>
      </c>
      <c r="T458" s="37" t="n">
        <v>0.5079485238455715</v>
      </c>
      <c r="U458" s="37" t="n">
        <v>0.5194805194805194</v>
      </c>
      <c r="V458" s="37" t="n">
        <v>0.5774774774774775</v>
      </c>
      <c r="W458" s="37" t="n">
        <v>0.8015625</v>
      </c>
    </row>
    <row r="459">
      <c r="A459" s="53" t="n">
        <v>45761</v>
      </c>
      <c r="B459" t="inlineStr">
        <is>
          <t>R02_Sumbagsel</t>
        </is>
      </c>
      <c r="C459" t="inlineStr">
        <is>
          <t>NOP PALEMBANG</t>
        </is>
      </c>
      <c r="D459" s="36" t="n">
        <v>3.55</v>
      </c>
      <c r="E459" s="36" t="n">
        <v>5.28</v>
      </c>
      <c r="F459" s="36" t="n">
        <v>8.369999999999999</v>
      </c>
      <c r="G459" s="36" t="n">
        <v>9.41</v>
      </c>
      <c r="H459" s="37" t="n">
        <v>0.3132001948368242</v>
      </c>
      <c r="I459" s="37" t="n">
        <v>0.2796208530805687</v>
      </c>
      <c r="J459" s="37" t="n">
        <v>0.3170466883821932</v>
      </c>
      <c r="K459" s="37" t="n">
        <v>0.4915254237288136</v>
      </c>
      <c r="L459" s="37" t="n">
        <v>0.4915254237288136</v>
      </c>
      <c r="M459" s="37" t="n">
        <v>1</v>
      </c>
      <c r="N459" s="37" t="n">
        <v>0.144179249878227</v>
      </c>
      <c r="O459" s="36" t="n">
        <v>0</v>
      </c>
      <c r="P459" s="36" t="n">
        <v>6.67</v>
      </c>
      <c r="Q459" s="36" t="n">
        <v>10.71</v>
      </c>
      <c r="R459" s="36" t="n">
        <v>7.28</v>
      </c>
      <c r="S459" s="36" t="n">
        <v>0</v>
      </c>
      <c r="T459" s="37" t="n">
        <v>0.282793867120954</v>
      </c>
      <c r="U459" s="37" t="n">
        <v>0.2350659425911559</v>
      </c>
      <c r="V459" s="37" t="n">
        <v>0.4027671022290546</v>
      </c>
      <c r="W459" s="37" t="n">
        <v>0.4554455445544555</v>
      </c>
    </row>
    <row r="460">
      <c r="A460" s="53" t="n">
        <v>45761</v>
      </c>
      <c r="B460" t="inlineStr">
        <is>
          <t>R02_Sumbagsel</t>
        </is>
      </c>
      <c r="C460" t="inlineStr">
        <is>
          <t>NOP PANGKAL PINANG</t>
        </is>
      </c>
      <c r="D460" s="36" t="n">
        <v>2.01</v>
      </c>
      <c r="E460" s="36" t="n">
        <v>2.88</v>
      </c>
      <c r="F460" s="36" t="n">
        <v>5.34</v>
      </c>
      <c r="G460" s="36" t="n">
        <v>7.25</v>
      </c>
      <c r="H460" s="37" t="n">
        <v>0.6840000000000001</v>
      </c>
      <c r="I460" s="37" t="n">
        <v>0.9166666666666666</v>
      </c>
      <c r="J460" s="37" t="n">
        <v>0.6722689075630253</v>
      </c>
      <c r="K460" s="37" t="n">
        <v>0.6363636363636364</v>
      </c>
      <c r="L460" s="37" t="n">
        <v>0.6363636363636364</v>
      </c>
      <c r="M460" s="37" t="n">
        <v>0.996</v>
      </c>
      <c r="N460" s="37" t="n">
        <v>0.364</v>
      </c>
      <c r="O460" s="36" t="n">
        <v>0</v>
      </c>
      <c r="P460" s="36" t="n">
        <v>4</v>
      </c>
      <c r="Q460" s="36" t="n">
        <v>6.76</v>
      </c>
      <c r="R460" s="36" t="n">
        <v>7.33</v>
      </c>
      <c r="S460" s="36" t="n">
        <v>0</v>
      </c>
      <c r="T460" s="37" t="n">
        <v>0.7845968712394705</v>
      </c>
      <c r="U460" s="37" t="n">
        <v>0.8606271777003485</v>
      </c>
      <c r="V460" s="37" t="n">
        <v>0.8580645161290322</v>
      </c>
      <c r="W460" s="37" t="n">
        <v>0.7449392712550608</v>
      </c>
    </row>
    <row r="461">
      <c r="A461" s="53" t="n">
        <v>45761</v>
      </c>
      <c r="B461" t="inlineStr">
        <is>
          <t>R05_Jawa Tengah DIY</t>
        </is>
      </c>
      <c r="C461" t="inlineStr">
        <is>
          <t>NOP MAGELANG</t>
        </is>
      </c>
      <c r="D461" s="36" t="n">
        <v>5.24</v>
      </c>
      <c r="E461" s="36" t="n">
        <v>0</v>
      </c>
      <c r="F461" s="36" t="n">
        <v>4.72</v>
      </c>
      <c r="G461" s="36" t="n">
        <v>5.08</v>
      </c>
      <c r="H461" s="37" t="n">
        <v>0.7360594795539034</v>
      </c>
      <c r="I461" s="37" t="n">
        <v>0.96</v>
      </c>
      <c r="J461" s="37" t="n">
        <v>0.7131147540983607</v>
      </c>
      <c r="K461" s="37" t="n">
        <v>0.7083333333333334</v>
      </c>
      <c r="L461" s="37" t="n">
        <v>0.7083333333333334</v>
      </c>
      <c r="M461" s="37" t="n">
        <v>1</v>
      </c>
      <c r="N461" s="37" t="n">
        <v>0.6468401486988847</v>
      </c>
      <c r="O461" s="36" t="n">
        <v>0.3</v>
      </c>
      <c r="P461" s="36" t="n">
        <v>6.48</v>
      </c>
      <c r="Q461" s="36" t="n">
        <v>12.72</v>
      </c>
      <c r="R461" s="36" t="n">
        <v>20.78</v>
      </c>
      <c r="S461" s="36" t="n">
        <v>0</v>
      </c>
      <c r="T461" s="37" t="n">
        <v>0.9193899782135077</v>
      </c>
      <c r="U461" s="37" t="n">
        <v>0.8888888888888888</v>
      </c>
      <c r="V461" s="37" t="n">
        <v>0.9250645994832042</v>
      </c>
      <c r="W461" s="37" t="n">
        <v>0.84375</v>
      </c>
    </row>
    <row r="462">
      <c r="A462" s="53" t="n">
        <v>45761</v>
      </c>
      <c r="B462" t="inlineStr">
        <is>
          <t>R05_Jawa Tengah DIY</t>
        </is>
      </c>
      <c r="C462" t="inlineStr">
        <is>
          <t>NOP PEKALONGAN</t>
        </is>
      </c>
      <c r="D462" s="36" t="n">
        <v>3.76</v>
      </c>
      <c r="E462" s="36" t="n">
        <v>0</v>
      </c>
      <c r="F462" s="36" t="n">
        <v>3.42</v>
      </c>
      <c r="G462" s="36" t="n">
        <v>3.34</v>
      </c>
      <c r="H462" s="37" t="n">
        <v>0.6201117318435754</v>
      </c>
      <c r="I462" s="37" t="n">
        <v>0.9285714285714286</v>
      </c>
      <c r="J462" s="37" t="n">
        <v>0.593939393939394</v>
      </c>
      <c r="K462" s="37" t="n">
        <v>1</v>
      </c>
      <c r="L462" s="37" t="n">
        <v>1</v>
      </c>
      <c r="M462" s="37" t="n">
        <v>0.9832402234636871</v>
      </c>
      <c r="N462" s="37" t="n">
        <v>0.6480446927374302</v>
      </c>
      <c r="O462" s="36" t="n">
        <v>0</v>
      </c>
      <c r="P462" s="36" t="n">
        <v>3.42</v>
      </c>
      <c r="Q462" s="36" t="n">
        <v>5.96</v>
      </c>
      <c r="R462" s="36" t="n">
        <v>55.25</v>
      </c>
      <c r="S462" s="36" t="n">
        <v>0</v>
      </c>
      <c r="T462" s="37" t="n">
        <v>0.8366197183098592</v>
      </c>
      <c r="U462" s="37" t="n">
        <v>0.7530864197530864</v>
      </c>
      <c r="V462" s="37" t="n">
        <v>0.8613138686131386</v>
      </c>
      <c r="W462" s="37" t="n">
        <v>0.6885245901639344</v>
      </c>
    </row>
    <row r="463">
      <c r="A463" s="53" t="n">
        <v>45761</v>
      </c>
      <c r="B463" t="inlineStr">
        <is>
          <t>R05_Jawa Tengah DIY</t>
        </is>
      </c>
      <c r="C463" t="inlineStr">
        <is>
          <t>NOP PURWOKERTO</t>
        </is>
      </c>
      <c r="D463" s="36" t="n">
        <v>2.12</v>
      </c>
      <c r="E463" s="36" t="n">
        <v>0</v>
      </c>
      <c r="F463" s="36" t="n">
        <v>3.38</v>
      </c>
      <c r="G463" s="36" t="n">
        <v>3.8</v>
      </c>
      <c r="H463" s="37" t="n">
        <v>0.7842323651452282</v>
      </c>
      <c r="I463" s="37" t="n">
        <v>0.7272727272727273</v>
      </c>
      <c r="J463" s="37" t="n">
        <v>0.7899543378995434</v>
      </c>
      <c r="K463" s="37" t="n">
        <v>1</v>
      </c>
      <c r="L463" s="37" t="n">
        <v>1</v>
      </c>
      <c r="M463" s="37" t="n">
        <v>0.975103734439834</v>
      </c>
      <c r="N463" s="37" t="n">
        <v>0.5269709543568465</v>
      </c>
      <c r="O463" s="36" t="n">
        <v>0.31</v>
      </c>
      <c r="P463" s="36" t="n">
        <v>3.87</v>
      </c>
      <c r="Q463" s="36" t="n">
        <v>12.62</v>
      </c>
      <c r="R463" s="36" t="n">
        <v>43.28</v>
      </c>
      <c r="S463" s="36" t="n">
        <v>0</v>
      </c>
      <c r="T463" s="37" t="n">
        <v>0.7792553191489362</v>
      </c>
      <c r="U463" s="37" t="n">
        <v>0.7804878048780488</v>
      </c>
      <c r="V463" s="37" t="n">
        <v>0.7789115646258503</v>
      </c>
      <c r="W463" s="37" t="n">
        <v>0.75</v>
      </c>
    </row>
    <row r="464">
      <c r="A464" s="53" t="n">
        <v>45761</v>
      </c>
      <c r="B464" t="inlineStr">
        <is>
          <t>R05_Jawa Tengah DIY</t>
        </is>
      </c>
      <c r="C464" t="inlineStr">
        <is>
          <t>NOP SEMARANG</t>
        </is>
      </c>
      <c r="D464" s="36" t="n">
        <v>2.9</v>
      </c>
      <c r="E464" s="36" t="n">
        <v>1.7</v>
      </c>
      <c r="F464" s="36" t="n">
        <v>2.55</v>
      </c>
      <c r="G464" s="36" t="n">
        <v>3.2</v>
      </c>
      <c r="H464" s="37" t="n">
        <v>0.4555984555984556</v>
      </c>
      <c r="I464" s="37" t="n">
        <v>0.48</v>
      </c>
      <c r="J464" s="37" t="n">
        <v>0.452991452991453</v>
      </c>
      <c r="K464" s="37" t="n">
        <v>1</v>
      </c>
      <c r="L464" s="37" t="n">
        <v>1</v>
      </c>
      <c r="M464" s="37" t="n">
        <v>0.9575289575289575</v>
      </c>
      <c r="N464" s="37" t="n">
        <v>0.3011583011583012</v>
      </c>
      <c r="O464" s="36" t="n">
        <v>0</v>
      </c>
      <c r="P464" s="36" t="n">
        <v>2.95</v>
      </c>
      <c r="Q464" s="36" t="n">
        <v>13.46</v>
      </c>
      <c r="R464" s="36" t="n">
        <v>70.06999999999999</v>
      </c>
      <c r="S464" s="36" t="n">
        <v>0</v>
      </c>
      <c r="T464" s="37" t="n">
        <v>0.6915708812260536</v>
      </c>
      <c r="U464" s="37" t="n">
        <v>0.3604651162790697</v>
      </c>
      <c r="V464" s="37" t="n">
        <v>0.8542857142857143</v>
      </c>
      <c r="W464" s="37" t="n">
        <v>0.8870967741935484</v>
      </c>
    </row>
    <row r="465">
      <c r="A465" s="53" t="n">
        <v>45761</v>
      </c>
      <c r="B465" t="inlineStr">
        <is>
          <t>R05_Jawa Tengah DIY</t>
        </is>
      </c>
      <c r="C465" t="inlineStr">
        <is>
          <t>NOP SURAKARTA</t>
        </is>
      </c>
      <c r="D465" s="36" t="n">
        <v>4.68</v>
      </c>
      <c r="E465" s="36" t="n">
        <v>2.15</v>
      </c>
      <c r="F465" s="36" t="n">
        <v>2.76</v>
      </c>
      <c r="G465" s="36" t="n">
        <v>4.43</v>
      </c>
      <c r="H465" s="37" t="n">
        <v>0.636094674556213</v>
      </c>
      <c r="I465" s="37" t="n">
        <v>0.8333333333333334</v>
      </c>
      <c r="J465" s="37" t="n">
        <v>0.6125827814569537</v>
      </c>
      <c r="K465" s="37" t="n">
        <v>0.9333333333333333</v>
      </c>
      <c r="L465" s="37" t="n">
        <v>0.9333333333333333</v>
      </c>
      <c r="M465" s="37" t="n">
        <v>0.9733727810650887</v>
      </c>
      <c r="N465" s="37" t="n">
        <v>0.4556213017751479</v>
      </c>
      <c r="O465" s="36" t="n">
        <v>0.14</v>
      </c>
      <c r="P465" s="36" t="n">
        <v>3.65</v>
      </c>
      <c r="Q465" s="36" t="n">
        <v>10.09</v>
      </c>
      <c r="R465" s="36" t="n">
        <v>69.70999999999999</v>
      </c>
      <c r="S465" s="36" t="n">
        <v>0</v>
      </c>
      <c r="T465" s="37" t="n">
        <v>0.7828571428571428</v>
      </c>
      <c r="U465" s="37" t="n">
        <v>0.7019867549668874</v>
      </c>
      <c r="V465" s="37" t="n">
        <v>0.8155080213903744</v>
      </c>
      <c r="W465" s="37" t="n">
        <v>0.7735849056603774</v>
      </c>
    </row>
    <row r="466">
      <c r="A466" s="53" t="n">
        <v>45761</v>
      </c>
      <c r="B466" t="inlineStr">
        <is>
          <t>R05_Jawa Tengah DIY</t>
        </is>
      </c>
      <c r="C466" t="inlineStr">
        <is>
          <t>NOP YOGYAKARTA</t>
        </is>
      </c>
      <c r="D466" s="36" t="n">
        <v>2.94</v>
      </c>
      <c r="E466" s="36" t="n">
        <v>0</v>
      </c>
      <c r="F466" s="36" t="n">
        <v>3.72</v>
      </c>
      <c r="G466" s="36" t="n">
        <v>4.22</v>
      </c>
      <c r="H466" s="37" t="n">
        <v>0.6324503311258278</v>
      </c>
      <c r="I466" s="37" t="n">
        <v>0.9473684210526315</v>
      </c>
      <c r="J466" s="37" t="n">
        <v>0.6113074204946997</v>
      </c>
      <c r="K466" s="37" t="n">
        <v>0.8888888888888888</v>
      </c>
      <c r="L466" s="37" t="n">
        <v>0.875</v>
      </c>
      <c r="M466" s="37" t="n">
        <v>0.9933774834437086</v>
      </c>
      <c r="N466" s="37" t="n">
        <v>0.4172185430463576</v>
      </c>
      <c r="O466" s="36" t="n">
        <v>0</v>
      </c>
      <c r="P466" s="36" t="n">
        <v>3.05</v>
      </c>
      <c r="Q466" s="36" t="n">
        <v>15.96</v>
      </c>
      <c r="R466" s="36" t="n">
        <v>42.76</v>
      </c>
      <c r="S466" s="36" t="n">
        <v>0</v>
      </c>
      <c r="T466" s="37" t="n">
        <v>0.9295081967213115</v>
      </c>
      <c r="U466" s="37" t="n">
        <v>0.8247422680412371</v>
      </c>
      <c r="V466" s="37" t="n">
        <v>0.949317738791423</v>
      </c>
      <c r="W466" s="37" t="n">
        <v>0.975</v>
      </c>
    </row>
    <row r="467">
      <c r="A467" s="53" t="n">
        <v>45761</v>
      </c>
      <c r="B467" t="inlineStr">
        <is>
          <t>R06_Jawa Timur</t>
        </is>
      </c>
      <c r="C467" t="inlineStr">
        <is>
          <t>NOP JEMBER</t>
        </is>
      </c>
      <c r="D467" s="36" t="n">
        <v>2.09</v>
      </c>
      <c r="E467" s="36" t="n">
        <v>2.64</v>
      </c>
      <c r="F467" s="36" t="n">
        <v>4.33</v>
      </c>
      <c r="G467" s="36" t="n">
        <v>4.12</v>
      </c>
      <c r="H467" s="37" t="n">
        <v>0.6884615384615385</v>
      </c>
      <c r="I467" s="37" t="n">
        <v>0.6818181818181818</v>
      </c>
      <c r="J467" s="37" t="n">
        <v>0.6890756302521008</v>
      </c>
      <c r="K467" s="37" t="n">
        <v>0.7333333333333333</v>
      </c>
      <c r="L467" s="37" t="n">
        <v>0.7333333333333333</v>
      </c>
      <c r="M467" s="37" t="n">
        <v>0.9884615384615385</v>
      </c>
      <c r="N467" s="37" t="n">
        <v>0.3384615384615385</v>
      </c>
      <c r="O467" s="36" t="n">
        <v>0</v>
      </c>
      <c r="P467" s="36" t="n">
        <v>2.68</v>
      </c>
      <c r="Q467" s="36" t="n">
        <v>4.79</v>
      </c>
      <c r="R467" s="36" t="n">
        <v>114.21</v>
      </c>
      <c r="S467" s="36" t="n">
        <v>0</v>
      </c>
      <c r="T467" s="37" t="n">
        <v>0.8066298342541437</v>
      </c>
      <c r="U467" s="37" t="n">
        <v>0.7701149425287356</v>
      </c>
      <c r="V467" s="37" t="n">
        <v>0.8181818181818182</v>
      </c>
      <c r="W467" s="37" t="n">
        <v>0.746268656716418</v>
      </c>
    </row>
    <row r="468">
      <c r="A468" s="53" t="n">
        <v>45761</v>
      </c>
      <c r="B468" t="inlineStr">
        <is>
          <t>R06_Jawa Timur</t>
        </is>
      </c>
      <c r="C468" t="inlineStr">
        <is>
          <t>NOP KEDIRI</t>
        </is>
      </c>
      <c r="D468" s="36" t="n">
        <v>1.1</v>
      </c>
      <c r="E468" s="36" t="n">
        <v>0.7</v>
      </c>
      <c r="F468" s="36" t="n">
        <v>2.16</v>
      </c>
      <c r="G468" s="36" t="n">
        <v>1.94</v>
      </c>
      <c r="H468" s="37" t="n">
        <v>0.85</v>
      </c>
      <c r="I468" s="37" t="n">
        <v>0.8</v>
      </c>
      <c r="J468" s="37" t="n">
        <v>0.8521739130434782</v>
      </c>
      <c r="K468" s="37" t="n">
        <v>0.5</v>
      </c>
      <c r="L468" s="37" t="n">
        <v>0.5</v>
      </c>
      <c r="M468" s="37" t="n">
        <v>1</v>
      </c>
      <c r="N468" s="37" t="n">
        <v>0.575</v>
      </c>
      <c r="O468" s="36" t="n">
        <v>0</v>
      </c>
      <c r="P468" s="36" t="n">
        <v>1.99</v>
      </c>
      <c r="Q468" s="36" t="n">
        <v>3.54</v>
      </c>
      <c r="R468" s="36" t="n">
        <v>13.44</v>
      </c>
      <c r="S468" s="36" t="n">
        <v>0</v>
      </c>
      <c r="T468" s="37" t="n">
        <v>0.9540816326530612</v>
      </c>
      <c r="U468" s="37" t="n">
        <v>0.9047619047619048</v>
      </c>
      <c r="V468" s="37" t="n">
        <v>0.9675324675324676</v>
      </c>
      <c r="W468" s="37" t="n">
        <v>0.8421052631578947</v>
      </c>
    </row>
    <row r="469">
      <c r="A469" s="53" t="n">
        <v>45761</v>
      </c>
      <c r="B469" t="inlineStr">
        <is>
          <t>R06_Jawa Timur</t>
        </is>
      </c>
      <c r="C469" t="inlineStr">
        <is>
          <t>NOP LAMONGAN</t>
        </is>
      </c>
      <c r="D469" s="36" t="n">
        <v>1.58</v>
      </c>
      <c r="E469" s="36" t="n">
        <v>1.01</v>
      </c>
      <c r="F469" s="36" t="n">
        <v>3.2</v>
      </c>
      <c r="G469" s="36" t="n">
        <v>2.17</v>
      </c>
      <c r="H469" s="37" t="n">
        <v>0.7777777777777778</v>
      </c>
      <c r="I469" s="37" t="n">
        <v>1</v>
      </c>
      <c r="J469" s="37" t="n">
        <v>0.75</v>
      </c>
      <c r="K469" s="37" t="n">
        <v>0.9090909090909091</v>
      </c>
      <c r="L469" s="37" t="n">
        <v>0.9090909090909091</v>
      </c>
      <c r="M469" s="37" t="n">
        <v>1</v>
      </c>
      <c r="N469" s="37" t="n">
        <v>0.696969696969697</v>
      </c>
      <c r="O469" s="36" t="n">
        <v>0</v>
      </c>
      <c r="P469" s="36" t="n">
        <v>2.36</v>
      </c>
      <c r="Q469" s="36" t="n">
        <v>10.82</v>
      </c>
      <c r="R469" s="36" t="n">
        <v>26.9</v>
      </c>
      <c r="S469" s="36" t="n">
        <v>0</v>
      </c>
      <c r="T469" s="37" t="n">
        <v>0.7659574468085106</v>
      </c>
      <c r="U469" s="37" t="n">
        <v>0.6721311475409836</v>
      </c>
      <c r="V469" s="37" t="n">
        <v>0.8375</v>
      </c>
      <c r="W469" s="37" t="n">
        <v>0.8292682926829268</v>
      </c>
    </row>
    <row r="470">
      <c r="A470" s="53" t="n">
        <v>45761</v>
      </c>
      <c r="B470" t="inlineStr">
        <is>
          <t>R06_Jawa Timur</t>
        </is>
      </c>
      <c r="C470" t="inlineStr">
        <is>
          <t>NOP MADIUN</t>
        </is>
      </c>
      <c r="D470" s="36" t="n">
        <v>0</v>
      </c>
      <c r="E470" s="36" t="n">
        <v>0</v>
      </c>
      <c r="F470" s="36" t="n">
        <v>2.9</v>
      </c>
      <c r="G470" s="36" t="n">
        <v>3.54</v>
      </c>
      <c r="H470" s="37" t="n">
        <v>0.6571428571428571</v>
      </c>
      <c r="I470" s="37" t="n">
        <v>0</v>
      </c>
      <c r="J470" s="37" t="n">
        <v>0.6571428571428571</v>
      </c>
      <c r="K470" s="37" t="n">
        <v>0</v>
      </c>
      <c r="L470" s="37" t="n">
        <v>0</v>
      </c>
      <c r="M470" s="37" t="n">
        <v>1</v>
      </c>
      <c r="N470" s="37" t="n">
        <v>0.3857142857142857</v>
      </c>
      <c r="O470" s="36" t="n">
        <v>0</v>
      </c>
      <c r="P470" s="36" t="n">
        <v>2.48</v>
      </c>
      <c r="Q470" s="36" t="n">
        <v>5.87</v>
      </c>
      <c r="R470" s="36" t="n">
        <v>26.57</v>
      </c>
      <c r="S470" s="36" t="n">
        <v>0</v>
      </c>
      <c r="T470" s="37" t="n">
        <v>0.6748971193415638</v>
      </c>
      <c r="U470" s="37" t="n">
        <v>0.6931818181818182</v>
      </c>
      <c r="V470" s="37" t="n">
        <v>0.6645161290322581</v>
      </c>
      <c r="W470" s="37" t="n">
        <v>0.7377049180327869</v>
      </c>
    </row>
    <row r="471">
      <c r="A471" s="53" t="n">
        <v>45761</v>
      </c>
      <c r="B471" t="inlineStr">
        <is>
          <t>R06_Jawa Timur</t>
        </is>
      </c>
      <c r="C471" t="inlineStr">
        <is>
          <t>NOP MALANG</t>
        </is>
      </c>
      <c r="D471" s="36" t="n">
        <v>1.16</v>
      </c>
      <c r="E471" s="36" t="n">
        <v>0</v>
      </c>
      <c r="F471" s="36" t="n">
        <v>2.52</v>
      </c>
      <c r="G471" s="36" t="n">
        <v>2.28</v>
      </c>
      <c r="H471" s="37" t="n">
        <v>0.8358974358974359</v>
      </c>
      <c r="I471" s="37" t="n">
        <v>0.75</v>
      </c>
      <c r="J471" s="37" t="n">
        <v>0.837696335078534</v>
      </c>
      <c r="K471" s="37" t="n">
        <v>1</v>
      </c>
      <c r="L471" s="37" t="n">
        <v>1</v>
      </c>
      <c r="M471" s="37" t="n">
        <v>1</v>
      </c>
      <c r="N471" s="37" t="n">
        <v>0.7743589743589744</v>
      </c>
      <c r="O471" s="36" t="n">
        <v>0.02</v>
      </c>
      <c r="P471" s="36" t="n">
        <v>2.83</v>
      </c>
      <c r="Q471" s="36" t="n">
        <v>4.81</v>
      </c>
      <c r="R471" s="36" t="n">
        <v>62.83</v>
      </c>
      <c r="S471" s="36" t="n">
        <v>0</v>
      </c>
      <c r="T471" s="37" t="n">
        <v>0.7631578947368421</v>
      </c>
      <c r="U471" s="37" t="n">
        <v>0.65625</v>
      </c>
      <c r="V471" s="37" t="n">
        <v>0.8409090909090909</v>
      </c>
      <c r="W471" s="37" t="n">
        <v>0.5238095238095238</v>
      </c>
    </row>
    <row r="472">
      <c r="A472" s="53" t="n">
        <v>45761</v>
      </c>
      <c r="B472" t="inlineStr">
        <is>
          <t>R06_Jawa Timur</t>
        </is>
      </c>
      <c r="C472" t="inlineStr">
        <is>
          <t>NOP SIDOARJO</t>
        </is>
      </c>
      <c r="D472" s="36" t="n">
        <v>3.41</v>
      </c>
      <c r="E472" s="36" t="n">
        <v>6.27</v>
      </c>
      <c r="F472" s="36" t="n">
        <v>3.02</v>
      </c>
      <c r="G472" s="36" t="n">
        <v>4.17</v>
      </c>
      <c r="H472" s="37" t="n">
        <v>0.6104651162790697</v>
      </c>
      <c r="I472" s="37" t="n">
        <v>0.9473684210526315</v>
      </c>
      <c r="J472" s="37" t="n">
        <v>0.5686274509803921</v>
      </c>
      <c r="K472" s="37" t="n">
        <v>0.9444444444444444</v>
      </c>
      <c r="L472" s="37" t="n">
        <v>0.9444444444444444</v>
      </c>
      <c r="M472" s="37" t="n">
        <v>0.9767441860465116</v>
      </c>
      <c r="N472" s="37" t="n">
        <v>0.4244186046511628</v>
      </c>
      <c r="O472" s="36" t="n">
        <v>0</v>
      </c>
      <c r="P472" s="36" t="n">
        <v>6.3</v>
      </c>
      <c r="Q472" s="36" t="n">
        <v>11.67</v>
      </c>
      <c r="R472" s="36" t="n">
        <v>60.78</v>
      </c>
      <c r="S472" s="36" t="n">
        <v>0</v>
      </c>
      <c r="T472" s="37" t="n">
        <v>0.7354497354497355</v>
      </c>
      <c r="U472" s="37" t="n">
        <v>0.4634146341463415</v>
      </c>
      <c r="V472" s="37" t="n">
        <v>0.8108108108108109</v>
      </c>
      <c r="W472" s="37" t="n">
        <v>0.4736842105263158</v>
      </c>
    </row>
    <row r="473">
      <c r="A473" s="53" t="n">
        <v>45761</v>
      </c>
      <c r="B473" t="inlineStr">
        <is>
          <t>R06_Jawa Timur</t>
        </is>
      </c>
      <c r="C473" t="inlineStr">
        <is>
          <t>NOP SURABAYA</t>
        </is>
      </c>
      <c r="D473" s="36" t="n">
        <v>2.59</v>
      </c>
      <c r="E473" s="36" t="n">
        <v>0</v>
      </c>
      <c r="F473" s="36" t="n">
        <v>4.61</v>
      </c>
      <c r="G473" s="36" t="n">
        <v>3.1</v>
      </c>
      <c r="H473" s="37" t="n">
        <v>0.5127118644067796</v>
      </c>
      <c r="I473" s="37" t="n">
        <v>0.25</v>
      </c>
      <c r="J473" s="37" t="n">
        <v>0.5424528301886793</v>
      </c>
      <c r="K473" s="37" t="n">
        <v>1</v>
      </c>
      <c r="L473" s="37" t="n">
        <v>1</v>
      </c>
      <c r="M473" s="37" t="n">
        <v>0.9703389830508474</v>
      </c>
      <c r="N473" s="37" t="n">
        <v>0.3728813559322034</v>
      </c>
      <c r="O473" s="36" t="n">
        <v>0.04</v>
      </c>
      <c r="P473" s="36" t="n">
        <v>3.33</v>
      </c>
      <c r="Q473" s="36" t="n">
        <v>7.99</v>
      </c>
      <c r="R473" s="36" t="n">
        <v>25.28</v>
      </c>
      <c r="S473" s="36" t="n">
        <v>0</v>
      </c>
      <c r="T473" s="37" t="n">
        <v>0.6148796498905909</v>
      </c>
      <c r="U473" s="37" t="n">
        <v>0.4354838709677419</v>
      </c>
      <c r="V473" s="37" t="n">
        <v>0.6430379746835443</v>
      </c>
      <c r="W473" s="37" t="n">
        <v>0.7407407407407407</v>
      </c>
    </row>
    <row r="474">
      <c r="A474" s="53" t="n">
        <v>45761</v>
      </c>
      <c r="B474" t="inlineStr">
        <is>
          <t>R07_Bali Nusra</t>
        </is>
      </c>
      <c r="C474" t="inlineStr">
        <is>
          <t>NOP DENPASAR</t>
        </is>
      </c>
      <c r="D474" s="36" t="n">
        <v>3.07</v>
      </c>
      <c r="E474" s="36" t="n">
        <v>0</v>
      </c>
      <c r="F474" s="36" t="n">
        <v>5.36</v>
      </c>
      <c r="G474" s="36" t="n">
        <v>4.71</v>
      </c>
      <c r="H474" s="37" t="n">
        <v>0.8888888888888888</v>
      </c>
      <c r="I474" s="37" t="n">
        <v>0.85</v>
      </c>
      <c r="J474" s="37" t="n">
        <v>0.8993288590604027</v>
      </c>
      <c r="K474" s="37" t="n">
        <v>0.9411764705882353</v>
      </c>
      <c r="L474" s="37" t="n">
        <v>0.9411764705882353</v>
      </c>
      <c r="M474" s="37" t="n">
        <v>0.9682539682539683</v>
      </c>
      <c r="N474" s="37" t="n">
        <v>0.8571428571428571</v>
      </c>
      <c r="O474" s="36" t="n">
        <v>0</v>
      </c>
      <c r="P474" s="36" t="n">
        <v>42.01</v>
      </c>
      <c r="Q474" s="36" t="n">
        <v>22.45</v>
      </c>
      <c r="R474" s="36" t="n">
        <v>81.88</v>
      </c>
      <c r="S474" s="36" t="n">
        <v>0</v>
      </c>
      <c r="T474" s="37" t="n">
        <v>0.8606060606060606</v>
      </c>
      <c r="U474" s="37" t="n">
        <v>0.7936507936507936</v>
      </c>
      <c r="V474" s="37" t="n">
        <v>0.8764044943820225</v>
      </c>
      <c r="W474" s="37" t="n">
        <v>0.36</v>
      </c>
    </row>
    <row r="475">
      <c r="A475" s="53" t="n">
        <v>45761</v>
      </c>
      <c r="B475" t="inlineStr">
        <is>
          <t>R07_Bali Nusra</t>
        </is>
      </c>
      <c r="C475" t="inlineStr">
        <is>
          <t>NOP FLORES</t>
        </is>
      </c>
      <c r="D475" s="36" t="n">
        <v>8.93</v>
      </c>
      <c r="E475" s="36" t="n">
        <v>6.01</v>
      </c>
      <c r="F475" s="36" t="n">
        <v>9.199999999999999</v>
      </c>
      <c r="G475" s="36" t="n">
        <v>10.05</v>
      </c>
      <c r="H475" s="37" t="n">
        <v>0.4346330275229358</v>
      </c>
      <c r="I475" s="37" t="n">
        <v>0.5669642857142857</v>
      </c>
      <c r="J475" s="37" t="n">
        <v>0.3888888888888889</v>
      </c>
      <c r="K475" s="37" t="n">
        <v>0.5905511811023622</v>
      </c>
      <c r="L475" s="37" t="n">
        <v>0.6115702479338843</v>
      </c>
      <c r="M475" s="37" t="n">
        <v>0.9862385321100917</v>
      </c>
      <c r="N475" s="37" t="n">
        <v>0.2465596330275229</v>
      </c>
      <c r="O475" s="36" t="n">
        <v>0.17</v>
      </c>
      <c r="P475" s="36" t="n">
        <v>13.71</v>
      </c>
      <c r="Q475" s="36" t="n">
        <v>9.08</v>
      </c>
      <c r="R475" s="36" t="n">
        <v>52.95</v>
      </c>
      <c r="S475" s="36" t="n">
        <v>0</v>
      </c>
      <c r="T475" s="37" t="n">
        <v>0.4312152991980259</v>
      </c>
      <c r="U475" s="37" t="n">
        <v>0.4673539518900344</v>
      </c>
      <c r="V475" s="37" t="n">
        <v>0.3391684901531729</v>
      </c>
      <c r="W475" s="37" t="n">
        <v>0.6213235294117647</v>
      </c>
    </row>
    <row r="476">
      <c r="A476" s="53" t="n">
        <v>45761</v>
      </c>
      <c r="B476" t="inlineStr">
        <is>
          <t>R07_Bali Nusra</t>
        </is>
      </c>
      <c r="C476" t="inlineStr">
        <is>
          <t>NOP KUPANG</t>
        </is>
      </c>
      <c r="D476" s="36" t="n">
        <v>1.18</v>
      </c>
      <c r="E476" s="36" t="n">
        <v>3.6</v>
      </c>
      <c r="F476" s="36" t="n">
        <v>3.78</v>
      </c>
      <c r="G476" s="36" t="n">
        <v>7.31</v>
      </c>
      <c r="H476" s="37" t="n">
        <v>0.5688524590163935</v>
      </c>
      <c r="I476" s="37" t="n">
        <v>0.5764705882352941</v>
      </c>
      <c r="J476" s="37" t="n">
        <v>0.5676190476190476</v>
      </c>
      <c r="K476" s="37" t="n">
        <v>0.5714285714285714</v>
      </c>
      <c r="L476" s="37" t="n">
        <v>0.5714285714285714</v>
      </c>
      <c r="M476" s="37" t="n">
        <v>0.9885245901639345</v>
      </c>
      <c r="N476" s="37" t="n">
        <v>0.1983606557377049</v>
      </c>
      <c r="O476" s="36" t="n">
        <v>0.11</v>
      </c>
      <c r="P476" s="36" t="n">
        <v>9.01</v>
      </c>
      <c r="Q476" s="36" t="n">
        <v>16.57</v>
      </c>
      <c r="R476" s="36" t="n">
        <v>291.52</v>
      </c>
      <c r="S476" s="36" t="n">
        <v>0</v>
      </c>
      <c r="T476" s="37" t="n">
        <v>0.6066134549600912</v>
      </c>
      <c r="U476" s="37" t="n">
        <v>0.6187050359712231</v>
      </c>
      <c r="V476" s="37" t="n">
        <v>0.5856697819314641</v>
      </c>
      <c r="W476" s="37" t="n">
        <v>0.6308139534883721</v>
      </c>
    </row>
    <row r="477">
      <c r="A477" s="53" t="n">
        <v>45761</v>
      </c>
      <c r="B477" t="inlineStr">
        <is>
          <t>R07_Bali Nusra</t>
        </is>
      </c>
      <c r="C477" t="inlineStr">
        <is>
          <t>NOP MATARAM</t>
        </is>
      </c>
      <c r="D477" s="36" t="n">
        <v>3.03</v>
      </c>
      <c r="E477" s="36" t="n">
        <v>3.95</v>
      </c>
      <c r="F477" s="36" t="n">
        <v>5.86</v>
      </c>
      <c r="G477" s="36" t="n">
        <v>4.69</v>
      </c>
      <c r="H477" s="37" t="n">
        <v>0.463768115942029</v>
      </c>
      <c r="I477" s="37" t="n">
        <v>0.65</v>
      </c>
      <c r="J477" s="37" t="n">
        <v>0.4322033898305085</v>
      </c>
      <c r="K477" s="37" t="n">
        <v>0.8076923076923077</v>
      </c>
      <c r="L477" s="37" t="n">
        <v>0.8076923076923077</v>
      </c>
      <c r="M477" s="37" t="n">
        <v>1</v>
      </c>
      <c r="N477" s="37" t="n">
        <v>0.2826086956521739</v>
      </c>
      <c r="O477" s="36" t="n">
        <v>0.02</v>
      </c>
      <c r="P477" s="36" t="n">
        <v>25.1</v>
      </c>
      <c r="Q477" s="36" t="n">
        <v>9.06</v>
      </c>
      <c r="R477" s="36" t="n">
        <v>47.14</v>
      </c>
      <c r="S477" s="36" t="n">
        <v>0</v>
      </c>
      <c r="T477" s="37" t="n">
        <v>0.3275167785234899</v>
      </c>
      <c r="U477" s="37" t="n">
        <v>0.3484848484848485</v>
      </c>
      <c r="V477" s="37" t="n">
        <v>0.3037249283667622</v>
      </c>
      <c r="W477" s="37" t="n">
        <v>0.572463768115942</v>
      </c>
    </row>
    <row r="478">
      <c r="A478" s="53" t="n">
        <v>45762</v>
      </c>
      <c r="B478" t="inlineStr">
        <is>
          <t>R01_Sumbagut</t>
        </is>
      </c>
      <c r="C478" t="inlineStr">
        <is>
          <t>NOP ACEH</t>
        </is>
      </c>
      <c r="D478" s="36" t="n">
        <v>2.39</v>
      </c>
      <c r="E478" s="36" t="n">
        <v>4.62</v>
      </c>
      <c r="F478" s="36" t="n">
        <v>10</v>
      </c>
      <c r="G478" s="36" t="n">
        <v>12.18</v>
      </c>
      <c r="H478" s="37" t="n">
        <v>0.8394980184940555</v>
      </c>
      <c r="I478" s="37" t="n">
        <v>0.8517587939698492</v>
      </c>
      <c r="J478" s="37" t="n">
        <v>0.8351254480286738</v>
      </c>
      <c r="K478" s="37" t="n">
        <v>0.3893805309734513</v>
      </c>
      <c r="L478" s="37" t="n">
        <v>0.3916913946587537</v>
      </c>
      <c r="M478" s="37" t="n">
        <v>1</v>
      </c>
      <c r="N478" s="37" t="n">
        <v>0.2879788639365918</v>
      </c>
      <c r="O478" s="36" t="n">
        <v>0.06</v>
      </c>
      <c r="P478" s="36" t="n">
        <v>4.8</v>
      </c>
      <c r="Q478" s="36" t="n">
        <v>71.13</v>
      </c>
      <c r="R478" s="36" t="n">
        <v>127.6</v>
      </c>
      <c r="S478" s="36" t="n">
        <v>0</v>
      </c>
      <c r="T478" s="37" t="n">
        <v>0.8765137978955727</v>
      </c>
      <c r="U478" s="37" t="n">
        <v>0.7204142011834319</v>
      </c>
      <c r="V478" s="37" t="n">
        <v>0.9034784611840589</v>
      </c>
      <c r="W478" s="37" t="n">
        <v>0.1950718685831622</v>
      </c>
    </row>
    <row r="479">
      <c r="A479" s="53" t="n">
        <v>45762</v>
      </c>
      <c r="B479" t="inlineStr">
        <is>
          <t>R01_Sumbagut</t>
        </is>
      </c>
      <c r="C479" t="inlineStr">
        <is>
          <t>NOP BINJAI</t>
        </is>
      </c>
      <c r="D479" s="36" t="n">
        <v>9.9</v>
      </c>
      <c r="E479" s="36" t="n">
        <v>4.97</v>
      </c>
      <c r="F479" s="36" t="n">
        <v>3.31</v>
      </c>
      <c r="G479" s="36" t="n">
        <v>4.36</v>
      </c>
      <c r="H479" s="37" t="n">
        <v>0.5753205128205128</v>
      </c>
      <c r="I479" s="37" t="n">
        <v>0.6932515337423313</v>
      </c>
      <c r="J479" s="37" t="n">
        <v>0.5336225596529284</v>
      </c>
      <c r="K479" s="37" t="n">
        <v>0.4778761061946903</v>
      </c>
      <c r="L479" s="37" t="n">
        <v>0.4732142857142857</v>
      </c>
      <c r="M479" s="37" t="n">
        <v>1</v>
      </c>
      <c r="N479" s="37" t="n">
        <v>0.2932692307692308</v>
      </c>
      <c r="O479" s="36" t="n">
        <v>0.02</v>
      </c>
      <c r="P479" s="36" t="n">
        <v>2.41</v>
      </c>
      <c r="Q479" s="36" t="n">
        <v>44.74</v>
      </c>
      <c r="R479" s="36" t="n">
        <v>104.39</v>
      </c>
      <c r="S479" s="36" t="n">
        <v>0</v>
      </c>
      <c r="T479" s="37" t="n">
        <v>0.6256335988414192</v>
      </c>
      <c r="U479" s="37" t="n">
        <v>0.5168831168831168</v>
      </c>
      <c r="V479" s="37" t="n">
        <v>0.677115987460815</v>
      </c>
      <c r="W479" s="37" t="n">
        <v>0.4824120603015075</v>
      </c>
    </row>
    <row r="480">
      <c r="A480" s="53" t="n">
        <v>45762</v>
      </c>
      <c r="B480" t="inlineStr">
        <is>
          <t>R01_Sumbagut</t>
        </is>
      </c>
      <c r="C480" t="inlineStr">
        <is>
          <t>NOP MEDAN</t>
        </is>
      </c>
      <c r="D480" s="36" t="n">
        <v>2.81</v>
      </c>
      <c r="E480" s="36" t="n">
        <v>5.04</v>
      </c>
      <c r="F480" s="36" t="n">
        <v>3.54</v>
      </c>
      <c r="G480" s="36" t="n">
        <v>5.11</v>
      </c>
      <c r="H480" s="37" t="n">
        <v>0.4050847457627119</v>
      </c>
      <c r="I480" s="37" t="n">
        <v>0.44375</v>
      </c>
      <c r="J480" s="37" t="n">
        <v>0.3906976744186046</v>
      </c>
      <c r="K480" s="37" t="n">
        <v>0.7887323943661971</v>
      </c>
      <c r="L480" s="37" t="n">
        <v>0.7887323943661971</v>
      </c>
      <c r="M480" s="37" t="n">
        <v>1</v>
      </c>
      <c r="N480" s="37" t="n">
        <v>0.2474576271186441</v>
      </c>
      <c r="O480" s="36" t="n">
        <v>0</v>
      </c>
      <c r="P480" s="36" t="n">
        <v>4.31</v>
      </c>
      <c r="Q480" s="36" t="n">
        <v>16.31</v>
      </c>
      <c r="R480" s="36" t="n">
        <v>13.66</v>
      </c>
      <c r="S480" s="36" t="n">
        <v>0</v>
      </c>
      <c r="T480" s="37" t="n">
        <v>0.3035714285714285</v>
      </c>
      <c r="U480" s="37" t="n">
        <v>0.1907216494845361</v>
      </c>
      <c r="V480" s="37" t="n">
        <v>0.3735763097949886</v>
      </c>
      <c r="W480" s="37" t="n">
        <v>0.8648648648648649</v>
      </c>
    </row>
    <row r="481">
      <c r="A481" s="53" t="n">
        <v>45762</v>
      </c>
      <c r="B481" t="inlineStr">
        <is>
          <t>R01_Sumbagut</t>
        </is>
      </c>
      <c r="C481" t="inlineStr">
        <is>
          <t>NOP PADANG SIDEMPUAN</t>
        </is>
      </c>
      <c r="D481" s="36" t="n">
        <v>3.08</v>
      </c>
      <c r="E481" s="36" t="n">
        <v>3.45</v>
      </c>
      <c r="F481" s="36" t="n">
        <v>4.85</v>
      </c>
      <c r="G481" s="36" t="n">
        <v>6.25</v>
      </c>
      <c r="H481" s="37" t="n">
        <v>0.3031784841075795</v>
      </c>
      <c r="I481" s="37" t="n">
        <v>0.5035460992907801</v>
      </c>
      <c r="J481" s="37" t="n">
        <v>0.2771639042357275</v>
      </c>
      <c r="K481" s="37" t="n">
        <v>0.4788732394366197</v>
      </c>
      <c r="L481" s="37" t="n">
        <v>0.4788732394366197</v>
      </c>
      <c r="M481" s="37" t="n">
        <v>0.9926650366748166</v>
      </c>
      <c r="N481" s="37" t="n">
        <v>0.1214343928280359</v>
      </c>
      <c r="O481" s="36" t="n">
        <v>0.01</v>
      </c>
      <c r="P481" s="36" t="n">
        <v>2.3</v>
      </c>
      <c r="Q481" s="36" t="n">
        <v>12.8</v>
      </c>
      <c r="R481" s="36" t="n">
        <v>97.59</v>
      </c>
      <c r="S481" s="36" t="n">
        <v>0</v>
      </c>
      <c r="T481" s="37" t="n">
        <v>0.2984805562709246</v>
      </c>
      <c r="U481" s="37" t="n">
        <v>0.4196843082636955</v>
      </c>
      <c r="V481" s="37" t="n">
        <v>0.2528818443804035</v>
      </c>
      <c r="W481" s="37" t="n">
        <v>0.4845132743362832</v>
      </c>
    </row>
    <row r="482">
      <c r="A482" s="53" t="n">
        <v>45762</v>
      </c>
      <c r="B482" t="inlineStr">
        <is>
          <t>R01_Sumbagut</t>
        </is>
      </c>
      <c r="C482" t="inlineStr">
        <is>
          <t>NOP PEMATANG SIANTAR</t>
        </is>
      </c>
      <c r="D482" s="36" t="n">
        <v>1.75</v>
      </c>
      <c r="E482" s="36" t="n">
        <v>3.49</v>
      </c>
      <c r="F482" s="36" t="n">
        <v>4.48</v>
      </c>
      <c r="G482" s="36" t="n">
        <v>5.23</v>
      </c>
      <c r="H482" s="37" t="n">
        <v>0.3229166666666667</v>
      </c>
      <c r="I482" s="37" t="n">
        <v>0.3038461538461538</v>
      </c>
      <c r="J482" s="37" t="n">
        <v>0.3318345323741007</v>
      </c>
      <c r="K482" s="37" t="n">
        <v>0.6518987341772152</v>
      </c>
      <c r="L482" s="37" t="n">
        <v>0.6645161290322581</v>
      </c>
      <c r="M482" s="37" t="n">
        <v>0.9987745098039216</v>
      </c>
      <c r="N482" s="37" t="n">
        <v>0.1715686274509804</v>
      </c>
      <c r="O482" s="36" t="n">
        <v>0.01</v>
      </c>
      <c r="P482" s="36" t="n">
        <v>3.88</v>
      </c>
      <c r="Q482" s="36" t="n">
        <v>64.15000000000001</v>
      </c>
      <c r="R482" s="36" t="n">
        <v>64.53</v>
      </c>
      <c r="S482" s="36" t="n">
        <v>0</v>
      </c>
      <c r="T482" s="37" t="n">
        <v>0.1122033422272153</v>
      </c>
      <c r="U482" s="37" t="n">
        <v>0.3338278931750742</v>
      </c>
      <c r="V482" s="37" t="n">
        <v>0.08783994998437011</v>
      </c>
      <c r="W482" s="37" t="n">
        <v>0.8488888888888889</v>
      </c>
    </row>
    <row r="483">
      <c r="A483" s="53" t="n">
        <v>45762</v>
      </c>
      <c r="B483" t="inlineStr">
        <is>
          <t>R01_Sumbagut</t>
        </is>
      </c>
      <c r="C483" t="inlineStr">
        <is>
          <t>NOP RANTAU PRAPAT</t>
        </is>
      </c>
      <c r="D483" s="36" t="n">
        <v>3.3</v>
      </c>
      <c r="E483" s="36" t="n">
        <v>6.03</v>
      </c>
      <c r="F483" s="36" t="n">
        <v>5.16</v>
      </c>
      <c r="G483" s="36" t="n">
        <v>6.32</v>
      </c>
      <c r="H483" s="37" t="n">
        <v>0.2915309446254072</v>
      </c>
      <c r="I483" s="37" t="n">
        <v>0.2872340425531915</v>
      </c>
      <c r="J483" s="37" t="n">
        <v>0.2925478348439073</v>
      </c>
      <c r="K483" s="37" t="n">
        <v>0.6518518518518519</v>
      </c>
      <c r="L483" s="37" t="n">
        <v>0.6518518518518519</v>
      </c>
      <c r="M483" s="37" t="n">
        <v>0.990228013029316</v>
      </c>
      <c r="N483" s="37" t="n">
        <v>0.1685667752442997</v>
      </c>
      <c r="O483" s="36" t="n">
        <v>0.02</v>
      </c>
      <c r="P483" s="36" t="n">
        <v>3.83</v>
      </c>
      <c r="Q483" s="36" t="n">
        <v>36.37</v>
      </c>
      <c r="R483" s="36" t="n">
        <v>42.14</v>
      </c>
      <c r="S483" s="36" t="n">
        <v>0</v>
      </c>
      <c r="T483" s="37" t="n">
        <v>0.07195876288659794</v>
      </c>
      <c r="U483" s="37" t="n">
        <v>0.1476407914764079</v>
      </c>
      <c r="V483" s="37" t="n">
        <v>0.05202735710796287</v>
      </c>
      <c r="W483" s="37" t="n">
        <v>0.6494845360824743</v>
      </c>
    </row>
    <row r="484">
      <c r="A484" s="53" t="n">
        <v>45762</v>
      </c>
      <c r="B484" t="inlineStr">
        <is>
          <t>R10_Sumbagteng</t>
        </is>
      </c>
      <c r="C484" t="inlineStr">
        <is>
          <t>NOP BATAM</t>
        </is>
      </c>
      <c r="D484" s="36" t="n">
        <v>2.09</v>
      </c>
      <c r="E484" s="36" t="n">
        <v>7.99</v>
      </c>
      <c r="F484" s="36" t="n">
        <v>6.61</v>
      </c>
      <c r="G484" s="36" t="n">
        <v>9.66</v>
      </c>
      <c r="H484" s="37" t="n">
        <v>0.2922324823465508</v>
      </c>
      <c r="I484" s="37" t="n">
        <v>0.3142076502732241</v>
      </c>
      <c r="J484" s="37" t="n">
        <v>0.2867796610169491</v>
      </c>
      <c r="K484" s="37" t="n">
        <v>0.6347826086956522</v>
      </c>
      <c r="L484" s="37" t="n">
        <v>0.6347826086956522</v>
      </c>
      <c r="M484" s="37" t="n">
        <v>0.9923954372623575</v>
      </c>
      <c r="N484" s="37" t="n">
        <v>0.1819663226507333</v>
      </c>
      <c r="O484" s="36" t="n">
        <v>0</v>
      </c>
      <c r="P484" s="36" t="n">
        <v>6.94</v>
      </c>
      <c r="Q484" s="36" t="n">
        <v>30</v>
      </c>
      <c r="R484" s="36" t="n">
        <v>9.6</v>
      </c>
      <c r="S484" s="36" t="n">
        <v>0</v>
      </c>
      <c r="T484" s="37" t="n">
        <v>0.07567567567567568</v>
      </c>
      <c r="U484" s="37" t="n">
        <v>0.2422907488986784</v>
      </c>
      <c r="V484" s="37" t="n">
        <v>0.05080683815305959</v>
      </c>
      <c r="W484" s="37" t="n">
        <v>0.8090909090909091</v>
      </c>
    </row>
    <row r="485">
      <c r="A485" s="53" t="n">
        <v>45762</v>
      </c>
      <c r="B485" t="inlineStr">
        <is>
          <t>R10_Sumbagteng</t>
        </is>
      </c>
      <c r="C485" t="inlineStr">
        <is>
          <t>NOP BUKITTINGGI</t>
        </is>
      </c>
      <c r="D485" s="36" t="n">
        <v>1.72</v>
      </c>
      <c r="E485" s="36" t="n">
        <v>5.92</v>
      </c>
      <c r="F485" s="36" t="n">
        <v>4.46</v>
      </c>
      <c r="G485" s="36" t="n">
        <v>5.9</v>
      </c>
      <c r="H485" s="37" t="n">
        <v>0.7512355848434926</v>
      </c>
      <c r="I485" s="37" t="n">
        <v>0.8287671232876712</v>
      </c>
      <c r="J485" s="37" t="n">
        <v>0.7266811279826464</v>
      </c>
      <c r="K485" s="37" t="n">
        <v>0.6363636363636364</v>
      </c>
      <c r="L485" s="37" t="n">
        <v>0.6363636363636364</v>
      </c>
      <c r="M485" s="37" t="n">
        <v>0.9901153212520593</v>
      </c>
      <c r="N485" s="37" t="n">
        <v>0.4448105436573311</v>
      </c>
      <c r="O485" s="36" t="n">
        <v>0</v>
      </c>
      <c r="P485" s="36" t="n">
        <v>3.47</v>
      </c>
      <c r="Q485" s="36" t="n">
        <v>8.06</v>
      </c>
      <c r="R485" s="36" t="n">
        <v>126.76</v>
      </c>
      <c r="S485" s="36" t="n">
        <v>0</v>
      </c>
      <c r="T485" s="37" t="n">
        <v>0.3075023155294844</v>
      </c>
      <c r="U485" s="37" t="n">
        <v>0.749034749034749</v>
      </c>
      <c r="V485" s="37" t="n">
        <v>0.2692828146143437</v>
      </c>
      <c r="W485" s="37" t="n">
        <v>0.5876288659793815</v>
      </c>
    </row>
    <row r="486">
      <c r="A486" s="53" t="n">
        <v>45762</v>
      </c>
      <c r="B486" t="inlineStr">
        <is>
          <t>R10_Sumbagteng</t>
        </is>
      </c>
      <c r="C486" t="inlineStr">
        <is>
          <t>NOP DUMAI</t>
        </is>
      </c>
      <c r="D486" s="36" t="n">
        <v>5.92</v>
      </c>
      <c r="E486" s="36" t="n">
        <v>6.86</v>
      </c>
      <c r="F486" s="36" t="n">
        <v>5.78</v>
      </c>
      <c r="G486" s="36" t="n">
        <v>6.37</v>
      </c>
      <c r="H486" s="37" t="n">
        <v>0.3960434445306439</v>
      </c>
      <c r="I486" s="37" t="n">
        <v>0.4683734939759036</v>
      </c>
      <c r="J486" s="37" t="n">
        <v>0.3709508881922675</v>
      </c>
      <c r="K486" s="37" t="n">
        <v>0.7138263665594855</v>
      </c>
      <c r="L486" s="37" t="n">
        <v>0.7364864864864865</v>
      </c>
      <c r="M486" s="37" t="n">
        <v>0.9747866563227308</v>
      </c>
      <c r="N486" s="37" t="n">
        <v>0.2234290147401086</v>
      </c>
      <c r="O486" s="36" t="n">
        <v>0.28</v>
      </c>
      <c r="P486" s="36" t="n">
        <v>5.09</v>
      </c>
      <c r="Q486" s="36" t="n">
        <v>51.33</v>
      </c>
      <c r="R486" s="36" t="n">
        <v>134.17</v>
      </c>
      <c r="S486" s="36" t="n">
        <v>0</v>
      </c>
      <c r="T486" s="37" t="n">
        <v>0.294047382042604</v>
      </c>
      <c r="U486" s="37" t="n">
        <v>0.3265700483091787</v>
      </c>
      <c r="V486" s="37" t="n">
        <v>0.2968626417084102</v>
      </c>
      <c r="W486" s="37" t="n">
        <v>0.9349112426035503</v>
      </c>
    </row>
    <row r="487">
      <c r="A487" s="53" t="n">
        <v>45762</v>
      </c>
      <c r="B487" t="inlineStr">
        <is>
          <t>R10_Sumbagteng</t>
        </is>
      </c>
      <c r="C487" t="inlineStr">
        <is>
          <t>NOP PADANG</t>
        </is>
      </c>
      <c r="D487" s="36" t="n">
        <v>3.58</v>
      </c>
      <c r="E487" s="36" t="n">
        <v>2.95</v>
      </c>
      <c r="F487" s="36" t="n">
        <v>6.69</v>
      </c>
      <c r="G487" s="36" t="n">
        <v>7.27</v>
      </c>
      <c r="H487" s="37" t="n">
        <v>0.7661637931034483</v>
      </c>
      <c r="I487" s="37" t="n">
        <v>0.6929824561403509</v>
      </c>
      <c r="J487" s="37" t="n">
        <v>0.7764127764127764</v>
      </c>
      <c r="K487" s="37" t="n">
        <v>0.5063291139240507</v>
      </c>
      <c r="L487" s="37" t="n">
        <v>0.5063291139240507</v>
      </c>
      <c r="M487" s="37" t="n">
        <v>0.9870689655172413</v>
      </c>
      <c r="N487" s="37" t="n">
        <v>0.3178879310344828</v>
      </c>
      <c r="O487" s="36" t="n">
        <v>0.06</v>
      </c>
      <c r="P487" s="36" t="n">
        <v>4.81</v>
      </c>
      <c r="Q487" s="36" t="n">
        <v>42.25</v>
      </c>
      <c r="R487" s="36" t="n">
        <v>57.69</v>
      </c>
      <c r="S487" s="36" t="n">
        <v>0</v>
      </c>
      <c r="T487" s="37" t="n">
        <v>0.726044226044226</v>
      </c>
      <c r="U487" s="37" t="n">
        <v>0.6428571428571429</v>
      </c>
      <c r="V487" s="37" t="n">
        <v>0.7387074357192495</v>
      </c>
      <c r="W487" s="37" t="n">
        <v>0.4654654654654655</v>
      </c>
    </row>
    <row r="488">
      <c r="A488" s="53" t="n">
        <v>45762</v>
      </c>
      <c r="B488" t="inlineStr">
        <is>
          <t>R10_Sumbagteng</t>
        </is>
      </c>
      <c r="C488" t="inlineStr">
        <is>
          <t>NOP PEKANBARU</t>
        </is>
      </c>
      <c r="D488" s="36" t="n">
        <v>6.32</v>
      </c>
      <c r="E488" s="36" t="n">
        <v>5.83</v>
      </c>
      <c r="F488" s="36" t="n">
        <v>6.17</v>
      </c>
      <c r="G488" s="36" t="n">
        <v>8.81</v>
      </c>
      <c r="H488" s="37" t="n">
        <v>0.3867994100294985</v>
      </c>
      <c r="I488" s="37" t="n">
        <v>0.5320665083135392</v>
      </c>
      <c r="J488" s="37" t="n">
        <v>0.3601047577477084</v>
      </c>
      <c r="K488" s="37" t="n">
        <v>0.7544642857142857</v>
      </c>
      <c r="L488" s="37" t="n">
        <v>0.7636363636363637</v>
      </c>
      <c r="M488" s="37" t="n">
        <v>0.9907817109144543</v>
      </c>
      <c r="N488" s="37" t="n">
        <v>0.2127581120943953</v>
      </c>
      <c r="O488" s="36" t="n">
        <v>0.03</v>
      </c>
      <c r="P488" s="36" t="n">
        <v>3.27</v>
      </c>
      <c r="Q488" s="36" t="n">
        <v>49.79</v>
      </c>
      <c r="R488" s="36" t="n">
        <v>95.98</v>
      </c>
      <c r="S488" s="36" t="n">
        <v>0</v>
      </c>
      <c r="T488" s="37" t="n">
        <v>0.301357257878997</v>
      </c>
      <c r="U488" s="37" t="n">
        <v>0.3067669172932331</v>
      </c>
      <c r="V488" s="37" t="n">
        <v>0.3068579426172148</v>
      </c>
      <c r="W488" s="37" t="n">
        <v>0.8700980392156863</v>
      </c>
    </row>
    <row r="489">
      <c r="A489" s="53" t="n">
        <v>45762</v>
      </c>
      <c r="B489" t="inlineStr">
        <is>
          <t>R02_Sumbagsel</t>
        </is>
      </c>
      <c r="C489" t="inlineStr">
        <is>
          <t>NOP BENGKULU</t>
        </is>
      </c>
      <c r="D489" s="36" t="n">
        <v>2.08</v>
      </c>
      <c r="E489" s="36" t="n">
        <v>4.12</v>
      </c>
      <c r="F489" s="36" t="n">
        <v>4.21</v>
      </c>
      <c r="G489" s="36" t="n">
        <v>6.09</v>
      </c>
      <c r="H489" s="37" t="n">
        <v>0.373485868102288</v>
      </c>
      <c r="I489" s="37" t="n">
        <v>0.4530831099195711</v>
      </c>
      <c r="J489" s="37" t="n">
        <v>0.3468104222821204</v>
      </c>
      <c r="K489" s="37" t="n">
        <v>0.6686390532544378</v>
      </c>
      <c r="L489" s="37" t="n">
        <v>0.6686390532544378</v>
      </c>
      <c r="M489" s="37" t="n">
        <v>0.9932705248990579</v>
      </c>
      <c r="N489" s="37" t="n">
        <v>0.1917900403768506</v>
      </c>
      <c r="O489" s="36" t="n">
        <v>0</v>
      </c>
      <c r="P489" s="36" t="n">
        <v>6.04</v>
      </c>
      <c r="Q489" s="36" t="n">
        <v>6.79</v>
      </c>
      <c r="R489" s="36" t="n">
        <v>16.86</v>
      </c>
      <c r="S489" s="36" t="n">
        <v>0</v>
      </c>
      <c r="T489" s="37" t="n">
        <v>0.4488716502115656</v>
      </c>
      <c r="U489" s="37" t="n">
        <v>0.3787393162393162</v>
      </c>
      <c r="V489" s="37" t="n">
        <v>0.6265223274695535</v>
      </c>
      <c r="W489" s="37" t="n">
        <v>0.8885754583921015</v>
      </c>
    </row>
    <row r="490">
      <c r="A490" s="53" t="n">
        <v>45762</v>
      </c>
      <c r="B490" t="inlineStr">
        <is>
          <t>R02_Sumbagsel</t>
        </is>
      </c>
      <c r="C490" t="inlineStr">
        <is>
          <t>NOP JAMBI</t>
        </is>
      </c>
      <c r="D490" s="36" t="n">
        <v>3.56</v>
      </c>
      <c r="E490" s="36" t="n">
        <v>5.66</v>
      </c>
      <c r="F490" s="36" t="n">
        <v>6.45</v>
      </c>
      <c r="G490" s="36" t="n">
        <v>7.9</v>
      </c>
      <c r="H490" s="37" t="n">
        <v>0.5213154689403167</v>
      </c>
      <c r="I490" s="37" t="n">
        <v>0.5664893617021277</v>
      </c>
      <c r="J490" s="37" t="n">
        <v>0.5014611338398597</v>
      </c>
      <c r="K490" s="37" t="n">
        <v>0.6572769953051644</v>
      </c>
      <c r="L490" s="37" t="n">
        <v>0.6580188679245284</v>
      </c>
      <c r="M490" s="37" t="n">
        <v>1</v>
      </c>
      <c r="N490" s="37" t="n">
        <v>0.269183922046285</v>
      </c>
      <c r="O490" s="36" t="n">
        <v>0</v>
      </c>
      <c r="P490" s="36" t="n">
        <v>7.03</v>
      </c>
      <c r="Q490" s="36" t="n">
        <v>16.2</v>
      </c>
      <c r="R490" s="36" t="n">
        <v>19</v>
      </c>
      <c r="S490" s="36" t="n">
        <v>0</v>
      </c>
      <c r="T490" s="37" t="n">
        <v>0.6360345307713728</v>
      </c>
      <c r="U490" s="37" t="n">
        <v>0.6245313336904125</v>
      </c>
      <c r="V490" s="37" t="n">
        <v>0.6631799163179917</v>
      </c>
      <c r="W490" s="37" t="n">
        <v>0.7427101200686106</v>
      </c>
    </row>
    <row r="491">
      <c r="A491" s="53" t="n">
        <v>45762</v>
      </c>
      <c r="B491" t="inlineStr">
        <is>
          <t>R02_Sumbagsel</t>
        </is>
      </c>
      <c r="C491" t="inlineStr">
        <is>
          <t>NOP LAMPUNG</t>
        </is>
      </c>
      <c r="D491" s="36" t="n">
        <v>3.35</v>
      </c>
      <c r="E491" s="36" t="n">
        <v>5.76</v>
      </c>
      <c r="F491" s="36" t="n">
        <v>5.33</v>
      </c>
      <c r="G491" s="36" t="n">
        <v>6.35</v>
      </c>
      <c r="H491" s="37" t="n">
        <v>0.5160462130937099</v>
      </c>
      <c r="I491" s="37" t="n">
        <v>0.6878306878306878</v>
      </c>
      <c r="J491" s="37" t="n">
        <v>0.4610169491525424</v>
      </c>
      <c r="K491" s="37" t="n">
        <v>0.7076923076923077</v>
      </c>
      <c r="L491" s="37" t="n">
        <v>0.7076923076923077</v>
      </c>
      <c r="M491" s="37" t="n">
        <v>1</v>
      </c>
      <c r="N491" s="37" t="n">
        <v>0.3478818998716303</v>
      </c>
      <c r="O491" s="36" t="n">
        <v>1.51</v>
      </c>
      <c r="P491" s="36" t="n">
        <v>6.58</v>
      </c>
      <c r="Q491" s="36" t="n">
        <v>5.53</v>
      </c>
      <c r="R491" s="36" t="n">
        <v>27.14</v>
      </c>
      <c r="S491" s="36" t="n">
        <v>0</v>
      </c>
      <c r="T491" s="37" t="n">
        <v>0.8987783595113438</v>
      </c>
      <c r="U491" s="37" t="n">
        <v>0.802</v>
      </c>
      <c r="V491" s="37" t="n">
        <v>0.9449052132701422</v>
      </c>
      <c r="W491" s="37" t="n">
        <v>0.8603491271820449</v>
      </c>
    </row>
    <row r="492">
      <c r="A492" s="53" t="n">
        <v>45762</v>
      </c>
      <c r="B492" t="inlineStr">
        <is>
          <t>R02_Sumbagsel</t>
        </is>
      </c>
      <c r="C492" t="inlineStr">
        <is>
          <t>NOP MUARA ENIM</t>
        </is>
      </c>
      <c r="D492" s="36" t="n">
        <v>2.86</v>
      </c>
      <c r="E492" s="36" t="n">
        <v>4.29</v>
      </c>
      <c r="F492" s="36" t="n">
        <v>4.4</v>
      </c>
      <c r="G492" s="36" t="n">
        <v>4.63</v>
      </c>
      <c r="H492" s="37" t="n">
        <v>0.3802208353336534</v>
      </c>
      <c r="I492" s="37" t="n">
        <v>0.3153846153846154</v>
      </c>
      <c r="J492" s="37" t="n">
        <v>0.3951565268753692</v>
      </c>
      <c r="K492" s="37" t="n">
        <v>0.5447154471544715</v>
      </c>
      <c r="L492" s="37" t="n">
        <v>0.559322033898305</v>
      </c>
      <c r="M492" s="37" t="n">
        <v>0.9764762361977917</v>
      </c>
      <c r="N492" s="37" t="n">
        <v>0.1824291886701872</v>
      </c>
      <c r="O492" s="36" t="n">
        <v>0</v>
      </c>
      <c r="P492" s="36" t="n">
        <v>4.64</v>
      </c>
      <c r="Q492" s="36" t="n">
        <v>5.76</v>
      </c>
      <c r="R492" s="36" t="n">
        <v>9.69</v>
      </c>
      <c r="S492" s="36" t="n">
        <v>0</v>
      </c>
      <c r="T492" s="37" t="n">
        <v>0.5</v>
      </c>
      <c r="U492" s="37" t="n">
        <v>0.5044776119402985</v>
      </c>
      <c r="V492" s="37" t="n">
        <v>0.5740740740740741</v>
      </c>
      <c r="W492" s="37" t="n">
        <v>0.8002958579881657</v>
      </c>
    </row>
    <row r="493">
      <c r="A493" s="53" t="n">
        <v>45762</v>
      </c>
      <c r="B493" t="inlineStr">
        <is>
          <t>R02_Sumbagsel</t>
        </is>
      </c>
      <c r="C493" t="inlineStr">
        <is>
          <t>NOP PALEMBANG</t>
        </is>
      </c>
      <c r="D493" s="36" t="n">
        <v>4.09</v>
      </c>
      <c r="E493" s="36" t="n">
        <v>5.28</v>
      </c>
      <c r="F493" s="36" t="n">
        <v>8.220000000000001</v>
      </c>
      <c r="G493" s="36" t="n">
        <v>9.140000000000001</v>
      </c>
      <c r="H493" s="37" t="n">
        <v>0.3085422864428389</v>
      </c>
      <c r="I493" s="37" t="n">
        <v>0.2886178861788618</v>
      </c>
      <c r="J493" s="37" t="n">
        <v>0.3108685334598956</v>
      </c>
      <c r="K493" s="37" t="n">
        <v>0.4647887323943662</v>
      </c>
      <c r="L493" s="37" t="n">
        <v>0.4647887323943662</v>
      </c>
      <c r="M493" s="37" t="n">
        <v>1</v>
      </c>
      <c r="N493" s="37" t="n">
        <v>0.1385465363365916</v>
      </c>
      <c r="O493" s="36" t="n">
        <v>0</v>
      </c>
      <c r="P493" s="36" t="n">
        <v>6.82</v>
      </c>
      <c r="Q493" s="36" t="n">
        <v>11.08</v>
      </c>
      <c r="R493" s="36" t="n">
        <v>7.15</v>
      </c>
      <c r="S493" s="36" t="n">
        <v>0</v>
      </c>
      <c r="T493" s="37" t="n">
        <v>0.2822028624766646</v>
      </c>
      <c r="U493" s="37" t="n">
        <v>0.2335714285714286</v>
      </c>
      <c r="V493" s="37" t="n">
        <v>0.3994452149791956</v>
      </c>
      <c r="W493" s="37" t="n">
        <v>0.4587155963302753</v>
      </c>
    </row>
    <row r="494">
      <c r="A494" s="53" t="n">
        <v>45762</v>
      </c>
      <c r="B494" t="inlineStr">
        <is>
          <t>R02_Sumbagsel</t>
        </is>
      </c>
      <c r="C494" t="inlineStr">
        <is>
          <t>NOP PANGKAL PINANG</t>
        </is>
      </c>
      <c r="D494" s="36" t="n">
        <v>2.01</v>
      </c>
      <c r="E494" s="36" t="n">
        <v>2.84</v>
      </c>
      <c r="F494" s="36" t="n">
        <v>5.34</v>
      </c>
      <c r="G494" s="36" t="n">
        <v>6.51</v>
      </c>
      <c r="H494" s="37" t="n">
        <v>0.6715328467153284</v>
      </c>
      <c r="I494" s="37" t="n">
        <v>0.9285714285714286</v>
      </c>
      <c r="J494" s="37" t="n">
        <v>0.6576923076923077</v>
      </c>
      <c r="K494" s="37" t="n">
        <v>0.6923076923076923</v>
      </c>
      <c r="L494" s="37" t="n">
        <v>0.6923076923076923</v>
      </c>
      <c r="M494" s="37" t="n">
        <v>0.9963503649635036</v>
      </c>
      <c r="N494" s="37" t="n">
        <v>0.3686131386861314</v>
      </c>
      <c r="O494" s="36" t="n">
        <v>0</v>
      </c>
      <c r="P494" s="36" t="n">
        <v>3.95</v>
      </c>
      <c r="Q494" s="36" t="n">
        <v>6.21</v>
      </c>
      <c r="R494" s="36" t="n">
        <v>7.3</v>
      </c>
      <c r="S494" s="36" t="n">
        <v>0</v>
      </c>
      <c r="T494" s="37" t="n">
        <v>0.7901785714285714</v>
      </c>
      <c r="U494" s="37" t="n">
        <v>0.8561872909698997</v>
      </c>
      <c r="V494" s="37" t="n">
        <v>0.8610038610038609</v>
      </c>
      <c r="W494" s="37" t="n">
        <v>0.7421875</v>
      </c>
    </row>
    <row r="495">
      <c r="A495" s="53" t="n">
        <v>45762</v>
      </c>
      <c r="B495" t="inlineStr">
        <is>
          <t>R05_Jawa Tengah DIY</t>
        </is>
      </c>
      <c r="C495" t="inlineStr">
        <is>
          <t>NOP MAGELANG</t>
        </is>
      </c>
      <c r="D495" s="36" t="n">
        <v>5.24</v>
      </c>
      <c r="E495" s="36" t="n">
        <v>0</v>
      </c>
      <c r="F495" s="36" t="n">
        <v>4.72</v>
      </c>
      <c r="G495" s="36" t="n">
        <v>5.1</v>
      </c>
      <c r="H495" s="37" t="n">
        <v>0.7428571428571429</v>
      </c>
      <c r="I495" s="37" t="n">
        <v>0.96</v>
      </c>
      <c r="J495" s="37" t="n">
        <v>0.7215686274509804</v>
      </c>
      <c r="K495" s="37" t="n">
        <v>0.7083333333333334</v>
      </c>
      <c r="L495" s="37" t="n">
        <v>0.7083333333333334</v>
      </c>
      <c r="M495" s="37" t="n">
        <v>1</v>
      </c>
      <c r="N495" s="37" t="n">
        <v>0.6535714285714286</v>
      </c>
      <c r="O495" s="36" t="n">
        <v>0.3</v>
      </c>
      <c r="P495" s="36" t="n">
        <v>5.89</v>
      </c>
      <c r="Q495" s="36" t="n">
        <v>10.28</v>
      </c>
      <c r="R495" s="36" t="n">
        <v>20.34</v>
      </c>
      <c r="S495" s="36" t="n">
        <v>0</v>
      </c>
      <c r="T495" s="37" t="n">
        <v>0.9254901960784314</v>
      </c>
      <c r="U495" s="37" t="n">
        <v>0.8933333333333333</v>
      </c>
      <c r="V495" s="37" t="n">
        <v>0.9310344827586207</v>
      </c>
      <c r="W495" s="37" t="n">
        <v>0.835820895522388</v>
      </c>
    </row>
    <row r="496">
      <c r="A496" s="53" t="n">
        <v>45762</v>
      </c>
      <c r="B496" t="inlineStr">
        <is>
          <t>R05_Jawa Tengah DIY</t>
        </is>
      </c>
      <c r="C496" t="inlineStr">
        <is>
          <t>NOP PEKALONGAN</t>
        </is>
      </c>
      <c r="D496" s="36" t="n">
        <v>4.23</v>
      </c>
      <c r="E496" s="36" t="n">
        <v>0</v>
      </c>
      <c r="F496" s="36" t="n">
        <v>3.4</v>
      </c>
      <c r="G496" s="36" t="n">
        <v>3.4</v>
      </c>
      <c r="H496" s="37" t="n">
        <v>0.6354679802955665</v>
      </c>
      <c r="I496" s="37" t="n">
        <v>0.9375</v>
      </c>
      <c r="J496" s="37" t="n">
        <v>0.6096256684491979</v>
      </c>
      <c r="K496" s="37" t="n">
        <v>1</v>
      </c>
      <c r="L496" s="37" t="n">
        <v>1</v>
      </c>
      <c r="M496" s="37" t="n">
        <v>0.9802955665024631</v>
      </c>
      <c r="N496" s="37" t="n">
        <v>0.6305418719211823</v>
      </c>
      <c r="O496" s="36" t="n">
        <v>0</v>
      </c>
      <c r="P496" s="36" t="n">
        <v>3.36</v>
      </c>
      <c r="Q496" s="36" t="n">
        <v>5.51</v>
      </c>
      <c r="R496" s="36" t="n">
        <v>53.84</v>
      </c>
      <c r="S496" s="36" t="n">
        <v>0</v>
      </c>
      <c r="T496" s="37" t="n">
        <v>0.8295739348370927</v>
      </c>
      <c r="U496" s="37" t="n">
        <v>0.7684210526315789</v>
      </c>
      <c r="V496" s="37" t="n">
        <v>0.8486842105263158</v>
      </c>
      <c r="W496" s="37" t="n">
        <v>0.6986301369863014</v>
      </c>
    </row>
    <row r="497">
      <c r="A497" s="53" t="n">
        <v>45762</v>
      </c>
      <c r="B497" t="inlineStr">
        <is>
          <t>R05_Jawa Tengah DIY</t>
        </is>
      </c>
      <c r="C497" t="inlineStr">
        <is>
          <t>NOP PURWOKERTO</t>
        </is>
      </c>
      <c r="D497" s="36" t="n">
        <v>2.12</v>
      </c>
      <c r="E497" s="36" t="n">
        <v>0</v>
      </c>
      <c r="F497" s="36" t="n">
        <v>3.38</v>
      </c>
      <c r="G497" s="36" t="n">
        <v>3.66</v>
      </c>
      <c r="H497" s="37" t="n">
        <v>0.7817460317460317</v>
      </c>
      <c r="I497" s="37" t="n">
        <v>0.6956521739130435</v>
      </c>
      <c r="J497" s="37" t="n">
        <v>0.7903930131004366</v>
      </c>
      <c r="K497" s="37" t="n">
        <v>1</v>
      </c>
      <c r="L497" s="37" t="n">
        <v>1</v>
      </c>
      <c r="M497" s="37" t="n">
        <v>0.9722222222222222</v>
      </c>
      <c r="N497" s="37" t="n">
        <v>0.5198412698412699</v>
      </c>
      <c r="O497" s="36" t="n">
        <v>0.31</v>
      </c>
      <c r="P497" s="36" t="n">
        <v>3.86</v>
      </c>
      <c r="Q497" s="36" t="n">
        <v>10.33</v>
      </c>
      <c r="R497" s="36" t="n">
        <v>42.32</v>
      </c>
      <c r="S497" s="36" t="n">
        <v>0</v>
      </c>
      <c r="T497" s="37" t="n">
        <v>0.7707317073170732</v>
      </c>
      <c r="U497" s="37" t="n">
        <v>0.7738095238095238</v>
      </c>
      <c r="V497" s="37" t="n">
        <v>0.7699386503067485</v>
      </c>
      <c r="W497" s="37" t="n">
        <v>0.7538461538461538</v>
      </c>
    </row>
    <row r="498">
      <c r="A498" s="53" t="n">
        <v>45762</v>
      </c>
      <c r="B498" t="inlineStr">
        <is>
          <t>R05_Jawa Tengah DIY</t>
        </is>
      </c>
      <c r="C498" t="inlineStr">
        <is>
          <t>NOP SEMARANG</t>
        </is>
      </c>
      <c r="D498" s="36" t="n">
        <v>2.92</v>
      </c>
      <c r="E498" s="36" t="n">
        <v>1.7</v>
      </c>
      <c r="F498" s="36" t="n">
        <v>2.56</v>
      </c>
      <c r="G498" s="36" t="n">
        <v>3.22</v>
      </c>
      <c r="H498" s="37" t="n">
        <v>0.4349315068493151</v>
      </c>
      <c r="I498" s="37" t="n">
        <v>0.4838709677419355</v>
      </c>
      <c r="J498" s="37" t="n">
        <v>0.4291187739463602</v>
      </c>
      <c r="K498" s="37" t="n">
        <v>1</v>
      </c>
      <c r="L498" s="37" t="n">
        <v>1</v>
      </c>
      <c r="M498" s="37" t="n">
        <v>0.952054794520548</v>
      </c>
      <c r="N498" s="37" t="n">
        <v>0.2910958904109589</v>
      </c>
      <c r="O498" s="36" t="n">
        <v>0</v>
      </c>
      <c r="P498" s="36" t="n">
        <v>3.5</v>
      </c>
      <c r="Q498" s="36" t="n">
        <v>12.58</v>
      </c>
      <c r="R498" s="36" t="n">
        <v>67.37</v>
      </c>
      <c r="S498" s="36" t="n">
        <v>0</v>
      </c>
      <c r="T498" s="37" t="n">
        <v>0.6951871657754011</v>
      </c>
      <c r="U498" s="37" t="n">
        <v>0.3846153846153846</v>
      </c>
      <c r="V498" s="37" t="n">
        <v>0.8443271767810027</v>
      </c>
      <c r="W498" s="37" t="n">
        <v>0.8857142857142857</v>
      </c>
    </row>
    <row r="499">
      <c r="A499" s="53" t="n">
        <v>45762</v>
      </c>
      <c r="B499" t="inlineStr">
        <is>
          <t>R05_Jawa Tengah DIY</t>
        </is>
      </c>
      <c r="C499" t="inlineStr">
        <is>
          <t>NOP SURAKARTA</t>
        </is>
      </c>
      <c r="D499" s="36" t="n">
        <v>4.39</v>
      </c>
      <c r="E499" s="36" t="n">
        <v>2.15</v>
      </c>
      <c r="F499" s="36" t="n">
        <v>2.89</v>
      </c>
      <c r="G499" s="36" t="n">
        <v>4.45</v>
      </c>
      <c r="H499" s="37" t="n">
        <v>0.6519337016574586</v>
      </c>
      <c r="I499" s="37" t="n">
        <v>0.85</v>
      </c>
      <c r="J499" s="37" t="n">
        <v>0.6273291925465838</v>
      </c>
      <c r="K499" s="37" t="n">
        <v>0.9117647058823529</v>
      </c>
      <c r="L499" s="37" t="n">
        <v>0.9117647058823529</v>
      </c>
      <c r="M499" s="37" t="n">
        <v>0.9751381215469613</v>
      </c>
      <c r="N499" s="37" t="n">
        <v>0.4640883977900552</v>
      </c>
      <c r="O499" s="36" t="n">
        <v>0.14</v>
      </c>
      <c r="P499" s="36" t="n">
        <v>3.56</v>
      </c>
      <c r="Q499" s="36" t="n">
        <v>9.51</v>
      </c>
      <c r="R499" s="36" t="n">
        <v>68.22</v>
      </c>
      <c r="S499" s="36" t="n">
        <v>0</v>
      </c>
      <c r="T499" s="37" t="n">
        <v>0.7906137184115524</v>
      </c>
      <c r="U499" s="37" t="n">
        <v>0.7070063694267515</v>
      </c>
      <c r="V499" s="37" t="n">
        <v>0.8236775818639799</v>
      </c>
      <c r="W499" s="37" t="n">
        <v>0.7477477477477478</v>
      </c>
    </row>
    <row r="500">
      <c r="A500" s="53" t="n">
        <v>45762</v>
      </c>
      <c r="B500" t="inlineStr">
        <is>
          <t>R05_Jawa Tengah DIY</t>
        </is>
      </c>
      <c r="C500" t="inlineStr">
        <is>
          <t>NOP YOGYAKARTA</t>
        </is>
      </c>
      <c r="D500" s="36" t="n">
        <v>2.99</v>
      </c>
      <c r="E500" s="36" t="n">
        <v>0</v>
      </c>
      <c r="F500" s="36" t="n">
        <v>3.79</v>
      </c>
      <c r="G500" s="36" t="n">
        <v>4.22</v>
      </c>
      <c r="H500" s="37" t="n">
        <v>0.617737003058104</v>
      </c>
      <c r="I500" s="37" t="n">
        <v>0.9523809523809523</v>
      </c>
      <c r="J500" s="37" t="n">
        <v>0.5947712418300654</v>
      </c>
      <c r="K500" s="37" t="n">
        <v>0.9</v>
      </c>
      <c r="L500" s="37" t="n">
        <v>0.8888888888888888</v>
      </c>
      <c r="M500" s="37" t="n">
        <v>0.9938837920489296</v>
      </c>
      <c r="N500" s="37" t="n">
        <v>0.4097859327217125</v>
      </c>
      <c r="O500" s="36" t="n">
        <v>0</v>
      </c>
      <c r="P500" s="36" t="n">
        <v>2.95</v>
      </c>
      <c r="Q500" s="36" t="n">
        <v>15.65</v>
      </c>
      <c r="R500" s="36" t="n">
        <v>42.62</v>
      </c>
      <c r="S500" s="36" t="n">
        <v>0</v>
      </c>
      <c r="T500" s="37" t="n">
        <v>0.9292307692307692</v>
      </c>
      <c r="U500" s="37" t="n">
        <v>0.8058252427184466</v>
      </c>
      <c r="V500" s="37" t="n">
        <v>0.9524680073126143</v>
      </c>
      <c r="W500" s="37" t="n">
        <v>0.9759036144578314</v>
      </c>
    </row>
    <row r="501">
      <c r="A501" s="53" t="n">
        <v>45762</v>
      </c>
      <c r="B501" t="inlineStr">
        <is>
          <t>R06_Jawa Timur</t>
        </is>
      </c>
      <c r="C501" t="inlineStr">
        <is>
          <t>NOP JEMBER</t>
        </is>
      </c>
      <c r="D501" s="36" t="n">
        <v>2.09</v>
      </c>
      <c r="E501" s="36" t="n">
        <v>2.64</v>
      </c>
      <c r="F501" s="36" t="n">
        <v>3.92</v>
      </c>
      <c r="G501" s="36" t="n">
        <v>4.05</v>
      </c>
      <c r="H501" s="37" t="n">
        <v>0.6902985074626866</v>
      </c>
      <c r="I501" s="37" t="n">
        <v>0.6521739130434783</v>
      </c>
      <c r="J501" s="37" t="n">
        <v>0.6938775510204082</v>
      </c>
      <c r="K501" s="37" t="n">
        <v>0.7333333333333333</v>
      </c>
      <c r="L501" s="37" t="n">
        <v>0.7333333333333333</v>
      </c>
      <c r="M501" s="37" t="n">
        <v>0.9850746268656716</v>
      </c>
      <c r="N501" s="37" t="n">
        <v>0.3395522388059701</v>
      </c>
      <c r="O501" s="36" t="n">
        <v>0</v>
      </c>
      <c r="P501" s="36" t="n">
        <v>2.69</v>
      </c>
      <c r="Q501" s="36" t="n">
        <v>4.79</v>
      </c>
      <c r="R501" s="36" t="n">
        <v>114.14</v>
      </c>
      <c r="S501" s="36" t="n">
        <v>0</v>
      </c>
      <c r="T501" s="37" t="n">
        <v>0.8100263852242744</v>
      </c>
      <c r="U501" s="37" t="n">
        <v>0.7849462365591398</v>
      </c>
      <c r="V501" s="37" t="n">
        <v>0.8181818181818182</v>
      </c>
      <c r="W501" s="37" t="n">
        <v>0.7534246575342466</v>
      </c>
    </row>
    <row r="502">
      <c r="A502" s="53" t="n">
        <v>45762</v>
      </c>
      <c r="B502" t="inlineStr">
        <is>
          <t>R06_Jawa Timur</t>
        </is>
      </c>
      <c r="C502" t="inlineStr">
        <is>
          <t>NOP KEDIRI</t>
        </is>
      </c>
      <c r="D502" s="36" t="n">
        <v>1.1</v>
      </c>
      <c r="E502" s="36" t="n">
        <v>0.7</v>
      </c>
      <c r="F502" s="36" t="n">
        <v>2.64</v>
      </c>
      <c r="G502" s="36" t="n">
        <v>1.95</v>
      </c>
      <c r="H502" s="37" t="n">
        <v>0.8604651162790697</v>
      </c>
      <c r="I502" s="37" t="n">
        <v>0.8</v>
      </c>
      <c r="J502" s="37" t="n">
        <v>0.8629032258064516</v>
      </c>
      <c r="K502" s="37" t="n">
        <v>0.5</v>
      </c>
      <c r="L502" s="37" t="n">
        <v>0.5</v>
      </c>
      <c r="M502" s="37" t="n">
        <v>1</v>
      </c>
      <c r="N502" s="37" t="n">
        <v>0.5891472868217055</v>
      </c>
      <c r="O502" s="36" t="n">
        <v>0</v>
      </c>
      <c r="P502" s="36" t="n">
        <v>1.99</v>
      </c>
      <c r="Q502" s="36" t="n">
        <v>3.64</v>
      </c>
      <c r="R502" s="36" t="n">
        <v>13.8</v>
      </c>
      <c r="S502" s="36" t="n">
        <v>0</v>
      </c>
      <c r="T502" s="37" t="n">
        <v>0.944954128440367</v>
      </c>
      <c r="U502" s="37" t="n">
        <v>0.875</v>
      </c>
      <c r="V502" s="37" t="n">
        <v>0.9647058823529412</v>
      </c>
      <c r="W502" s="37" t="n">
        <v>0.8571428571428571</v>
      </c>
    </row>
    <row r="503">
      <c r="A503" s="53" t="n">
        <v>45762</v>
      </c>
      <c r="B503" t="inlineStr">
        <is>
          <t>R06_Jawa Timur</t>
        </is>
      </c>
      <c r="C503" t="inlineStr">
        <is>
          <t>NOP LAMONGAN</t>
        </is>
      </c>
      <c r="D503" s="36" t="n">
        <v>1.58</v>
      </c>
      <c r="E503" s="36" t="n">
        <v>1.01</v>
      </c>
      <c r="F503" s="36" t="n">
        <v>3.15</v>
      </c>
      <c r="G503" s="36" t="n">
        <v>2.16</v>
      </c>
      <c r="H503" s="37" t="n">
        <v>0.7850467289719626</v>
      </c>
      <c r="I503" s="37" t="n">
        <v>1</v>
      </c>
      <c r="J503" s="37" t="n">
        <v>0.7604166666666666</v>
      </c>
      <c r="K503" s="37" t="n">
        <v>0.9090909090909091</v>
      </c>
      <c r="L503" s="37" t="n">
        <v>0.9090909090909091</v>
      </c>
      <c r="M503" s="37" t="n">
        <v>1</v>
      </c>
      <c r="N503" s="37" t="n">
        <v>0.7009345794392523</v>
      </c>
      <c r="O503" s="36" t="n">
        <v>0</v>
      </c>
      <c r="P503" s="36" t="n">
        <v>2.34</v>
      </c>
      <c r="Q503" s="36" t="n">
        <v>10.99</v>
      </c>
      <c r="R503" s="36" t="n">
        <v>32.02</v>
      </c>
      <c r="S503" s="36" t="n">
        <v>0</v>
      </c>
      <c r="T503" s="37" t="n">
        <v>0.7727272727272727</v>
      </c>
      <c r="U503" s="37" t="n">
        <v>0.6716417910447762</v>
      </c>
      <c r="V503" s="37" t="n">
        <v>0.8505747126436781</v>
      </c>
      <c r="W503" s="37" t="n">
        <v>0.8444444444444444</v>
      </c>
    </row>
    <row r="504">
      <c r="A504" s="53" t="n">
        <v>45762</v>
      </c>
      <c r="B504" t="inlineStr">
        <is>
          <t>R06_Jawa Timur</t>
        </is>
      </c>
      <c r="C504" t="inlineStr">
        <is>
          <t>NOP MADIUN</t>
        </is>
      </c>
      <c r="D504" s="36" t="n">
        <v>0.63</v>
      </c>
      <c r="E504" s="36" t="n">
        <v>0</v>
      </c>
      <c r="F504" s="36" t="n">
        <v>2.72</v>
      </c>
      <c r="G504" s="36" t="n">
        <v>3.56</v>
      </c>
      <c r="H504" s="37" t="n">
        <v>0.6481481481481481</v>
      </c>
      <c r="I504" s="37" t="n">
        <v>1</v>
      </c>
      <c r="J504" s="37" t="n">
        <v>0.6392405063291139</v>
      </c>
      <c r="K504" s="37" t="n">
        <v>1</v>
      </c>
      <c r="L504" s="37" t="n">
        <v>1</v>
      </c>
      <c r="M504" s="37" t="n">
        <v>0.9938271604938271</v>
      </c>
      <c r="N504" s="37" t="n">
        <v>0.4012345679012346</v>
      </c>
      <c r="O504" s="36" t="n">
        <v>0</v>
      </c>
      <c r="P504" s="36" t="n">
        <v>2.46</v>
      </c>
      <c r="Q504" s="36" t="n">
        <v>5.96</v>
      </c>
      <c r="R504" s="36" t="n">
        <v>47.94</v>
      </c>
      <c r="S504" s="36" t="n">
        <v>0</v>
      </c>
      <c r="T504" s="37" t="n">
        <v>0.6911196911196911</v>
      </c>
      <c r="U504" s="37" t="n">
        <v>0.7157894736842105</v>
      </c>
      <c r="V504" s="37" t="n">
        <v>0.676829268292683</v>
      </c>
      <c r="W504" s="37" t="n">
        <v>0.7352941176470589</v>
      </c>
    </row>
    <row r="505">
      <c r="A505" s="53" t="n">
        <v>45762</v>
      </c>
      <c r="B505" t="inlineStr">
        <is>
          <t>R06_Jawa Timur</t>
        </is>
      </c>
      <c r="C505" t="inlineStr">
        <is>
          <t>NOP MALANG</t>
        </is>
      </c>
      <c r="D505" s="36" t="n">
        <v>1.16</v>
      </c>
      <c r="E505" s="36" t="n">
        <v>0</v>
      </c>
      <c r="F505" s="36" t="n">
        <v>2.61</v>
      </c>
      <c r="G505" s="36" t="n">
        <v>2.67</v>
      </c>
      <c r="H505" s="37" t="n">
        <v>0.834061135371179</v>
      </c>
      <c r="I505" s="37" t="n">
        <v>0.75</v>
      </c>
      <c r="J505" s="37" t="n">
        <v>0.8355555555555556</v>
      </c>
      <c r="K505" s="37" t="n">
        <v>1</v>
      </c>
      <c r="L505" s="37" t="n">
        <v>1</v>
      </c>
      <c r="M505" s="37" t="n">
        <v>0.9956331877729258</v>
      </c>
      <c r="N505" s="37" t="n">
        <v>0.7816593886462883</v>
      </c>
      <c r="O505" s="36" t="n">
        <v>0.02</v>
      </c>
      <c r="P505" s="36" t="n">
        <v>2.72</v>
      </c>
      <c r="Q505" s="36" t="n">
        <v>4.83</v>
      </c>
      <c r="R505" s="36" t="n">
        <v>62.83</v>
      </c>
      <c r="S505" s="36" t="n">
        <v>0</v>
      </c>
      <c r="T505" s="37" t="n">
        <v>0.7777777777777778</v>
      </c>
      <c r="U505" s="37" t="n">
        <v>0.6835443037974683</v>
      </c>
      <c r="V505" s="37" t="n">
        <v>0.8514851485148515</v>
      </c>
      <c r="W505" s="37" t="n">
        <v>0.5555555555555556</v>
      </c>
    </row>
    <row r="506">
      <c r="A506" s="53" t="n">
        <v>45762</v>
      </c>
      <c r="B506" t="inlineStr">
        <is>
          <t>R06_Jawa Timur</t>
        </is>
      </c>
      <c r="C506" t="inlineStr">
        <is>
          <t>NOP SIDOARJO</t>
        </is>
      </c>
      <c r="D506" s="36" t="n">
        <v>3.29</v>
      </c>
      <c r="E506" s="36" t="n">
        <v>6.27</v>
      </c>
      <c r="F506" s="36" t="n">
        <v>2.97</v>
      </c>
      <c r="G506" s="36" t="n">
        <v>4.39</v>
      </c>
      <c r="H506" s="37" t="n">
        <v>0.5665024630541872</v>
      </c>
      <c r="I506" s="37" t="n">
        <v>0.9047619047619048</v>
      </c>
      <c r="J506" s="37" t="n">
        <v>0.5274725274725275</v>
      </c>
      <c r="K506" s="37" t="n">
        <v>0.9473684210526315</v>
      </c>
      <c r="L506" s="37" t="n">
        <v>0.9473684210526315</v>
      </c>
      <c r="M506" s="37" t="n">
        <v>0.9753694581280788</v>
      </c>
      <c r="N506" s="37" t="n">
        <v>0.4039408866995074</v>
      </c>
      <c r="O506" s="36" t="n">
        <v>0</v>
      </c>
      <c r="P506" s="36" t="n">
        <v>5.41</v>
      </c>
      <c r="Q506" s="36" t="n">
        <v>11.44</v>
      </c>
      <c r="R506" s="36" t="n">
        <v>52.9</v>
      </c>
      <c r="S506" s="36" t="n">
        <v>0</v>
      </c>
      <c r="T506" s="37" t="n">
        <v>0.7428571428571429</v>
      </c>
      <c r="U506" s="37" t="n">
        <v>0.4680851063829787</v>
      </c>
      <c r="V506" s="37" t="n">
        <v>0.8220858895705522</v>
      </c>
      <c r="W506" s="37" t="n">
        <v>0.5</v>
      </c>
    </row>
    <row r="507">
      <c r="A507" s="53" t="n">
        <v>45762</v>
      </c>
      <c r="B507" t="inlineStr">
        <is>
          <t>R06_Jawa Timur</t>
        </is>
      </c>
      <c r="C507" t="inlineStr">
        <is>
          <t>NOP SURABAYA</t>
        </is>
      </c>
      <c r="D507" s="36" t="n">
        <v>2.33</v>
      </c>
      <c r="E507" s="36" t="n">
        <v>0</v>
      </c>
      <c r="F507" s="36" t="n">
        <v>6.6</v>
      </c>
      <c r="G507" s="36" t="n">
        <v>4.06</v>
      </c>
      <c r="H507" s="37" t="n">
        <v>0.5600000000000001</v>
      </c>
      <c r="I507" s="37" t="n">
        <v>0.3333333333333333</v>
      </c>
      <c r="J507" s="37" t="n">
        <v>0.5846774193548387</v>
      </c>
      <c r="K507" s="37" t="n">
        <v>0.8888888888888888</v>
      </c>
      <c r="L507" s="37" t="n">
        <v>0.8888888888888888</v>
      </c>
      <c r="M507" s="37" t="n">
        <v>0.9745454545454545</v>
      </c>
      <c r="N507" s="37" t="n">
        <v>0.3927272727272727</v>
      </c>
      <c r="O507" s="36" t="n">
        <v>0.04</v>
      </c>
      <c r="P507" s="36" t="n">
        <v>3.23</v>
      </c>
      <c r="Q507" s="36" t="n">
        <v>7.94</v>
      </c>
      <c r="R507" s="36" t="n">
        <v>28.87</v>
      </c>
      <c r="S507" s="36" t="n">
        <v>0</v>
      </c>
      <c r="T507" s="37" t="n">
        <v>0.6427145708582834</v>
      </c>
      <c r="U507" s="37" t="n">
        <v>0.4696969696969697</v>
      </c>
      <c r="V507" s="37" t="n">
        <v>0.6689655172413793</v>
      </c>
      <c r="W507" s="37" t="n">
        <v>0.7741935483870968</v>
      </c>
    </row>
    <row r="508">
      <c r="A508" s="53" t="n">
        <v>45762</v>
      </c>
      <c r="B508" t="inlineStr">
        <is>
          <t>R07_Bali Nusra</t>
        </is>
      </c>
      <c r="C508" t="inlineStr">
        <is>
          <t>NOP DENPASAR</t>
        </is>
      </c>
      <c r="D508" s="36" t="n">
        <v>3.07</v>
      </c>
      <c r="E508" s="36" t="n">
        <v>0</v>
      </c>
      <c r="F508" s="36" t="n">
        <v>5.36</v>
      </c>
      <c r="G508" s="36" t="n">
        <v>4.61</v>
      </c>
      <c r="H508" s="37" t="n">
        <v>0.8775510204081632</v>
      </c>
      <c r="I508" s="37" t="n">
        <v>0.85</v>
      </c>
      <c r="J508" s="37" t="n">
        <v>0.8846153846153846</v>
      </c>
      <c r="K508" s="37" t="n">
        <v>0.9411764705882353</v>
      </c>
      <c r="L508" s="37" t="n">
        <v>0.9411764705882353</v>
      </c>
      <c r="M508" s="37" t="n">
        <v>0.9693877551020408</v>
      </c>
      <c r="N508" s="37" t="n">
        <v>0.8469387755102041</v>
      </c>
      <c r="O508" s="36" t="n">
        <v>0</v>
      </c>
      <c r="P508" s="36" t="n">
        <v>79.14</v>
      </c>
      <c r="Q508" s="36" t="n">
        <v>22.78</v>
      </c>
      <c r="R508" s="36" t="n">
        <v>81.61</v>
      </c>
      <c r="S508" s="36" t="n">
        <v>0</v>
      </c>
      <c r="T508" s="37" t="n">
        <v>0.8604651162790697</v>
      </c>
      <c r="U508" s="37" t="n">
        <v>0.7971014492753623</v>
      </c>
      <c r="V508" s="37" t="n">
        <v>0.8763636363636363</v>
      </c>
      <c r="W508" s="37" t="n">
        <v>0.4</v>
      </c>
    </row>
    <row r="509">
      <c r="A509" s="53" t="n">
        <v>45762</v>
      </c>
      <c r="B509" t="inlineStr">
        <is>
          <t>R07_Bali Nusra</t>
        </is>
      </c>
      <c r="C509" t="inlineStr">
        <is>
          <t>NOP FLORES</t>
        </is>
      </c>
      <c r="D509" s="36" t="n">
        <v>8.869999999999999</v>
      </c>
      <c r="E509" s="36" t="n">
        <v>5.67</v>
      </c>
      <c r="F509" s="36" t="n">
        <v>8.98</v>
      </c>
      <c r="G509" s="36" t="n">
        <v>10.02</v>
      </c>
      <c r="H509" s="37" t="n">
        <v>0.4345549738219895</v>
      </c>
      <c r="I509" s="37" t="n">
        <v>0.563265306122449</v>
      </c>
      <c r="J509" s="37" t="n">
        <v>0.3901408450704225</v>
      </c>
      <c r="K509" s="37" t="n">
        <v>0.5797101449275363</v>
      </c>
      <c r="L509" s="37" t="n">
        <v>0.5984848484848485</v>
      </c>
      <c r="M509" s="37" t="n">
        <v>0.987434554973822</v>
      </c>
      <c r="N509" s="37" t="n">
        <v>0.2471204188481675</v>
      </c>
      <c r="O509" s="36" t="n">
        <v>0.17</v>
      </c>
      <c r="P509" s="36" t="n">
        <v>13.43</v>
      </c>
      <c r="Q509" s="36" t="n">
        <v>9.359999999999999</v>
      </c>
      <c r="R509" s="36" t="n">
        <v>59.34</v>
      </c>
      <c r="S509" s="36" t="n">
        <v>0</v>
      </c>
      <c r="T509" s="37" t="n">
        <v>0.4371802160318363</v>
      </c>
      <c r="U509" s="37" t="n">
        <v>0.476</v>
      </c>
      <c r="V509" s="37" t="n">
        <v>0.3418467583497053</v>
      </c>
      <c r="W509" s="37" t="n">
        <v>0.6436974789915967</v>
      </c>
    </row>
    <row r="510">
      <c r="A510" s="53" t="n">
        <v>45762</v>
      </c>
      <c r="B510" t="inlineStr">
        <is>
          <t>R07_Bali Nusra</t>
        </is>
      </c>
      <c r="C510" t="inlineStr">
        <is>
          <t>NOP KUPANG</t>
        </is>
      </c>
      <c r="D510" s="36" t="n">
        <v>1.18</v>
      </c>
      <c r="E510" s="36" t="n">
        <v>3.94</v>
      </c>
      <c r="F510" s="36" t="n">
        <v>3.9</v>
      </c>
      <c r="G510" s="36" t="n">
        <v>7.45</v>
      </c>
      <c r="H510" s="37" t="n">
        <v>0.5389133627019089</v>
      </c>
      <c r="I510" s="37" t="n">
        <v>0.5842696629213483</v>
      </c>
      <c r="J510" s="37" t="n">
        <v>0.5320945945945946</v>
      </c>
      <c r="K510" s="37" t="n">
        <v>0.5769230769230769</v>
      </c>
      <c r="L510" s="37" t="n">
        <v>0.5769230769230769</v>
      </c>
      <c r="M510" s="37" t="n">
        <v>0.9897209985315712</v>
      </c>
      <c r="N510" s="37" t="n">
        <v>0.1923641703377386</v>
      </c>
      <c r="O510" s="36" t="n">
        <v>0.11</v>
      </c>
      <c r="P510" s="36" t="n">
        <v>8.82</v>
      </c>
      <c r="Q510" s="36" t="n">
        <v>17.31</v>
      </c>
      <c r="R510" s="36" t="n">
        <v>223.43</v>
      </c>
      <c r="S510" s="36" t="n">
        <v>0</v>
      </c>
      <c r="T510" s="37" t="n">
        <v>0.576204523107178</v>
      </c>
      <c r="U510" s="37" t="n">
        <v>0.5813953488372093</v>
      </c>
      <c r="V510" s="37" t="n">
        <v>0.5672043010752689</v>
      </c>
      <c r="W510" s="37" t="n">
        <v>0.6506666666666666</v>
      </c>
    </row>
    <row r="511">
      <c r="A511" s="53" t="n">
        <v>45762</v>
      </c>
      <c r="B511" t="inlineStr">
        <is>
          <t>R07_Bali Nusra</t>
        </is>
      </c>
      <c r="C511" t="inlineStr">
        <is>
          <t>NOP MATARAM</t>
        </is>
      </c>
      <c r="D511" s="36" t="n">
        <v>3.03</v>
      </c>
      <c r="E511" s="36" t="n">
        <v>5.46</v>
      </c>
      <c r="F511" s="36" t="n">
        <v>5.64</v>
      </c>
      <c r="G511" s="36" t="n">
        <v>4.66</v>
      </c>
      <c r="H511" s="37" t="n">
        <v>0.4721311475409836</v>
      </c>
      <c r="I511" s="37" t="n">
        <v>0.6590909090909091</v>
      </c>
      <c r="J511" s="37" t="n">
        <v>0.4406130268199234</v>
      </c>
      <c r="K511" s="37" t="n">
        <v>0.7931034482758621</v>
      </c>
      <c r="L511" s="37" t="n">
        <v>0.7931034482758621</v>
      </c>
      <c r="M511" s="37" t="n">
        <v>0.9967213114754099</v>
      </c>
      <c r="N511" s="37" t="n">
        <v>0.3114754098360656</v>
      </c>
      <c r="O511" s="36" t="n">
        <v>0.02</v>
      </c>
      <c r="P511" s="36" t="n">
        <v>26.26</v>
      </c>
      <c r="Q511" s="36" t="n">
        <v>13.6</v>
      </c>
      <c r="R511" s="36" t="n">
        <v>47.14</v>
      </c>
      <c r="S511" s="36" t="n">
        <v>0</v>
      </c>
      <c r="T511" s="37" t="n">
        <v>0.3316645807259074</v>
      </c>
      <c r="U511" s="37" t="n">
        <v>0.3541666666666667</v>
      </c>
      <c r="V511" s="37" t="n">
        <v>0.3051771117166213</v>
      </c>
      <c r="W511" s="37" t="n">
        <v>0.5751633986928104</v>
      </c>
    </row>
    <row r="512">
      <c r="A512" s="53" t="n">
        <v>45763</v>
      </c>
      <c r="B512" t="inlineStr">
        <is>
          <t>R01_Sumbagut</t>
        </is>
      </c>
      <c r="C512" t="inlineStr">
        <is>
          <t>NOP ACEH</t>
        </is>
      </c>
      <c r="D512" s="36" t="n">
        <v>2.59</v>
      </c>
      <c r="E512" s="36" t="n">
        <v>4.52</v>
      </c>
      <c r="F512" s="36" t="n">
        <v>10.74</v>
      </c>
      <c r="G512" s="36" t="n">
        <v>10.67</v>
      </c>
      <c r="H512" s="37" t="n">
        <v>0.8344136711844431</v>
      </c>
      <c r="I512" s="37" t="n">
        <v>0.8435374149659864</v>
      </c>
      <c r="J512" s="37" t="n">
        <v>0.8312101910828026</v>
      </c>
      <c r="K512" s="37" t="n">
        <v>0.4086021505376344</v>
      </c>
      <c r="L512" s="37" t="n">
        <v>0.4108108108108108</v>
      </c>
      <c r="M512" s="37" t="n">
        <v>1</v>
      </c>
      <c r="N512" s="37" t="n">
        <v>0.2969946965232764</v>
      </c>
      <c r="O512" s="36" t="n">
        <v>0.06</v>
      </c>
      <c r="P512" s="36" t="n">
        <v>4.57</v>
      </c>
      <c r="Q512" s="36" t="n">
        <v>70.54000000000001</v>
      </c>
      <c r="R512" s="36" t="n">
        <v>129.22</v>
      </c>
      <c r="S512" s="36" t="n">
        <v>0</v>
      </c>
      <c r="T512" s="37" t="n">
        <v>0.8770112816719068</v>
      </c>
      <c r="U512" s="37" t="n">
        <v>0.7341597796143251</v>
      </c>
      <c r="V512" s="37" t="n">
        <v>0.9018259935553169</v>
      </c>
      <c r="W512" s="37" t="n">
        <v>0.2063789868667917</v>
      </c>
    </row>
    <row r="513">
      <c r="A513" s="53" t="n">
        <v>45763</v>
      </c>
      <c r="B513" t="inlineStr">
        <is>
          <t>R01_Sumbagut</t>
        </is>
      </c>
      <c r="C513" t="inlineStr">
        <is>
          <t>NOP BINJAI</t>
        </is>
      </c>
      <c r="D513" s="36" t="n">
        <v>9.9</v>
      </c>
      <c r="E513" s="36" t="n">
        <v>4.29</v>
      </c>
      <c r="F513" s="36" t="n">
        <v>3.38</v>
      </c>
      <c r="G513" s="36" t="n">
        <v>4.32</v>
      </c>
      <c r="H513" s="37" t="n">
        <v>0.593841642228739</v>
      </c>
      <c r="I513" s="37" t="n">
        <v>0.7213114754098361</v>
      </c>
      <c r="J513" s="37" t="n">
        <v>0.5470941883767535</v>
      </c>
      <c r="K513" s="37" t="n">
        <v>0.5075757575757576</v>
      </c>
      <c r="L513" s="37" t="n">
        <v>0.5038167938931297</v>
      </c>
      <c r="M513" s="37" t="n">
        <v>1</v>
      </c>
      <c r="N513" s="37" t="n">
        <v>0.3108504398826979</v>
      </c>
      <c r="O513" s="36" t="n">
        <v>0.02</v>
      </c>
      <c r="P513" s="36" t="n">
        <v>2.37</v>
      </c>
      <c r="Q513" s="36" t="n">
        <v>44.53</v>
      </c>
      <c r="R513" s="36" t="n">
        <v>100.84</v>
      </c>
      <c r="S513" s="36" t="n">
        <v>0</v>
      </c>
      <c r="T513" s="37" t="n">
        <v>0.6341961852861036</v>
      </c>
      <c r="U513" s="37" t="n">
        <v>0.5203836930455635</v>
      </c>
      <c r="V513" s="37" t="n">
        <v>0.6875</v>
      </c>
      <c r="W513" s="37" t="n">
        <v>0.5069124423963134</v>
      </c>
    </row>
    <row r="514">
      <c r="A514" s="53" t="n">
        <v>45763</v>
      </c>
      <c r="B514" t="inlineStr">
        <is>
          <t>R01_Sumbagut</t>
        </is>
      </c>
      <c r="C514" t="inlineStr">
        <is>
          <t>NOP MEDAN</t>
        </is>
      </c>
      <c r="D514" s="36" t="n">
        <v>5.48</v>
      </c>
      <c r="E514" s="36" t="n">
        <v>4.77</v>
      </c>
      <c r="F514" s="36" t="n">
        <v>3.94</v>
      </c>
      <c r="G514" s="36" t="n">
        <v>5.11</v>
      </c>
      <c r="H514" s="37" t="n">
        <v>0.4150943396226415</v>
      </c>
      <c r="I514" s="37" t="n">
        <v>0.467005076142132</v>
      </c>
      <c r="J514" s="37" t="n">
        <v>0.3943089430894309</v>
      </c>
      <c r="K514" s="37" t="n">
        <v>0.7717391304347826</v>
      </c>
      <c r="L514" s="37" t="n">
        <v>0.7777777777777778</v>
      </c>
      <c r="M514" s="37" t="n">
        <v>0.9985486211901307</v>
      </c>
      <c r="N514" s="37" t="n">
        <v>0.2467343976777939</v>
      </c>
      <c r="O514" s="36" t="n">
        <v>0</v>
      </c>
      <c r="P514" s="36" t="n">
        <v>4.16</v>
      </c>
      <c r="Q514" s="36" t="n">
        <v>16.6</v>
      </c>
      <c r="R514" s="36" t="n">
        <v>10.99</v>
      </c>
      <c r="S514" s="36" t="n">
        <v>0</v>
      </c>
      <c r="T514" s="37" t="n">
        <v>0.3173734610123119</v>
      </c>
      <c r="U514" s="37" t="n">
        <v>0.1972477064220184</v>
      </c>
      <c r="V514" s="37" t="n">
        <v>0.3936170212765958</v>
      </c>
      <c r="W514" s="37" t="n">
        <v>0.8837209302325582</v>
      </c>
    </row>
    <row r="515">
      <c r="A515" s="53" t="n">
        <v>45763</v>
      </c>
      <c r="B515" t="inlineStr">
        <is>
          <t>R01_Sumbagut</t>
        </is>
      </c>
      <c r="C515" t="inlineStr">
        <is>
          <t>NOP PADANG SIDEMPUAN</t>
        </is>
      </c>
      <c r="D515" s="36" t="n">
        <v>3.08</v>
      </c>
      <c r="E515" s="36" t="n">
        <v>3.49</v>
      </c>
      <c r="F515" s="36" t="n">
        <v>4.78</v>
      </c>
      <c r="G515" s="36" t="n">
        <v>6.29</v>
      </c>
      <c r="H515" s="37" t="n">
        <v>0.2989457831325301</v>
      </c>
      <c r="I515" s="37" t="n">
        <v>0.4871794871794872</v>
      </c>
      <c r="J515" s="37" t="n">
        <v>0.2738907849829352</v>
      </c>
      <c r="K515" s="37" t="n">
        <v>0.4473684210526316</v>
      </c>
      <c r="L515" s="37" t="n">
        <v>0.4473684210526316</v>
      </c>
      <c r="M515" s="37" t="n">
        <v>0.9924698795180723</v>
      </c>
      <c r="N515" s="37" t="n">
        <v>0.1189759036144578</v>
      </c>
      <c r="O515" s="36" t="n">
        <v>0.01</v>
      </c>
      <c r="P515" s="36" t="n">
        <v>2.44</v>
      </c>
      <c r="Q515" s="36" t="n">
        <v>12.87</v>
      </c>
      <c r="R515" s="36" t="n">
        <v>100.24</v>
      </c>
      <c r="S515" s="36" t="n">
        <v>0</v>
      </c>
      <c r="T515" s="37" t="n">
        <v>0.2991862134992819</v>
      </c>
      <c r="U515" s="37" t="n">
        <v>0.4288179465056083</v>
      </c>
      <c r="V515" s="37" t="n">
        <v>0.250334672021419</v>
      </c>
      <c r="W515" s="37" t="n">
        <v>0.4647887323943662</v>
      </c>
    </row>
    <row r="516">
      <c r="A516" s="53" t="n">
        <v>45763</v>
      </c>
      <c r="B516" t="inlineStr">
        <is>
          <t>R01_Sumbagut</t>
        </is>
      </c>
      <c r="C516" t="inlineStr">
        <is>
          <t>NOP PEMATANG SIANTAR</t>
        </is>
      </c>
      <c r="D516" s="36" t="n">
        <v>1.74</v>
      </c>
      <c r="E516" s="36" t="n">
        <v>3.49</v>
      </c>
      <c r="F516" s="36" t="n">
        <v>4.59</v>
      </c>
      <c r="G516" s="36" t="n">
        <v>5.23</v>
      </c>
      <c r="H516" s="37" t="n">
        <v>0.3244318181818182</v>
      </c>
      <c r="I516" s="37" t="n">
        <v>0.3231597845601436</v>
      </c>
      <c r="J516" s="37" t="n">
        <v>0.3250207813798836</v>
      </c>
      <c r="K516" s="37" t="n">
        <v>0.6333333333333333</v>
      </c>
      <c r="L516" s="37" t="n">
        <v>0.6477272727272727</v>
      </c>
      <c r="M516" s="37" t="n">
        <v>0.9988636363636364</v>
      </c>
      <c r="N516" s="37" t="n">
        <v>0.1721590909090909</v>
      </c>
      <c r="O516" s="36" t="n">
        <v>0.01</v>
      </c>
      <c r="P516" s="36" t="n">
        <v>4.33</v>
      </c>
      <c r="Q516" s="36" t="n">
        <v>70.28</v>
      </c>
      <c r="R516" s="36" t="n">
        <v>70.23</v>
      </c>
      <c r="S516" s="36" t="n">
        <v>0</v>
      </c>
      <c r="T516" s="37" t="n">
        <v>0.1153594343328532</v>
      </c>
      <c r="U516" s="37" t="n">
        <v>0.3442622950819672</v>
      </c>
      <c r="V516" s="37" t="n">
        <v>0.08992700729927007</v>
      </c>
      <c r="W516" s="37" t="n">
        <v>0.8492063492063492</v>
      </c>
    </row>
    <row r="517">
      <c r="A517" s="53" t="n">
        <v>45763</v>
      </c>
      <c r="B517" t="inlineStr">
        <is>
          <t>R01_Sumbagut</t>
        </is>
      </c>
      <c r="C517" t="inlineStr">
        <is>
          <t>NOP RANTAU PRAPAT</t>
        </is>
      </c>
      <c r="D517" s="36" t="n">
        <v>3.38</v>
      </c>
      <c r="E517" s="36" t="n">
        <v>5.97</v>
      </c>
      <c r="F517" s="36" t="n">
        <v>4.93</v>
      </c>
      <c r="G517" s="36" t="n">
        <v>6.26</v>
      </c>
      <c r="H517" s="37" t="n">
        <v>0.2892284755870295</v>
      </c>
      <c r="I517" s="37" t="n">
        <v>0.2765531062124248</v>
      </c>
      <c r="J517" s="37" t="n">
        <v>0.2921245421245421</v>
      </c>
      <c r="K517" s="37" t="n">
        <v>0.6594202898550725</v>
      </c>
      <c r="L517" s="37" t="n">
        <v>0.6594202898550725</v>
      </c>
      <c r="M517" s="37" t="n">
        <v>0.9906820723071189</v>
      </c>
      <c r="N517" s="37" t="n">
        <v>0.1662318300409989</v>
      </c>
      <c r="O517" s="36" t="n">
        <v>0.02</v>
      </c>
      <c r="P517" s="36" t="n">
        <v>3.62</v>
      </c>
      <c r="Q517" s="36" t="n">
        <v>36.88</v>
      </c>
      <c r="R517" s="36" t="n">
        <v>43.65</v>
      </c>
      <c r="S517" s="36" t="n">
        <v>0</v>
      </c>
      <c r="T517" s="37" t="n">
        <v>0.07073030477285797</v>
      </c>
      <c r="U517" s="37" t="n">
        <v>0.1389270976616231</v>
      </c>
      <c r="V517" s="37" t="n">
        <v>0.05123513266239707</v>
      </c>
      <c r="W517" s="37" t="n">
        <v>0.6336633663366337</v>
      </c>
    </row>
    <row r="518">
      <c r="A518" s="53" t="n">
        <v>45763</v>
      </c>
      <c r="B518" t="inlineStr">
        <is>
          <t>R10_Sumbagteng</t>
        </is>
      </c>
      <c r="C518" t="inlineStr">
        <is>
          <t>NOP BATAM</t>
        </is>
      </c>
      <c r="D518" s="36" t="n">
        <v>2.08</v>
      </c>
      <c r="E518" s="36" t="n">
        <v>7.98</v>
      </c>
      <c r="F518" s="36" t="n">
        <v>6.69</v>
      </c>
      <c r="G518" s="36" t="n">
        <v>9.83</v>
      </c>
      <c r="H518" s="37" t="n">
        <v>0.2975164723770907</v>
      </c>
      <c r="I518" s="37" t="n">
        <v>0.3212435233160622</v>
      </c>
      <c r="J518" s="37" t="n">
        <v>0.2917454316320101</v>
      </c>
      <c r="K518" s="37" t="n">
        <v>0.6532258064516129</v>
      </c>
      <c r="L518" s="37" t="n">
        <v>0.6532258064516129</v>
      </c>
      <c r="M518" s="37" t="n">
        <v>0.9923973644196655</v>
      </c>
      <c r="N518" s="37" t="n">
        <v>0.1819564115560061</v>
      </c>
      <c r="O518" s="36" t="n">
        <v>0.82</v>
      </c>
      <c r="P518" s="36" t="n">
        <v>6.44</v>
      </c>
      <c r="Q518" s="36" t="n">
        <v>26.78</v>
      </c>
      <c r="R518" s="36" t="n">
        <v>10.2</v>
      </c>
      <c r="S518" s="36" t="n">
        <v>0</v>
      </c>
      <c r="T518" s="37" t="n">
        <v>0.07720067018945741</v>
      </c>
      <c r="U518" s="37" t="n">
        <v>0.2476780185758514</v>
      </c>
      <c r="V518" s="37" t="n">
        <v>0.05179578509943603</v>
      </c>
      <c r="W518" s="37" t="n">
        <v>0.7875</v>
      </c>
    </row>
    <row r="519">
      <c r="A519" s="53" t="n">
        <v>45763</v>
      </c>
      <c r="B519" t="inlineStr">
        <is>
          <t>R10_Sumbagteng</t>
        </is>
      </c>
      <c r="C519" t="inlineStr">
        <is>
          <t>NOP BUKITTINGGI</t>
        </is>
      </c>
      <c r="D519" s="36" t="n">
        <v>2.46</v>
      </c>
      <c r="E519" s="36" t="n">
        <v>5.08</v>
      </c>
      <c r="F519" s="36" t="n">
        <v>5.02</v>
      </c>
      <c r="G519" s="36" t="n">
        <v>5.74</v>
      </c>
      <c r="H519" s="37" t="n">
        <v>0.760932944606414</v>
      </c>
      <c r="I519" s="37" t="n">
        <v>0.8284023668639053</v>
      </c>
      <c r="J519" s="37" t="n">
        <v>0.7388781431334622</v>
      </c>
      <c r="K519" s="37" t="n">
        <v>0.6571428571428571</v>
      </c>
      <c r="L519" s="37" t="n">
        <v>0.6571428571428571</v>
      </c>
      <c r="M519" s="37" t="n">
        <v>0.9897959183673469</v>
      </c>
      <c r="N519" s="37" t="n">
        <v>0.4518950437317784</v>
      </c>
      <c r="O519" s="36" t="n">
        <v>0</v>
      </c>
      <c r="P519" s="36" t="n">
        <v>3.84</v>
      </c>
      <c r="Q519" s="36" t="n">
        <v>8.119999999999999</v>
      </c>
      <c r="R519" s="36" t="n">
        <v>127.11</v>
      </c>
      <c r="S519" s="36" t="n">
        <v>0</v>
      </c>
      <c r="T519" s="37" t="n">
        <v>0.3121131741821397</v>
      </c>
      <c r="U519" s="37" t="n">
        <v>0.7472924187725631</v>
      </c>
      <c r="V519" s="37" t="n">
        <v>0.2738172391445237</v>
      </c>
      <c r="W519" s="37" t="n">
        <v>0.5893719806763285</v>
      </c>
    </row>
    <row r="520">
      <c r="A520" s="53" t="n">
        <v>45763</v>
      </c>
      <c r="B520" t="inlineStr">
        <is>
          <t>R10_Sumbagteng</t>
        </is>
      </c>
      <c r="C520" t="inlineStr">
        <is>
          <t>NOP DUMAI</t>
        </is>
      </c>
      <c r="D520" s="36" t="n">
        <v>5.72</v>
      </c>
      <c r="E520" s="36" t="n">
        <v>6.17</v>
      </c>
      <c r="F520" s="36" t="n">
        <v>5.78</v>
      </c>
      <c r="G520" s="36" t="n">
        <v>6.56</v>
      </c>
      <c r="H520" s="37" t="n">
        <v>0.4077940153096729</v>
      </c>
      <c r="I520" s="37" t="n">
        <v>0.4918918918918919</v>
      </c>
      <c r="J520" s="37" t="n">
        <v>0.3786316776007498</v>
      </c>
      <c r="K520" s="37" t="n">
        <v>0.6978021978021978</v>
      </c>
      <c r="L520" s="37" t="n">
        <v>0.7163323782234957</v>
      </c>
      <c r="M520" s="37" t="n">
        <v>0.97633959638135</v>
      </c>
      <c r="N520" s="37" t="n">
        <v>0.2299930410577592</v>
      </c>
      <c r="O520" s="36" t="n">
        <v>0.27</v>
      </c>
      <c r="P520" s="36" t="n">
        <v>5.03</v>
      </c>
      <c r="Q520" s="36" t="n">
        <v>52.2</v>
      </c>
      <c r="R520" s="36" t="n">
        <v>136.03</v>
      </c>
      <c r="S520" s="36" t="n">
        <v>0</v>
      </c>
      <c r="T520" s="37" t="n">
        <v>0.2915675873422353</v>
      </c>
      <c r="U520" s="37" t="n">
        <v>0.3246301131418625</v>
      </c>
      <c r="V520" s="37" t="n">
        <v>0.2939172749391727</v>
      </c>
      <c r="W520" s="37" t="n">
        <v>0.9329758713136729</v>
      </c>
    </row>
    <row r="521">
      <c r="A521" s="53" t="n">
        <v>45763</v>
      </c>
      <c r="B521" t="inlineStr">
        <is>
          <t>R10_Sumbagteng</t>
        </is>
      </c>
      <c r="C521" t="inlineStr">
        <is>
          <t>NOP PADANG</t>
        </is>
      </c>
      <c r="D521" s="36" t="n">
        <v>3.58</v>
      </c>
      <c r="E521" s="36" t="n">
        <v>3.01</v>
      </c>
      <c r="F521" s="36" t="n">
        <v>6.2</v>
      </c>
      <c r="G521" s="36" t="n">
        <v>7.38</v>
      </c>
      <c r="H521" s="37" t="n">
        <v>0.7765640516385303</v>
      </c>
      <c r="I521" s="37" t="n">
        <v>0.7142857142857143</v>
      </c>
      <c r="J521" s="37" t="n">
        <v>0.7854710556186152</v>
      </c>
      <c r="K521" s="37" t="n">
        <v>0.4777777777777778</v>
      </c>
      <c r="L521" s="37" t="n">
        <v>0.4777777777777778</v>
      </c>
      <c r="M521" s="37" t="n">
        <v>0.9880834160873883</v>
      </c>
      <c r="N521" s="37" t="n">
        <v>0.323733862959285</v>
      </c>
      <c r="O521" s="36" t="n">
        <v>0.06</v>
      </c>
      <c r="P521" s="36" t="n">
        <v>4.82</v>
      </c>
      <c r="Q521" s="36" t="n">
        <v>42.52</v>
      </c>
      <c r="R521" s="36" t="n">
        <v>56.67</v>
      </c>
      <c r="S521" s="36" t="n">
        <v>0</v>
      </c>
      <c r="T521" s="37" t="n">
        <v>0.7322307540854499</v>
      </c>
      <c r="U521" s="37" t="n">
        <v>0.6489945155393053</v>
      </c>
      <c r="V521" s="37" t="n">
        <v>0.7454220634211701</v>
      </c>
      <c r="W521" s="37" t="n">
        <v>0.4704225352112676</v>
      </c>
    </row>
    <row r="522">
      <c r="A522" s="53" t="n">
        <v>45763</v>
      </c>
      <c r="B522" t="inlineStr">
        <is>
          <t>R10_Sumbagteng</t>
        </is>
      </c>
      <c r="C522" t="inlineStr">
        <is>
          <t>NOP PEKANBARU</t>
        </is>
      </c>
      <c r="D522" s="36" t="n">
        <v>6.26</v>
      </c>
      <c r="E522" s="36" t="n">
        <v>5.95</v>
      </c>
      <c r="F522" s="36" t="n">
        <v>6.06</v>
      </c>
      <c r="G522" s="36" t="n">
        <v>8.029999999999999</v>
      </c>
      <c r="H522" s="37" t="n">
        <v>0.3948096885813149</v>
      </c>
      <c r="I522" s="37" t="n">
        <v>0.5213483146067416</v>
      </c>
      <c r="J522" s="37" t="n">
        <v>0.3717791411042945</v>
      </c>
      <c r="K522" s="37" t="n">
        <v>0.7543103448275862</v>
      </c>
      <c r="L522" s="37" t="n">
        <v>0.7631578947368421</v>
      </c>
      <c r="M522" s="37" t="n">
        <v>0.9899653979238754</v>
      </c>
      <c r="N522" s="37" t="n">
        <v>0.2162629757785467</v>
      </c>
      <c r="O522" s="36" t="n">
        <v>0.02</v>
      </c>
      <c r="P522" s="36" t="n">
        <v>3.31</v>
      </c>
      <c r="Q522" s="36" t="n">
        <v>49.24</v>
      </c>
      <c r="R522" s="36" t="n">
        <v>99.14</v>
      </c>
      <c r="S522" s="36" t="n">
        <v>0</v>
      </c>
      <c r="T522" s="37" t="n">
        <v>0.2973667308927425</v>
      </c>
      <c r="U522" s="37" t="n">
        <v>0.3052039381153305</v>
      </c>
      <c r="V522" s="37" t="n">
        <v>0.3016960208741031</v>
      </c>
      <c r="W522" s="37" t="n">
        <v>0.8732718894009217</v>
      </c>
    </row>
    <row r="523">
      <c r="A523" s="53" t="n">
        <v>45763</v>
      </c>
      <c r="B523" t="inlineStr">
        <is>
          <t>R02_Sumbagsel</t>
        </is>
      </c>
      <c r="C523" t="inlineStr">
        <is>
          <t>NOP BENGKULU</t>
        </is>
      </c>
      <c r="D523" s="36" t="n">
        <v>2.09</v>
      </c>
      <c r="E523" s="36" t="n">
        <v>4.12</v>
      </c>
      <c r="F523" s="36" t="n">
        <v>4.3</v>
      </c>
      <c r="G523" s="36" t="n">
        <v>5.94</v>
      </c>
      <c r="H523" s="37" t="n">
        <v>0.3705738705738706</v>
      </c>
      <c r="I523" s="37" t="n">
        <v>0.452970297029703</v>
      </c>
      <c r="J523" s="37" t="n">
        <v>0.3435980551053485</v>
      </c>
      <c r="K523" s="37" t="n">
        <v>0.6775956284153005</v>
      </c>
      <c r="L523" s="37" t="n">
        <v>0.6775956284153005</v>
      </c>
      <c r="M523" s="37" t="n">
        <v>0.9938949938949939</v>
      </c>
      <c r="N523" s="37" t="n">
        <v>0.1923076923076923</v>
      </c>
      <c r="O523" s="36" t="n">
        <v>0</v>
      </c>
      <c r="P523" s="36" t="n">
        <v>6.13</v>
      </c>
      <c r="Q523" s="36" t="n">
        <v>6.76</v>
      </c>
      <c r="R523" s="36" t="n">
        <v>16.48</v>
      </c>
      <c r="S523" s="36" t="n">
        <v>0</v>
      </c>
      <c r="T523" s="37" t="n">
        <v>0.4618700265251989</v>
      </c>
      <c r="U523" s="37" t="n">
        <v>0.3914141414141414</v>
      </c>
      <c r="V523" s="37" t="n">
        <v>0.6334610472541508</v>
      </c>
      <c r="W523" s="37" t="n">
        <v>0.8929032258064517</v>
      </c>
    </row>
    <row r="524">
      <c r="A524" s="53" t="n">
        <v>45763</v>
      </c>
      <c r="B524" t="inlineStr">
        <is>
          <t>R02_Sumbagsel</t>
        </is>
      </c>
      <c r="C524" t="inlineStr">
        <is>
          <t>NOP JAMBI</t>
        </is>
      </c>
      <c r="D524" s="36" t="n">
        <v>3.57</v>
      </c>
      <c r="E524" s="36" t="n">
        <v>6.16</v>
      </c>
      <c r="F524" s="36" t="n">
        <v>6.54</v>
      </c>
      <c r="G524" s="36" t="n">
        <v>8.279999999999999</v>
      </c>
      <c r="H524" s="37" t="n">
        <v>0.5254946727549468</v>
      </c>
      <c r="I524" s="37" t="n">
        <v>0.5700123915737298</v>
      </c>
      <c r="J524" s="37" t="n">
        <v>0.5057660626029654</v>
      </c>
      <c r="K524" s="37" t="n">
        <v>0.6630434782608695</v>
      </c>
      <c r="L524" s="37" t="n">
        <v>0.6637554585152838</v>
      </c>
      <c r="M524" s="37" t="n">
        <v>1</v>
      </c>
      <c r="N524" s="37" t="n">
        <v>0.2720700152207002</v>
      </c>
      <c r="O524" s="36" t="n">
        <v>0</v>
      </c>
      <c r="P524" s="36" t="n">
        <v>7.33</v>
      </c>
      <c r="Q524" s="36" t="n">
        <v>17.03</v>
      </c>
      <c r="R524" s="36" t="n">
        <v>18.48</v>
      </c>
      <c r="S524" s="36" t="n">
        <v>0</v>
      </c>
      <c r="T524" s="37" t="n">
        <v>0.6421517671517671</v>
      </c>
      <c r="U524" s="37" t="n">
        <v>0.6319479218828242</v>
      </c>
      <c r="V524" s="37" t="n">
        <v>0.6662346079066753</v>
      </c>
      <c r="W524" s="37" t="n">
        <v>0.7377179080824089</v>
      </c>
    </row>
    <row r="525">
      <c r="A525" s="53" t="n">
        <v>45763</v>
      </c>
      <c r="B525" t="inlineStr">
        <is>
          <t>R02_Sumbagsel</t>
        </is>
      </c>
      <c r="C525" t="inlineStr">
        <is>
          <t>NOP LAMPUNG</t>
        </is>
      </c>
      <c r="D525" s="36" t="n">
        <v>3.35</v>
      </c>
      <c r="E525" s="36" t="n">
        <v>5.4</v>
      </c>
      <c r="F525" s="36" t="n">
        <v>5.3</v>
      </c>
      <c r="G525" s="36" t="n">
        <v>5.96</v>
      </c>
      <c r="H525" s="37" t="n">
        <v>0.5283474065138721</v>
      </c>
      <c r="I525" s="37" t="n">
        <v>0.7038834951456311</v>
      </c>
      <c r="J525" s="37" t="n">
        <v>0.4703049759229534</v>
      </c>
      <c r="K525" s="37" t="n">
        <v>0.7103448275862069</v>
      </c>
      <c r="L525" s="37" t="n">
        <v>0.7103448275862069</v>
      </c>
      <c r="M525" s="37" t="n">
        <v>1</v>
      </c>
      <c r="N525" s="37" t="n">
        <v>0.3582629674306393</v>
      </c>
      <c r="O525" s="36" t="n">
        <v>1.51</v>
      </c>
      <c r="P525" s="36" t="n">
        <v>6.28</v>
      </c>
      <c r="Q525" s="36" t="n">
        <v>5.28</v>
      </c>
      <c r="R525" s="36" t="n">
        <v>27.21</v>
      </c>
      <c r="S525" s="36" t="n">
        <v>0</v>
      </c>
      <c r="T525" s="37" t="n">
        <v>0.8991596638655462</v>
      </c>
      <c r="U525" s="37" t="n">
        <v>0.7950089126559715</v>
      </c>
      <c r="V525" s="37" t="n">
        <v>0.9469074986316366</v>
      </c>
      <c r="W525" s="37" t="n">
        <v>0.8587443946188341</v>
      </c>
    </row>
    <row r="526">
      <c r="A526" s="53" t="n">
        <v>45763</v>
      </c>
      <c r="B526" t="inlineStr">
        <is>
          <t>R02_Sumbagsel</t>
        </is>
      </c>
      <c r="C526" t="inlineStr">
        <is>
          <t>NOP MUARA ENIM</t>
        </is>
      </c>
      <c r="D526" s="36" t="n">
        <v>2.86</v>
      </c>
      <c r="E526" s="36" t="n">
        <v>4.09</v>
      </c>
      <c r="F526" s="36" t="n">
        <v>4.45</v>
      </c>
      <c r="G526" s="36" t="n">
        <v>4.82</v>
      </c>
      <c r="H526" s="37" t="n">
        <v>0.3845114813147231</v>
      </c>
      <c r="I526" s="37" t="n">
        <v>0.3073170731707317</v>
      </c>
      <c r="J526" s="37" t="n">
        <v>0.4019878520154611</v>
      </c>
      <c r="K526" s="37" t="n">
        <v>0.5555555555555556</v>
      </c>
      <c r="L526" s="37" t="n">
        <v>0.5702479338842975</v>
      </c>
      <c r="M526" s="37" t="n">
        <v>0.9761368752814048</v>
      </c>
      <c r="N526" s="37" t="n">
        <v>0.1823502926609635</v>
      </c>
      <c r="O526" s="36" t="n">
        <v>0</v>
      </c>
      <c r="P526" s="36" t="n">
        <v>4.61</v>
      </c>
      <c r="Q526" s="36" t="n">
        <v>5.82</v>
      </c>
      <c r="R526" s="36" t="n">
        <v>9.640000000000001</v>
      </c>
      <c r="S526" s="36" t="n">
        <v>0</v>
      </c>
      <c r="T526" s="37" t="n">
        <v>0.4998330550918197</v>
      </c>
      <c r="U526" s="37" t="n">
        <v>0.507183908045977</v>
      </c>
      <c r="V526" s="37" t="n">
        <v>0.570527974783294</v>
      </c>
      <c r="W526" s="37" t="n">
        <v>0.8031161473087819</v>
      </c>
    </row>
    <row r="527">
      <c r="A527" s="53" t="n">
        <v>45763</v>
      </c>
      <c r="B527" t="inlineStr">
        <is>
          <t>R02_Sumbagsel</t>
        </is>
      </c>
      <c r="C527" t="inlineStr">
        <is>
          <t>NOP PALEMBANG</t>
        </is>
      </c>
      <c r="D527" s="36" t="n">
        <v>3.53</v>
      </c>
      <c r="E527" s="36" t="n">
        <v>5.11</v>
      </c>
      <c r="F527" s="36" t="n">
        <v>8.85</v>
      </c>
      <c r="G527" s="36" t="n">
        <v>9.140000000000001</v>
      </c>
      <c r="H527" s="37" t="n">
        <v>0.3047144499808356</v>
      </c>
      <c r="I527" s="37" t="n">
        <v>0.3095238095238095</v>
      </c>
      <c r="J527" s="37" t="n">
        <v>0.3041036717062635</v>
      </c>
      <c r="K527" s="37" t="n">
        <v>0.4505494505494506</v>
      </c>
      <c r="L527" s="37" t="n">
        <v>0.4505494505494506</v>
      </c>
      <c r="M527" s="37" t="n">
        <v>1</v>
      </c>
      <c r="N527" s="37" t="n">
        <v>0.1391337677270985</v>
      </c>
      <c r="O527" s="36" t="n">
        <v>0</v>
      </c>
      <c r="P527" s="36" t="n">
        <v>6.44</v>
      </c>
      <c r="Q527" s="36" t="n">
        <v>11.47</v>
      </c>
      <c r="R527" s="36" t="n">
        <v>6.98</v>
      </c>
      <c r="S527" s="36" t="n">
        <v>0</v>
      </c>
      <c r="T527" s="37" t="n">
        <v>0.2932801822323463</v>
      </c>
      <c r="U527" s="37" t="n">
        <v>0.2495114006514658</v>
      </c>
      <c r="V527" s="37" t="n">
        <v>0.4049273531269741</v>
      </c>
      <c r="W527" s="37" t="n">
        <v>0.4281984334203655</v>
      </c>
    </row>
    <row r="528">
      <c r="A528" s="53" t="n">
        <v>45763</v>
      </c>
      <c r="B528" t="inlineStr">
        <is>
          <t>R02_Sumbagsel</t>
        </is>
      </c>
      <c r="C528" t="inlineStr">
        <is>
          <t>NOP PANGKAL PINANG</t>
        </is>
      </c>
      <c r="D528" s="36" t="n">
        <v>2.01</v>
      </c>
      <c r="E528" s="36" t="n">
        <v>2.81</v>
      </c>
      <c r="F528" s="36" t="n">
        <v>5.34</v>
      </c>
      <c r="G528" s="36" t="n">
        <v>6.44</v>
      </c>
      <c r="H528" s="37" t="n">
        <v>0.6620689655172414</v>
      </c>
      <c r="I528" s="37" t="n">
        <v>0.8666666666666667</v>
      </c>
      <c r="J528" s="37" t="n">
        <v>0.6509090909090909</v>
      </c>
      <c r="K528" s="37" t="n">
        <v>0.6923076923076923</v>
      </c>
      <c r="L528" s="37" t="n">
        <v>0.6923076923076923</v>
      </c>
      <c r="M528" s="37" t="n">
        <v>0.996551724137931</v>
      </c>
      <c r="N528" s="37" t="n">
        <v>0.3655172413793104</v>
      </c>
      <c r="O528" s="36" t="n">
        <v>0</v>
      </c>
      <c r="P528" s="36" t="n">
        <v>4</v>
      </c>
      <c r="Q528" s="36" t="n">
        <v>6.35</v>
      </c>
      <c r="R528" s="36" t="n">
        <v>7.3</v>
      </c>
      <c r="S528" s="36" t="n">
        <v>0</v>
      </c>
      <c r="T528" s="37" t="n">
        <v>0.7909967845659164</v>
      </c>
      <c r="U528" s="37" t="n">
        <v>0.8566775244299675</v>
      </c>
      <c r="V528" s="37" t="n">
        <v>0.8574040219378428</v>
      </c>
      <c r="W528" s="37" t="n">
        <v>0.7376425855513308</v>
      </c>
    </row>
    <row r="529">
      <c r="A529" s="53" t="n">
        <v>45763</v>
      </c>
      <c r="B529" t="inlineStr">
        <is>
          <t>R05_Jawa Tengah DIY</t>
        </is>
      </c>
      <c r="C529" t="inlineStr">
        <is>
          <t>NOP MAGELANG</t>
        </is>
      </c>
      <c r="D529" s="36" t="n">
        <v>5.24</v>
      </c>
      <c r="E529" s="36" t="n">
        <v>0</v>
      </c>
      <c r="F529" s="36" t="n">
        <v>4.66</v>
      </c>
      <c r="G529" s="36" t="n">
        <v>5.06</v>
      </c>
      <c r="H529" s="37" t="n">
        <v>0.743859649122807</v>
      </c>
      <c r="I529" s="37" t="n">
        <v>0.96</v>
      </c>
      <c r="J529" s="37" t="n">
        <v>0.7230769230769231</v>
      </c>
      <c r="K529" s="37" t="n">
        <v>0.7083333333333334</v>
      </c>
      <c r="L529" s="37" t="n">
        <v>0.7083333333333334</v>
      </c>
      <c r="M529" s="37" t="n">
        <v>1</v>
      </c>
      <c r="N529" s="37" t="n">
        <v>0.656140350877193</v>
      </c>
      <c r="O529" s="36" t="n">
        <v>0.3</v>
      </c>
      <c r="P529" s="36" t="n">
        <v>5.85</v>
      </c>
      <c r="Q529" s="36" t="n">
        <v>8.1</v>
      </c>
      <c r="R529" s="36" t="n">
        <v>20.37</v>
      </c>
      <c r="S529" s="36" t="n">
        <v>0</v>
      </c>
      <c r="T529" s="37" t="n">
        <v>0.9242144177449169</v>
      </c>
      <c r="U529" s="37" t="n">
        <v>0.881578947368421</v>
      </c>
      <c r="V529" s="37" t="n">
        <v>0.9311827956989247</v>
      </c>
      <c r="W529" s="37" t="n">
        <v>0.835820895522388</v>
      </c>
    </row>
    <row r="530">
      <c r="A530" s="53" t="n">
        <v>45763</v>
      </c>
      <c r="B530" t="inlineStr">
        <is>
          <t>R05_Jawa Tengah DIY</t>
        </is>
      </c>
      <c r="C530" t="inlineStr">
        <is>
          <t>NOP PEKALONGAN</t>
        </is>
      </c>
      <c r="D530" s="36" t="n">
        <v>4.22</v>
      </c>
      <c r="E530" s="36" t="n">
        <v>0</v>
      </c>
      <c r="F530" s="36" t="n">
        <v>3.39</v>
      </c>
      <c r="G530" s="36" t="n">
        <v>3.28</v>
      </c>
      <c r="H530" s="37" t="n">
        <v>0.6284403669724771</v>
      </c>
      <c r="I530" s="37" t="n">
        <v>0.8333333333333334</v>
      </c>
      <c r="J530" s="37" t="n">
        <v>0.61</v>
      </c>
      <c r="K530" s="37" t="n">
        <v>1</v>
      </c>
      <c r="L530" s="37" t="n">
        <v>1</v>
      </c>
      <c r="M530" s="37" t="n">
        <v>0.9724770642201835</v>
      </c>
      <c r="N530" s="37" t="n">
        <v>0.6330275229357798</v>
      </c>
      <c r="O530" s="36" t="n">
        <v>0.01</v>
      </c>
      <c r="P530" s="36" t="n">
        <v>3.33</v>
      </c>
      <c r="Q530" s="36" t="n">
        <v>5.48</v>
      </c>
      <c r="R530" s="36" t="n">
        <v>53.49</v>
      </c>
      <c r="S530" s="36" t="n">
        <v>0</v>
      </c>
      <c r="T530" s="37" t="n">
        <v>0.8274231678486997</v>
      </c>
      <c r="U530" s="37" t="n">
        <v>0.7551020408163265</v>
      </c>
      <c r="V530" s="37" t="n">
        <v>0.8492307692307692</v>
      </c>
      <c r="W530" s="37" t="n">
        <v>0.7027027027027027</v>
      </c>
    </row>
    <row r="531">
      <c r="A531" s="53" t="n">
        <v>45763</v>
      </c>
      <c r="B531" t="inlineStr">
        <is>
          <t>R05_Jawa Tengah DIY</t>
        </is>
      </c>
      <c r="C531" t="inlineStr">
        <is>
          <t>NOP PURWOKERTO</t>
        </is>
      </c>
      <c r="D531" s="36" t="n">
        <v>2.49</v>
      </c>
      <c r="E531" s="36" t="n">
        <v>0</v>
      </c>
      <c r="F531" s="36" t="n">
        <v>3.38</v>
      </c>
      <c r="G531" s="36" t="n">
        <v>3.45</v>
      </c>
      <c r="H531" s="37" t="n">
        <v>0.7843866171003717</v>
      </c>
      <c r="I531" s="37" t="n">
        <v>0.72</v>
      </c>
      <c r="J531" s="37" t="n">
        <v>0.7909836065573771</v>
      </c>
      <c r="K531" s="37" t="n">
        <v>1</v>
      </c>
      <c r="L531" s="37" t="n">
        <v>1</v>
      </c>
      <c r="M531" s="37" t="n">
        <v>0.9702602230483272</v>
      </c>
      <c r="N531" s="37" t="n">
        <v>0.5315985130111525</v>
      </c>
      <c r="O531" s="36" t="n">
        <v>0.31</v>
      </c>
      <c r="P531" s="36" t="n">
        <v>3.84</v>
      </c>
      <c r="Q531" s="36" t="n">
        <v>10.33</v>
      </c>
      <c r="R531" s="36" t="n">
        <v>41.59</v>
      </c>
      <c r="S531" s="36" t="n">
        <v>0</v>
      </c>
      <c r="T531" s="37" t="n">
        <v>0.7729357798165137</v>
      </c>
      <c r="U531" s="37" t="n">
        <v>0.7727272727272727</v>
      </c>
      <c r="V531" s="37" t="n">
        <v>0.7729885057471264</v>
      </c>
      <c r="W531" s="37" t="n">
        <v>0.7647058823529411</v>
      </c>
    </row>
    <row r="532">
      <c r="A532" s="53" t="n">
        <v>45763</v>
      </c>
      <c r="B532" t="inlineStr">
        <is>
          <t>R05_Jawa Tengah DIY</t>
        </is>
      </c>
      <c r="C532" t="inlineStr">
        <is>
          <t>NOP SEMARANG</t>
        </is>
      </c>
      <c r="D532" s="36" t="n">
        <v>2.79</v>
      </c>
      <c r="E532" s="36" t="n">
        <v>1.7</v>
      </c>
      <c r="F532" s="36" t="n">
        <v>2.64</v>
      </c>
      <c r="G532" s="36" t="n">
        <v>3.13</v>
      </c>
      <c r="H532" s="37" t="n">
        <v>0.4264705882352941</v>
      </c>
      <c r="I532" s="37" t="n">
        <v>0.4444444444444444</v>
      </c>
      <c r="J532" s="37" t="n">
        <v>0.4243421052631579</v>
      </c>
      <c r="K532" s="37" t="n">
        <v>1</v>
      </c>
      <c r="L532" s="37" t="n">
        <v>1</v>
      </c>
      <c r="M532" s="37" t="n">
        <v>0.9470588235294117</v>
      </c>
      <c r="N532" s="37" t="n">
        <v>0.2705882352941176</v>
      </c>
      <c r="O532" s="36" t="n">
        <v>0</v>
      </c>
      <c r="P532" s="36" t="n">
        <v>3.5</v>
      </c>
      <c r="Q532" s="36" t="n">
        <v>11.81</v>
      </c>
      <c r="R532" s="36" t="n">
        <v>66.98999999999999</v>
      </c>
      <c r="S532" s="36" t="n">
        <v>0</v>
      </c>
      <c r="T532" s="37" t="n">
        <v>0.7009966777408638</v>
      </c>
      <c r="U532" s="37" t="n">
        <v>0.390625</v>
      </c>
      <c r="V532" s="37" t="n">
        <v>0.8463414634146341</v>
      </c>
      <c r="W532" s="37" t="n">
        <v>0.8933333333333333</v>
      </c>
    </row>
    <row r="533">
      <c r="A533" s="53" t="n">
        <v>45763</v>
      </c>
      <c r="B533" t="inlineStr">
        <is>
          <t>R05_Jawa Tengah DIY</t>
        </is>
      </c>
      <c r="C533" t="inlineStr">
        <is>
          <t>NOP SURAKARTA</t>
        </is>
      </c>
      <c r="D533" s="36" t="n">
        <v>4.39</v>
      </c>
      <c r="E533" s="36" t="n">
        <v>2.15</v>
      </c>
      <c r="F533" s="36" t="n">
        <v>2.83</v>
      </c>
      <c r="G533" s="36" t="n">
        <v>4.39</v>
      </c>
      <c r="H533" s="37" t="n">
        <v>0.6754176610978521</v>
      </c>
      <c r="I533" s="37" t="n">
        <v>0.88</v>
      </c>
      <c r="J533" s="37" t="n">
        <v>0.6476964769647696</v>
      </c>
      <c r="K533" s="37" t="n">
        <v>0.9318181818181818</v>
      </c>
      <c r="L533" s="37" t="n">
        <v>0.9318181818181818</v>
      </c>
      <c r="M533" s="37" t="n">
        <v>0.9785202863961814</v>
      </c>
      <c r="N533" s="37" t="n">
        <v>0.4582338902147972</v>
      </c>
      <c r="O533" s="36" t="n">
        <v>0.14</v>
      </c>
      <c r="P533" s="36" t="n">
        <v>3.4</v>
      </c>
      <c r="Q533" s="36" t="n">
        <v>8.640000000000001</v>
      </c>
      <c r="R533" s="36" t="n">
        <v>68.16</v>
      </c>
      <c r="S533" s="36" t="n">
        <v>0</v>
      </c>
      <c r="T533" s="37" t="n">
        <v>0.7937293729372937</v>
      </c>
      <c r="U533" s="37" t="n">
        <v>0.7176470588235294</v>
      </c>
      <c r="V533" s="37" t="n">
        <v>0.823394495412844</v>
      </c>
      <c r="W533" s="37" t="n">
        <v>0.7704918032786885</v>
      </c>
    </row>
    <row r="534">
      <c r="A534" s="53" t="n">
        <v>45763</v>
      </c>
      <c r="B534" t="inlineStr">
        <is>
          <t>R05_Jawa Tengah DIY</t>
        </is>
      </c>
      <c r="C534" t="inlineStr">
        <is>
          <t>NOP YOGYAKARTA</t>
        </is>
      </c>
      <c r="D534" s="36" t="n">
        <v>2.99</v>
      </c>
      <c r="E534" s="36" t="n">
        <v>0</v>
      </c>
      <c r="F534" s="36" t="n">
        <v>3.74</v>
      </c>
      <c r="G534" s="36" t="n">
        <v>4.42</v>
      </c>
      <c r="H534" s="37" t="n">
        <v>0.603448275862069</v>
      </c>
      <c r="I534" s="37" t="n">
        <v>0.9523809523809523</v>
      </c>
      <c r="J534" s="37" t="n">
        <v>0.581039755351682</v>
      </c>
      <c r="K534" s="37" t="n">
        <v>0.9</v>
      </c>
      <c r="L534" s="37" t="n">
        <v>0.8888888888888888</v>
      </c>
      <c r="M534" s="37" t="n">
        <v>0.9942528735632183</v>
      </c>
      <c r="N534" s="37" t="n">
        <v>0.4051724137931034</v>
      </c>
      <c r="O534" s="36" t="n">
        <v>0</v>
      </c>
      <c r="P534" s="36" t="n">
        <v>3.05</v>
      </c>
      <c r="Q534" s="36" t="n">
        <v>15.24</v>
      </c>
      <c r="R534" s="36" t="n">
        <v>42.56</v>
      </c>
      <c r="S534" s="36" t="n">
        <v>0</v>
      </c>
      <c r="T534" s="37" t="n">
        <v>0.9317851959361393</v>
      </c>
      <c r="U534" s="37" t="n">
        <v>0.8130841121495327</v>
      </c>
      <c r="V534" s="37" t="n">
        <v>0.9536082474226805</v>
      </c>
      <c r="W534" s="37" t="n">
        <v>0.9770114942528736</v>
      </c>
    </row>
    <row r="535">
      <c r="A535" s="53" t="n">
        <v>45763</v>
      </c>
      <c r="B535" t="inlineStr">
        <is>
          <t>R06_Jawa Timur</t>
        </is>
      </c>
      <c r="C535" t="inlineStr">
        <is>
          <t>NOP JEMBER</t>
        </is>
      </c>
      <c r="D535" s="36" t="n">
        <v>2.09</v>
      </c>
      <c r="E535" s="36" t="n">
        <v>2.64</v>
      </c>
      <c r="F535" s="36" t="n">
        <v>3.1</v>
      </c>
      <c r="G535" s="36" t="n">
        <v>3.9</v>
      </c>
      <c r="H535" s="37" t="n">
        <v>0.6898954703832753</v>
      </c>
      <c r="I535" s="37" t="n">
        <v>0.6666666666666666</v>
      </c>
      <c r="J535" s="37" t="n">
        <v>0.6920152091254753</v>
      </c>
      <c r="K535" s="37" t="n">
        <v>0.75</v>
      </c>
      <c r="L535" s="37" t="n">
        <v>0.75</v>
      </c>
      <c r="M535" s="37" t="n">
        <v>0.9860627177700348</v>
      </c>
      <c r="N535" s="37" t="n">
        <v>0.3484320557491289</v>
      </c>
      <c r="O535" s="36" t="n">
        <v>0</v>
      </c>
      <c r="P535" s="36" t="n">
        <v>2.7</v>
      </c>
      <c r="Q535" s="36" t="n">
        <v>4.74</v>
      </c>
      <c r="R535" s="36" t="n">
        <v>113.94</v>
      </c>
      <c r="S535" s="36" t="n">
        <v>0</v>
      </c>
      <c r="T535" s="37" t="n">
        <v>0.8088235294117647</v>
      </c>
      <c r="U535" s="37" t="n">
        <v>0.7878787878787878</v>
      </c>
      <c r="V535" s="37" t="n">
        <v>0.8155339805825242</v>
      </c>
      <c r="W535" s="37" t="n">
        <v>0.7692307692307693</v>
      </c>
    </row>
    <row r="536">
      <c r="A536" s="53" t="n">
        <v>45763</v>
      </c>
      <c r="B536" t="inlineStr">
        <is>
          <t>R06_Jawa Timur</t>
        </is>
      </c>
      <c r="C536" t="inlineStr">
        <is>
          <t>NOP KEDIRI</t>
        </is>
      </c>
      <c r="D536" s="36" t="n">
        <v>1.1</v>
      </c>
      <c r="E536" s="36" t="n">
        <v>0.7</v>
      </c>
      <c r="F536" s="36" t="n">
        <v>2.64</v>
      </c>
      <c r="G536" s="36" t="n">
        <v>1.95</v>
      </c>
      <c r="H536" s="37" t="n">
        <v>0.8615384615384616</v>
      </c>
      <c r="I536" s="37" t="n">
        <v>0.8</v>
      </c>
      <c r="J536" s="37" t="n">
        <v>0.864</v>
      </c>
      <c r="K536" s="37" t="n">
        <v>0.5</v>
      </c>
      <c r="L536" s="37" t="n">
        <v>0.5</v>
      </c>
      <c r="M536" s="37" t="n">
        <v>1</v>
      </c>
      <c r="N536" s="37" t="n">
        <v>0.5923076923076923</v>
      </c>
      <c r="O536" s="36" t="n">
        <v>0</v>
      </c>
      <c r="P536" s="36" t="n">
        <v>1.99</v>
      </c>
      <c r="Q536" s="36" t="n">
        <v>3.63</v>
      </c>
      <c r="R536" s="36" t="n">
        <v>13.8</v>
      </c>
      <c r="S536" s="36" t="n">
        <v>0</v>
      </c>
      <c r="T536" s="37" t="n">
        <v>0.9484978540772532</v>
      </c>
      <c r="U536" s="37" t="n">
        <v>0.8823529411764706</v>
      </c>
      <c r="V536" s="37" t="n">
        <v>0.967032967032967</v>
      </c>
      <c r="W536" s="37" t="n">
        <v>0.8666666666666667</v>
      </c>
    </row>
    <row r="537">
      <c r="A537" s="53" t="n">
        <v>45763</v>
      </c>
      <c r="B537" t="inlineStr">
        <is>
          <t>R06_Jawa Timur</t>
        </is>
      </c>
      <c r="C537" t="inlineStr">
        <is>
          <t>NOP LAMONGAN</t>
        </is>
      </c>
      <c r="D537" s="36" t="n">
        <v>1.41</v>
      </c>
      <c r="E537" s="36" t="n">
        <v>1.01</v>
      </c>
      <c r="F537" s="36" t="n">
        <v>3.05</v>
      </c>
      <c r="G537" s="36" t="n">
        <v>2.67</v>
      </c>
      <c r="H537" s="37" t="n">
        <v>0.7916666666666666</v>
      </c>
      <c r="I537" s="37" t="n">
        <v>0.9166666666666666</v>
      </c>
      <c r="J537" s="37" t="n">
        <v>0.7777777777777778</v>
      </c>
      <c r="K537" s="37" t="n">
        <v>0.9090909090909091</v>
      </c>
      <c r="L537" s="37" t="n">
        <v>0.9090909090909091</v>
      </c>
      <c r="M537" s="37" t="n">
        <v>1</v>
      </c>
      <c r="N537" s="37" t="n">
        <v>0.7166666666666667</v>
      </c>
      <c r="O537" s="36" t="n">
        <v>0</v>
      </c>
      <c r="P537" s="36" t="n">
        <v>2.59</v>
      </c>
      <c r="Q537" s="36" t="n">
        <v>10.68</v>
      </c>
      <c r="R537" s="36" t="n">
        <v>36.44</v>
      </c>
      <c r="S537" s="36" t="n">
        <v>0</v>
      </c>
      <c r="T537" s="37" t="n">
        <v>0.7764705882352941</v>
      </c>
      <c r="U537" s="37" t="n">
        <v>0.6619718309859155</v>
      </c>
      <c r="V537" s="37" t="n">
        <v>0.8585858585858586</v>
      </c>
      <c r="W537" s="37" t="n">
        <v>0.851063829787234</v>
      </c>
    </row>
    <row r="538">
      <c r="A538" s="53" t="n">
        <v>45763</v>
      </c>
      <c r="B538" t="inlineStr">
        <is>
          <t>R06_Jawa Timur</t>
        </is>
      </c>
      <c r="C538" t="inlineStr">
        <is>
          <t>NOP MADIUN</t>
        </is>
      </c>
      <c r="D538" s="36" t="n">
        <v>0.63</v>
      </c>
      <c r="E538" s="36" t="n">
        <v>0</v>
      </c>
      <c r="F538" s="36" t="n">
        <v>2.71</v>
      </c>
      <c r="G538" s="36" t="n">
        <v>3.6</v>
      </c>
      <c r="H538" s="37" t="n">
        <v>0.6519337016574586</v>
      </c>
      <c r="I538" s="37" t="n">
        <v>1</v>
      </c>
      <c r="J538" s="37" t="n">
        <v>0.6440677966101694</v>
      </c>
      <c r="K538" s="37" t="n">
        <v>1</v>
      </c>
      <c r="L538" s="37" t="n">
        <v>1</v>
      </c>
      <c r="M538" s="37" t="n">
        <v>0.994475138121547</v>
      </c>
      <c r="N538" s="37" t="n">
        <v>0.3922651933701657</v>
      </c>
      <c r="O538" s="36" t="n">
        <v>0</v>
      </c>
      <c r="P538" s="36" t="n">
        <v>2.4</v>
      </c>
      <c r="Q538" s="36" t="n">
        <v>5.79</v>
      </c>
      <c r="R538" s="36" t="n">
        <v>47.94</v>
      </c>
      <c r="S538" s="36" t="n">
        <v>0</v>
      </c>
      <c r="T538" s="37" t="n">
        <v>0.6933797909407665</v>
      </c>
      <c r="U538" s="37" t="n">
        <v>0.6972477064220184</v>
      </c>
      <c r="V538" s="37" t="n">
        <v>0.6910112359550562</v>
      </c>
      <c r="W538" s="37" t="n">
        <v>0.7368421052631579</v>
      </c>
    </row>
    <row r="539">
      <c r="A539" s="53" t="n">
        <v>45763</v>
      </c>
      <c r="B539" t="inlineStr">
        <is>
          <t>R06_Jawa Timur</t>
        </is>
      </c>
      <c r="C539" t="inlineStr">
        <is>
          <t>NOP MALANG</t>
        </is>
      </c>
      <c r="D539" s="36" t="n">
        <v>1.16</v>
      </c>
      <c r="E539" s="36" t="n">
        <v>0</v>
      </c>
      <c r="F539" s="36" t="n">
        <v>2.88</v>
      </c>
      <c r="G539" s="36" t="n">
        <v>2.84</v>
      </c>
      <c r="H539" s="37" t="n">
        <v>0.8299595141700404</v>
      </c>
      <c r="I539" s="37" t="n">
        <v>0.75</v>
      </c>
      <c r="J539" s="37" t="n">
        <v>0.831275720164609</v>
      </c>
      <c r="K539" s="37" t="n">
        <v>1</v>
      </c>
      <c r="L539" s="37" t="n">
        <v>1</v>
      </c>
      <c r="M539" s="37" t="n">
        <v>0.9959514170040485</v>
      </c>
      <c r="N539" s="37" t="n">
        <v>0.7854251012145749</v>
      </c>
      <c r="O539" s="36" t="n">
        <v>0.02</v>
      </c>
      <c r="P539" s="36" t="n">
        <v>2.96</v>
      </c>
      <c r="Q539" s="36" t="n">
        <v>4.83</v>
      </c>
      <c r="R539" s="36" t="n">
        <v>61.43</v>
      </c>
      <c r="S539" s="36" t="n">
        <v>0</v>
      </c>
      <c r="T539" s="37" t="n">
        <v>0.7738693467336684</v>
      </c>
      <c r="U539" s="37" t="n">
        <v>0.6666666666666666</v>
      </c>
      <c r="V539" s="37" t="n">
        <v>0.8571428571428571</v>
      </c>
      <c r="W539" s="37" t="n">
        <v>0.5689655172413793</v>
      </c>
    </row>
    <row r="540">
      <c r="A540" s="53" t="n">
        <v>45763</v>
      </c>
      <c r="B540" t="inlineStr">
        <is>
          <t>R06_Jawa Timur</t>
        </is>
      </c>
      <c r="C540" t="inlineStr">
        <is>
          <t>NOP SIDOARJO</t>
        </is>
      </c>
      <c r="D540" s="36" t="n">
        <v>3.19</v>
      </c>
      <c r="E540" s="36" t="n">
        <v>6.27</v>
      </c>
      <c r="F540" s="36" t="n">
        <v>2.93</v>
      </c>
      <c r="G540" s="36" t="n">
        <v>4.27</v>
      </c>
      <c r="H540" s="37" t="n">
        <v>0.5700934579439252</v>
      </c>
      <c r="I540" s="37" t="n">
        <v>0.8695652173913043</v>
      </c>
      <c r="J540" s="37" t="n">
        <v>0.5340314136125655</v>
      </c>
      <c r="K540" s="37" t="n">
        <v>0.9</v>
      </c>
      <c r="L540" s="37" t="n">
        <v>0.9</v>
      </c>
      <c r="M540" s="37" t="n">
        <v>0.9766355140186916</v>
      </c>
      <c r="N540" s="37" t="n">
        <v>0.4018691588785047</v>
      </c>
      <c r="O540" s="36" t="n">
        <v>0</v>
      </c>
      <c r="P540" s="36" t="n">
        <v>5.41</v>
      </c>
      <c r="Q540" s="36" t="n">
        <v>11.43</v>
      </c>
      <c r="R540" s="36" t="n">
        <v>52.78</v>
      </c>
      <c r="S540" s="36" t="n">
        <v>0</v>
      </c>
      <c r="T540" s="37" t="n">
        <v>0.7466666666666667</v>
      </c>
      <c r="U540" s="37" t="n">
        <v>0.4680851063829787</v>
      </c>
      <c r="V540" s="37" t="n">
        <v>0.8202247191011236</v>
      </c>
      <c r="W540" s="37" t="n">
        <v>0.5</v>
      </c>
    </row>
    <row r="541">
      <c r="A541" s="53" t="n">
        <v>45763</v>
      </c>
      <c r="B541" t="inlineStr">
        <is>
          <t>R06_Jawa Timur</t>
        </is>
      </c>
      <c r="C541" t="inlineStr">
        <is>
          <t>NOP SURABAYA</t>
        </is>
      </c>
      <c r="D541" s="36" t="n">
        <v>2.08</v>
      </c>
      <c r="E541" s="36" t="n">
        <v>0</v>
      </c>
      <c r="F541" s="36" t="n">
        <v>6.6</v>
      </c>
      <c r="G541" s="36" t="n">
        <v>3.86</v>
      </c>
      <c r="H541" s="37" t="n">
        <v>0.5806451612903226</v>
      </c>
      <c r="I541" s="37" t="n">
        <v>0.3666666666666666</v>
      </c>
      <c r="J541" s="37" t="n">
        <v>0.6035714285714285</v>
      </c>
      <c r="K541" s="37" t="n">
        <v>0.9090909090909091</v>
      </c>
      <c r="L541" s="37" t="n">
        <v>0.9090909090909091</v>
      </c>
      <c r="M541" s="37" t="n">
        <v>0.9741935483870968</v>
      </c>
      <c r="N541" s="37" t="n">
        <v>0.4032258064516129</v>
      </c>
      <c r="O541" s="36" t="n">
        <v>0.04</v>
      </c>
      <c r="P541" s="36" t="n">
        <v>3.06</v>
      </c>
      <c r="Q541" s="36" t="n">
        <v>7.7</v>
      </c>
      <c r="R541" s="36" t="n">
        <v>29.01</v>
      </c>
      <c r="S541" s="36" t="n">
        <v>0</v>
      </c>
      <c r="T541" s="37" t="n">
        <v>0.6491862567811935</v>
      </c>
      <c r="U541" s="37" t="n">
        <v>0.4722222222222222</v>
      </c>
      <c r="V541" s="37" t="n">
        <v>0.6756756756756757</v>
      </c>
      <c r="W541" s="37" t="n">
        <v>0.7647058823529411</v>
      </c>
    </row>
    <row r="542">
      <c r="A542" s="53" t="n">
        <v>45763</v>
      </c>
      <c r="B542" t="inlineStr">
        <is>
          <t>R07_Bali Nusra</t>
        </is>
      </c>
      <c r="C542" t="inlineStr">
        <is>
          <t>NOP DENPASAR</t>
        </is>
      </c>
      <c r="D542" s="36" t="n">
        <v>2.97</v>
      </c>
      <c r="E542" s="36" t="n">
        <v>0</v>
      </c>
      <c r="F542" s="36" t="n">
        <v>5.36</v>
      </c>
      <c r="G542" s="36" t="n">
        <v>4.53</v>
      </c>
      <c r="H542" s="37" t="n">
        <v>0.8774509803921569</v>
      </c>
      <c r="I542" s="37" t="n">
        <v>0.8536585365853658</v>
      </c>
      <c r="J542" s="37" t="n">
        <v>0.8834355828220859</v>
      </c>
      <c r="K542" s="37" t="n">
        <v>0.9428571428571428</v>
      </c>
      <c r="L542" s="37" t="n">
        <v>0.9428571428571428</v>
      </c>
      <c r="M542" s="37" t="n">
        <v>0.9705882352941176</v>
      </c>
      <c r="N542" s="37" t="n">
        <v>0.8529411764705882</v>
      </c>
      <c r="O542" s="36" t="n">
        <v>0</v>
      </c>
      <c r="P542" s="36" t="n">
        <v>61.15</v>
      </c>
      <c r="Q542" s="36" t="n">
        <v>22.28</v>
      </c>
      <c r="R542" s="36" t="n">
        <v>80.54000000000001</v>
      </c>
      <c r="S542" s="36" t="n">
        <v>0</v>
      </c>
      <c r="T542" s="37" t="n">
        <v>0.8603351955307262</v>
      </c>
      <c r="U542" s="37" t="n">
        <v>0.8</v>
      </c>
      <c r="V542" s="37" t="n">
        <v>0.875</v>
      </c>
      <c r="W542" s="37" t="n">
        <v>0.3928571428571428</v>
      </c>
    </row>
    <row r="543">
      <c r="A543" s="53" t="n">
        <v>45763</v>
      </c>
      <c r="B543" t="inlineStr">
        <is>
          <t>R07_Bali Nusra</t>
        </is>
      </c>
      <c r="C543" t="inlineStr">
        <is>
          <t>NOP FLORES</t>
        </is>
      </c>
      <c r="D543" s="36" t="n">
        <v>8.869999999999999</v>
      </c>
      <c r="E543" s="36" t="n">
        <v>5.66</v>
      </c>
      <c r="F543" s="36" t="n">
        <v>8.039999999999999</v>
      </c>
      <c r="G543" s="36" t="n">
        <v>10.16</v>
      </c>
      <c r="H543" s="37" t="n">
        <v>0.4343137254901961</v>
      </c>
      <c r="I543" s="37" t="n">
        <v>0.5584905660377358</v>
      </c>
      <c r="J543" s="37" t="n">
        <v>0.3907284768211921</v>
      </c>
      <c r="K543" s="37" t="n">
        <v>0.5878378378378378</v>
      </c>
      <c r="L543" s="37" t="n">
        <v>0.6056338028169014</v>
      </c>
      <c r="M543" s="37" t="n">
        <v>0.9882352941176471</v>
      </c>
      <c r="N543" s="37" t="n">
        <v>0.2480392156862745</v>
      </c>
      <c r="O543" s="36" t="n">
        <v>0.17</v>
      </c>
      <c r="P543" s="36" t="n">
        <v>13.44</v>
      </c>
      <c r="Q543" s="36" t="n">
        <v>9.4</v>
      </c>
      <c r="R543" s="36" t="n">
        <v>53.82</v>
      </c>
      <c r="S543" s="36" t="n">
        <v>0</v>
      </c>
      <c r="T543" s="37" t="n">
        <v>0.4475743348982786</v>
      </c>
      <c r="U543" s="37" t="n">
        <v>0.4866270430906389</v>
      </c>
      <c r="V543" s="37" t="n">
        <v>0.3555166374781086</v>
      </c>
      <c r="W543" s="37" t="n">
        <v>0.6595419847328244</v>
      </c>
    </row>
    <row r="544">
      <c r="A544" s="53" t="n">
        <v>45763</v>
      </c>
      <c r="B544" t="inlineStr">
        <is>
          <t>R07_Bali Nusra</t>
        </is>
      </c>
      <c r="C544" t="inlineStr">
        <is>
          <t>NOP KUPANG</t>
        </is>
      </c>
      <c r="D544" s="36" t="n">
        <v>1.18</v>
      </c>
      <c r="E544" s="36" t="n">
        <v>6.46</v>
      </c>
      <c r="F544" s="36" t="n">
        <v>3.9</v>
      </c>
      <c r="G544" s="36" t="n">
        <v>7.13</v>
      </c>
      <c r="H544" s="37" t="n">
        <v>0.5119363395225465</v>
      </c>
      <c r="I544" s="37" t="n">
        <v>0.616822429906542</v>
      </c>
      <c r="J544" s="37" t="n">
        <v>0.4945904173106646</v>
      </c>
      <c r="K544" s="37" t="n">
        <v>0.6212121212121212</v>
      </c>
      <c r="L544" s="37" t="n">
        <v>0.6212121212121212</v>
      </c>
      <c r="M544" s="37" t="n">
        <v>0.9907161803713528</v>
      </c>
      <c r="N544" s="37" t="n">
        <v>0.1909814323607427</v>
      </c>
      <c r="O544" s="36" t="n">
        <v>0.11</v>
      </c>
      <c r="P544" s="36" t="n">
        <v>8.84</v>
      </c>
      <c r="Q544" s="36" t="n">
        <v>19.47</v>
      </c>
      <c r="R544" s="36" t="n">
        <v>183.34</v>
      </c>
      <c r="S544" s="36" t="n">
        <v>0</v>
      </c>
      <c r="T544" s="37" t="n">
        <v>0.572463768115942</v>
      </c>
      <c r="U544" s="37" t="n">
        <v>0.5775862068965517</v>
      </c>
      <c r="V544" s="37" t="n">
        <v>0.5637254901960784</v>
      </c>
      <c r="W544" s="37" t="n">
        <v>0.6442786069651741</v>
      </c>
    </row>
    <row r="545">
      <c r="A545" s="53" t="n">
        <v>45763</v>
      </c>
      <c r="B545" t="inlineStr">
        <is>
          <t>R07_Bali Nusra</t>
        </is>
      </c>
      <c r="C545" t="inlineStr">
        <is>
          <t>NOP MATARAM</t>
        </is>
      </c>
      <c r="D545" s="36" t="n">
        <v>2.76</v>
      </c>
      <c r="E545" s="36" t="n">
        <v>3.85</v>
      </c>
      <c r="F545" s="36" t="n">
        <v>4.58</v>
      </c>
      <c r="G545" s="36" t="n">
        <v>4.69</v>
      </c>
      <c r="H545" s="37" t="n">
        <v>0.5026881720430108</v>
      </c>
      <c r="I545" s="37" t="n">
        <v>0.6730769230769231</v>
      </c>
      <c r="J545" s="37" t="n">
        <v>0.475</v>
      </c>
      <c r="K545" s="37" t="n">
        <v>0.7714285714285715</v>
      </c>
      <c r="L545" s="37" t="n">
        <v>0.7714285714285715</v>
      </c>
      <c r="M545" s="37" t="n">
        <v>0.9946236559139785</v>
      </c>
      <c r="N545" s="37" t="n">
        <v>0.3494623655913979</v>
      </c>
      <c r="O545" s="36" t="n">
        <v>1.12</v>
      </c>
      <c r="P545" s="36" t="n">
        <v>25.7</v>
      </c>
      <c r="Q545" s="36" t="n">
        <v>13.76</v>
      </c>
      <c r="R545" s="36" t="n">
        <v>43.43</v>
      </c>
      <c r="S545" s="36" t="n">
        <v>0</v>
      </c>
      <c r="T545" s="37" t="n">
        <v>0.3461104847801578</v>
      </c>
      <c r="U545" s="37" t="n">
        <v>0.3630831643002028</v>
      </c>
      <c r="V545" s="37" t="n">
        <v>0.3248730964467005</v>
      </c>
      <c r="W545" s="37" t="n">
        <v>0.6033519553072626</v>
      </c>
    </row>
    <row r="546">
      <c r="A546" s="53" t="n">
        <v>45764</v>
      </c>
      <c r="B546" t="inlineStr">
        <is>
          <t>R01_Sumbagut</t>
        </is>
      </c>
      <c r="C546" t="inlineStr">
        <is>
          <t>NOP ACEH</t>
        </is>
      </c>
      <c r="D546" s="36" t="n">
        <v>2.59</v>
      </c>
      <c r="E546" s="36" t="n">
        <v>4.21</v>
      </c>
      <c r="F546" s="36" t="n">
        <v>10.11</v>
      </c>
      <c r="G546" s="36" t="n">
        <v>10.01</v>
      </c>
      <c r="H546" s="37" t="n">
        <v>0.8341736694677871</v>
      </c>
      <c r="I546" s="37" t="n">
        <v>0.8431372549019608</v>
      </c>
      <c r="J546" s="37" t="n">
        <v>0.8310708898944194</v>
      </c>
      <c r="K546" s="37" t="n">
        <v>0.4108527131782946</v>
      </c>
      <c r="L546" s="37" t="n">
        <v>0.412987012987013</v>
      </c>
      <c r="M546" s="37" t="n">
        <v>1</v>
      </c>
      <c r="N546" s="37" t="n">
        <v>0.3025210084033613</v>
      </c>
      <c r="O546" s="36" t="n">
        <v>0.06</v>
      </c>
      <c r="P546" s="36" t="n">
        <v>4.56</v>
      </c>
      <c r="Q546" s="36" t="n">
        <v>71.79000000000001</v>
      </c>
      <c r="R546" s="36" t="n">
        <v>126.69</v>
      </c>
      <c r="S546" s="36" t="n">
        <v>0</v>
      </c>
      <c r="T546" s="37" t="n">
        <v>0.8754109707561862</v>
      </c>
      <c r="U546" s="37" t="n">
        <v>0.7369791666666666</v>
      </c>
      <c r="V546" s="37" t="n">
        <v>0.8995378742214185</v>
      </c>
      <c r="W546" s="37" t="n">
        <v>0.2173144876325088</v>
      </c>
    </row>
    <row r="547">
      <c r="A547" s="53" t="n">
        <v>45764</v>
      </c>
      <c r="B547" t="inlineStr">
        <is>
          <t>R01_Sumbagut</t>
        </is>
      </c>
      <c r="C547" t="inlineStr">
        <is>
          <t>NOP BINJAI</t>
        </is>
      </c>
      <c r="D547" s="36" t="n">
        <v>9.9</v>
      </c>
      <c r="E547" s="36" t="n">
        <v>5.23</v>
      </c>
      <c r="F547" s="36" t="n">
        <v>4.39</v>
      </c>
      <c r="G547" s="36" t="n">
        <v>4.27</v>
      </c>
      <c r="H547" s="37" t="n">
        <v>0.6206451612903225</v>
      </c>
      <c r="I547" s="37" t="n">
        <v>0.7319587628865979</v>
      </c>
      <c r="J547" s="37" t="n">
        <v>0.5834767641996558</v>
      </c>
      <c r="K547" s="37" t="n">
        <v>0.5211267605633803</v>
      </c>
      <c r="L547" s="37" t="n">
        <v>0.5177304964539007</v>
      </c>
      <c r="M547" s="37" t="n">
        <v>1</v>
      </c>
      <c r="N547" s="37" t="n">
        <v>0.3509677419354839</v>
      </c>
      <c r="O547" s="36" t="n">
        <v>0.02</v>
      </c>
      <c r="P547" s="36" t="n">
        <v>2.51</v>
      </c>
      <c r="Q547" s="36" t="n">
        <v>44.46</v>
      </c>
      <c r="R547" s="36" t="n">
        <v>100.83</v>
      </c>
      <c r="S547" s="36" t="n">
        <v>0</v>
      </c>
      <c r="T547" s="37" t="n">
        <v>0.6496815286624203</v>
      </c>
      <c r="U547" s="37" t="n">
        <v>0.5506607929515418</v>
      </c>
      <c r="V547" s="37" t="n">
        <v>0.6985018726591761</v>
      </c>
      <c r="W547" s="37" t="n">
        <v>0.512</v>
      </c>
    </row>
    <row r="548">
      <c r="A548" s="53" t="n">
        <v>45764</v>
      </c>
      <c r="B548" t="inlineStr">
        <is>
          <t>R01_Sumbagut</t>
        </is>
      </c>
      <c r="C548" t="inlineStr">
        <is>
          <t>NOP MEDAN</t>
        </is>
      </c>
      <c r="D548" s="36" t="n">
        <v>5.48</v>
      </c>
      <c r="E548" s="36" t="n">
        <v>4.79</v>
      </c>
      <c r="F548" s="36" t="n">
        <v>3.92</v>
      </c>
      <c r="G548" s="36" t="n">
        <v>5.03</v>
      </c>
      <c r="H548" s="37" t="n">
        <v>0.4164383561643836</v>
      </c>
      <c r="I548" s="37" t="n">
        <v>0.4634146341463415</v>
      </c>
      <c r="J548" s="37" t="n">
        <v>0.3980952380952381</v>
      </c>
      <c r="K548" s="37" t="n">
        <v>0.7789473684210526</v>
      </c>
      <c r="L548" s="37" t="n">
        <v>0.7849462365591398</v>
      </c>
      <c r="M548" s="37" t="n">
        <v>0.9986301369863013</v>
      </c>
      <c r="N548" s="37" t="n">
        <v>0.2438356164383562</v>
      </c>
      <c r="O548" s="36" t="n">
        <v>0</v>
      </c>
      <c r="P548" s="36" t="n">
        <v>4.66</v>
      </c>
      <c r="Q548" s="36" t="n">
        <v>16.12</v>
      </c>
      <c r="R548" s="36" t="n">
        <v>15.24</v>
      </c>
      <c r="S548" s="36" t="n">
        <v>0</v>
      </c>
      <c r="T548" s="37" t="n">
        <v>0.3307888040712468</v>
      </c>
      <c r="U548" s="37" t="n">
        <v>0.2207792207792208</v>
      </c>
      <c r="V548" s="37" t="n">
        <v>0.4007858546168959</v>
      </c>
      <c r="W548" s="37" t="n">
        <v>0.8823529411764706</v>
      </c>
    </row>
    <row r="549">
      <c r="A549" s="53" t="n">
        <v>45764</v>
      </c>
      <c r="B549" t="inlineStr">
        <is>
          <t>R01_Sumbagut</t>
        </is>
      </c>
      <c r="C549" t="inlineStr">
        <is>
          <t>NOP PADANG SIDEMPUAN</t>
        </is>
      </c>
      <c r="D549" s="36" t="n">
        <v>3.08</v>
      </c>
      <c r="E549" s="36" t="n">
        <v>3.44</v>
      </c>
      <c r="F549" s="36" t="n">
        <v>4.86</v>
      </c>
      <c r="G549" s="36" t="n">
        <v>6.22</v>
      </c>
      <c r="H549" s="37" t="n">
        <v>0.2939481268011527</v>
      </c>
      <c r="I549" s="37" t="n">
        <v>0.4695121951219512</v>
      </c>
      <c r="J549" s="37" t="n">
        <v>0.2704248366013072</v>
      </c>
      <c r="K549" s="37" t="n">
        <v>0.4545454545454545</v>
      </c>
      <c r="L549" s="37" t="n">
        <v>0.4545454545454545</v>
      </c>
      <c r="M549" s="37" t="n">
        <v>0.9927953890489913</v>
      </c>
      <c r="N549" s="37" t="n">
        <v>0.1188760806916427</v>
      </c>
      <c r="O549" s="36" t="n">
        <v>0.01</v>
      </c>
      <c r="P549" s="36" t="n">
        <v>2.37</v>
      </c>
      <c r="Q549" s="36" t="n">
        <v>12.91</v>
      </c>
      <c r="R549" s="36" t="n">
        <v>98.93000000000001</v>
      </c>
      <c r="S549" s="36" t="n">
        <v>0</v>
      </c>
      <c r="T549" s="37" t="n">
        <v>0.2949786084215267</v>
      </c>
      <c r="U549" s="37" t="n">
        <v>0.4267990074441687</v>
      </c>
      <c r="V549" s="37" t="n">
        <v>0.2467166979362101</v>
      </c>
      <c r="W549" s="37" t="n">
        <v>0.4593023255813953</v>
      </c>
    </row>
    <row r="550">
      <c r="A550" s="53" t="n">
        <v>45764</v>
      </c>
      <c r="B550" t="inlineStr">
        <is>
          <t>R01_Sumbagut</t>
        </is>
      </c>
      <c r="C550" t="inlineStr">
        <is>
          <t>NOP PEMATANG SIANTAR</t>
        </is>
      </c>
      <c r="D550" s="36" t="n">
        <v>2.19</v>
      </c>
      <c r="E550" s="36" t="n">
        <v>3.58</v>
      </c>
      <c r="F550" s="36" t="n">
        <v>4.64</v>
      </c>
      <c r="G550" s="36" t="n">
        <v>5.39</v>
      </c>
      <c r="H550" s="37" t="n">
        <v>0.3326133909287257</v>
      </c>
      <c r="I550" s="37" t="n">
        <v>0.3373702422145329</v>
      </c>
      <c r="J550" s="37" t="n">
        <v>0.3304552590266876</v>
      </c>
      <c r="K550" s="37" t="n">
        <v>0.6564102564102564</v>
      </c>
      <c r="L550" s="37" t="n">
        <v>0.6701570680628273</v>
      </c>
      <c r="M550" s="37" t="n">
        <v>0.9989200863930886</v>
      </c>
      <c r="N550" s="37" t="n">
        <v>0.1819654427645788</v>
      </c>
      <c r="O550" s="36" t="n">
        <v>0.01</v>
      </c>
      <c r="P550" s="36" t="n">
        <v>4.36</v>
      </c>
      <c r="Q550" s="36" t="n">
        <v>71.11</v>
      </c>
      <c r="R550" s="36" t="n">
        <v>67.01000000000001</v>
      </c>
      <c r="S550" s="36" t="n">
        <v>0</v>
      </c>
      <c r="T550" s="37" t="n">
        <v>0.1165575997036671</v>
      </c>
      <c r="U550" s="37" t="n">
        <v>0.3411458333333333</v>
      </c>
      <c r="V550" s="37" t="n">
        <v>0.0916471721480666</v>
      </c>
      <c r="W550" s="37" t="n">
        <v>0.8549618320610687</v>
      </c>
    </row>
    <row r="551">
      <c r="A551" s="53" t="n">
        <v>45764</v>
      </c>
      <c r="B551" t="inlineStr">
        <is>
          <t>R01_Sumbagut</t>
        </is>
      </c>
      <c r="C551" t="inlineStr">
        <is>
          <t>NOP RANTAU PRAPAT</t>
        </is>
      </c>
      <c r="D551" s="36" t="n">
        <v>3.3</v>
      </c>
      <c r="E551" s="36" t="n">
        <v>5.96</v>
      </c>
      <c r="F551" s="36" t="n">
        <v>4.62</v>
      </c>
      <c r="G551" s="36" t="n">
        <v>5.95</v>
      </c>
      <c r="H551" s="37" t="n">
        <v>0.2915492957746479</v>
      </c>
      <c r="I551" s="37" t="n">
        <v>0.2791586998087954</v>
      </c>
      <c r="J551" s="37" t="n">
        <v>0.2943461372464394</v>
      </c>
      <c r="K551" s="37" t="n">
        <v>0.6712328767123288</v>
      </c>
      <c r="L551" s="37" t="n">
        <v>0.6712328767123288</v>
      </c>
      <c r="M551" s="37" t="n">
        <v>0.9908450704225352</v>
      </c>
      <c r="N551" s="37" t="n">
        <v>0.1686619718309859</v>
      </c>
      <c r="O551" s="36" t="n">
        <v>0.02</v>
      </c>
      <c r="P551" s="36" t="n">
        <v>3.69</v>
      </c>
      <c r="Q551" s="36" t="n">
        <v>39.1</v>
      </c>
      <c r="R551" s="36" t="n">
        <v>41.63</v>
      </c>
      <c r="S551" s="36" t="n">
        <v>0</v>
      </c>
      <c r="T551" s="37" t="n">
        <v>0.06883604505632041</v>
      </c>
      <c r="U551" s="37" t="n">
        <v>0.136968085106383</v>
      </c>
      <c r="V551" s="37" t="n">
        <v>0.04990443830961987</v>
      </c>
      <c r="W551" s="37" t="n">
        <v>0.6310679611650486</v>
      </c>
    </row>
    <row r="552">
      <c r="A552" s="53" t="n">
        <v>45764</v>
      </c>
      <c r="B552" t="inlineStr">
        <is>
          <t>R10_Sumbagteng</t>
        </is>
      </c>
      <c r="C552" t="inlineStr">
        <is>
          <t>NOP BATAM</t>
        </is>
      </c>
      <c r="D552" s="36" t="n">
        <v>2.08</v>
      </c>
      <c r="E552" s="36" t="n">
        <v>8.01</v>
      </c>
      <c r="F552" s="36" t="n">
        <v>6.82</v>
      </c>
      <c r="G552" s="36" t="n">
        <v>9.91</v>
      </c>
      <c r="H552" s="37" t="n">
        <v>0.2968824940047962</v>
      </c>
      <c r="I552" s="37" t="n">
        <v>0.3159203980099503</v>
      </c>
      <c r="J552" s="37" t="n">
        <v>0.2923351158645277</v>
      </c>
      <c r="K552" s="37" t="n">
        <v>0.6535433070866141</v>
      </c>
      <c r="L552" s="37" t="n">
        <v>0.6535433070866141</v>
      </c>
      <c r="M552" s="37" t="n">
        <v>0.9928057553956835</v>
      </c>
      <c r="N552" s="37" t="n">
        <v>0.1851318944844125</v>
      </c>
      <c r="O552" s="36" t="n">
        <v>0.82</v>
      </c>
      <c r="P552" s="36" t="n">
        <v>5.65</v>
      </c>
      <c r="Q552" s="36" t="n">
        <v>25.71</v>
      </c>
      <c r="R552" s="36" t="n">
        <v>10.45</v>
      </c>
      <c r="S552" s="36" t="n">
        <v>0</v>
      </c>
      <c r="T552" s="37" t="n">
        <v>0.07741132545115122</v>
      </c>
      <c r="U552" s="37" t="n">
        <v>0.2487757100881489</v>
      </c>
      <c r="V552" s="37" t="n">
        <v>0.0514367816091954</v>
      </c>
      <c r="W552" s="37" t="n">
        <v>0.7952755905511811</v>
      </c>
    </row>
    <row r="553">
      <c r="A553" s="53" t="n">
        <v>45764</v>
      </c>
      <c r="B553" t="inlineStr">
        <is>
          <t>R10_Sumbagteng</t>
        </is>
      </c>
      <c r="C553" t="inlineStr">
        <is>
          <t>NOP BUKITTINGGI</t>
        </is>
      </c>
      <c r="D553" s="36" t="n">
        <v>2.46</v>
      </c>
      <c r="E553" s="36" t="n">
        <v>4.84</v>
      </c>
      <c r="F553" s="36" t="n">
        <v>4.97</v>
      </c>
      <c r="G553" s="36" t="n">
        <v>6.05</v>
      </c>
      <c r="H553" s="37" t="n">
        <v>0.7613793103448275</v>
      </c>
      <c r="I553" s="37" t="n">
        <v>0.8361581920903954</v>
      </c>
      <c r="J553" s="37" t="n">
        <v>0.7372262773722628</v>
      </c>
      <c r="K553" s="37" t="n">
        <v>0.6486486486486487</v>
      </c>
      <c r="L553" s="37" t="n">
        <v>0.6486486486486487</v>
      </c>
      <c r="M553" s="37" t="n">
        <v>0.9903448275862069</v>
      </c>
      <c r="N553" s="37" t="n">
        <v>0.4551724137931035</v>
      </c>
      <c r="O553" s="36" t="n">
        <v>0</v>
      </c>
      <c r="P553" s="36" t="n">
        <v>3.4</v>
      </c>
      <c r="Q553" s="36" t="n">
        <v>8.109999999999999</v>
      </c>
      <c r="R553" s="36" t="n">
        <v>126.83</v>
      </c>
      <c r="S553" s="36" t="n">
        <v>0</v>
      </c>
      <c r="T553" s="37" t="n">
        <v>0.3202374222724703</v>
      </c>
      <c r="U553" s="37" t="n">
        <v>0.7594501718213058</v>
      </c>
      <c r="V553" s="37" t="n">
        <v>0.2814054726368159</v>
      </c>
      <c r="W553" s="37" t="n">
        <v>0.6018099547511312</v>
      </c>
    </row>
    <row r="554">
      <c r="A554" s="53" t="n">
        <v>45764</v>
      </c>
      <c r="B554" t="inlineStr">
        <is>
          <t>R10_Sumbagteng</t>
        </is>
      </c>
      <c r="C554" t="inlineStr">
        <is>
          <t>NOP DUMAI</t>
        </is>
      </c>
      <c r="D554" s="36" t="n">
        <v>5.58</v>
      </c>
      <c r="E554" s="36" t="n">
        <v>6.18</v>
      </c>
      <c r="F554" s="36" t="n">
        <v>6.05</v>
      </c>
      <c r="G554" s="36" t="n">
        <v>6.57</v>
      </c>
      <c r="H554" s="37" t="n">
        <v>0.415748541801685</v>
      </c>
      <c r="I554" s="37" t="n">
        <v>0.5006119951040392</v>
      </c>
      <c r="J554" s="37" t="n">
        <v>0.3851917144116351</v>
      </c>
      <c r="K554" s="37" t="n">
        <v>0.7041564792176039</v>
      </c>
      <c r="L554" s="37" t="n">
        <v>0.7201017811704835</v>
      </c>
      <c r="M554" s="37" t="n">
        <v>0.9731043421905379</v>
      </c>
      <c r="N554" s="37" t="n">
        <v>0.236552171095269</v>
      </c>
      <c r="O554" s="36" t="n">
        <v>0.27</v>
      </c>
      <c r="P554" s="36" t="n">
        <v>5.06</v>
      </c>
      <c r="Q554" s="36" t="n">
        <v>53.1</v>
      </c>
      <c r="R554" s="36" t="n">
        <v>136.03</v>
      </c>
      <c r="S554" s="36" t="n">
        <v>0</v>
      </c>
      <c r="T554" s="37" t="n">
        <v>0.2905938894610368</v>
      </c>
      <c r="U554" s="37" t="n">
        <v>0.325</v>
      </c>
      <c r="V554" s="37" t="n">
        <v>0.2936489870248122</v>
      </c>
      <c r="W554" s="37" t="n">
        <v>0.9358974358974359</v>
      </c>
    </row>
    <row r="555">
      <c r="A555" s="53" t="n">
        <v>45764</v>
      </c>
      <c r="B555" t="inlineStr">
        <is>
          <t>R10_Sumbagteng</t>
        </is>
      </c>
      <c r="C555" t="inlineStr">
        <is>
          <t>NOP PADANG</t>
        </is>
      </c>
      <c r="D555" s="36" t="n">
        <v>3.58</v>
      </c>
      <c r="E555" s="36" t="n">
        <v>3</v>
      </c>
      <c r="F555" s="36" t="n">
        <v>6.58</v>
      </c>
      <c r="G555" s="36" t="n">
        <v>7.01</v>
      </c>
      <c r="H555" s="37" t="n">
        <v>0.7813084112149533</v>
      </c>
      <c r="I555" s="37" t="n">
        <v>0.7272727272727273</v>
      </c>
      <c r="J555" s="37" t="n">
        <v>0.7889125799573561</v>
      </c>
      <c r="K555" s="37" t="n">
        <v>0.46875</v>
      </c>
      <c r="L555" s="37" t="n">
        <v>0.46875</v>
      </c>
      <c r="M555" s="37" t="n">
        <v>0.9887850467289719</v>
      </c>
      <c r="N555" s="37" t="n">
        <v>0.3214953271028038</v>
      </c>
      <c r="O555" s="36" t="n">
        <v>0.06</v>
      </c>
      <c r="P555" s="36" t="n">
        <v>4.88</v>
      </c>
      <c r="Q555" s="36" t="n">
        <v>43.38</v>
      </c>
      <c r="R555" s="36" t="n">
        <v>57.19</v>
      </c>
      <c r="S555" s="36" t="n">
        <v>0</v>
      </c>
      <c r="T555" s="37" t="n">
        <v>0.7372833985466741</v>
      </c>
      <c r="U555" s="37" t="n">
        <v>0.6561954624781849</v>
      </c>
      <c r="V555" s="37" t="n">
        <v>0.7501055297593922</v>
      </c>
      <c r="W555" s="37" t="n">
        <v>0.4627659574468085</v>
      </c>
    </row>
    <row r="556">
      <c r="A556" s="53" t="n">
        <v>45764</v>
      </c>
      <c r="B556" t="inlineStr">
        <is>
          <t>R10_Sumbagteng</t>
        </is>
      </c>
      <c r="C556" t="inlineStr">
        <is>
          <t>NOP PEKANBARU</t>
        </is>
      </c>
      <c r="D556" s="36" t="n">
        <v>6.7</v>
      </c>
      <c r="E556" s="36" t="n">
        <v>6.02</v>
      </c>
      <c r="F556" s="36" t="n">
        <v>5.78</v>
      </c>
      <c r="G556" s="36" t="n">
        <v>8.76</v>
      </c>
      <c r="H556" s="37" t="n">
        <v>0.4075265358636218</v>
      </c>
      <c r="I556" s="37" t="n">
        <v>0.5205761316872428</v>
      </c>
      <c r="J556" s="37" t="n">
        <v>0.3865802516202821</v>
      </c>
      <c r="K556" s="37" t="n">
        <v>0.758893280632411</v>
      </c>
      <c r="L556" s="37" t="n">
        <v>0.7670682730923695</v>
      </c>
      <c r="M556" s="37" t="n">
        <v>0.9897073013830814</v>
      </c>
      <c r="N556" s="37" t="n">
        <v>0.2235445480862014</v>
      </c>
      <c r="O556" s="36" t="n">
        <v>0.02</v>
      </c>
      <c r="P556" s="36" t="n">
        <v>3.34</v>
      </c>
      <c r="Q556" s="36" t="n">
        <v>47.91</v>
      </c>
      <c r="R556" s="36" t="n">
        <v>102.3</v>
      </c>
      <c r="S556" s="36" t="n">
        <v>0</v>
      </c>
      <c r="T556" s="37" t="n">
        <v>0.2970912738214644</v>
      </c>
      <c r="U556" s="37" t="n">
        <v>0.3117056856187291</v>
      </c>
      <c r="V556" s="37" t="n">
        <v>0.2990853658536585</v>
      </c>
      <c r="W556" s="37" t="n">
        <v>0.871244635193133</v>
      </c>
    </row>
    <row r="557">
      <c r="A557" s="53" t="n">
        <v>45764</v>
      </c>
      <c r="B557" t="inlineStr">
        <is>
          <t>R02_Sumbagsel</t>
        </is>
      </c>
      <c r="C557" t="inlineStr">
        <is>
          <t>NOP BENGKULU</t>
        </is>
      </c>
      <c r="D557" s="36" t="n">
        <v>2.09</v>
      </c>
      <c r="E557" s="36" t="n">
        <v>4.12</v>
      </c>
      <c r="F557" s="36" t="n">
        <v>4.28</v>
      </c>
      <c r="G557" s="36" t="n">
        <v>5.94</v>
      </c>
      <c r="H557" s="37" t="n">
        <v>0.3664166185804962</v>
      </c>
      <c r="I557" s="37" t="n">
        <v>0.4460093896713615</v>
      </c>
      <c r="J557" s="37" t="n">
        <v>0.3404743687834736</v>
      </c>
      <c r="K557" s="37" t="n">
        <v>0.6736842105263158</v>
      </c>
      <c r="L557" s="37" t="n">
        <v>0.6736842105263158</v>
      </c>
      <c r="M557" s="37" t="n">
        <v>0.9942296595499135</v>
      </c>
      <c r="N557" s="37" t="n">
        <v>0.190998268897865</v>
      </c>
      <c r="O557" s="36" t="n">
        <v>0</v>
      </c>
      <c r="P557" s="36" t="n">
        <v>6.08</v>
      </c>
      <c r="Q557" s="36" t="n">
        <v>6.74</v>
      </c>
      <c r="R557" s="36" t="n">
        <v>15.98</v>
      </c>
      <c r="S557" s="36" t="n">
        <v>0</v>
      </c>
      <c r="T557" s="37" t="n">
        <v>0.4631675874769797</v>
      </c>
      <c r="U557" s="37" t="n">
        <v>0.388422035480859</v>
      </c>
      <c r="V557" s="37" t="n">
        <v>0.6374549819927972</v>
      </c>
      <c r="W557" s="37" t="n">
        <v>0.8930288461538461</v>
      </c>
    </row>
    <row r="558">
      <c r="A558" s="53" t="n">
        <v>45764</v>
      </c>
      <c r="B558" t="inlineStr">
        <is>
          <t>R02_Sumbagsel</t>
        </is>
      </c>
      <c r="C558" t="inlineStr">
        <is>
          <t>NOP JAMBI</t>
        </is>
      </c>
      <c r="D558" s="36" t="n">
        <v>3.58</v>
      </c>
      <c r="E558" s="36" t="n">
        <v>5.97</v>
      </c>
      <c r="F558" s="36" t="n">
        <v>6.55</v>
      </c>
      <c r="G558" s="36" t="n">
        <v>8.279999999999999</v>
      </c>
      <c r="H558" s="37" t="n">
        <v>0.5225127087872186</v>
      </c>
      <c r="I558" s="37" t="n">
        <v>0.5694117647058824</v>
      </c>
      <c r="J558" s="37" t="n">
        <v>0.5015756302521008</v>
      </c>
      <c r="K558" s="37" t="n">
        <v>0.6570247933884298</v>
      </c>
      <c r="L558" s="37" t="n">
        <v>0.6576763485477178</v>
      </c>
      <c r="M558" s="37" t="n">
        <v>1</v>
      </c>
      <c r="N558" s="37" t="n">
        <v>0.2726942628903413</v>
      </c>
      <c r="O558" s="36" t="n">
        <v>0</v>
      </c>
      <c r="P558" s="36" t="n">
        <v>7.48</v>
      </c>
      <c r="Q558" s="36" t="n">
        <v>16.64</v>
      </c>
      <c r="R558" s="36" t="n">
        <v>18</v>
      </c>
      <c r="S558" s="36" t="n">
        <v>0</v>
      </c>
      <c r="T558" s="37" t="n">
        <v>0.6384861145244531</v>
      </c>
      <c r="U558" s="37" t="n">
        <v>0.6324376199616123</v>
      </c>
      <c r="V558" s="37" t="n">
        <v>0.6577992744860943</v>
      </c>
      <c r="W558" s="37" t="n">
        <v>0.7412746585735963</v>
      </c>
    </row>
    <row r="559">
      <c r="A559" s="53" t="n">
        <v>45764</v>
      </c>
      <c r="B559" t="inlineStr">
        <is>
          <t>R02_Sumbagsel</t>
        </is>
      </c>
      <c r="C559" t="inlineStr">
        <is>
          <t>NOP LAMPUNG</t>
        </is>
      </c>
      <c r="D559" s="36" t="n">
        <v>3.35</v>
      </c>
      <c r="E559" s="36" t="n">
        <v>5.2</v>
      </c>
      <c r="F559" s="36" t="n">
        <v>5.02</v>
      </c>
      <c r="G559" s="36" t="n">
        <v>5.4</v>
      </c>
      <c r="H559" s="37" t="n">
        <v>0.522083805209513</v>
      </c>
      <c r="I559" s="37" t="n">
        <v>0.6790697674418604</v>
      </c>
      <c r="J559" s="37" t="n">
        <v>0.4715568862275449</v>
      </c>
      <c r="K559" s="37" t="n">
        <v>0.7123287671232876</v>
      </c>
      <c r="L559" s="37" t="n">
        <v>0.7123287671232876</v>
      </c>
      <c r="M559" s="37" t="n">
        <v>1</v>
      </c>
      <c r="N559" s="37" t="n">
        <v>0.3499433748584371</v>
      </c>
      <c r="O559" s="36" t="n">
        <v>1.51</v>
      </c>
      <c r="P559" s="36" t="n">
        <v>5.56</v>
      </c>
      <c r="Q559" s="36" t="n">
        <v>5.25</v>
      </c>
      <c r="R559" s="36" t="n">
        <v>27.04</v>
      </c>
      <c r="S559" s="36" t="n">
        <v>0</v>
      </c>
      <c r="T559" s="37" t="n">
        <v>0.9018656716417911</v>
      </c>
      <c r="U559" s="37" t="n">
        <v>0.8029079159935379</v>
      </c>
      <c r="V559" s="37" t="n">
        <v>0.9486389316897792</v>
      </c>
      <c r="W559" s="37" t="n">
        <v>0.8470824949698189</v>
      </c>
    </row>
    <row r="560">
      <c r="A560" s="53" t="n">
        <v>45764</v>
      </c>
      <c r="B560" t="inlineStr">
        <is>
          <t>R02_Sumbagsel</t>
        </is>
      </c>
      <c r="C560" t="inlineStr">
        <is>
          <t>NOP MUARA ENIM</t>
        </is>
      </c>
      <c r="D560" s="36" t="n">
        <v>2.84</v>
      </c>
      <c r="E560" s="36" t="n">
        <v>3.86</v>
      </c>
      <c r="F560" s="36" t="n">
        <v>4.45</v>
      </c>
      <c r="G560" s="36" t="n">
        <v>5.07</v>
      </c>
      <c r="H560" s="37" t="n">
        <v>0.3847472150814053</v>
      </c>
      <c r="I560" s="37" t="n">
        <v>0.316628701594533</v>
      </c>
      <c r="J560" s="37" t="n">
        <v>0.4005277044854881</v>
      </c>
      <c r="K560" s="37" t="n">
        <v>0.5611510791366906</v>
      </c>
      <c r="L560" s="37" t="n">
        <v>0.5801526717557252</v>
      </c>
      <c r="M560" s="37" t="n">
        <v>0.9751499571550986</v>
      </c>
      <c r="N560" s="37" t="n">
        <v>0.1842330762639246</v>
      </c>
      <c r="O560" s="36" t="n">
        <v>0</v>
      </c>
      <c r="P560" s="36" t="n">
        <v>4.57</v>
      </c>
      <c r="Q560" s="36" t="n">
        <v>5.81</v>
      </c>
      <c r="R560" s="36" t="n">
        <v>9.380000000000001</v>
      </c>
      <c r="S560" s="36" t="n">
        <v>0</v>
      </c>
      <c r="T560" s="37" t="n">
        <v>0.4914933837429111</v>
      </c>
      <c r="U560" s="37" t="n">
        <v>0.5051975051975052</v>
      </c>
      <c r="V560" s="37" t="n">
        <v>0.5548245614035088</v>
      </c>
      <c r="W560" s="37" t="n">
        <v>0.8024691358024691</v>
      </c>
    </row>
    <row r="561">
      <c r="A561" s="53" t="n">
        <v>45764</v>
      </c>
      <c r="B561" t="inlineStr">
        <is>
          <t>R02_Sumbagsel</t>
        </is>
      </c>
      <c r="C561" t="inlineStr">
        <is>
          <t>NOP PALEMBANG</t>
        </is>
      </c>
      <c r="D561" s="36" t="n">
        <v>3.52</v>
      </c>
      <c r="E561" s="36" t="n">
        <v>5.25</v>
      </c>
      <c r="F561" s="36" t="n">
        <v>8.57</v>
      </c>
      <c r="G561" s="36" t="n">
        <v>9.140000000000001</v>
      </c>
      <c r="H561" s="37" t="n">
        <v>0.3044091710758378</v>
      </c>
      <c r="I561" s="37" t="n">
        <v>0.2990654205607476</v>
      </c>
      <c r="J561" s="37" t="n">
        <v>0.3050914876690533</v>
      </c>
      <c r="K561" s="37" t="n">
        <v>0.4479166666666667</v>
      </c>
      <c r="L561" s="37" t="n">
        <v>0.4479166666666667</v>
      </c>
      <c r="M561" s="37" t="n">
        <v>1</v>
      </c>
      <c r="N561" s="37" t="n">
        <v>0.1361552028218695</v>
      </c>
      <c r="O561" s="36" t="n">
        <v>0</v>
      </c>
      <c r="P561" s="36" t="n">
        <v>6.55</v>
      </c>
      <c r="Q561" s="36" t="n">
        <v>11.42</v>
      </c>
      <c r="R561" s="36" t="n">
        <v>6.01</v>
      </c>
      <c r="S561" s="36" t="n">
        <v>0</v>
      </c>
      <c r="T561" s="37" t="n">
        <v>0.2939618644067797</v>
      </c>
      <c r="U561" s="37" t="n">
        <v>0.248780487804878</v>
      </c>
      <c r="V561" s="37" t="n">
        <v>0.4058309037900875</v>
      </c>
      <c r="W561" s="37" t="n">
        <v>0.4338235294117647</v>
      </c>
    </row>
    <row r="562">
      <c r="A562" s="53" t="n">
        <v>45764</v>
      </c>
      <c r="B562" t="inlineStr">
        <is>
          <t>R02_Sumbagsel</t>
        </is>
      </c>
      <c r="C562" t="inlineStr">
        <is>
          <t>NOP PANGKAL PINANG</t>
        </is>
      </c>
      <c r="D562" s="36" t="n">
        <v>2.01</v>
      </c>
      <c r="E562" s="36" t="n">
        <v>2.73</v>
      </c>
      <c r="F562" s="36" t="n">
        <v>5.32</v>
      </c>
      <c r="G562" s="36" t="n">
        <v>6.62</v>
      </c>
      <c r="H562" s="37" t="n">
        <v>0.6574923547400612</v>
      </c>
      <c r="I562" s="37" t="n">
        <v>0.6842105263157895</v>
      </c>
      <c r="J562" s="37" t="n">
        <v>0.6558441558441559</v>
      </c>
      <c r="K562" s="37" t="n">
        <v>0.6923076923076923</v>
      </c>
      <c r="L562" s="37" t="n">
        <v>0.6923076923076923</v>
      </c>
      <c r="M562" s="37" t="n">
        <v>0.9969418960244648</v>
      </c>
      <c r="N562" s="37" t="n">
        <v>0.3700305810397553</v>
      </c>
      <c r="O562" s="36" t="n">
        <v>0</v>
      </c>
      <c r="P562" s="36" t="n">
        <v>4.13</v>
      </c>
      <c r="Q562" s="36" t="n">
        <v>6.84</v>
      </c>
      <c r="R562" s="36" t="n">
        <v>7.3</v>
      </c>
      <c r="S562" s="36" t="n">
        <v>0</v>
      </c>
      <c r="T562" s="37" t="n">
        <v>0.797583081570997</v>
      </c>
      <c r="U562" s="37" t="n">
        <v>0.8601823708206687</v>
      </c>
      <c r="V562" s="37" t="n">
        <v>0.8598290598290599</v>
      </c>
      <c r="W562" s="37" t="n">
        <v>0.7420494699646644</v>
      </c>
    </row>
    <row r="563">
      <c r="A563" s="53" t="n">
        <v>45764</v>
      </c>
      <c r="B563" t="inlineStr">
        <is>
          <t>R05_Jawa Tengah DIY</t>
        </is>
      </c>
      <c r="C563" t="inlineStr">
        <is>
          <t>NOP MAGELANG</t>
        </is>
      </c>
      <c r="D563" s="36" t="n">
        <v>5.13</v>
      </c>
      <c r="E563" s="36" t="n">
        <v>0</v>
      </c>
      <c r="F563" s="36" t="n">
        <v>4.72</v>
      </c>
      <c r="G563" s="36" t="n">
        <v>4.99</v>
      </c>
      <c r="H563" s="37" t="n">
        <v>0.7549668874172185</v>
      </c>
      <c r="I563" s="37" t="n">
        <v>0.9655172413793104</v>
      </c>
      <c r="J563" s="37" t="n">
        <v>0.7326007326007326</v>
      </c>
      <c r="K563" s="37" t="n">
        <v>0.7142857142857143</v>
      </c>
      <c r="L563" s="37" t="n">
        <v>0.7142857142857143</v>
      </c>
      <c r="M563" s="37" t="n">
        <v>1</v>
      </c>
      <c r="N563" s="37" t="n">
        <v>0.6622516556291391</v>
      </c>
      <c r="O563" s="36" t="n">
        <v>0.3</v>
      </c>
      <c r="P563" s="36" t="n">
        <v>5.52</v>
      </c>
      <c r="Q563" s="36" t="n">
        <v>7.72</v>
      </c>
      <c r="R563" s="36" t="n">
        <v>19.91</v>
      </c>
      <c r="S563" s="36" t="n">
        <v>0</v>
      </c>
      <c r="T563" s="37" t="n">
        <v>0.9303904923599321</v>
      </c>
      <c r="U563" s="37" t="n">
        <v>0.8941176470588236</v>
      </c>
      <c r="V563" s="37" t="n">
        <v>0.9365079365079365</v>
      </c>
      <c r="W563" s="37" t="n">
        <v>0.8552631578947368</v>
      </c>
    </row>
    <row r="564">
      <c r="A564" s="53" t="n">
        <v>45764</v>
      </c>
      <c r="B564" t="inlineStr">
        <is>
          <t>R05_Jawa Tengah DIY</t>
        </is>
      </c>
      <c r="C564" t="inlineStr">
        <is>
          <t>NOP PEKALONGAN</t>
        </is>
      </c>
      <c r="D564" s="36" t="n">
        <v>4.22</v>
      </c>
      <c r="E564" s="36" t="n">
        <v>0</v>
      </c>
      <c r="F564" s="36" t="n">
        <v>3.4</v>
      </c>
      <c r="G564" s="36" t="n">
        <v>3.86</v>
      </c>
      <c r="H564" s="37" t="n">
        <v>0.6255144032921811</v>
      </c>
      <c r="I564" s="37" t="n">
        <v>0.8333333333333334</v>
      </c>
      <c r="J564" s="37" t="n">
        <v>0.6088888888888889</v>
      </c>
      <c r="K564" s="37" t="n">
        <v>1</v>
      </c>
      <c r="L564" s="37" t="n">
        <v>1</v>
      </c>
      <c r="M564" s="37" t="n">
        <v>0.9753086419753086</v>
      </c>
      <c r="N564" s="37" t="n">
        <v>0.6008230452674898</v>
      </c>
      <c r="O564" s="36" t="n">
        <v>0.01</v>
      </c>
      <c r="P564" s="36" t="n">
        <v>3.29</v>
      </c>
      <c r="Q564" s="36" t="n">
        <v>5.38</v>
      </c>
      <c r="R564" s="36" t="n">
        <v>52.11</v>
      </c>
      <c r="S564" s="36" t="n">
        <v>0</v>
      </c>
      <c r="T564" s="37" t="n">
        <v>0.8233995584988962</v>
      </c>
      <c r="U564" s="37" t="n">
        <v>0.7407407407407407</v>
      </c>
      <c r="V564" s="37" t="n">
        <v>0.8492753623188406</v>
      </c>
      <c r="W564" s="37" t="n">
        <v>0.6875</v>
      </c>
    </row>
    <row r="565">
      <c r="A565" s="53" t="n">
        <v>45764</v>
      </c>
      <c r="B565" t="inlineStr">
        <is>
          <t>R05_Jawa Tengah DIY</t>
        </is>
      </c>
      <c r="C565" t="inlineStr">
        <is>
          <t>NOP PURWOKERTO</t>
        </is>
      </c>
      <c r="D565" s="36" t="n">
        <v>2.42</v>
      </c>
      <c r="E565" s="36" t="n">
        <v>0</v>
      </c>
      <c r="F565" s="36" t="n">
        <v>3.38</v>
      </c>
      <c r="G565" s="36" t="n">
        <v>3.8</v>
      </c>
      <c r="H565" s="37" t="n">
        <v>0.7883211678832117</v>
      </c>
      <c r="I565" s="37" t="n">
        <v>0.7307692307692307</v>
      </c>
      <c r="J565" s="37" t="n">
        <v>0.7943548387096774</v>
      </c>
      <c r="K565" s="37" t="n">
        <v>1</v>
      </c>
      <c r="L565" s="37" t="n">
        <v>1</v>
      </c>
      <c r="M565" s="37" t="n">
        <v>0.9708029197080292</v>
      </c>
      <c r="N565" s="37" t="n">
        <v>0.5291970802919708</v>
      </c>
      <c r="O565" s="36" t="n">
        <v>0.31</v>
      </c>
      <c r="P565" s="36" t="n">
        <v>3.79</v>
      </c>
      <c r="Q565" s="36" t="n">
        <v>12.75</v>
      </c>
      <c r="R565" s="36" t="n">
        <v>41.42</v>
      </c>
      <c r="S565" s="36" t="n">
        <v>0</v>
      </c>
      <c r="T565" s="37" t="n">
        <v>0.7785087719298246</v>
      </c>
      <c r="U565" s="37" t="n">
        <v>0.776595744680851</v>
      </c>
      <c r="V565" s="37" t="n">
        <v>0.7790055248618785</v>
      </c>
      <c r="W565" s="37" t="n">
        <v>0.7808219178082192</v>
      </c>
    </row>
    <row r="566">
      <c r="A566" s="53" t="n">
        <v>45764</v>
      </c>
      <c r="B566" t="inlineStr">
        <is>
          <t>R05_Jawa Tengah DIY</t>
        </is>
      </c>
      <c r="C566" t="inlineStr">
        <is>
          <t>NOP SEMARANG</t>
        </is>
      </c>
      <c r="D566" s="36" t="n">
        <v>2.45</v>
      </c>
      <c r="E566" s="36" t="n">
        <v>1.7</v>
      </c>
      <c r="F566" s="36" t="n">
        <v>3.05</v>
      </c>
      <c r="G566" s="36" t="n">
        <v>3.24</v>
      </c>
      <c r="H566" s="37" t="n">
        <v>0.4296482412060301</v>
      </c>
      <c r="I566" s="37" t="n">
        <v>0.4615384615384616</v>
      </c>
      <c r="J566" s="37" t="n">
        <v>0.4261838440111421</v>
      </c>
      <c r="K566" s="37" t="n">
        <v>1</v>
      </c>
      <c r="L566" s="37" t="n">
        <v>1</v>
      </c>
      <c r="M566" s="37" t="n">
        <v>0.9522613065326633</v>
      </c>
      <c r="N566" s="37" t="n">
        <v>0.2587939698492462</v>
      </c>
      <c r="O566" s="36" t="n">
        <v>0.01</v>
      </c>
      <c r="P566" s="36" t="n">
        <v>3.54</v>
      </c>
      <c r="Q566" s="36" t="n">
        <v>10.73</v>
      </c>
      <c r="R566" s="36" t="n">
        <v>78.3</v>
      </c>
      <c r="S566" s="36" t="n">
        <v>0</v>
      </c>
      <c r="T566" s="37" t="n">
        <v>0.7006172839506173</v>
      </c>
      <c r="U566" s="37" t="n">
        <v>0.3910891089108911</v>
      </c>
      <c r="V566" s="37" t="n">
        <v>0.8408071748878924</v>
      </c>
      <c r="W566" s="37" t="n">
        <v>0.8734177215189873</v>
      </c>
    </row>
    <row r="567">
      <c r="A567" s="53" t="n">
        <v>45764</v>
      </c>
      <c r="B567" t="inlineStr">
        <is>
          <t>R05_Jawa Tengah DIY</t>
        </is>
      </c>
      <c r="C567" t="inlineStr">
        <is>
          <t>NOP SURAKARTA</t>
        </is>
      </c>
      <c r="D567" s="36" t="n">
        <v>4.17</v>
      </c>
      <c r="E567" s="36" t="n">
        <v>2.15</v>
      </c>
      <c r="F567" s="36" t="n">
        <v>4.63</v>
      </c>
      <c r="G567" s="36" t="n">
        <v>4.63</v>
      </c>
      <c r="H567" s="37" t="n">
        <v>0.7051282051282052</v>
      </c>
      <c r="I567" s="37" t="n">
        <v>0.8867924528301887</v>
      </c>
      <c r="J567" s="37" t="n">
        <v>0.6819277108433734</v>
      </c>
      <c r="K567" s="37" t="n">
        <v>0.9361702127659575</v>
      </c>
      <c r="L567" s="37" t="n">
        <v>0.9361702127659575</v>
      </c>
      <c r="M567" s="37" t="n">
        <v>0.9764957264957265</v>
      </c>
      <c r="N567" s="37" t="n">
        <v>0.485042735042735</v>
      </c>
      <c r="O567" s="36" t="n">
        <v>0.14</v>
      </c>
      <c r="P567" s="36" t="n">
        <v>3.68</v>
      </c>
      <c r="Q567" s="36" t="n">
        <v>8.210000000000001</v>
      </c>
      <c r="R567" s="36" t="n">
        <v>66.95999999999999</v>
      </c>
      <c r="S567" s="36" t="n">
        <v>0</v>
      </c>
      <c r="T567" s="37" t="n">
        <v>0.8046511627906977</v>
      </c>
      <c r="U567" s="37" t="n">
        <v>0.7262569832402235</v>
      </c>
      <c r="V567" s="37" t="n">
        <v>0.8347639484978541</v>
      </c>
      <c r="W567" s="37" t="n">
        <v>0.7692307692307693</v>
      </c>
    </row>
    <row r="568">
      <c r="A568" s="53" t="n">
        <v>45764</v>
      </c>
      <c r="B568" t="inlineStr">
        <is>
          <t>R05_Jawa Tengah DIY</t>
        </is>
      </c>
      <c r="C568" t="inlineStr">
        <is>
          <t>NOP YOGYAKARTA</t>
        </is>
      </c>
      <c r="D568" s="36" t="n">
        <v>2.98</v>
      </c>
      <c r="E568" s="36" t="n">
        <v>0</v>
      </c>
      <c r="F568" s="36" t="n">
        <v>3.79</v>
      </c>
      <c r="G568" s="36" t="n">
        <v>4.16</v>
      </c>
      <c r="H568" s="37" t="n">
        <v>0.6075268817204301</v>
      </c>
      <c r="I568" s="37" t="n">
        <v>0.9583333333333334</v>
      </c>
      <c r="J568" s="37" t="n">
        <v>0.5833333333333334</v>
      </c>
      <c r="K568" s="37" t="n">
        <v>0.9130434782608695</v>
      </c>
      <c r="L568" s="37" t="n">
        <v>0.9047619047619048</v>
      </c>
      <c r="M568" s="37" t="n">
        <v>0.9946236559139785</v>
      </c>
      <c r="N568" s="37" t="n">
        <v>0.4166666666666667</v>
      </c>
      <c r="O568" s="36" t="n">
        <v>0</v>
      </c>
      <c r="P568" s="36" t="n">
        <v>3.08</v>
      </c>
      <c r="Q568" s="36" t="n">
        <v>15.11</v>
      </c>
      <c r="R568" s="36" t="n">
        <v>42.57</v>
      </c>
      <c r="S568" s="36" t="n">
        <v>0</v>
      </c>
      <c r="T568" s="37" t="n">
        <v>0.9343575418994413</v>
      </c>
      <c r="U568" s="37" t="n">
        <v>0.8198198198198198</v>
      </c>
      <c r="V568" s="37" t="n">
        <v>0.9553719008264463</v>
      </c>
      <c r="W568" s="37" t="n">
        <v>0.978021978021978</v>
      </c>
    </row>
    <row r="569">
      <c r="A569" s="53" t="n">
        <v>45764</v>
      </c>
      <c r="B569" t="inlineStr">
        <is>
          <t>R06_Jawa Timur</t>
        </is>
      </c>
      <c r="C569" t="inlineStr">
        <is>
          <t>NOP JEMBER</t>
        </is>
      </c>
      <c r="D569" s="36" t="n">
        <v>2.08</v>
      </c>
      <c r="E569" s="36" t="n">
        <v>2.64</v>
      </c>
      <c r="F569" s="36" t="n">
        <v>3.09</v>
      </c>
      <c r="G569" s="36" t="n">
        <v>3.5</v>
      </c>
      <c r="H569" s="37" t="n">
        <v>0.6792452830188679</v>
      </c>
      <c r="I569" s="37" t="n">
        <v>0.6538461538461539</v>
      </c>
      <c r="J569" s="37" t="n">
        <v>0.6815068493150684</v>
      </c>
      <c r="K569" s="37" t="n">
        <v>0.7647058823529411</v>
      </c>
      <c r="L569" s="37" t="n">
        <v>0.7647058823529411</v>
      </c>
      <c r="M569" s="37" t="n">
        <v>0.9842767295597484</v>
      </c>
      <c r="N569" s="37" t="n">
        <v>0.3490566037735849</v>
      </c>
      <c r="O569" s="36" t="n">
        <v>0</v>
      </c>
      <c r="P569" s="36" t="n">
        <v>2.84</v>
      </c>
      <c r="Q569" s="36" t="n">
        <v>4.76</v>
      </c>
      <c r="R569" s="36" t="n">
        <v>114.28</v>
      </c>
      <c r="S569" s="36" t="n">
        <v>0</v>
      </c>
      <c r="T569" s="37" t="n">
        <v>0.8081264108352144</v>
      </c>
      <c r="U569" s="37" t="n">
        <v>0.780952380952381</v>
      </c>
      <c r="V569" s="37" t="n">
        <v>0.8165680473372781</v>
      </c>
      <c r="W569" s="37" t="n">
        <v>0.7804878048780488</v>
      </c>
    </row>
    <row r="570">
      <c r="A570" s="53" t="n">
        <v>45764</v>
      </c>
      <c r="B570" t="inlineStr">
        <is>
          <t>R06_Jawa Timur</t>
        </is>
      </c>
      <c r="C570" t="inlineStr">
        <is>
          <t>NOP KEDIRI</t>
        </is>
      </c>
      <c r="D570" s="36" t="n">
        <v>1.1</v>
      </c>
      <c r="E570" s="36" t="n">
        <v>0.7</v>
      </c>
      <c r="F570" s="36" t="n">
        <v>2.4</v>
      </c>
      <c r="G570" s="36" t="n">
        <v>1.94</v>
      </c>
      <c r="H570" s="37" t="n">
        <v>0.8695652173913043</v>
      </c>
      <c r="I570" s="37" t="n">
        <v>0.8</v>
      </c>
      <c r="J570" s="37" t="n">
        <v>0.8721804511278195</v>
      </c>
      <c r="K570" s="37" t="n">
        <v>0.5</v>
      </c>
      <c r="L570" s="37" t="n">
        <v>0.5</v>
      </c>
      <c r="M570" s="37" t="n">
        <v>1</v>
      </c>
      <c r="N570" s="37" t="n">
        <v>0.5942028985507246</v>
      </c>
      <c r="O570" s="36" t="n">
        <v>0</v>
      </c>
      <c r="P570" s="36" t="n">
        <v>1.91</v>
      </c>
      <c r="Q570" s="36" t="n">
        <v>3.55</v>
      </c>
      <c r="R570" s="36" t="n">
        <v>13.85</v>
      </c>
      <c r="S570" s="36" t="n">
        <v>0</v>
      </c>
      <c r="T570" s="37" t="n">
        <v>0.952</v>
      </c>
      <c r="U570" s="37" t="n">
        <v>0.8909090909090909</v>
      </c>
      <c r="V570" s="37" t="n">
        <v>0.9692307692307692</v>
      </c>
      <c r="W570" s="37" t="n">
        <v>0.8775510204081632</v>
      </c>
    </row>
    <row r="571">
      <c r="A571" s="53" t="n">
        <v>45764</v>
      </c>
      <c r="B571" t="inlineStr">
        <is>
          <t>R06_Jawa Timur</t>
        </is>
      </c>
      <c r="C571" t="inlineStr">
        <is>
          <t>NOP LAMONGAN</t>
        </is>
      </c>
      <c r="D571" s="36" t="n">
        <v>1.36</v>
      </c>
      <c r="E571" s="36" t="n">
        <v>1.01</v>
      </c>
      <c r="F571" s="36" t="n">
        <v>3.2</v>
      </c>
      <c r="G571" s="36" t="n">
        <v>3.55</v>
      </c>
      <c r="H571" s="37" t="n">
        <v>0.8068965517241379</v>
      </c>
      <c r="I571" s="37" t="n">
        <v>0.9230769230769231</v>
      </c>
      <c r="J571" s="37" t="n">
        <v>0.7954545454545454</v>
      </c>
      <c r="K571" s="37" t="n">
        <v>0.9166666666666666</v>
      </c>
      <c r="L571" s="37" t="n">
        <v>0.9166666666666666</v>
      </c>
      <c r="M571" s="37" t="n">
        <v>1</v>
      </c>
      <c r="N571" s="37" t="n">
        <v>0.7172413793103448</v>
      </c>
      <c r="O571" s="36" t="n">
        <v>0</v>
      </c>
      <c r="P571" s="36" t="n">
        <v>2.75</v>
      </c>
      <c r="Q571" s="36" t="n">
        <v>10.82</v>
      </c>
      <c r="R571" s="36" t="n">
        <v>36.31</v>
      </c>
      <c r="S571" s="36" t="n">
        <v>0</v>
      </c>
      <c r="T571" s="37" t="n">
        <v>0.7865168539325843</v>
      </c>
      <c r="U571" s="37" t="n">
        <v>0.6712328767123288</v>
      </c>
      <c r="V571" s="37" t="n">
        <v>0.8666666666666667</v>
      </c>
      <c r="W571" s="37" t="n">
        <v>0.8571428571428571</v>
      </c>
    </row>
    <row r="572">
      <c r="A572" s="53" t="n">
        <v>45764</v>
      </c>
      <c r="B572" t="inlineStr">
        <is>
          <t>R06_Jawa Timur</t>
        </is>
      </c>
      <c r="C572" t="inlineStr">
        <is>
          <t>NOP MADIUN</t>
        </is>
      </c>
      <c r="D572" s="36" t="n">
        <v>0.63</v>
      </c>
      <c r="E572" s="36" t="n">
        <v>0</v>
      </c>
      <c r="F572" s="36" t="n">
        <v>2.8</v>
      </c>
      <c r="G572" s="36" t="n">
        <v>3.52</v>
      </c>
      <c r="H572" s="37" t="n">
        <v>0.6351351351351351</v>
      </c>
      <c r="I572" s="37" t="n">
        <v>1</v>
      </c>
      <c r="J572" s="37" t="n">
        <v>0.6284403669724771</v>
      </c>
      <c r="K572" s="37" t="n">
        <v>1</v>
      </c>
      <c r="L572" s="37" t="n">
        <v>1</v>
      </c>
      <c r="M572" s="37" t="n">
        <v>0.9954954954954955</v>
      </c>
      <c r="N572" s="37" t="n">
        <v>0.3693693693693694</v>
      </c>
      <c r="O572" s="36" t="n">
        <v>0</v>
      </c>
      <c r="P572" s="36" t="n">
        <v>2.55</v>
      </c>
      <c r="Q572" s="36" t="n">
        <v>6.32</v>
      </c>
      <c r="R572" s="36" t="n">
        <v>46.21</v>
      </c>
      <c r="S572" s="36" t="n">
        <v>0</v>
      </c>
      <c r="T572" s="37" t="n">
        <v>0.6952380952380952</v>
      </c>
      <c r="U572" s="37" t="n">
        <v>0.6890756302521008</v>
      </c>
      <c r="V572" s="37" t="n">
        <v>0.6989795918367347</v>
      </c>
      <c r="W572" s="37" t="n">
        <v>0.7439024390243902</v>
      </c>
    </row>
    <row r="573">
      <c r="A573" s="53" t="n">
        <v>45764</v>
      </c>
      <c r="B573" t="inlineStr">
        <is>
          <t>R06_Jawa Timur</t>
        </is>
      </c>
      <c r="C573" t="inlineStr">
        <is>
          <t>NOP MALANG</t>
        </is>
      </c>
      <c r="D573" s="36" t="n">
        <v>1.12</v>
      </c>
      <c r="E573" s="36" t="n">
        <v>0</v>
      </c>
      <c r="F573" s="36" t="n">
        <v>2.61</v>
      </c>
      <c r="G573" s="36" t="n">
        <v>2.87</v>
      </c>
      <c r="H573" s="37" t="n">
        <v>0.8284671532846716</v>
      </c>
      <c r="I573" s="37" t="n">
        <v>0.8</v>
      </c>
      <c r="J573" s="37" t="n">
        <v>0.828996282527881</v>
      </c>
      <c r="K573" s="37" t="n">
        <v>1</v>
      </c>
      <c r="L573" s="37" t="n">
        <v>1</v>
      </c>
      <c r="M573" s="37" t="n">
        <v>0.9963503649635036</v>
      </c>
      <c r="N573" s="37" t="n">
        <v>0.7664233576642335</v>
      </c>
      <c r="O573" s="36" t="n">
        <v>0.02</v>
      </c>
      <c r="P573" s="36" t="n">
        <v>2.98</v>
      </c>
      <c r="Q573" s="36" t="n">
        <v>4.83</v>
      </c>
      <c r="R573" s="36" t="n">
        <v>61.43</v>
      </c>
      <c r="S573" s="36" t="n">
        <v>0</v>
      </c>
      <c r="T573" s="37" t="n">
        <v>0.7826086956521739</v>
      </c>
      <c r="U573" s="37" t="n">
        <v>0.6914893617021277</v>
      </c>
      <c r="V573" s="37" t="n">
        <v>0.8584070796460177</v>
      </c>
      <c r="W573" s="37" t="n">
        <v>0.5692307692307692</v>
      </c>
    </row>
    <row r="574">
      <c r="A574" s="53" t="n">
        <v>45764</v>
      </c>
      <c r="B574" t="inlineStr">
        <is>
          <t>R06_Jawa Timur</t>
        </is>
      </c>
      <c r="C574" t="inlineStr">
        <is>
          <t>NOP SIDOARJO</t>
        </is>
      </c>
      <c r="D574" s="36" t="n">
        <v>3.12</v>
      </c>
      <c r="E574" s="36" t="n">
        <v>6.27</v>
      </c>
      <c r="F574" s="36" t="n">
        <v>3.15</v>
      </c>
      <c r="G574" s="36" t="n">
        <v>4.6</v>
      </c>
      <c r="H574" s="37" t="n">
        <v>0.5673469387755102</v>
      </c>
      <c r="I574" s="37" t="n">
        <v>0.88</v>
      </c>
      <c r="J574" s="37" t="n">
        <v>0.5318181818181819</v>
      </c>
      <c r="K574" s="37" t="n">
        <v>0.9090909090909091</v>
      </c>
      <c r="L574" s="37" t="n">
        <v>0.9090909090909091</v>
      </c>
      <c r="M574" s="37" t="n">
        <v>0.9755102040816327</v>
      </c>
      <c r="N574" s="37" t="n">
        <v>0.3959183673469387</v>
      </c>
      <c r="O574" s="36" t="n">
        <v>0</v>
      </c>
      <c r="P574" s="36" t="n">
        <v>6</v>
      </c>
      <c r="Q574" s="36" t="n">
        <v>11.42</v>
      </c>
      <c r="R574" s="36" t="n">
        <v>52.66</v>
      </c>
      <c r="S574" s="36" t="n">
        <v>0</v>
      </c>
      <c r="T574" s="37" t="n">
        <v>0.7578125</v>
      </c>
      <c r="U574" s="37" t="n">
        <v>0.5094339622641509</v>
      </c>
      <c r="V574" s="37" t="n">
        <v>0.8226600985221675</v>
      </c>
      <c r="W574" s="37" t="n">
        <v>0.5555555555555556</v>
      </c>
    </row>
    <row r="575">
      <c r="A575" s="53" t="n">
        <v>45764</v>
      </c>
      <c r="B575" t="inlineStr">
        <is>
          <t>R06_Jawa Timur</t>
        </is>
      </c>
      <c r="C575" t="inlineStr">
        <is>
          <t>NOP SURABAYA</t>
        </is>
      </c>
      <c r="D575" s="36" t="n">
        <v>2.13</v>
      </c>
      <c r="E575" s="36" t="n">
        <v>0</v>
      </c>
      <c r="F575" s="36" t="n">
        <v>6.26</v>
      </c>
      <c r="G575" s="36" t="n">
        <v>3.77</v>
      </c>
      <c r="H575" s="37" t="n">
        <v>0.5789473684210527</v>
      </c>
      <c r="I575" s="37" t="n">
        <v>0.4594594594594595</v>
      </c>
      <c r="J575" s="37" t="n">
        <v>0.5934426229508196</v>
      </c>
      <c r="K575" s="37" t="n">
        <v>0.8823529411764706</v>
      </c>
      <c r="L575" s="37" t="n">
        <v>0.8823529411764706</v>
      </c>
      <c r="M575" s="37" t="n">
        <v>0.9707602339181286</v>
      </c>
      <c r="N575" s="37" t="n">
        <v>0.4093567251461988</v>
      </c>
      <c r="O575" s="36" t="n">
        <v>0.04</v>
      </c>
      <c r="P575" s="36" t="n">
        <v>3.48</v>
      </c>
      <c r="Q575" s="36" t="n">
        <v>7.76</v>
      </c>
      <c r="R575" s="36" t="n">
        <v>28.87</v>
      </c>
      <c r="S575" s="36" t="n">
        <v>0</v>
      </c>
      <c r="T575" s="37" t="n">
        <v>0.6682926829268293</v>
      </c>
      <c r="U575" s="37" t="n">
        <v>0.5980392156862745</v>
      </c>
      <c r="V575" s="37" t="n">
        <v>0.682261208576998</v>
      </c>
      <c r="W575" s="37" t="n">
        <v>0.8360655737704918</v>
      </c>
    </row>
    <row r="576">
      <c r="A576" s="53" t="n">
        <v>45764</v>
      </c>
      <c r="B576" t="inlineStr">
        <is>
          <t>R07_Bali Nusra</t>
        </is>
      </c>
      <c r="C576" t="inlineStr">
        <is>
          <t>NOP DENPASAR</t>
        </is>
      </c>
      <c r="D576" s="36" t="n">
        <v>2.95</v>
      </c>
      <c r="E576" s="36" t="n">
        <v>0</v>
      </c>
      <c r="F576" s="36" t="n">
        <v>5.36</v>
      </c>
      <c r="G576" s="36" t="n">
        <v>4.41</v>
      </c>
      <c r="H576" s="37" t="n">
        <v>0.875</v>
      </c>
      <c r="I576" s="37" t="n">
        <v>0.8571428571428571</v>
      </c>
      <c r="J576" s="37" t="n">
        <v>0.8793103448275862</v>
      </c>
      <c r="K576" s="37" t="n">
        <v>0.9444444444444444</v>
      </c>
      <c r="L576" s="37" t="n">
        <v>0.9444444444444444</v>
      </c>
      <c r="M576" s="37" t="n">
        <v>0.9629629629629629</v>
      </c>
      <c r="N576" s="37" t="n">
        <v>0.8425925925925926</v>
      </c>
      <c r="O576" s="36" t="n">
        <v>0</v>
      </c>
      <c r="P576" s="36" t="n">
        <v>39.72</v>
      </c>
      <c r="Q576" s="36" t="n">
        <v>23.61</v>
      </c>
      <c r="R576" s="36" t="n">
        <v>77.58</v>
      </c>
      <c r="S576" s="36" t="n">
        <v>0</v>
      </c>
      <c r="T576" s="37" t="n">
        <v>0.8664921465968587</v>
      </c>
      <c r="U576" s="37" t="n">
        <v>0.8181818181818182</v>
      </c>
      <c r="V576" s="37" t="n">
        <v>0.8786885245901639</v>
      </c>
      <c r="W576" s="37" t="n">
        <v>0.3968253968253968</v>
      </c>
    </row>
    <row r="577">
      <c r="A577" s="53" t="n">
        <v>45764</v>
      </c>
      <c r="B577" t="inlineStr">
        <is>
          <t>R07_Bali Nusra</t>
        </is>
      </c>
      <c r="C577" t="inlineStr">
        <is>
          <t>NOP FLORES</t>
        </is>
      </c>
      <c r="D577" s="36" t="n">
        <v>8.869999999999999</v>
      </c>
      <c r="E577" s="36" t="n">
        <v>5.67</v>
      </c>
      <c r="F577" s="36" t="n">
        <v>8.43</v>
      </c>
      <c r="G577" s="36" t="n">
        <v>10.62</v>
      </c>
      <c r="H577" s="37" t="n">
        <v>0.4359447004608295</v>
      </c>
      <c r="I577" s="37" t="n">
        <v>0.5631768953068592</v>
      </c>
      <c r="J577" s="37" t="n">
        <v>0.3923267326732673</v>
      </c>
      <c r="K577" s="37" t="n">
        <v>0.5833333333333334</v>
      </c>
      <c r="L577" s="37" t="n">
        <v>0.6</v>
      </c>
      <c r="M577" s="37" t="n">
        <v>0.9889400921658986</v>
      </c>
      <c r="N577" s="37" t="n">
        <v>0.2506912442396314</v>
      </c>
      <c r="O577" s="36" t="n">
        <v>0.17</v>
      </c>
      <c r="P577" s="36" t="n">
        <v>12.94</v>
      </c>
      <c r="Q577" s="36" t="n">
        <v>9.32</v>
      </c>
      <c r="R577" s="36" t="n">
        <v>48.4</v>
      </c>
      <c r="S577" s="36" t="n">
        <v>0</v>
      </c>
      <c r="T577" s="37" t="n">
        <v>0.4438502673796791</v>
      </c>
      <c r="U577" s="37" t="n">
        <v>0.4873772791023843</v>
      </c>
      <c r="V577" s="37" t="n">
        <v>0.3454833597464342</v>
      </c>
      <c r="W577" s="37" t="n">
        <v>0.6633093525179856</v>
      </c>
    </row>
    <row r="578">
      <c r="A578" s="53" t="n">
        <v>45764</v>
      </c>
      <c r="B578" t="inlineStr">
        <is>
          <t>R07_Bali Nusra</t>
        </is>
      </c>
      <c r="C578" t="inlineStr">
        <is>
          <t>NOP KUPANG</t>
        </is>
      </c>
      <c r="D578" s="36" t="n">
        <v>1.18</v>
      </c>
      <c r="E578" s="36" t="n">
        <v>6.36</v>
      </c>
      <c r="F578" s="36" t="n">
        <v>3.9</v>
      </c>
      <c r="G578" s="36" t="n">
        <v>7.46</v>
      </c>
      <c r="H578" s="37" t="n">
        <v>0.5148005148005148</v>
      </c>
      <c r="I578" s="37" t="n">
        <v>0.6146788990825688</v>
      </c>
      <c r="J578" s="37" t="n">
        <v>0.4985029940119761</v>
      </c>
      <c r="K578" s="37" t="n">
        <v>0.6268656716417911</v>
      </c>
      <c r="L578" s="37" t="n">
        <v>0.6268656716417911</v>
      </c>
      <c r="M578" s="37" t="n">
        <v>0.990990990990991</v>
      </c>
      <c r="N578" s="37" t="n">
        <v>0.1930501930501931</v>
      </c>
      <c r="O578" s="36" t="n">
        <v>0.11</v>
      </c>
      <c r="P578" s="36" t="n">
        <v>8.83</v>
      </c>
      <c r="Q578" s="36" t="n">
        <v>20.49</v>
      </c>
      <c r="R578" s="36" t="n">
        <v>164.78</v>
      </c>
      <c r="S578" s="36" t="n">
        <v>0</v>
      </c>
      <c r="T578" s="37" t="n">
        <v>0.575021682567216</v>
      </c>
      <c r="U578" s="37" t="n">
        <v>0.5783633841886269</v>
      </c>
      <c r="V578" s="37" t="n">
        <v>0.5694444444444444</v>
      </c>
      <c r="W578" s="37" t="n">
        <v>0.6378896882494005</v>
      </c>
    </row>
    <row r="579">
      <c r="A579" s="53" t="n">
        <v>45764</v>
      </c>
      <c r="B579" t="inlineStr">
        <is>
          <t>R07_Bali Nusra</t>
        </is>
      </c>
      <c r="C579" t="inlineStr">
        <is>
          <t>NOP MATARAM</t>
        </is>
      </c>
      <c r="D579" s="36" t="n">
        <v>2.76</v>
      </c>
      <c r="E579" s="36" t="n">
        <v>3.71</v>
      </c>
      <c r="F579" s="36" t="n">
        <v>4.38</v>
      </c>
      <c r="G579" s="36" t="n">
        <v>5.47</v>
      </c>
      <c r="H579" s="37" t="n">
        <v>0.526829268292683</v>
      </c>
      <c r="I579" s="37" t="n">
        <v>0.6792452830188679</v>
      </c>
      <c r="J579" s="37" t="n">
        <v>0.5042016806722689</v>
      </c>
      <c r="K579" s="37" t="n">
        <v>0.7777777777777778</v>
      </c>
      <c r="L579" s="37" t="n">
        <v>0.7777777777777778</v>
      </c>
      <c r="M579" s="37" t="n">
        <v>0.9951219512195122</v>
      </c>
      <c r="N579" s="37" t="n">
        <v>0.3365853658536586</v>
      </c>
      <c r="O579" s="36" t="n">
        <v>1.12</v>
      </c>
      <c r="P579" s="36" t="n">
        <v>23.78</v>
      </c>
      <c r="Q579" s="36" t="n">
        <v>13.54</v>
      </c>
      <c r="R579" s="36" t="n">
        <v>42.02</v>
      </c>
      <c r="S579" s="36" t="n">
        <v>0</v>
      </c>
      <c r="T579" s="37" t="n">
        <v>0.3572170301142264</v>
      </c>
      <c r="U579" s="37" t="n">
        <v>0.3752276867030965</v>
      </c>
      <c r="V579" s="37" t="n">
        <v>0.3333333333333333</v>
      </c>
      <c r="W579" s="37" t="n">
        <v>0.6116504854368932</v>
      </c>
    </row>
    <row r="580">
      <c r="A580" s="53" t="n">
        <v>45765</v>
      </c>
      <c r="B580" t="inlineStr">
        <is>
          <t>R01_Sumbagut</t>
        </is>
      </c>
      <c r="C580" t="inlineStr">
        <is>
          <t>NOP ACEH</t>
        </is>
      </c>
      <c r="D580" s="36" t="n">
        <v>2.59</v>
      </c>
      <c r="E580" s="36" t="n">
        <v>4.27</v>
      </c>
      <c r="F580" s="36" t="n">
        <v>10.07</v>
      </c>
      <c r="G580" s="36" t="n">
        <v>10.01</v>
      </c>
      <c r="H580" s="37" t="n">
        <v>0.8346795907377491</v>
      </c>
      <c r="I580" s="37" t="n">
        <v>0.842436974789916</v>
      </c>
      <c r="J580" s="37" t="n">
        <v>0.832005792903693</v>
      </c>
      <c r="K580" s="37" t="n">
        <v>0.4164588528678304</v>
      </c>
      <c r="L580" s="37" t="n">
        <v>0.4185463659147869</v>
      </c>
      <c r="M580" s="37" t="n">
        <v>1</v>
      </c>
      <c r="N580" s="37" t="n">
        <v>0.3015616585891223</v>
      </c>
      <c r="O580" s="36" t="n">
        <v>0.06</v>
      </c>
      <c r="P580" s="36" t="n">
        <v>4.49</v>
      </c>
      <c r="Q580" s="36" t="n">
        <v>71.20999999999999</v>
      </c>
      <c r="R580" s="36" t="n">
        <v>124.47</v>
      </c>
      <c r="S580" s="36" t="n">
        <v>0</v>
      </c>
      <c r="T580" s="37" t="n">
        <v>0.8749380472492979</v>
      </c>
      <c r="U580" s="37" t="n">
        <v>0.7384230287859824</v>
      </c>
      <c r="V580" s="37" t="n">
        <v>0.8986007283879625</v>
      </c>
      <c r="W580" s="37" t="n">
        <v>0.2169491525423729</v>
      </c>
    </row>
    <row r="581">
      <c r="A581" s="53" t="n">
        <v>45765</v>
      </c>
      <c r="B581" t="inlineStr">
        <is>
          <t>R01_Sumbagut</t>
        </is>
      </c>
      <c r="C581" t="inlineStr">
        <is>
          <t>NOP BINJAI</t>
        </is>
      </c>
      <c r="D581" s="36" t="n">
        <v>9.9</v>
      </c>
      <c r="E581" s="36" t="n">
        <v>5.04</v>
      </c>
      <c r="F581" s="36" t="n">
        <v>4.39</v>
      </c>
      <c r="G581" s="36" t="n">
        <v>4.27</v>
      </c>
      <c r="H581" s="37" t="n">
        <v>0.6246943765281173</v>
      </c>
      <c r="I581" s="37" t="n">
        <v>0.74</v>
      </c>
      <c r="J581" s="37" t="n">
        <v>0.587378640776699</v>
      </c>
      <c r="K581" s="37" t="n">
        <v>0.527027027027027</v>
      </c>
      <c r="L581" s="37" t="n">
        <v>0.5238095238095238</v>
      </c>
      <c r="M581" s="37" t="n">
        <v>1</v>
      </c>
      <c r="N581" s="37" t="n">
        <v>0.3581907090464548</v>
      </c>
      <c r="O581" s="36" t="n">
        <v>0.02</v>
      </c>
      <c r="P581" s="36" t="n">
        <v>2.5</v>
      </c>
      <c r="Q581" s="36" t="n">
        <v>42.34</v>
      </c>
      <c r="R581" s="36" t="n">
        <v>106.82</v>
      </c>
      <c r="S581" s="36" t="n">
        <v>0</v>
      </c>
      <c r="T581" s="37" t="n">
        <v>0.6546329723225031</v>
      </c>
      <c r="U581" s="37" t="n">
        <v>0.5458333333333333</v>
      </c>
      <c r="V581" s="37" t="n">
        <v>0.7079646017699115</v>
      </c>
      <c r="W581" s="37" t="n">
        <v>0.5190839694656488</v>
      </c>
    </row>
    <row r="582">
      <c r="A582" s="53" t="n">
        <v>45765</v>
      </c>
      <c r="B582" t="inlineStr">
        <is>
          <t>R01_Sumbagut</t>
        </is>
      </c>
      <c r="C582" t="inlineStr">
        <is>
          <t>NOP MEDAN</t>
        </is>
      </c>
      <c r="D582" s="36" t="n">
        <v>5.48</v>
      </c>
      <c r="E582" s="36" t="n">
        <v>4.82</v>
      </c>
      <c r="F582" s="36" t="n">
        <v>3.9</v>
      </c>
      <c r="G582" s="36" t="n">
        <v>4.98</v>
      </c>
      <c r="H582" s="37" t="n">
        <v>0.4146666666666667</v>
      </c>
      <c r="I582" s="37" t="n">
        <v>0.4597156398104265</v>
      </c>
      <c r="J582" s="37" t="n">
        <v>0.3970315398886827</v>
      </c>
      <c r="K582" s="37" t="n">
        <v>0.7835051546391752</v>
      </c>
      <c r="L582" s="37" t="n">
        <v>0.7894736842105263</v>
      </c>
      <c r="M582" s="37" t="n">
        <v>0.9986666666666667</v>
      </c>
      <c r="N582" s="37" t="n">
        <v>0.2413333333333333</v>
      </c>
      <c r="O582" s="36" t="n">
        <v>0</v>
      </c>
      <c r="P582" s="36" t="n">
        <v>4.6</v>
      </c>
      <c r="Q582" s="36" t="n">
        <v>17.09</v>
      </c>
      <c r="R582" s="36" t="n">
        <v>13.81</v>
      </c>
      <c r="S582" s="36" t="n">
        <v>0</v>
      </c>
      <c r="T582" s="37" t="n">
        <v>0.3245508982035928</v>
      </c>
      <c r="U582" s="37" t="n">
        <v>0.2161016949152542</v>
      </c>
      <c r="V582" s="37" t="n">
        <v>0.3952205882352941</v>
      </c>
      <c r="W582" s="37" t="n">
        <v>0.8823529411764706</v>
      </c>
    </row>
    <row r="583">
      <c r="A583" s="53" t="n">
        <v>45765</v>
      </c>
      <c r="B583" t="inlineStr">
        <is>
          <t>R01_Sumbagut</t>
        </is>
      </c>
      <c r="C583" t="inlineStr">
        <is>
          <t>NOP PADANG SIDEMPUAN</t>
        </is>
      </c>
      <c r="D583" s="36" t="n">
        <v>3.08</v>
      </c>
      <c r="E583" s="36" t="n">
        <v>3.47</v>
      </c>
      <c r="F583" s="36" t="n">
        <v>4.85</v>
      </c>
      <c r="G583" s="36" t="n">
        <v>6.28</v>
      </c>
      <c r="H583" s="37" t="n">
        <v>0.2958827634333566</v>
      </c>
      <c r="I583" s="37" t="n">
        <v>0.4736842105263158</v>
      </c>
      <c r="J583" s="37" t="n">
        <v>0.2717908082408875</v>
      </c>
      <c r="K583" s="37" t="n">
        <v>0.4814814814814815</v>
      </c>
      <c r="L583" s="37" t="n">
        <v>0.4814814814814815</v>
      </c>
      <c r="M583" s="37" t="n">
        <v>0.9930216329378926</v>
      </c>
      <c r="N583" s="37" t="n">
        <v>0.1207257501744592</v>
      </c>
      <c r="O583" s="36" t="n">
        <v>0.01</v>
      </c>
      <c r="P583" s="36" t="n">
        <v>2.39</v>
      </c>
      <c r="Q583" s="36" t="n">
        <v>12.95</v>
      </c>
      <c r="R583" s="36" t="n">
        <v>93.45</v>
      </c>
      <c r="S583" s="36" t="n">
        <v>0</v>
      </c>
      <c r="T583" s="37" t="n">
        <v>0.2889741949242909</v>
      </c>
      <c r="U583" s="37" t="n">
        <v>0.4234734337827121</v>
      </c>
      <c r="V583" s="37" t="n">
        <v>0.2405660377358491</v>
      </c>
      <c r="W583" s="37" t="n">
        <v>0.4588014981273408</v>
      </c>
    </row>
    <row r="584">
      <c r="A584" s="53" t="n">
        <v>45765</v>
      </c>
      <c r="B584" t="inlineStr">
        <is>
          <t>R01_Sumbagut</t>
        </is>
      </c>
      <c r="C584" t="inlineStr">
        <is>
          <t>NOP PEMATANG SIANTAR</t>
        </is>
      </c>
      <c r="D584" s="36" t="n">
        <v>2.68</v>
      </c>
      <c r="E584" s="36" t="n">
        <v>3.56</v>
      </c>
      <c r="F584" s="36" t="n">
        <v>4.59</v>
      </c>
      <c r="G584" s="36" t="n">
        <v>5.29</v>
      </c>
      <c r="H584" s="37" t="n">
        <v>0.3331576172904586</v>
      </c>
      <c r="I584" s="37" t="n">
        <v>0.3396226415094339</v>
      </c>
      <c r="J584" s="37" t="n">
        <v>0.3302891933028919</v>
      </c>
      <c r="K584" s="37" t="n">
        <v>0.6565656565656566</v>
      </c>
      <c r="L584" s="37" t="n">
        <v>0.6701030927835051</v>
      </c>
      <c r="M584" s="37" t="n">
        <v>0.9989457037427517</v>
      </c>
      <c r="N584" s="37" t="n">
        <v>0.1829204006325778</v>
      </c>
      <c r="O584" s="36" t="n">
        <v>0.01</v>
      </c>
      <c r="P584" s="36" t="n">
        <v>4.39</v>
      </c>
      <c r="Q584" s="36" t="n">
        <v>70.45</v>
      </c>
      <c r="R584" s="36" t="n">
        <v>64.90000000000001</v>
      </c>
      <c r="S584" s="36" t="n">
        <v>0</v>
      </c>
      <c r="T584" s="37" t="n">
        <v>0.1147846332945285</v>
      </c>
      <c r="U584" s="37" t="n">
        <v>0.3433962264150943</v>
      </c>
      <c r="V584" s="37" t="n">
        <v>0.09033177812337999</v>
      </c>
      <c r="W584" s="37" t="n">
        <v>0.8461538461538461</v>
      </c>
    </row>
    <row r="585">
      <c r="A585" s="53" t="n">
        <v>45765</v>
      </c>
      <c r="B585" t="inlineStr">
        <is>
          <t>R01_Sumbagut</t>
        </is>
      </c>
      <c r="C585" t="inlineStr">
        <is>
          <t>NOP RANTAU PRAPAT</t>
        </is>
      </c>
      <c r="D585" s="36" t="n">
        <v>3.3</v>
      </c>
      <c r="E585" s="36" t="n">
        <v>5.82</v>
      </c>
      <c r="F585" s="36" t="n">
        <v>4.57</v>
      </c>
      <c r="G585" s="36" t="n">
        <v>5.56</v>
      </c>
      <c r="H585" s="37" t="n">
        <v>0.2930513595166163</v>
      </c>
      <c r="I585" s="37" t="n">
        <v>0.2917431192660551</v>
      </c>
      <c r="J585" s="37" t="n">
        <v>0.2933442892358258</v>
      </c>
      <c r="K585" s="37" t="n">
        <v>0.6540880503144654</v>
      </c>
      <c r="L585" s="37" t="n">
        <v>0.6540880503144654</v>
      </c>
      <c r="M585" s="37" t="n">
        <v>0.991272239006378</v>
      </c>
      <c r="N585" s="37" t="n">
        <v>0.1711983887210473</v>
      </c>
      <c r="O585" s="36" t="n">
        <v>0.02</v>
      </c>
      <c r="P585" s="36" t="n">
        <v>3.82</v>
      </c>
      <c r="Q585" s="36" t="n">
        <v>39.84</v>
      </c>
      <c r="R585" s="36" t="n">
        <v>41.84</v>
      </c>
      <c r="S585" s="36" t="n">
        <v>0</v>
      </c>
      <c r="T585" s="37" t="n">
        <v>0.06846089150546678</v>
      </c>
      <c r="U585" s="37" t="n">
        <v>0.1382842509603073</v>
      </c>
      <c r="V585" s="37" t="n">
        <v>0.04940239043824701</v>
      </c>
      <c r="W585" s="37" t="n">
        <v>0.6296296296296297</v>
      </c>
    </row>
    <row r="586">
      <c r="A586" s="53" t="n">
        <v>45765</v>
      </c>
      <c r="B586" t="inlineStr">
        <is>
          <t>R10_Sumbagteng</t>
        </is>
      </c>
      <c r="C586" t="inlineStr">
        <is>
          <t>NOP BATAM</t>
        </is>
      </c>
      <c r="D586" s="36" t="n">
        <v>2.08</v>
      </c>
      <c r="E586" s="36" t="n">
        <v>7.78</v>
      </c>
      <c r="F586" s="36" t="n">
        <v>6.92</v>
      </c>
      <c r="G586" s="36" t="n">
        <v>9.949999999999999</v>
      </c>
      <c r="H586" s="37" t="n">
        <v>0.298000929800093</v>
      </c>
      <c r="I586" s="37" t="n">
        <v>0.3121951219512195</v>
      </c>
      <c r="J586" s="37" t="n">
        <v>0.2946582423894313</v>
      </c>
      <c r="K586" s="37" t="n">
        <v>0.65625</v>
      </c>
      <c r="L586" s="37" t="n">
        <v>0.65625</v>
      </c>
      <c r="M586" s="37" t="n">
        <v>0.99302649930265</v>
      </c>
      <c r="N586" s="37" t="n">
        <v>0.1868898186889819</v>
      </c>
      <c r="O586" s="36" t="n">
        <v>0.82</v>
      </c>
      <c r="P586" s="36" t="n">
        <v>5.67</v>
      </c>
      <c r="Q586" s="36" t="n">
        <v>25.21</v>
      </c>
      <c r="R586" s="36" t="n">
        <v>11.72</v>
      </c>
      <c r="S586" s="36" t="n">
        <v>0</v>
      </c>
      <c r="T586" s="37" t="n">
        <v>0.0761916225324988</v>
      </c>
      <c r="U586" s="37" t="n">
        <v>0.2455315145813735</v>
      </c>
      <c r="V586" s="37" t="n">
        <v>0.05036872130235147</v>
      </c>
      <c r="W586" s="37" t="n">
        <v>0.789272030651341</v>
      </c>
    </row>
    <row r="587">
      <c r="A587" s="53" t="n">
        <v>45765</v>
      </c>
      <c r="B587" t="inlineStr">
        <is>
          <t>R10_Sumbagteng</t>
        </is>
      </c>
      <c r="C587" t="inlineStr">
        <is>
          <t>NOP BUKITTINGGI</t>
        </is>
      </c>
      <c r="D587" s="36" t="n">
        <v>2.46</v>
      </c>
      <c r="E587" s="36" t="n">
        <v>4.57</v>
      </c>
      <c r="F587" s="36" t="n">
        <v>4.9</v>
      </c>
      <c r="G587" s="36" t="n">
        <v>5.9</v>
      </c>
      <c r="H587" s="37" t="n">
        <v>0.7609819121447028</v>
      </c>
      <c r="I587" s="37" t="n">
        <v>0.839572192513369</v>
      </c>
      <c r="J587" s="37" t="n">
        <v>0.7359454855195912</v>
      </c>
      <c r="K587" s="37" t="n">
        <v>0.643312101910828</v>
      </c>
      <c r="L587" s="37" t="n">
        <v>0.643312101910828</v>
      </c>
      <c r="M587" s="37" t="n">
        <v>0.9909560723514211</v>
      </c>
      <c r="N587" s="37" t="n">
        <v>0.4509043927648579</v>
      </c>
      <c r="O587" s="36" t="n">
        <v>0</v>
      </c>
      <c r="P587" s="36" t="n">
        <v>3.38</v>
      </c>
      <c r="Q587" s="36" t="n">
        <v>8.539999999999999</v>
      </c>
      <c r="R587" s="36" t="n">
        <v>126.76</v>
      </c>
      <c r="S587" s="36" t="n">
        <v>0</v>
      </c>
      <c r="T587" s="37" t="n">
        <v>0.3177920685959271</v>
      </c>
      <c r="U587" s="37" t="n">
        <v>0.7508196721311475</v>
      </c>
      <c r="V587" s="37" t="n">
        <v>0.2798232695139912</v>
      </c>
      <c r="W587" s="37" t="n">
        <v>0.6069868995633187</v>
      </c>
    </row>
    <row r="588">
      <c r="A588" s="53" t="n">
        <v>45765</v>
      </c>
      <c r="B588" t="inlineStr">
        <is>
          <t>R10_Sumbagteng</t>
        </is>
      </c>
      <c r="C588" t="inlineStr">
        <is>
          <t>NOP DUMAI</t>
        </is>
      </c>
      <c r="D588" s="36" t="n">
        <v>5.57</v>
      </c>
      <c r="E588" s="36" t="n">
        <v>6.01</v>
      </c>
      <c r="F588" s="36" t="n">
        <v>6.22</v>
      </c>
      <c r="G588" s="36" t="n">
        <v>6.54</v>
      </c>
      <c r="H588" s="37" t="n">
        <v>0.4130776485381956</v>
      </c>
      <c r="I588" s="37" t="n">
        <v>0.4946619217081851</v>
      </c>
      <c r="J588" s="37" t="n">
        <v>0.38366124893071</v>
      </c>
      <c r="K588" s="37" t="n">
        <v>0.709832134292566</v>
      </c>
      <c r="L588" s="37" t="n">
        <v>0.7256857855361596</v>
      </c>
      <c r="M588" s="37" t="n">
        <v>0.9735932096824897</v>
      </c>
      <c r="N588" s="37" t="n">
        <v>0.2367180132033952</v>
      </c>
      <c r="O588" s="36" t="n">
        <v>0.27</v>
      </c>
      <c r="P588" s="36" t="n">
        <v>5.06</v>
      </c>
      <c r="Q588" s="36" t="n">
        <v>53.08</v>
      </c>
      <c r="R588" s="36" t="n">
        <v>134.88</v>
      </c>
      <c r="S588" s="36" t="n">
        <v>0</v>
      </c>
      <c r="T588" s="37" t="n">
        <v>0.2907071696880614</v>
      </c>
      <c r="U588" s="37" t="n">
        <v>0.3241106719367589</v>
      </c>
      <c r="V588" s="37" t="n">
        <v>0.293888166449935</v>
      </c>
      <c r="W588" s="37" t="n">
        <v>0.9365853658536586</v>
      </c>
    </row>
    <row r="589">
      <c r="A589" s="53" t="n">
        <v>45765</v>
      </c>
      <c r="B589" t="inlineStr">
        <is>
          <t>R10_Sumbagteng</t>
        </is>
      </c>
      <c r="C589" t="inlineStr">
        <is>
          <t>NOP PADANG</t>
        </is>
      </c>
      <c r="D589" s="36" t="n">
        <v>3.58</v>
      </c>
      <c r="E589" s="36" t="n">
        <v>2.73</v>
      </c>
      <c r="F589" s="36" t="n">
        <v>6.53</v>
      </c>
      <c r="G589" s="36" t="n">
        <v>6.83</v>
      </c>
      <c r="H589" s="37" t="n">
        <v>0.7781659388646288</v>
      </c>
      <c r="I589" s="37" t="n">
        <v>0.7142857142857143</v>
      </c>
      <c r="J589" s="37" t="n">
        <v>0.7870646766169154</v>
      </c>
      <c r="K589" s="37" t="n">
        <v>0.47</v>
      </c>
      <c r="L589" s="37" t="n">
        <v>0.47</v>
      </c>
      <c r="M589" s="37" t="n">
        <v>0.9895196506550218</v>
      </c>
      <c r="N589" s="37" t="n">
        <v>0.3170305676855895</v>
      </c>
      <c r="O589" s="36" t="n">
        <v>0.06</v>
      </c>
      <c r="P589" s="36" t="n">
        <v>4.99</v>
      </c>
      <c r="Q589" s="36" t="n">
        <v>44.89</v>
      </c>
      <c r="R589" s="36" t="n">
        <v>59.75</v>
      </c>
      <c r="S589" s="36" t="n">
        <v>0</v>
      </c>
      <c r="T589" s="37" t="n">
        <v>0.7384587749236573</v>
      </c>
      <c r="U589" s="37" t="n">
        <v>0.6627318718381113</v>
      </c>
      <c r="V589" s="37" t="n">
        <v>0.75045759609518</v>
      </c>
      <c r="W589" s="37" t="n">
        <v>0.4656488549618321</v>
      </c>
    </row>
    <row r="590">
      <c r="A590" s="53" t="n">
        <v>45765</v>
      </c>
      <c r="B590" t="inlineStr">
        <is>
          <t>R10_Sumbagteng</t>
        </is>
      </c>
      <c r="C590" t="inlineStr">
        <is>
          <t>NOP PEKANBARU</t>
        </is>
      </c>
      <c r="D590" s="36" t="n">
        <v>6.58</v>
      </c>
      <c r="E590" s="36" t="n">
        <v>5.98</v>
      </c>
      <c r="F590" s="36" t="n">
        <v>5.77</v>
      </c>
      <c r="G590" s="36" t="n">
        <v>8</v>
      </c>
      <c r="H590" s="37" t="n">
        <v>0.4088363410080896</v>
      </c>
      <c r="I590" s="37" t="n">
        <v>0.5108055009823183</v>
      </c>
      <c r="J590" s="37" t="n">
        <v>0.3896487985212569</v>
      </c>
      <c r="K590" s="37" t="n">
        <v>0.7576923076923077</v>
      </c>
      <c r="L590" s="37" t="n">
        <v>0.765625</v>
      </c>
      <c r="M590" s="37" t="n">
        <v>0.9900435594275047</v>
      </c>
      <c r="N590" s="37" t="n">
        <v>0.2237087741132545</v>
      </c>
      <c r="O590" s="36" t="n">
        <v>0.02</v>
      </c>
      <c r="P590" s="36" t="n">
        <v>3.36</v>
      </c>
      <c r="Q590" s="36" t="n">
        <v>47.6</v>
      </c>
      <c r="R590" s="36" t="n">
        <v>100.59</v>
      </c>
      <c r="S590" s="36" t="n">
        <v>0</v>
      </c>
      <c r="T590" s="37" t="n">
        <v>0.2949475691134414</v>
      </c>
      <c r="U590" s="37" t="n">
        <v>0.312460468058191</v>
      </c>
      <c r="V590" s="37" t="n">
        <v>0.2959628231193727</v>
      </c>
      <c r="W590" s="37" t="n">
        <v>0.8623481781376519</v>
      </c>
    </row>
    <row r="591">
      <c r="A591" s="53" t="n">
        <v>45765</v>
      </c>
      <c r="B591" t="inlineStr">
        <is>
          <t>R02_Sumbagsel</t>
        </is>
      </c>
      <c r="C591" t="inlineStr">
        <is>
          <t>NOP BENGKULU</t>
        </is>
      </c>
      <c r="D591" s="36" t="n">
        <v>2.09</v>
      </c>
      <c r="E591" s="36" t="n">
        <v>4.58</v>
      </c>
      <c r="F591" s="36" t="n">
        <v>4.27</v>
      </c>
      <c r="G591" s="36" t="n">
        <v>6.71</v>
      </c>
      <c r="H591" s="37" t="n">
        <v>0.3635872501350621</v>
      </c>
      <c r="I591" s="37" t="n">
        <v>0.4464285714285715</v>
      </c>
      <c r="J591" s="37" t="n">
        <v>0.3371347113328582</v>
      </c>
      <c r="K591" s="37" t="n">
        <v>0.67</v>
      </c>
      <c r="L591" s="37" t="n">
        <v>0.67</v>
      </c>
      <c r="M591" s="37" t="n">
        <v>0.993517017828201</v>
      </c>
      <c r="N591" s="37" t="n">
        <v>0.1896272285251216</v>
      </c>
      <c r="O591" s="36" t="n">
        <v>0</v>
      </c>
      <c r="P591" s="36" t="n">
        <v>6.13</v>
      </c>
      <c r="Q591" s="36" t="n">
        <v>7.06</v>
      </c>
      <c r="R591" s="36" t="n">
        <v>16</v>
      </c>
      <c r="S591" s="36" t="n">
        <v>0</v>
      </c>
      <c r="T591" s="37" t="n">
        <v>0.4631609361456226</v>
      </c>
      <c r="U591" s="37" t="n">
        <v>0.3912087912087912</v>
      </c>
      <c r="V591" s="37" t="n">
        <v>0.6330690826727067</v>
      </c>
      <c r="W591" s="37" t="n">
        <v>0.8898876404494382</v>
      </c>
    </row>
    <row r="592">
      <c r="A592" s="53" t="n">
        <v>45765</v>
      </c>
      <c r="B592" t="inlineStr">
        <is>
          <t>R02_Sumbagsel</t>
        </is>
      </c>
      <c r="C592" t="inlineStr">
        <is>
          <t>NOP JAMBI</t>
        </is>
      </c>
      <c r="D592" s="36" t="n">
        <v>3.58</v>
      </c>
      <c r="E592" s="36" t="n">
        <v>5.7</v>
      </c>
      <c r="F592" s="36" t="n">
        <v>6.52</v>
      </c>
      <c r="G592" s="36" t="n">
        <v>8.23</v>
      </c>
      <c r="H592" s="37" t="n">
        <v>0.5207308503162333</v>
      </c>
      <c r="I592" s="37" t="n">
        <v>0.5711009174311926</v>
      </c>
      <c r="J592" s="37" t="n">
        <v>0.4984802431610942</v>
      </c>
      <c r="K592" s="37" t="n">
        <v>0.6586345381526104</v>
      </c>
      <c r="L592" s="37" t="n">
        <v>0.6592741935483871</v>
      </c>
      <c r="M592" s="37" t="n">
        <v>1</v>
      </c>
      <c r="N592" s="37" t="n">
        <v>0.2723120168657766</v>
      </c>
      <c r="O592" s="36" t="n">
        <v>0</v>
      </c>
      <c r="P592" s="36" t="n">
        <v>7.9</v>
      </c>
      <c r="Q592" s="36" t="n">
        <v>18.29</v>
      </c>
      <c r="R592" s="36" t="n">
        <v>18</v>
      </c>
      <c r="S592" s="36" t="n">
        <v>0</v>
      </c>
      <c r="T592" s="37" t="n">
        <v>0.6394799054373522</v>
      </c>
      <c r="U592" s="37" t="n">
        <v>0.6324906367041199</v>
      </c>
      <c r="V592" s="37" t="n">
        <v>0.6603557085484796</v>
      </c>
      <c r="W592" s="37" t="n">
        <v>0.7416728349370837</v>
      </c>
    </row>
    <row r="593">
      <c r="A593" s="53" t="n">
        <v>45765</v>
      </c>
      <c r="B593" t="inlineStr">
        <is>
          <t>R02_Sumbagsel</t>
        </is>
      </c>
      <c r="C593" t="inlineStr">
        <is>
          <t>NOP LAMPUNG</t>
        </is>
      </c>
      <c r="D593" s="36" t="n">
        <v>3.07</v>
      </c>
      <c r="E593" s="36" t="n">
        <v>4.63</v>
      </c>
      <c r="F593" s="36" t="n">
        <v>5.45</v>
      </c>
      <c r="G593" s="36" t="n">
        <v>5.38</v>
      </c>
      <c r="H593" s="37" t="n">
        <v>0.5137614678899083</v>
      </c>
      <c r="I593" s="37" t="n">
        <v>0.6507936507936508</v>
      </c>
      <c r="J593" s="37" t="n">
        <v>0.4663923182441701</v>
      </c>
      <c r="K593" s="37" t="n">
        <v>0.7195121951219512</v>
      </c>
      <c r="L593" s="37" t="n">
        <v>0.7195121951219512</v>
      </c>
      <c r="M593" s="37" t="n">
        <v>1</v>
      </c>
      <c r="N593" s="37" t="n">
        <v>0.3435270132517839</v>
      </c>
      <c r="O593" s="36" t="n">
        <v>1.51</v>
      </c>
      <c r="P593" s="36" t="n">
        <v>5.15</v>
      </c>
      <c r="Q593" s="36" t="n">
        <v>5.25</v>
      </c>
      <c r="R593" s="36" t="n">
        <v>26.85</v>
      </c>
      <c r="S593" s="36" t="n">
        <v>0</v>
      </c>
      <c r="T593" s="37" t="n">
        <v>0.9020021074815595</v>
      </c>
      <c r="U593" s="37" t="n">
        <v>0.7978883861236803</v>
      </c>
      <c r="V593" s="37" t="n">
        <v>0.9500484966052376</v>
      </c>
      <c r="W593" s="37" t="n">
        <v>0.8506616257088847</v>
      </c>
    </row>
    <row r="594">
      <c r="A594" s="53" t="n">
        <v>45765</v>
      </c>
      <c r="B594" t="inlineStr">
        <is>
          <t>R02_Sumbagsel</t>
        </is>
      </c>
      <c r="C594" t="inlineStr">
        <is>
          <t>NOP MUARA ENIM</t>
        </is>
      </c>
      <c r="D594" s="36" t="n">
        <v>2.86</v>
      </c>
      <c r="E594" s="36" t="n">
        <v>4.04</v>
      </c>
      <c r="F594" s="36" t="n">
        <v>4.51</v>
      </c>
      <c r="G594" s="36" t="n">
        <v>5.1</v>
      </c>
      <c r="H594" s="37" t="n">
        <v>0.3896265560165975</v>
      </c>
      <c r="I594" s="37" t="n">
        <v>0.3215077605321508</v>
      </c>
      <c r="J594" s="37" t="n">
        <v>0.405308831036243</v>
      </c>
      <c r="K594" s="37" t="n">
        <v>0.5793103448275863</v>
      </c>
      <c r="L594" s="37" t="n">
        <v>0.5985401459854015</v>
      </c>
      <c r="M594" s="37" t="n">
        <v>0.9755186721991701</v>
      </c>
      <c r="N594" s="37" t="n">
        <v>0.1912863070539419</v>
      </c>
      <c r="O594" s="36" t="n">
        <v>0</v>
      </c>
      <c r="P594" s="36" t="n">
        <v>4.58</v>
      </c>
      <c r="Q594" s="36" t="n">
        <v>5.82</v>
      </c>
      <c r="R594" s="36" t="n">
        <v>9.25</v>
      </c>
      <c r="S594" s="36" t="n">
        <v>0</v>
      </c>
      <c r="T594" s="37" t="n">
        <v>0.4892857142857143</v>
      </c>
      <c r="U594" s="37" t="n">
        <v>0.5053050397877984</v>
      </c>
      <c r="V594" s="37" t="n">
        <v>0.5538778311599176</v>
      </c>
      <c r="W594" s="37" t="n">
        <v>0.7965879265091863</v>
      </c>
    </row>
    <row r="595">
      <c r="A595" s="53" t="n">
        <v>45765</v>
      </c>
      <c r="B595" t="inlineStr">
        <is>
          <t>R02_Sumbagsel</t>
        </is>
      </c>
      <c r="C595" t="inlineStr">
        <is>
          <t>NOP PALEMBANG</t>
        </is>
      </c>
      <c r="D595" s="36" t="n">
        <v>3.52</v>
      </c>
      <c r="E595" s="36" t="n">
        <v>5.3</v>
      </c>
      <c r="F595" s="36" t="n">
        <v>8.369999999999999</v>
      </c>
      <c r="G595" s="36" t="n">
        <v>9.1</v>
      </c>
      <c r="H595" s="37" t="n">
        <v>0.3052810902896082</v>
      </c>
      <c r="I595" s="37" t="n">
        <v>0.303951367781155</v>
      </c>
      <c r="J595" s="37" t="n">
        <v>0.3054489639293937</v>
      </c>
      <c r="K595" s="37" t="n">
        <v>0.45</v>
      </c>
      <c r="L595" s="37" t="n">
        <v>0.45</v>
      </c>
      <c r="M595" s="37" t="n">
        <v>1</v>
      </c>
      <c r="N595" s="37" t="n">
        <v>0.137649063032368</v>
      </c>
      <c r="O595" s="36" t="n">
        <v>0</v>
      </c>
      <c r="P595" s="36" t="n">
        <v>6.51</v>
      </c>
      <c r="Q595" s="36" t="n">
        <v>11.57</v>
      </c>
      <c r="R595" s="36" t="n">
        <v>7</v>
      </c>
      <c r="S595" s="36" t="n">
        <v>0</v>
      </c>
      <c r="T595" s="37" t="n">
        <v>0.2899138367967562</v>
      </c>
      <c r="U595" s="37" t="n">
        <v>0.2445874780573435</v>
      </c>
      <c r="V595" s="37" t="n">
        <v>0.4020100502512563</v>
      </c>
      <c r="W595" s="37" t="n">
        <v>0.430622009569378</v>
      </c>
    </row>
    <row r="596">
      <c r="A596" s="53" t="n">
        <v>45765</v>
      </c>
      <c r="B596" t="inlineStr">
        <is>
          <t>R02_Sumbagsel</t>
        </is>
      </c>
      <c r="C596" t="inlineStr">
        <is>
          <t>NOP PANGKAL PINANG</t>
        </is>
      </c>
      <c r="D596" s="36" t="n">
        <v>1.94</v>
      </c>
      <c r="E596" s="36" t="n">
        <v>2.73</v>
      </c>
      <c r="F596" s="36" t="n">
        <v>5.32</v>
      </c>
      <c r="G596" s="36" t="n">
        <v>6.51</v>
      </c>
      <c r="H596" s="37" t="n">
        <v>0.6473988439306358</v>
      </c>
      <c r="I596" s="37" t="n">
        <v>0.7</v>
      </c>
      <c r="J596" s="37" t="n">
        <v>0.6441717791411042</v>
      </c>
      <c r="K596" s="37" t="n">
        <v>0.7142857142857143</v>
      </c>
      <c r="L596" s="37" t="n">
        <v>0.7142857142857143</v>
      </c>
      <c r="M596" s="37" t="n">
        <v>0.9971098265895953</v>
      </c>
      <c r="N596" s="37" t="n">
        <v>0.3670520231213873</v>
      </c>
      <c r="O596" s="36" t="n">
        <v>0</v>
      </c>
      <c r="P596" s="36" t="n">
        <v>4.16</v>
      </c>
      <c r="Q596" s="36" t="n">
        <v>7.48</v>
      </c>
      <c r="R596" s="36" t="n">
        <v>7.45</v>
      </c>
      <c r="S596" s="36" t="n">
        <v>0</v>
      </c>
      <c r="T596" s="37" t="n">
        <v>0.7937853107344632</v>
      </c>
      <c r="U596" s="37" t="n">
        <v>0.8497109826589595</v>
      </c>
      <c r="V596" s="37" t="n">
        <v>0.8564668769716088</v>
      </c>
      <c r="W596" s="37" t="n">
        <v>0.7414965986394558</v>
      </c>
    </row>
    <row r="597">
      <c r="A597" s="53" t="n">
        <v>45765</v>
      </c>
      <c r="B597" t="inlineStr">
        <is>
          <t>R05_Jawa Tengah DIY</t>
        </is>
      </c>
      <c r="C597" t="inlineStr">
        <is>
          <t>NOP MAGELANG</t>
        </is>
      </c>
      <c r="D597" s="36" t="n">
        <v>5.11</v>
      </c>
      <c r="E597" s="36" t="n">
        <v>0</v>
      </c>
      <c r="F597" s="36" t="n">
        <v>4.68</v>
      </c>
      <c r="G597" s="36" t="n">
        <v>4.85</v>
      </c>
      <c r="H597" s="37" t="n">
        <v>0.7626582278481012</v>
      </c>
      <c r="I597" s="37" t="n">
        <v>0.9666666666666667</v>
      </c>
      <c r="J597" s="37" t="n">
        <v>0.7412587412587412</v>
      </c>
      <c r="K597" s="37" t="n">
        <v>0.7241379310344828</v>
      </c>
      <c r="L597" s="37" t="n">
        <v>0.7241379310344828</v>
      </c>
      <c r="M597" s="37" t="n">
        <v>1</v>
      </c>
      <c r="N597" s="37" t="n">
        <v>0.6677215189873418</v>
      </c>
      <c r="O597" s="36" t="n">
        <v>0.3</v>
      </c>
      <c r="P597" s="36" t="n">
        <v>3.18</v>
      </c>
      <c r="Q597" s="36" t="n">
        <v>7.65</v>
      </c>
      <c r="R597" s="36" t="n">
        <v>19.85</v>
      </c>
      <c r="S597" s="36" t="n">
        <v>0</v>
      </c>
      <c r="T597" s="37" t="n">
        <v>0.9388059701492537</v>
      </c>
      <c r="U597" s="37" t="n">
        <v>0.9333333333333333</v>
      </c>
      <c r="V597" s="37" t="n">
        <v>0.9401869158878504</v>
      </c>
      <c r="W597" s="37" t="n">
        <v>0.8809523809523809</v>
      </c>
    </row>
    <row r="598">
      <c r="A598" s="53" t="n">
        <v>45765</v>
      </c>
      <c r="B598" t="inlineStr">
        <is>
          <t>R05_Jawa Tengah DIY</t>
        </is>
      </c>
      <c r="C598" t="inlineStr">
        <is>
          <t>NOP PEKALONGAN</t>
        </is>
      </c>
      <c r="D598" s="36" t="n">
        <v>4.21</v>
      </c>
      <c r="E598" s="36" t="n">
        <v>0</v>
      </c>
      <c r="F598" s="36" t="n">
        <v>3.37</v>
      </c>
      <c r="G598" s="36" t="n">
        <v>3.51</v>
      </c>
      <c r="H598" s="37" t="n">
        <v>0.6384615384615384</v>
      </c>
      <c r="I598" s="37" t="n">
        <v>0.8571428571428571</v>
      </c>
      <c r="J598" s="37" t="n">
        <v>0.6192468619246861</v>
      </c>
      <c r="K598" s="37" t="n">
        <v>1</v>
      </c>
      <c r="L598" s="37" t="n">
        <v>1</v>
      </c>
      <c r="M598" s="37" t="n">
        <v>0.9769230769230769</v>
      </c>
      <c r="N598" s="37" t="n">
        <v>0.6</v>
      </c>
      <c r="O598" s="36" t="n">
        <v>0.01</v>
      </c>
      <c r="P598" s="36" t="n">
        <v>3.3</v>
      </c>
      <c r="Q598" s="36" t="n">
        <v>5.9</v>
      </c>
      <c r="R598" s="36" t="n">
        <v>51.07</v>
      </c>
      <c r="S598" s="36" t="n">
        <v>0</v>
      </c>
      <c r="T598" s="37" t="n">
        <v>0.8282828282828283</v>
      </c>
      <c r="U598" s="37" t="n">
        <v>0.7565217391304347</v>
      </c>
      <c r="V598" s="37" t="n">
        <v>0.85</v>
      </c>
      <c r="W598" s="37" t="n">
        <v>0.6666666666666666</v>
      </c>
    </row>
    <row r="599">
      <c r="A599" s="53" t="n">
        <v>45765</v>
      </c>
      <c r="B599" t="inlineStr">
        <is>
          <t>R05_Jawa Tengah DIY</t>
        </is>
      </c>
      <c r="C599" t="inlineStr">
        <is>
          <t>NOP PURWOKERTO</t>
        </is>
      </c>
      <c r="D599" s="36" t="n">
        <v>2.48</v>
      </c>
      <c r="E599" s="36" t="n">
        <v>0</v>
      </c>
      <c r="F599" s="36" t="n">
        <v>3.62</v>
      </c>
      <c r="G599" s="36" t="n">
        <v>3.46</v>
      </c>
      <c r="H599" s="37" t="n">
        <v>0.8048048048048048</v>
      </c>
      <c r="I599" s="37" t="n">
        <v>0.7407407407407407</v>
      </c>
      <c r="J599" s="37" t="n">
        <v>0.8104575163398693</v>
      </c>
      <c r="K599" s="37" t="n">
        <v>1</v>
      </c>
      <c r="L599" s="37" t="n">
        <v>1</v>
      </c>
      <c r="M599" s="37" t="n">
        <v>0.975975975975976</v>
      </c>
      <c r="N599" s="37" t="n">
        <v>0.5345345345345346</v>
      </c>
      <c r="O599" s="36" t="n">
        <v>0.31</v>
      </c>
      <c r="P599" s="36" t="n">
        <v>3.75</v>
      </c>
      <c r="Q599" s="36" t="n">
        <v>9.5</v>
      </c>
      <c r="R599" s="36" t="n">
        <v>40.89</v>
      </c>
      <c r="S599" s="36" t="n">
        <v>0</v>
      </c>
      <c r="T599" s="37" t="n">
        <v>0.7948207171314741</v>
      </c>
      <c r="U599" s="37" t="n">
        <v>0.7961165048543689</v>
      </c>
      <c r="V599" s="37" t="n">
        <v>0.7944862155388471</v>
      </c>
      <c r="W599" s="37" t="n">
        <v>0.7560975609756098</v>
      </c>
    </row>
    <row r="600">
      <c r="A600" s="53" t="n">
        <v>45765</v>
      </c>
      <c r="B600" t="inlineStr">
        <is>
          <t>R05_Jawa Tengah DIY</t>
        </is>
      </c>
      <c r="C600" t="inlineStr">
        <is>
          <t>NOP SEMARANG</t>
        </is>
      </c>
      <c r="D600" s="36" t="n">
        <v>2.45</v>
      </c>
      <c r="E600" s="36" t="n">
        <v>1.7</v>
      </c>
      <c r="F600" s="36" t="n">
        <v>3.08</v>
      </c>
      <c r="G600" s="36" t="n">
        <v>3.32</v>
      </c>
      <c r="H600" s="37" t="n">
        <v>0.4285714285714285</v>
      </c>
      <c r="I600" s="37" t="n">
        <v>0.4615384615384616</v>
      </c>
      <c r="J600" s="37" t="n">
        <v>0.4251968503937008</v>
      </c>
      <c r="K600" s="37" t="n">
        <v>1</v>
      </c>
      <c r="L600" s="37" t="n">
        <v>1</v>
      </c>
      <c r="M600" s="37" t="n">
        <v>0.9547619047619048</v>
      </c>
      <c r="N600" s="37" t="n">
        <v>0.2571428571428571</v>
      </c>
      <c r="O600" s="36" t="n">
        <v>0.01</v>
      </c>
      <c r="P600" s="36" t="n">
        <v>3.79</v>
      </c>
      <c r="Q600" s="36" t="n">
        <v>9.48</v>
      </c>
      <c r="R600" s="36" t="n">
        <v>80.29000000000001</v>
      </c>
      <c r="S600" s="36" t="n">
        <v>0</v>
      </c>
      <c r="T600" s="37" t="n">
        <v>0.700589970501475</v>
      </c>
      <c r="U600" s="37" t="n">
        <v>0.4029126213592233</v>
      </c>
      <c r="V600" s="37" t="n">
        <v>0.8305084745762712</v>
      </c>
      <c r="W600" s="37" t="n">
        <v>0.8313253012048193</v>
      </c>
    </row>
    <row r="601">
      <c r="A601" s="53" t="n">
        <v>45765</v>
      </c>
      <c r="B601" t="inlineStr">
        <is>
          <t>R05_Jawa Tengah DIY</t>
        </is>
      </c>
      <c r="C601" t="inlineStr">
        <is>
          <t>NOP SURAKARTA</t>
        </is>
      </c>
      <c r="D601" s="36" t="n">
        <v>4.1</v>
      </c>
      <c r="E601" s="36" t="n">
        <v>2.15</v>
      </c>
      <c r="F601" s="36" t="n">
        <v>4.21</v>
      </c>
      <c r="G601" s="36" t="n">
        <v>4.64</v>
      </c>
      <c r="H601" s="37" t="n">
        <v>0.6927592954990215</v>
      </c>
      <c r="I601" s="37" t="n">
        <v>0.8888888888888888</v>
      </c>
      <c r="J601" s="37" t="n">
        <v>0.6695842450765864</v>
      </c>
      <c r="K601" s="37" t="n">
        <v>0.9375</v>
      </c>
      <c r="L601" s="37" t="n">
        <v>0.9375</v>
      </c>
      <c r="M601" s="37" t="n">
        <v>0.9784735812133072</v>
      </c>
      <c r="N601" s="37" t="n">
        <v>0.4755381604696673</v>
      </c>
      <c r="O601" s="36" t="n">
        <v>0.14</v>
      </c>
      <c r="P601" s="36" t="n">
        <v>3.71</v>
      </c>
      <c r="Q601" s="36" t="n">
        <v>8.34</v>
      </c>
      <c r="R601" s="36" t="n">
        <v>68.19</v>
      </c>
      <c r="S601" s="36" t="n">
        <v>0</v>
      </c>
      <c r="T601" s="37" t="n">
        <v>0.8051948051948052</v>
      </c>
      <c r="U601" s="37" t="n">
        <v>0.7272727272727273</v>
      </c>
      <c r="V601" s="37" t="n">
        <v>0.8363636363636363</v>
      </c>
      <c r="W601" s="37" t="n">
        <v>0.7708333333333334</v>
      </c>
    </row>
    <row r="602">
      <c r="A602" s="53" t="n">
        <v>45765</v>
      </c>
      <c r="B602" t="inlineStr">
        <is>
          <t>R05_Jawa Tengah DIY</t>
        </is>
      </c>
      <c r="C602" t="inlineStr">
        <is>
          <t>NOP YOGYAKARTA</t>
        </is>
      </c>
      <c r="D602" s="36" t="n">
        <v>3.21</v>
      </c>
      <c r="E602" s="36" t="n">
        <v>0</v>
      </c>
      <c r="F602" s="36" t="n">
        <v>3.77</v>
      </c>
      <c r="G602" s="36" t="n">
        <v>4.16</v>
      </c>
      <c r="H602" s="37" t="n">
        <v>0.6085858585858586</v>
      </c>
      <c r="I602" s="37" t="n">
        <v>0.9629629629629629</v>
      </c>
      <c r="J602" s="37" t="n">
        <v>0.5826558265582655</v>
      </c>
      <c r="K602" s="37" t="n">
        <v>0.9230769230769231</v>
      </c>
      <c r="L602" s="37" t="n">
        <v>0.9166666666666666</v>
      </c>
      <c r="M602" s="37" t="n">
        <v>0.9949494949494949</v>
      </c>
      <c r="N602" s="37" t="n">
        <v>0.4217171717171717</v>
      </c>
      <c r="O602" s="36" t="n">
        <v>0</v>
      </c>
      <c r="P602" s="36" t="n">
        <v>3.06</v>
      </c>
      <c r="Q602" s="36" t="n">
        <v>14.9</v>
      </c>
      <c r="R602" s="36" t="n">
        <v>42.55</v>
      </c>
      <c r="S602" s="36" t="n">
        <v>0</v>
      </c>
      <c r="T602" s="37" t="n">
        <v>0.9309428950863213</v>
      </c>
      <c r="U602" s="37" t="n">
        <v>0.808695652173913</v>
      </c>
      <c r="V602" s="37" t="n">
        <v>0.9529780564263323</v>
      </c>
      <c r="W602" s="37" t="n">
        <v>0.978494623655914</v>
      </c>
    </row>
    <row r="603">
      <c r="A603" s="53" t="n">
        <v>45765</v>
      </c>
      <c r="B603" t="inlineStr">
        <is>
          <t>R06_Jawa Timur</t>
        </is>
      </c>
      <c r="C603" t="inlineStr">
        <is>
          <t>NOP JEMBER</t>
        </is>
      </c>
      <c r="D603" s="36" t="n">
        <v>2.1</v>
      </c>
      <c r="E603" s="36" t="n">
        <v>2.64</v>
      </c>
      <c r="F603" s="36" t="n">
        <v>4.88</v>
      </c>
      <c r="G603" s="36" t="n">
        <v>3.83</v>
      </c>
      <c r="H603" s="37" t="n">
        <v>0.6807909604519774</v>
      </c>
      <c r="I603" s="37" t="n">
        <v>0.6896551724137931</v>
      </c>
      <c r="J603" s="37" t="n">
        <v>0.68</v>
      </c>
      <c r="K603" s="37" t="n">
        <v>0.8</v>
      </c>
      <c r="L603" s="37" t="n">
        <v>0.8</v>
      </c>
      <c r="M603" s="37" t="n">
        <v>0.9858757062146892</v>
      </c>
      <c r="N603" s="37" t="n">
        <v>0.3502824858757062</v>
      </c>
      <c r="O603" s="36" t="n">
        <v>0</v>
      </c>
      <c r="P603" s="36" t="n">
        <v>3.47</v>
      </c>
      <c r="Q603" s="36" t="n">
        <v>4.94</v>
      </c>
      <c r="R603" s="36" t="n">
        <v>125.02</v>
      </c>
      <c r="S603" s="36" t="n">
        <v>0</v>
      </c>
      <c r="T603" s="37" t="n">
        <v>0.8110403397027601</v>
      </c>
      <c r="U603" s="37" t="n">
        <v>0.7767857142857143</v>
      </c>
      <c r="V603" s="37" t="n">
        <v>0.8217270194986073</v>
      </c>
      <c r="W603" s="37" t="n">
        <v>0.7701149425287356</v>
      </c>
    </row>
    <row r="604">
      <c r="A604" s="53" t="n">
        <v>45765</v>
      </c>
      <c r="B604" t="inlineStr">
        <is>
          <t>R06_Jawa Timur</t>
        </is>
      </c>
      <c r="C604" t="inlineStr">
        <is>
          <t>NOP KEDIRI</t>
        </is>
      </c>
      <c r="D604" s="36" t="n">
        <v>1.1</v>
      </c>
      <c r="E604" s="36" t="n">
        <v>0.7</v>
      </c>
      <c r="F604" s="36" t="n">
        <v>2.36</v>
      </c>
      <c r="G604" s="36" t="n">
        <v>1.95</v>
      </c>
      <c r="H604" s="37" t="n">
        <v>0.8611111111111112</v>
      </c>
      <c r="I604" s="37" t="n">
        <v>0.8</v>
      </c>
      <c r="J604" s="37" t="n">
        <v>0.8633093525179856</v>
      </c>
      <c r="K604" s="37" t="n">
        <v>0.5</v>
      </c>
      <c r="L604" s="37" t="n">
        <v>0.5</v>
      </c>
      <c r="M604" s="37" t="n">
        <v>1</v>
      </c>
      <c r="N604" s="37" t="n">
        <v>0.5972222222222222</v>
      </c>
      <c r="O604" s="36" t="n">
        <v>0</v>
      </c>
      <c r="P604" s="36" t="n">
        <v>1.89</v>
      </c>
      <c r="Q604" s="36" t="n">
        <v>3.57</v>
      </c>
      <c r="R604" s="36" t="n">
        <v>13.85</v>
      </c>
      <c r="S604" s="36" t="n">
        <v>0</v>
      </c>
      <c r="T604" s="37" t="n">
        <v>0.9455252918287937</v>
      </c>
      <c r="U604" s="37" t="n">
        <v>0.8928571428571429</v>
      </c>
      <c r="V604" s="37" t="n">
        <v>0.9601990049751243</v>
      </c>
      <c r="W604" s="37" t="n">
        <v>0.88</v>
      </c>
    </row>
    <row r="605">
      <c r="A605" s="53" t="n">
        <v>45765</v>
      </c>
      <c r="B605" t="inlineStr">
        <is>
          <t>R06_Jawa Timur</t>
        </is>
      </c>
      <c r="C605" t="inlineStr">
        <is>
          <t>NOP LAMONGAN</t>
        </is>
      </c>
      <c r="D605" s="36" t="n">
        <v>1.36</v>
      </c>
      <c r="E605" s="36" t="n">
        <v>1.01</v>
      </c>
      <c r="F605" s="36" t="n">
        <v>3.15</v>
      </c>
      <c r="G605" s="36" t="n">
        <v>3.62</v>
      </c>
      <c r="H605" s="37" t="n">
        <v>0.8116883116883117</v>
      </c>
      <c r="I605" s="37" t="n">
        <v>0.9230769230769231</v>
      </c>
      <c r="J605" s="37" t="n">
        <v>0.8014184397163121</v>
      </c>
      <c r="K605" s="37" t="n">
        <v>0.9166666666666666</v>
      </c>
      <c r="L605" s="37" t="n">
        <v>0.9166666666666666</v>
      </c>
      <c r="M605" s="37" t="n">
        <v>1</v>
      </c>
      <c r="N605" s="37" t="n">
        <v>0.7142857142857143</v>
      </c>
      <c r="O605" s="36" t="n">
        <v>0</v>
      </c>
      <c r="P605" s="36" t="n">
        <v>2.67</v>
      </c>
      <c r="Q605" s="36" t="n">
        <v>10.37</v>
      </c>
      <c r="R605" s="36" t="n">
        <v>36.18</v>
      </c>
      <c r="S605" s="36" t="n">
        <v>0</v>
      </c>
      <c r="T605" s="37" t="n">
        <v>0.78125</v>
      </c>
      <c r="U605" s="37" t="n">
        <v>0.6623376623376623</v>
      </c>
      <c r="V605" s="37" t="n">
        <v>0.8608695652173913</v>
      </c>
      <c r="W605" s="37" t="n">
        <v>0.8431372549019608</v>
      </c>
    </row>
    <row r="606">
      <c r="A606" s="53" t="n">
        <v>45765</v>
      </c>
      <c r="B606" t="inlineStr">
        <is>
          <t>R06_Jawa Timur</t>
        </is>
      </c>
      <c r="C606" t="inlineStr">
        <is>
          <t>NOP MADIUN</t>
        </is>
      </c>
      <c r="D606" s="36" t="n">
        <v>0.63</v>
      </c>
      <c r="E606" s="36" t="n">
        <v>0</v>
      </c>
      <c r="F606" s="36" t="n">
        <v>2.75</v>
      </c>
      <c r="G606" s="36" t="n">
        <v>3.44</v>
      </c>
      <c r="H606" s="37" t="n">
        <v>0.6212765957446809</v>
      </c>
      <c r="I606" s="37" t="n">
        <v>1</v>
      </c>
      <c r="J606" s="37" t="n">
        <v>0.6147186147186147</v>
      </c>
      <c r="K606" s="37" t="n">
        <v>1</v>
      </c>
      <c r="L606" s="37" t="n">
        <v>1</v>
      </c>
      <c r="M606" s="37" t="n">
        <v>0.9957446808510638</v>
      </c>
      <c r="N606" s="37" t="n">
        <v>0.3617021276595745</v>
      </c>
      <c r="O606" s="36" t="n">
        <v>0</v>
      </c>
      <c r="P606" s="36" t="n">
        <v>2.53</v>
      </c>
      <c r="Q606" s="36" t="n">
        <v>6.13</v>
      </c>
      <c r="R606" s="36" t="n">
        <v>58.33</v>
      </c>
      <c r="S606" s="36" t="n">
        <v>0</v>
      </c>
      <c r="T606" s="37" t="n">
        <v>0.6913946587537092</v>
      </c>
      <c r="U606" s="37" t="n">
        <v>0.6885245901639344</v>
      </c>
      <c r="V606" s="37" t="n">
        <v>0.6930232558139535</v>
      </c>
      <c r="W606" s="37" t="n">
        <v>0.75</v>
      </c>
    </row>
    <row r="607">
      <c r="A607" s="53" t="n">
        <v>45765</v>
      </c>
      <c r="B607" t="inlineStr">
        <is>
          <t>R06_Jawa Timur</t>
        </is>
      </c>
      <c r="C607" t="inlineStr">
        <is>
          <t>NOP MALANG</t>
        </is>
      </c>
      <c r="D607" s="36" t="n">
        <v>1.31</v>
      </c>
      <c r="E607" s="36" t="n">
        <v>0</v>
      </c>
      <c r="F607" s="36" t="n">
        <v>2.53</v>
      </c>
      <c r="G607" s="36" t="n">
        <v>2.83</v>
      </c>
      <c r="H607" s="37" t="n">
        <v>0.8257839721254355</v>
      </c>
      <c r="I607" s="37" t="n">
        <v>0.8333333333333334</v>
      </c>
      <c r="J607" s="37" t="n">
        <v>0.8256227758007118</v>
      </c>
      <c r="K607" s="37" t="n">
        <v>1</v>
      </c>
      <c r="L607" s="37" t="n">
        <v>1</v>
      </c>
      <c r="M607" s="37" t="n">
        <v>0.9965156794425087</v>
      </c>
      <c r="N607" s="37" t="n">
        <v>0.7700348432055749</v>
      </c>
      <c r="O607" s="36" t="n">
        <v>0.02</v>
      </c>
      <c r="P607" s="36" t="n">
        <v>2.94</v>
      </c>
      <c r="Q607" s="36" t="n">
        <v>4.78</v>
      </c>
      <c r="R607" s="36" t="n">
        <v>55.31</v>
      </c>
      <c r="S607" s="36" t="n">
        <v>0</v>
      </c>
      <c r="T607" s="37" t="n">
        <v>0.7929515418502202</v>
      </c>
      <c r="U607" s="37" t="n">
        <v>0.71</v>
      </c>
      <c r="V607" s="37" t="n">
        <v>0.8582677165354331</v>
      </c>
      <c r="W607" s="37" t="n">
        <v>0.5915492957746479</v>
      </c>
    </row>
    <row r="608">
      <c r="A608" s="53" t="n">
        <v>45765</v>
      </c>
      <c r="B608" t="inlineStr">
        <is>
          <t>R06_Jawa Timur</t>
        </is>
      </c>
      <c r="C608" t="inlineStr">
        <is>
          <t>NOP SIDOARJO</t>
        </is>
      </c>
      <c r="D608" s="36" t="n">
        <v>3.12</v>
      </c>
      <c r="E608" s="36" t="n">
        <v>6.27</v>
      </c>
      <c r="F608" s="36" t="n">
        <v>3.12</v>
      </c>
      <c r="G608" s="36" t="n">
        <v>4.58</v>
      </c>
      <c r="H608" s="37" t="n">
        <v>0.5634920634920635</v>
      </c>
      <c r="I608" s="37" t="n">
        <v>0.88</v>
      </c>
      <c r="J608" s="37" t="n">
        <v>0.5286343612334802</v>
      </c>
      <c r="K608" s="37" t="n">
        <v>0.9090909090909091</v>
      </c>
      <c r="L608" s="37" t="n">
        <v>0.9090909090909091</v>
      </c>
      <c r="M608" s="37" t="n">
        <v>0.9761904761904762</v>
      </c>
      <c r="N608" s="37" t="n">
        <v>0.3888888888888889</v>
      </c>
      <c r="O608" s="36" t="n">
        <v>0</v>
      </c>
      <c r="P608" s="36" t="n">
        <v>4.81</v>
      </c>
      <c r="Q608" s="36" t="n">
        <v>11.42</v>
      </c>
      <c r="R608" s="36" t="n">
        <v>52.54</v>
      </c>
      <c r="S608" s="36" t="n">
        <v>0</v>
      </c>
      <c r="T608" s="37" t="n">
        <v>0.7681159420289855</v>
      </c>
      <c r="U608" s="37" t="n">
        <v>0.5737704918032787</v>
      </c>
      <c r="V608" s="37" t="n">
        <v>0.8232558139534883</v>
      </c>
      <c r="W608" s="37" t="n">
        <v>0.6571428571428571</v>
      </c>
    </row>
    <row r="609">
      <c r="A609" s="53" t="n">
        <v>45765</v>
      </c>
      <c r="B609" t="inlineStr">
        <is>
          <t>R06_Jawa Timur</t>
        </is>
      </c>
      <c r="C609" t="inlineStr">
        <is>
          <t>NOP SURABAYA</t>
        </is>
      </c>
      <c r="D609" s="36" t="n">
        <v>1.99</v>
      </c>
      <c r="E609" s="36" t="n">
        <v>0</v>
      </c>
      <c r="F609" s="36" t="n">
        <v>5.98</v>
      </c>
      <c r="G609" s="36" t="n">
        <v>3.67</v>
      </c>
      <c r="H609" s="37" t="n">
        <v>0.5734463276836158</v>
      </c>
      <c r="I609" s="37" t="n">
        <v>0.4634146341463415</v>
      </c>
      <c r="J609" s="37" t="n">
        <v>0.5878594249201278</v>
      </c>
      <c r="K609" s="37" t="n">
        <v>0.8947368421052632</v>
      </c>
      <c r="L609" s="37" t="n">
        <v>0.8947368421052632</v>
      </c>
      <c r="M609" s="37" t="n">
        <v>0.9661016949152542</v>
      </c>
      <c r="N609" s="37" t="n">
        <v>0.403954802259887</v>
      </c>
      <c r="O609" s="36" t="n">
        <v>0.04</v>
      </c>
      <c r="P609" s="36" t="n">
        <v>3.35</v>
      </c>
      <c r="Q609" s="36" t="n">
        <v>7.44</v>
      </c>
      <c r="R609" s="36" t="n">
        <v>29.01</v>
      </c>
      <c r="S609" s="36" t="n">
        <v>0</v>
      </c>
      <c r="T609" s="37" t="n">
        <v>0.6738197424892703</v>
      </c>
      <c r="U609" s="37" t="n">
        <v>0.6611570247933884</v>
      </c>
      <c r="V609" s="37" t="n">
        <v>0.6764705882352942</v>
      </c>
      <c r="W609" s="37" t="n">
        <v>0.8625</v>
      </c>
    </row>
    <row r="610">
      <c r="A610" s="53" t="n">
        <v>45765</v>
      </c>
      <c r="B610" t="inlineStr">
        <is>
          <t>R07_Bali Nusra</t>
        </is>
      </c>
      <c r="C610" t="inlineStr">
        <is>
          <t>NOP DENPASAR</t>
        </is>
      </c>
      <c r="D610" s="36" t="n">
        <v>2.93</v>
      </c>
      <c r="E610" s="36" t="n">
        <v>0</v>
      </c>
      <c r="F610" s="36" t="n">
        <v>5.36</v>
      </c>
      <c r="G610" s="36" t="n">
        <v>4.43</v>
      </c>
      <c r="H610" s="37" t="n">
        <v>0.8826086956521739</v>
      </c>
      <c r="I610" s="37" t="n">
        <v>0.8604651162790697</v>
      </c>
      <c r="J610" s="37" t="n">
        <v>0.8877005347593583</v>
      </c>
      <c r="K610" s="37" t="n">
        <v>0.9459459459459459</v>
      </c>
      <c r="L610" s="37" t="n">
        <v>0.9459459459459459</v>
      </c>
      <c r="M610" s="37" t="n">
        <v>0.9652173913043478</v>
      </c>
      <c r="N610" s="37" t="n">
        <v>0.8391304347826087</v>
      </c>
      <c r="O610" s="36" t="n">
        <v>0</v>
      </c>
      <c r="P610" s="36" t="n">
        <v>39.72</v>
      </c>
      <c r="Q610" s="36" t="n">
        <v>22.42</v>
      </c>
      <c r="R610" s="36" t="n">
        <v>80.54000000000001</v>
      </c>
      <c r="S610" s="36" t="n">
        <v>0</v>
      </c>
      <c r="T610" s="37" t="n">
        <v>0.8682926829268293</v>
      </c>
      <c r="U610" s="37" t="n">
        <v>0.8275862068965517</v>
      </c>
      <c r="V610" s="37" t="n">
        <v>0.8792569659442725</v>
      </c>
      <c r="W610" s="37" t="n">
        <v>0.4305555555555556</v>
      </c>
    </row>
    <row r="611">
      <c r="A611" s="53" t="n">
        <v>45765</v>
      </c>
      <c r="B611" t="inlineStr">
        <is>
          <t>R07_Bali Nusra</t>
        </is>
      </c>
      <c r="C611" t="inlineStr">
        <is>
          <t>NOP FLORES</t>
        </is>
      </c>
      <c r="D611" s="36" t="n">
        <v>8.869999999999999</v>
      </c>
      <c r="E611" s="36" t="n">
        <v>5.68</v>
      </c>
      <c r="F611" s="36" t="n">
        <v>6.83</v>
      </c>
      <c r="G611" s="36" t="n">
        <v>10.16</v>
      </c>
      <c r="H611" s="37" t="n">
        <v>0.4593461860854988</v>
      </c>
      <c r="I611" s="37" t="n">
        <v>0.5752508361204013</v>
      </c>
      <c r="J611" s="37" t="n">
        <v>0.4205816554809844</v>
      </c>
      <c r="K611" s="37" t="n">
        <v>0.5988372093023255</v>
      </c>
      <c r="L611" s="37" t="n">
        <v>0.6144578313253012</v>
      </c>
      <c r="M611" s="37" t="n">
        <v>0.9899413243922883</v>
      </c>
      <c r="N611" s="37" t="n">
        <v>0.2665549036043587</v>
      </c>
      <c r="O611" s="36" t="n">
        <v>0.17</v>
      </c>
      <c r="P611" s="36" t="n">
        <v>12.45</v>
      </c>
      <c r="Q611" s="36" t="n">
        <v>8.98</v>
      </c>
      <c r="R611" s="36" t="n">
        <v>59.28</v>
      </c>
      <c r="S611" s="36" t="n">
        <v>0</v>
      </c>
      <c r="T611" s="37" t="n">
        <v>0.447816091954023</v>
      </c>
      <c r="U611" s="37" t="n">
        <v>0.4903654485049834</v>
      </c>
      <c r="V611" s="37" t="n">
        <v>0.3522388059701492</v>
      </c>
      <c r="W611" s="37" t="n">
        <v>0.6680216802168022</v>
      </c>
    </row>
    <row r="612">
      <c r="A612" s="53" t="n">
        <v>45765</v>
      </c>
      <c r="B612" t="inlineStr">
        <is>
          <t>R07_Bali Nusra</t>
        </is>
      </c>
      <c r="C612" t="inlineStr">
        <is>
          <t>NOP KUPANG</t>
        </is>
      </c>
      <c r="D612" s="36" t="n">
        <v>1.18</v>
      </c>
      <c r="E612" s="36" t="n">
        <v>6.08</v>
      </c>
      <c r="F612" s="36" t="n">
        <v>3.92</v>
      </c>
      <c r="G612" s="36" t="n">
        <v>7.42</v>
      </c>
      <c r="H612" s="37" t="n">
        <v>0.5142857142857142</v>
      </c>
      <c r="I612" s="37" t="n">
        <v>0.6194690265486725</v>
      </c>
      <c r="J612" s="37" t="n">
        <v>0.4979367262723521</v>
      </c>
      <c r="K612" s="37" t="n">
        <v>0.6285714285714286</v>
      </c>
      <c r="L612" s="37" t="n">
        <v>0.6285714285714286</v>
      </c>
      <c r="M612" s="37" t="n">
        <v>0.9857142857142858</v>
      </c>
      <c r="N612" s="37" t="n">
        <v>0.2011904761904762</v>
      </c>
      <c r="O612" s="36" t="n">
        <v>0.11</v>
      </c>
      <c r="P612" s="36" t="n">
        <v>8.75</v>
      </c>
      <c r="Q612" s="36" t="n">
        <v>20.45</v>
      </c>
      <c r="R612" s="36" t="n">
        <v>196.7</v>
      </c>
      <c r="S612" s="36" t="n">
        <v>0</v>
      </c>
      <c r="T612" s="37" t="n">
        <v>0.5747316267547481</v>
      </c>
      <c r="U612" s="37" t="n">
        <v>0.5782493368700266</v>
      </c>
      <c r="V612" s="37" t="n">
        <v>0.5689277899343544</v>
      </c>
      <c r="W612" s="37" t="n">
        <v>0.6376146788990825</v>
      </c>
    </row>
    <row r="613">
      <c r="A613" s="53" t="n">
        <v>45765</v>
      </c>
      <c r="B613" t="inlineStr">
        <is>
          <t>R07_Bali Nusra</t>
        </is>
      </c>
      <c r="C613" t="inlineStr">
        <is>
          <t>NOP MATARAM</t>
        </is>
      </c>
      <c r="D613" s="36" t="n">
        <v>2.76</v>
      </c>
      <c r="E613" s="36" t="n">
        <v>3.57</v>
      </c>
      <c r="F613" s="36" t="n">
        <v>4.22</v>
      </c>
      <c r="G613" s="36" t="n">
        <v>6.05</v>
      </c>
      <c r="H613" s="37" t="n">
        <v>0.5234899328859061</v>
      </c>
      <c r="I613" s="37" t="n">
        <v>0.6666666666666666</v>
      </c>
      <c r="J613" s="37" t="n">
        <v>0.5038167938931297</v>
      </c>
      <c r="K613" s="37" t="n">
        <v>0.7777777777777778</v>
      </c>
      <c r="L613" s="37" t="n">
        <v>0.7777777777777778</v>
      </c>
      <c r="M613" s="37" t="n">
        <v>0.9955257270693513</v>
      </c>
      <c r="N613" s="37" t="n">
        <v>0.3422818791946309</v>
      </c>
      <c r="O613" s="36" t="n">
        <v>1.12</v>
      </c>
      <c r="P613" s="36" t="n">
        <v>24.13</v>
      </c>
      <c r="Q613" s="36" t="n">
        <v>15.44</v>
      </c>
      <c r="R613" s="36" t="n">
        <v>40.15</v>
      </c>
      <c r="S613" s="36" t="n">
        <v>0</v>
      </c>
      <c r="T613" s="37" t="n">
        <v>0.3623762376237624</v>
      </c>
      <c r="U613" s="37" t="n">
        <v>0.379073756432247</v>
      </c>
      <c r="V613" s="37" t="n">
        <v>0.3395784543325527</v>
      </c>
      <c r="W613" s="37" t="n">
        <v>0.6108597285067874</v>
      </c>
    </row>
    <row r="614">
      <c r="A614" s="53" t="n">
        <v>45766</v>
      </c>
      <c r="B614" t="inlineStr">
        <is>
          <t>R01_Sumbagut</t>
        </is>
      </c>
      <c r="C614" t="inlineStr">
        <is>
          <t>NOP ACEH</t>
        </is>
      </c>
      <c r="D614" s="36" t="n">
        <v>2.59</v>
      </c>
      <c r="E614" s="36" t="n">
        <v>4.19</v>
      </c>
      <c r="F614" s="36" t="n">
        <v>9.99</v>
      </c>
      <c r="G614" s="36" t="n">
        <v>10.02</v>
      </c>
      <c r="H614" s="37" t="n">
        <v>0.8426573426573427</v>
      </c>
      <c r="I614" s="37" t="n">
        <v>0.8464566929133859</v>
      </c>
      <c r="J614" s="37" t="n">
        <v>0.8413654618473896</v>
      </c>
      <c r="K614" s="37" t="n">
        <v>0.413953488372093</v>
      </c>
      <c r="L614" s="37" t="n">
        <v>0.4158878504672897</v>
      </c>
      <c r="M614" s="37" t="n">
        <v>1</v>
      </c>
      <c r="N614" s="37" t="n">
        <v>0.3086913086913087</v>
      </c>
      <c r="O614" s="36" t="n">
        <v>0.06</v>
      </c>
      <c r="P614" s="36" t="n">
        <v>4.46</v>
      </c>
      <c r="Q614" s="36" t="n">
        <v>71.36</v>
      </c>
      <c r="R614" s="36" t="n">
        <v>126.64</v>
      </c>
      <c r="S614" s="36" t="n">
        <v>0</v>
      </c>
      <c r="T614" s="37" t="n">
        <v>0.8744401544401544</v>
      </c>
      <c r="U614" s="37" t="n">
        <v>0.7435897435897436</v>
      </c>
      <c r="V614" s="37" t="n">
        <v>0.8970588235294118</v>
      </c>
      <c r="W614" s="37" t="n">
        <v>0.2068965517241379</v>
      </c>
    </row>
    <row r="615">
      <c r="A615" s="53" t="n">
        <v>45766</v>
      </c>
      <c r="B615" t="inlineStr">
        <is>
          <t>R01_Sumbagut</t>
        </is>
      </c>
      <c r="C615" t="inlineStr">
        <is>
          <t>NOP BINJAI</t>
        </is>
      </c>
      <c r="D615" s="36" t="n">
        <v>9.9</v>
      </c>
      <c r="E615" s="36" t="n">
        <v>4.92</v>
      </c>
      <c r="F615" s="36" t="n">
        <v>3.87</v>
      </c>
      <c r="G615" s="36" t="n">
        <v>4.22</v>
      </c>
      <c r="H615" s="37" t="n">
        <v>0.6272522522522522</v>
      </c>
      <c r="I615" s="37" t="n">
        <v>0.7393364928909952</v>
      </c>
      <c r="J615" s="37" t="n">
        <v>0.5923190546528804</v>
      </c>
      <c r="K615" s="37" t="n">
        <v>0.5384615384615384</v>
      </c>
      <c r="L615" s="37" t="n">
        <v>0.535483870967742</v>
      </c>
      <c r="M615" s="37" t="n">
        <v>1</v>
      </c>
      <c r="N615" s="37" t="n">
        <v>0.347972972972973</v>
      </c>
      <c r="O615" s="36" t="n">
        <v>0.02</v>
      </c>
      <c r="P615" s="36" t="n">
        <v>2.47</v>
      </c>
      <c r="Q615" s="36" t="n">
        <v>42.09</v>
      </c>
      <c r="R615" s="36" t="n">
        <v>110.63</v>
      </c>
      <c r="S615" s="36" t="n">
        <v>0</v>
      </c>
      <c r="T615" s="37" t="n">
        <v>0.6605714285714286</v>
      </c>
      <c r="U615" s="37" t="n">
        <v>0.551923076923077</v>
      </c>
      <c r="V615" s="37" t="n">
        <v>0.7146507666098807</v>
      </c>
      <c r="W615" s="37" t="n">
        <v>0.5156794425087108</v>
      </c>
    </row>
    <row r="616">
      <c r="A616" s="53" t="n">
        <v>45766</v>
      </c>
      <c r="B616" t="inlineStr">
        <is>
          <t>R01_Sumbagut</t>
        </is>
      </c>
      <c r="C616" t="inlineStr">
        <is>
          <t>NOP MEDAN</t>
        </is>
      </c>
      <c r="D616" s="36" t="n">
        <v>5.48</v>
      </c>
      <c r="E616" s="36" t="n">
        <v>4.3</v>
      </c>
      <c r="F616" s="36" t="n">
        <v>3.76</v>
      </c>
      <c r="G616" s="36" t="n">
        <v>4.96</v>
      </c>
      <c r="H616" s="37" t="n">
        <v>0.4126582278481012</v>
      </c>
      <c r="I616" s="37" t="n">
        <v>0.445414847161572</v>
      </c>
      <c r="J616" s="37" t="n">
        <v>0.3992869875222816</v>
      </c>
      <c r="K616" s="37" t="n">
        <v>0.7941176470588235</v>
      </c>
      <c r="L616" s="37" t="n">
        <v>0.8</v>
      </c>
      <c r="M616" s="37" t="n">
        <v>0.9987341772151899</v>
      </c>
      <c r="N616" s="37" t="n">
        <v>0.2443037974683544</v>
      </c>
      <c r="O616" s="36" t="n">
        <v>0</v>
      </c>
      <c r="P616" s="36" t="n">
        <v>4.62</v>
      </c>
      <c r="Q616" s="36" t="n">
        <v>17.03</v>
      </c>
      <c r="R616" s="36" t="n">
        <v>13.63</v>
      </c>
      <c r="S616" s="36" t="n">
        <v>0</v>
      </c>
      <c r="T616" s="37" t="n">
        <v>0.3199079401611047</v>
      </c>
      <c r="U616" s="37" t="n">
        <v>0.209016393442623</v>
      </c>
      <c r="V616" s="37" t="n">
        <v>0.394316163410302</v>
      </c>
      <c r="W616" s="37" t="n">
        <v>0.8823529411764706</v>
      </c>
    </row>
    <row r="617">
      <c r="A617" s="53" t="n">
        <v>45766</v>
      </c>
      <c r="B617" t="inlineStr">
        <is>
          <t>R01_Sumbagut</t>
        </is>
      </c>
      <c r="C617" t="inlineStr">
        <is>
          <t>NOP PADANG SIDEMPUAN</t>
        </is>
      </c>
      <c r="D617" s="36" t="n">
        <v>3.08</v>
      </c>
      <c r="E617" s="36" t="n">
        <v>3.65</v>
      </c>
      <c r="F617" s="36" t="n">
        <v>5.03</v>
      </c>
      <c r="G617" s="36" t="n">
        <v>6.21</v>
      </c>
      <c r="H617" s="37" t="n">
        <v>0.3035248041775457</v>
      </c>
      <c r="I617" s="37" t="n">
        <v>0.4838709677419355</v>
      </c>
      <c r="J617" s="37" t="n">
        <v>0.2786032689450223</v>
      </c>
      <c r="K617" s="37" t="n">
        <v>0.4777777777777778</v>
      </c>
      <c r="L617" s="37" t="n">
        <v>0.4777777777777778</v>
      </c>
      <c r="M617" s="37" t="n">
        <v>0.9934725848563969</v>
      </c>
      <c r="N617" s="37" t="n">
        <v>0.1240208877284595</v>
      </c>
      <c r="O617" s="36" t="n">
        <v>0.01</v>
      </c>
      <c r="P617" s="36" t="n">
        <v>2.5</v>
      </c>
      <c r="Q617" s="36" t="n">
        <v>12.92</v>
      </c>
      <c r="R617" s="36" t="n">
        <v>100.15</v>
      </c>
      <c r="S617" s="36" t="n">
        <v>0</v>
      </c>
      <c r="T617" s="37" t="n">
        <v>0.2910105640821208</v>
      </c>
      <c r="U617" s="37" t="n">
        <v>0.4281437125748503</v>
      </c>
      <c r="V617" s="37" t="n">
        <v>0.2423826516607192</v>
      </c>
      <c r="W617" s="37" t="n">
        <v>0.4650349650349651</v>
      </c>
    </row>
    <row r="618">
      <c r="A618" s="53" t="n">
        <v>45766</v>
      </c>
      <c r="B618" t="inlineStr">
        <is>
          <t>R01_Sumbagut</t>
        </is>
      </c>
      <c r="C618" t="inlineStr">
        <is>
          <t>NOP PEMATANG SIANTAR</t>
        </is>
      </c>
      <c r="D618" s="36" t="n">
        <v>3.66</v>
      </c>
      <c r="E618" s="36" t="n">
        <v>3.69</v>
      </c>
      <c r="F618" s="36" t="n">
        <v>4.65</v>
      </c>
      <c r="G618" s="36" t="n">
        <v>5.27</v>
      </c>
      <c r="H618" s="37" t="n">
        <v>0.3344861660079052</v>
      </c>
      <c r="I618" s="37" t="n">
        <v>0.3537735849056604</v>
      </c>
      <c r="J618" s="37" t="n">
        <v>0.3256484149855908</v>
      </c>
      <c r="K618" s="37" t="n">
        <v>0.6666666666666666</v>
      </c>
      <c r="L618" s="37" t="n">
        <v>0.6744186046511628</v>
      </c>
      <c r="M618" s="37" t="n">
        <v>0.9990118577075099</v>
      </c>
      <c r="N618" s="37" t="n">
        <v>0.1842885375494071</v>
      </c>
      <c r="O618" s="36" t="n">
        <v>0.02</v>
      </c>
      <c r="P618" s="36" t="n">
        <v>4.73</v>
      </c>
      <c r="Q618" s="36" t="n">
        <v>70.51000000000001</v>
      </c>
      <c r="R618" s="36" t="n">
        <v>64.51000000000001</v>
      </c>
      <c r="S618" s="36" t="n">
        <v>0</v>
      </c>
      <c r="T618" s="37" t="n">
        <v>0.1127525526830328</v>
      </c>
      <c r="U618" s="37" t="n">
        <v>0.3353151010701546</v>
      </c>
      <c r="V618" s="37" t="n">
        <v>0.08921663442940039</v>
      </c>
      <c r="W618" s="37" t="n">
        <v>0.8475177304964538</v>
      </c>
    </row>
    <row r="619">
      <c r="A619" s="53" t="n">
        <v>45766</v>
      </c>
      <c r="B619" t="inlineStr">
        <is>
          <t>R01_Sumbagut</t>
        </is>
      </c>
      <c r="C619" t="inlineStr">
        <is>
          <t>NOP RANTAU PRAPAT</t>
        </is>
      </c>
      <c r="D619" s="36" t="n">
        <v>3.25</v>
      </c>
      <c r="E619" s="36" t="n">
        <v>5.92</v>
      </c>
      <c r="F619" s="36" t="n">
        <v>4.55</v>
      </c>
      <c r="G619" s="36" t="n">
        <v>5.47</v>
      </c>
      <c r="H619" s="37" t="n">
        <v>0.2958730158730159</v>
      </c>
      <c r="I619" s="37" t="n">
        <v>0.2941176470588235</v>
      </c>
      <c r="J619" s="37" t="n">
        <v>0.2962533796832754</v>
      </c>
      <c r="K619" s="37" t="n">
        <v>0.6666666666666666</v>
      </c>
      <c r="L619" s="37" t="n">
        <v>0.6666666666666666</v>
      </c>
      <c r="M619" s="37" t="n">
        <v>0.9917460317460317</v>
      </c>
      <c r="N619" s="37" t="n">
        <v>0.1717460317460318</v>
      </c>
      <c r="O619" s="36" t="n">
        <v>0.02</v>
      </c>
      <c r="P619" s="36" t="n">
        <v>4.08</v>
      </c>
      <c r="Q619" s="36" t="n">
        <v>39.06</v>
      </c>
      <c r="R619" s="36" t="n">
        <v>41.74</v>
      </c>
      <c r="S619" s="36" t="n">
        <v>0</v>
      </c>
      <c r="T619" s="37" t="n">
        <v>0.06867779204107831</v>
      </c>
      <c r="U619" s="37" t="n">
        <v>0.1419902912621359</v>
      </c>
      <c r="V619" s="37" t="n">
        <v>0.04925827310764549</v>
      </c>
      <c r="W619" s="37" t="n">
        <v>0.6239316239316239</v>
      </c>
    </row>
    <row r="620">
      <c r="A620" s="53" t="n">
        <v>45766</v>
      </c>
      <c r="B620" t="inlineStr">
        <is>
          <t>R10_Sumbagteng</t>
        </is>
      </c>
      <c r="C620" t="inlineStr">
        <is>
          <t>NOP BATAM</t>
        </is>
      </c>
      <c r="D620" s="36" t="n">
        <v>2.08</v>
      </c>
      <c r="E620" s="36" t="n">
        <v>8.06</v>
      </c>
      <c r="F620" s="36" t="n">
        <v>6.89</v>
      </c>
      <c r="G620" s="36" t="n">
        <v>10.5</v>
      </c>
      <c r="H620" s="37" t="n">
        <v>0.3019438444924406</v>
      </c>
      <c r="I620" s="37" t="n">
        <v>0.3110599078341014</v>
      </c>
      <c r="J620" s="37" t="n">
        <v>0.2998405103668261</v>
      </c>
      <c r="K620" s="37" t="n">
        <v>0.6518518518518519</v>
      </c>
      <c r="L620" s="37" t="n">
        <v>0.6518518518518519</v>
      </c>
      <c r="M620" s="37" t="n">
        <v>0.9935205183585313</v>
      </c>
      <c r="N620" s="37" t="n">
        <v>0.1831533477321814</v>
      </c>
      <c r="O620" s="36" t="n">
        <v>0.82</v>
      </c>
      <c r="P620" s="36" t="n">
        <v>6.12</v>
      </c>
      <c r="Q620" s="36" t="n">
        <v>25.15</v>
      </c>
      <c r="R620" s="36" t="n">
        <v>12.62</v>
      </c>
      <c r="S620" s="36" t="n">
        <v>0</v>
      </c>
      <c r="T620" s="37" t="n">
        <v>0.07575057736720554</v>
      </c>
      <c r="U620" s="37" t="n">
        <v>0.244879786286732</v>
      </c>
      <c r="V620" s="37" t="n">
        <v>0.04952482934011511</v>
      </c>
      <c r="W620" s="37" t="n">
        <v>0.7890909090909091</v>
      </c>
    </row>
    <row r="621">
      <c r="A621" s="53" t="n">
        <v>45766</v>
      </c>
      <c r="B621" t="inlineStr">
        <is>
          <t>R10_Sumbagteng</t>
        </is>
      </c>
      <c r="C621" t="inlineStr">
        <is>
          <t>NOP BUKITTINGGI</t>
        </is>
      </c>
      <c r="D621" s="36" t="n">
        <v>2.62</v>
      </c>
      <c r="E621" s="36" t="n">
        <v>4.42</v>
      </c>
      <c r="F621" s="36" t="n">
        <v>4.55</v>
      </c>
      <c r="G621" s="36" t="n">
        <v>5.76</v>
      </c>
      <c r="H621" s="37" t="n">
        <v>0.7682038834951457</v>
      </c>
      <c r="I621" s="37" t="n">
        <v>0.84</v>
      </c>
      <c r="J621" s="37" t="n">
        <v>0.7451923076923077</v>
      </c>
      <c r="K621" s="37" t="n">
        <v>0.6369047619047619</v>
      </c>
      <c r="L621" s="37" t="n">
        <v>0.6369047619047619</v>
      </c>
      <c r="M621" s="37" t="n">
        <v>0.991504854368932</v>
      </c>
      <c r="N621" s="37" t="n">
        <v>0.4550970873786408</v>
      </c>
      <c r="O621" s="36" t="n">
        <v>0</v>
      </c>
      <c r="P621" s="36" t="n">
        <v>3.84</v>
      </c>
      <c r="Q621" s="36" t="n">
        <v>8.59</v>
      </c>
      <c r="R621" s="36" t="n">
        <v>122.62</v>
      </c>
      <c r="S621" s="36" t="n">
        <v>0</v>
      </c>
      <c r="T621" s="37" t="n">
        <v>0.3214193880174852</v>
      </c>
      <c r="U621" s="37" t="n">
        <v>0.7584097859327217</v>
      </c>
      <c r="V621" s="37" t="n">
        <v>0.2817021276595745</v>
      </c>
      <c r="W621" s="37" t="n">
        <v>0.6048387096774194</v>
      </c>
    </row>
    <row r="622">
      <c r="A622" s="53" t="n">
        <v>45766</v>
      </c>
      <c r="B622" t="inlineStr">
        <is>
          <t>R10_Sumbagteng</t>
        </is>
      </c>
      <c r="C622" t="inlineStr">
        <is>
          <t>NOP DUMAI</t>
        </is>
      </c>
      <c r="D622" s="36" t="n">
        <v>5.56</v>
      </c>
      <c r="E622" s="36" t="n">
        <v>6.02</v>
      </c>
      <c r="F622" s="36" t="n">
        <v>6.01</v>
      </c>
      <c r="G622" s="36" t="n">
        <v>6.46</v>
      </c>
      <c r="H622" s="37" t="n">
        <v>0.4094224924012158</v>
      </c>
      <c r="I622" s="37" t="n">
        <v>0.4965675057208238</v>
      </c>
      <c r="J622" s="37" t="n">
        <v>0.3778973509933775</v>
      </c>
      <c r="K622" s="37" t="n">
        <v>0.7096774193548387</v>
      </c>
      <c r="L622" s="37" t="n">
        <v>0.7242206235011991</v>
      </c>
      <c r="M622" s="37" t="n">
        <v>0.9735562310030396</v>
      </c>
      <c r="N622" s="37" t="n">
        <v>0.2355623100303951</v>
      </c>
      <c r="O622" s="36" t="n">
        <v>0.28</v>
      </c>
      <c r="P622" s="36" t="n">
        <v>5.06</v>
      </c>
      <c r="Q622" s="36" t="n">
        <v>53.76</v>
      </c>
      <c r="R622" s="36" t="n">
        <v>132.87</v>
      </c>
      <c r="S622" s="36" t="n">
        <v>0</v>
      </c>
      <c r="T622" s="37" t="n">
        <v>0.295376444860981</v>
      </c>
      <c r="U622" s="37" t="n">
        <v>0.3282208588957055</v>
      </c>
      <c r="V622" s="37" t="n">
        <v>0.2990499793473771</v>
      </c>
      <c r="W622" s="37" t="n">
        <v>0.9369158878504673</v>
      </c>
    </row>
    <row r="623">
      <c r="A623" s="53" t="n">
        <v>45766</v>
      </c>
      <c r="B623" t="inlineStr">
        <is>
          <t>R10_Sumbagteng</t>
        </is>
      </c>
      <c r="C623" t="inlineStr">
        <is>
          <t>NOP PADANG</t>
        </is>
      </c>
      <c r="D623" s="36" t="n">
        <v>3.58</v>
      </c>
      <c r="E623" s="36" t="n">
        <v>2.54</v>
      </c>
      <c r="F623" s="36" t="n">
        <v>6.21</v>
      </c>
      <c r="G623" s="36" t="n">
        <v>6.83</v>
      </c>
      <c r="H623" s="37" t="n">
        <v>0.7637729549248747</v>
      </c>
      <c r="I623" s="37" t="n">
        <v>0.7162162162162162</v>
      </c>
      <c r="J623" s="37" t="n">
        <v>0.7704761904761904</v>
      </c>
      <c r="K623" s="37" t="n">
        <v>0.4905660377358491</v>
      </c>
      <c r="L623" s="37" t="n">
        <v>0.4905660377358491</v>
      </c>
      <c r="M623" s="37" t="n">
        <v>0.9891485809682805</v>
      </c>
      <c r="N623" s="37" t="n">
        <v>0.3113522537562604</v>
      </c>
      <c r="O623" s="36" t="n">
        <v>0.06</v>
      </c>
      <c r="P623" s="36" t="n">
        <v>5</v>
      </c>
      <c r="Q623" s="36" t="n">
        <v>47.35</v>
      </c>
      <c r="R623" s="36" t="n">
        <v>60.49</v>
      </c>
      <c r="S623" s="36" t="n">
        <v>0</v>
      </c>
      <c r="T623" s="37" t="n">
        <v>0.7400034922297887</v>
      </c>
      <c r="U623" s="37" t="n">
        <v>0.6607717041800643</v>
      </c>
      <c r="V623" s="37" t="n">
        <v>0.7526263627353815</v>
      </c>
      <c r="W623" s="37" t="n">
        <v>0.4768856447688564</v>
      </c>
    </row>
    <row r="624">
      <c r="A624" s="53" t="n">
        <v>45766</v>
      </c>
      <c r="B624" t="inlineStr">
        <is>
          <t>R10_Sumbagteng</t>
        </is>
      </c>
      <c r="C624" t="inlineStr">
        <is>
          <t>NOP PEKANBARU</t>
        </is>
      </c>
      <c r="D624" s="36" t="n">
        <v>6.44</v>
      </c>
      <c r="E624" s="36" t="n">
        <v>5.94</v>
      </c>
      <c r="F624" s="36" t="n">
        <v>5.77</v>
      </c>
      <c r="G624" s="36" t="n">
        <v>7.98</v>
      </c>
      <c r="H624" s="37" t="n">
        <v>0.4011730205278592</v>
      </c>
      <c r="I624" s="37" t="n">
        <v>0.5035211267605634</v>
      </c>
      <c r="J624" s="37" t="n">
        <v>0.3807178043631246</v>
      </c>
      <c r="K624" s="37" t="n">
        <v>0.7517482517482518</v>
      </c>
      <c r="L624" s="37" t="n">
        <v>0.7588652482269503</v>
      </c>
      <c r="M624" s="37" t="n">
        <v>0.9888563049853373</v>
      </c>
      <c r="N624" s="37" t="n">
        <v>0.2217008797653959</v>
      </c>
      <c r="O624" s="36" t="n">
        <v>0.02</v>
      </c>
      <c r="P624" s="36" t="n">
        <v>3.37</v>
      </c>
      <c r="Q624" s="36" t="n">
        <v>47.69</v>
      </c>
      <c r="R624" s="36" t="n">
        <v>101.7</v>
      </c>
      <c r="S624" s="36" t="n">
        <v>0</v>
      </c>
      <c r="T624" s="37" t="n">
        <v>0.2938945086705202</v>
      </c>
      <c r="U624" s="37" t="n">
        <v>0.3091236494597839</v>
      </c>
      <c r="V624" s="37" t="n">
        <v>0.2957359009628611</v>
      </c>
      <c r="W624" s="37" t="n">
        <v>0.8621359223300971</v>
      </c>
    </row>
    <row r="625">
      <c r="A625" s="53" t="n">
        <v>45766</v>
      </c>
      <c r="B625" t="inlineStr">
        <is>
          <t>R02_Sumbagsel</t>
        </is>
      </c>
      <c r="C625" t="inlineStr">
        <is>
          <t>NOP BENGKULU</t>
        </is>
      </c>
      <c r="D625" s="36" t="n">
        <v>2.16</v>
      </c>
      <c r="E625" s="36" t="n">
        <v>4.58</v>
      </c>
      <c r="F625" s="36" t="n">
        <v>4.2</v>
      </c>
      <c r="G625" s="36" t="n">
        <v>6.58</v>
      </c>
      <c r="H625" s="37" t="n">
        <v>0.3605371900826446</v>
      </c>
      <c r="I625" s="37" t="n">
        <v>0.4444444444444444</v>
      </c>
      <c r="J625" s="37" t="n">
        <v>0.3337874659400545</v>
      </c>
      <c r="K625" s="37" t="n">
        <v>0.6730769230769231</v>
      </c>
      <c r="L625" s="37" t="n">
        <v>0.6730769230769231</v>
      </c>
      <c r="M625" s="37" t="n">
        <v>0.9938016528925619</v>
      </c>
      <c r="N625" s="37" t="n">
        <v>0.1895661157024793</v>
      </c>
      <c r="O625" s="36" t="n">
        <v>0</v>
      </c>
      <c r="P625" s="36" t="n">
        <v>6.12</v>
      </c>
      <c r="Q625" s="36" t="n">
        <v>7.03</v>
      </c>
      <c r="R625" s="36" t="n">
        <v>15.99</v>
      </c>
      <c r="S625" s="36" t="n">
        <v>0</v>
      </c>
      <c r="T625" s="37" t="n">
        <v>0.4620689655172414</v>
      </c>
      <c r="U625" s="37" t="n">
        <v>0.3905201342281879</v>
      </c>
      <c r="V625" s="37" t="n">
        <v>0.6334056399132321</v>
      </c>
      <c r="W625" s="37" t="n">
        <v>0.8904403866809882</v>
      </c>
    </row>
    <row r="626">
      <c r="A626" s="53" t="n">
        <v>45766</v>
      </c>
      <c r="B626" t="inlineStr">
        <is>
          <t>R02_Sumbagsel</t>
        </is>
      </c>
      <c r="C626" t="inlineStr">
        <is>
          <t>NOP JAMBI</t>
        </is>
      </c>
      <c r="D626" s="36" t="n">
        <v>3.65</v>
      </c>
      <c r="E626" s="36" t="n">
        <v>6.18</v>
      </c>
      <c r="F626" s="36" t="n">
        <v>6.56</v>
      </c>
      <c r="G626" s="36" t="n">
        <v>8.24</v>
      </c>
      <c r="H626" s="37" t="n">
        <v>0.5304289990023279</v>
      </c>
      <c r="I626" s="37" t="n">
        <v>0.571583514099783</v>
      </c>
      <c r="J626" s="37" t="n">
        <v>0.5122302158273381</v>
      </c>
      <c r="K626" s="37" t="n">
        <v>0.6565464895635673</v>
      </c>
      <c r="L626" s="37" t="n">
        <v>0.6571428571428571</v>
      </c>
      <c r="M626" s="37" t="n">
        <v>1</v>
      </c>
      <c r="N626" s="37" t="n">
        <v>0.2786830728300632</v>
      </c>
      <c r="O626" s="36" t="n">
        <v>0</v>
      </c>
      <c r="P626" s="36" t="n">
        <v>7.95</v>
      </c>
      <c r="Q626" s="36" t="n">
        <v>18</v>
      </c>
      <c r="R626" s="36" t="n">
        <v>18</v>
      </c>
      <c r="S626" s="36" t="n">
        <v>0</v>
      </c>
      <c r="T626" s="37" t="n">
        <v>0.6404494382022472</v>
      </c>
      <c r="U626" s="37" t="n">
        <v>0.6348138178555406</v>
      </c>
      <c r="V626" s="37" t="n">
        <v>0.6650300054555374</v>
      </c>
      <c r="W626" s="37" t="n">
        <v>0.7434628975265017</v>
      </c>
    </row>
    <row r="627">
      <c r="A627" s="53" t="n">
        <v>45766</v>
      </c>
      <c r="B627" t="inlineStr">
        <is>
          <t>R02_Sumbagsel</t>
        </is>
      </c>
      <c r="C627" t="inlineStr">
        <is>
          <t>NOP LAMPUNG</t>
        </is>
      </c>
      <c r="D627" s="36" t="n">
        <v>3.07</v>
      </c>
      <c r="E627" s="36" t="n">
        <v>4.6</v>
      </c>
      <c r="F627" s="36" t="n">
        <v>4.99</v>
      </c>
      <c r="G627" s="36" t="n">
        <v>5.43</v>
      </c>
      <c r="H627" s="37" t="n">
        <v>0.5305378304466728</v>
      </c>
      <c r="I627" s="37" t="n">
        <v>0.662962962962963</v>
      </c>
      <c r="J627" s="37" t="n">
        <v>0.4873035066505441</v>
      </c>
      <c r="K627" s="37" t="n">
        <v>0.7318435754189944</v>
      </c>
      <c r="L627" s="37" t="n">
        <v>0.7318435754189944</v>
      </c>
      <c r="M627" s="37" t="n">
        <v>1</v>
      </c>
      <c r="N627" s="37" t="n">
        <v>0.340929808568824</v>
      </c>
      <c r="O627" s="36" t="n">
        <v>1.12</v>
      </c>
      <c r="P627" s="36" t="n">
        <v>5.43</v>
      </c>
      <c r="Q627" s="36" t="n">
        <v>5.3</v>
      </c>
      <c r="R627" s="36" t="n">
        <v>26.8</v>
      </c>
      <c r="S627" s="36" t="n">
        <v>0</v>
      </c>
      <c r="T627" s="37" t="n">
        <v>0.8972489227709646</v>
      </c>
      <c r="U627" s="37" t="n">
        <v>0.7942386831275721</v>
      </c>
      <c r="V627" s="37" t="n">
        <v>0.9470997679814385</v>
      </c>
      <c r="W627" s="37" t="n">
        <v>0.8549222797927462</v>
      </c>
    </row>
    <row r="628">
      <c r="A628" s="53" t="n">
        <v>45766</v>
      </c>
      <c r="B628" t="inlineStr">
        <is>
          <t>R02_Sumbagsel</t>
        </is>
      </c>
      <c r="C628" t="inlineStr">
        <is>
          <t>NOP MUARA ENIM</t>
        </is>
      </c>
      <c r="D628" s="36" t="n">
        <v>2.95</v>
      </c>
      <c r="E628" s="36" t="n">
        <v>3.89</v>
      </c>
      <c r="F628" s="36" t="n">
        <v>5.25</v>
      </c>
      <c r="G628" s="36" t="n">
        <v>5.41</v>
      </c>
      <c r="H628" s="37" t="n">
        <v>0.4002686366689053</v>
      </c>
      <c r="I628" s="37" t="n">
        <v>0.3385214007782101</v>
      </c>
      <c r="J628" s="37" t="n">
        <v>0.4131493506493507</v>
      </c>
      <c r="K628" s="37" t="n">
        <v>0.5402298850574713</v>
      </c>
      <c r="L628" s="37" t="n">
        <v>0.5679012345679012</v>
      </c>
      <c r="M628" s="37" t="n">
        <v>0.9754869039623909</v>
      </c>
      <c r="N628" s="37" t="n">
        <v>0.1746138347884486</v>
      </c>
      <c r="O628" s="36" t="n">
        <v>0</v>
      </c>
      <c r="P628" s="36" t="n">
        <v>4.68</v>
      </c>
      <c r="Q628" s="36" t="n">
        <v>6.67</v>
      </c>
      <c r="R628" s="36" t="n">
        <v>9.06</v>
      </c>
      <c r="S628" s="36" t="n">
        <v>0</v>
      </c>
      <c r="T628" s="37" t="n">
        <v>0.4676375404530744</v>
      </c>
      <c r="U628" s="37" t="n">
        <v>0.4807121661721068</v>
      </c>
      <c r="V628" s="37" t="n">
        <v>0.5327044025157233</v>
      </c>
      <c r="W628" s="37" t="n">
        <v>0.7950617283950617</v>
      </c>
    </row>
    <row r="629">
      <c r="A629" s="53" t="n">
        <v>45766</v>
      </c>
      <c r="B629" t="inlineStr">
        <is>
          <t>R02_Sumbagsel</t>
        </is>
      </c>
      <c r="C629" t="inlineStr">
        <is>
          <t>NOP PALEMBANG</t>
        </is>
      </c>
      <c r="D629" s="36" t="n">
        <v>3.52</v>
      </c>
      <c r="E629" s="36" t="n">
        <v>5.12</v>
      </c>
      <c r="F629" s="36" t="n">
        <v>8.08</v>
      </c>
      <c r="G629" s="36" t="n">
        <v>8.99</v>
      </c>
      <c r="H629" s="37" t="n">
        <v>0.299267846247712</v>
      </c>
      <c r="I629" s="37" t="n">
        <v>0.3076923076923077</v>
      </c>
      <c r="J629" s="37" t="n">
        <v>0.2982576016399043</v>
      </c>
      <c r="K629" s="37" t="n">
        <v>0.4259259259259259</v>
      </c>
      <c r="L629" s="37" t="n">
        <v>0.4259259259259259</v>
      </c>
      <c r="M629" s="37" t="n">
        <v>1</v>
      </c>
      <c r="N629" s="37" t="n">
        <v>0.1296522269676632</v>
      </c>
      <c r="O629" s="36" t="n">
        <v>0</v>
      </c>
      <c r="P629" s="36" t="n">
        <v>6.21</v>
      </c>
      <c r="Q629" s="36" t="n">
        <v>11.39</v>
      </c>
      <c r="R629" s="36" t="n">
        <v>7</v>
      </c>
      <c r="S629" s="36" t="n">
        <v>0</v>
      </c>
      <c r="T629" s="37" t="n">
        <v>0.2919358698253171</v>
      </c>
      <c r="U629" s="37" t="n">
        <v>0.2491803278688525</v>
      </c>
      <c r="V629" s="37" t="n">
        <v>0.4024455077086656</v>
      </c>
      <c r="W629" s="37" t="n">
        <v>0.4298245614035088</v>
      </c>
    </row>
    <row r="630">
      <c r="A630" s="53" t="n">
        <v>45766</v>
      </c>
      <c r="B630" t="inlineStr">
        <is>
          <t>R02_Sumbagsel</t>
        </is>
      </c>
      <c r="C630" t="inlineStr">
        <is>
          <t>NOP PANGKAL PINANG</t>
        </is>
      </c>
      <c r="D630" s="36" t="n">
        <v>1.94</v>
      </c>
      <c r="E630" s="36" t="n">
        <v>2.73</v>
      </c>
      <c r="F630" s="36" t="n">
        <v>5.32</v>
      </c>
      <c r="G630" s="36" t="n">
        <v>6.94</v>
      </c>
      <c r="H630" s="37" t="n">
        <v>0.6368563685636857</v>
      </c>
      <c r="I630" s="37" t="n">
        <v>0.7</v>
      </c>
      <c r="J630" s="37" t="n">
        <v>0.6332378223495702</v>
      </c>
      <c r="K630" s="37" t="n">
        <v>0.7142857142857143</v>
      </c>
      <c r="L630" s="37" t="n">
        <v>0.7142857142857143</v>
      </c>
      <c r="M630" s="37" t="n">
        <v>0.997289972899729</v>
      </c>
      <c r="N630" s="37" t="n">
        <v>0.3577235772357724</v>
      </c>
      <c r="O630" s="36" t="n">
        <v>0</v>
      </c>
      <c r="P630" s="36" t="n">
        <v>4.43</v>
      </c>
      <c r="Q630" s="36" t="n">
        <v>7.54</v>
      </c>
      <c r="R630" s="36" t="n">
        <v>7.33</v>
      </c>
      <c r="S630" s="36" t="n">
        <v>0</v>
      </c>
      <c r="T630" s="37" t="n">
        <v>0.7885964912280702</v>
      </c>
      <c r="U630" s="37" t="n">
        <v>0.8457300275482094</v>
      </c>
      <c r="V630" s="37" t="n">
        <v>0.8480463096960926</v>
      </c>
      <c r="W630" s="37" t="n">
        <v>0.739413680781759</v>
      </c>
    </row>
    <row r="631">
      <c r="A631" s="53" t="n">
        <v>45766</v>
      </c>
      <c r="B631" t="inlineStr">
        <is>
          <t>R05_Jawa Tengah DIY</t>
        </is>
      </c>
      <c r="C631" t="inlineStr">
        <is>
          <t>NOP MAGELANG</t>
        </is>
      </c>
      <c r="D631" s="36" t="n">
        <v>4.82</v>
      </c>
      <c r="E631" s="36" t="n">
        <v>0</v>
      </c>
      <c r="F631" s="36" t="n">
        <v>4.72</v>
      </c>
      <c r="G631" s="36" t="n">
        <v>4.68</v>
      </c>
      <c r="H631" s="37" t="n">
        <v>0.7606060606060606</v>
      </c>
      <c r="I631" s="37" t="n">
        <v>0.9393939393939394</v>
      </c>
      <c r="J631" s="37" t="n">
        <v>0.7407407407407407</v>
      </c>
      <c r="K631" s="37" t="n">
        <v>0.7419354838709677</v>
      </c>
      <c r="L631" s="37" t="n">
        <v>0.7419354838709677</v>
      </c>
      <c r="M631" s="37" t="n">
        <v>0.996969696969697</v>
      </c>
      <c r="N631" s="37" t="n">
        <v>0.6696969696969697</v>
      </c>
      <c r="O631" s="36" t="n">
        <v>0.3</v>
      </c>
      <c r="P631" s="36" t="n">
        <v>2.84</v>
      </c>
      <c r="Q631" s="36" t="n">
        <v>7.62</v>
      </c>
      <c r="R631" s="36" t="n">
        <v>19.69</v>
      </c>
      <c r="S631" s="36" t="n">
        <v>0</v>
      </c>
      <c r="T631" s="37" t="n">
        <v>0.9423347398030942</v>
      </c>
      <c r="U631" s="37" t="n">
        <v>0.9395973154362416</v>
      </c>
      <c r="V631" s="37" t="n">
        <v>0.9430604982206405</v>
      </c>
      <c r="W631" s="37" t="n">
        <v>0.8857142857142857</v>
      </c>
    </row>
    <row r="632">
      <c r="A632" s="53" t="n">
        <v>45766</v>
      </c>
      <c r="B632" t="inlineStr">
        <is>
          <t>R05_Jawa Tengah DIY</t>
        </is>
      </c>
      <c r="C632" t="inlineStr">
        <is>
          <t>NOP PEKALONGAN</t>
        </is>
      </c>
      <c r="D632" s="36" t="n">
        <v>4.06</v>
      </c>
      <c r="E632" s="36" t="n">
        <v>0</v>
      </c>
      <c r="F632" s="36" t="n">
        <v>3.33</v>
      </c>
      <c r="G632" s="36" t="n">
        <v>3.87</v>
      </c>
      <c r="H632" s="37" t="n">
        <v>0.6259259259259259</v>
      </c>
      <c r="I632" s="37" t="n">
        <v>0.8636363636363636</v>
      </c>
      <c r="J632" s="37" t="n">
        <v>0.6048387096774194</v>
      </c>
      <c r="K632" s="37" t="n">
        <v>1</v>
      </c>
      <c r="L632" s="37" t="n">
        <v>1</v>
      </c>
      <c r="M632" s="37" t="n">
        <v>0.9777777777777777</v>
      </c>
      <c r="N632" s="37" t="n">
        <v>0.6037037037037037</v>
      </c>
      <c r="O632" s="36" t="n">
        <v>0.01</v>
      </c>
      <c r="P632" s="36" t="n">
        <v>3.29</v>
      </c>
      <c r="Q632" s="36" t="n">
        <v>5.96</v>
      </c>
      <c r="R632" s="36" t="n">
        <v>50.28</v>
      </c>
      <c r="S632" s="36" t="n">
        <v>0</v>
      </c>
      <c r="T632" s="37" t="n">
        <v>0.8333333333333334</v>
      </c>
      <c r="U632" s="37" t="n">
        <v>0.7666666666666667</v>
      </c>
      <c r="V632" s="37" t="n">
        <v>0.8538461538461538</v>
      </c>
      <c r="W632" s="37" t="n">
        <v>0.6739130434782609</v>
      </c>
    </row>
    <row r="633">
      <c r="A633" s="53" t="n">
        <v>45766</v>
      </c>
      <c r="B633" t="inlineStr">
        <is>
          <t>R05_Jawa Tengah DIY</t>
        </is>
      </c>
      <c r="C633" t="inlineStr">
        <is>
          <t>NOP PURWOKERTO</t>
        </is>
      </c>
      <c r="D633" s="36" t="n">
        <v>2.44</v>
      </c>
      <c r="E633" s="36" t="n">
        <v>0</v>
      </c>
      <c r="F633" s="36" t="n">
        <v>3.62</v>
      </c>
      <c r="G633" s="36" t="n">
        <v>3.44</v>
      </c>
      <c r="H633" s="37" t="n">
        <v>0.7859154929577464</v>
      </c>
      <c r="I633" s="37" t="n">
        <v>0.75</v>
      </c>
      <c r="J633" s="37" t="n">
        <v>0.7889908256880734</v>
      </c>
      <c r="K633" s="37" t="n">
        <v>1</v>
      </c>
      <c r="L633" s="37" t="n">
        <v>1</v>
      </c>
      <c r="M633" s="37" t="n">
        <v>0.971830985915493</v>
      </c>
      <c r="N633" s="37" t="n">
        <v>0.523943661971831</v>
      </c>
      <c r="O633" s="36" t="n">
        <v>0.31</v>
      </c>
      <c r="P633" s="36" t="n">
        <v>3.74</v>
      </c>
      <c r="Q633" s="36" t="n">
        <v>8.949999999999999</v>
      </c>
      <c r="R633" s="36" t="n">
        <v>40.97</v>
      </c>
      <c r="S633" s="36" t="n">
        <v>0</v>
      </c>
      <c r="T633" s="37" t="n">
        <v>0.7950664136622391</v>
      </c>
      <c r="U633" s="37" t="n">
        <v>0.8037383177570093</v>
      </c>
      <c r="V633" s="37" t="n">
        <v>0.7928571428571428</v>
      </c>
      <c r="W633" s="37" t="n">
        <v>0.7674418604651163</v>
      </c>
    </row>
    <row r="634">
      <c r="A634" s="53" t="n">
        <v>45766</v>
      </c>
      <c r="B634" t="inlineStr">
        <is>
          <t>R05_Jawa Tengah DIY</t>
        </is>
      </c>
      <c r="C634" t="inlineStr">
        <is>
          <t>NOP SEMARANG</t>
        </is>
      </c>
      <c r="D634" s="36" t="n">
        <v>2.34</v>
      </c>
      <c r="E634" s="36" t="n">
        <v>1.7</v>
      </c>
      <c r="F634" s="36" t="n">
        <v>3.05</v>
      </c>
      <c r="G634" s="36" t="n">
        <v>3.28</v>
      </c>
      <c r="H634" s="37" t="n">
        <v>0.4394618834080717</v>
      </c>
      <c r="I634" s="37" t="n">
        <v>0.45</v>
      </c>
      <c r="J634" s="37" t="n">
        <v>0.4384236453201971</v>
      </c>
      <c r="K634" s="37" t="n">
        <v>1</v>
      </c>
      <c r="L634" s="37" t="n">
        <v>1</v>
      </c>
      <c r="M634" s="37" t="n">
        <v>0.9551569506726457</v>
      </c>
      <c r="N634" s="37" t="n">
        <v>0.2556053811659193</v>
      </c>
      <c r="O634" s="36" t="n">
        <v>0.05</v>
      </c>
      <c r="P634" s="36" t="n">
        <v>3.94</v>
      </c>
      <c r="Q634" s="36" t="n">
        <v>9.449999999999999</v>
      </c>
      <c r="R634" s="36" t="n">
        <v>82.44</v>
      </c>
      <c r="S634" s="36" t="n">
        <v>0</v>
      </c>
      <c r="T634" s="37" t="n">
        <v>0.7052341597796143</v>
      </c>
      <c r="U634" s="37" t="n">
        <v>0.413953488372093</v>
      </c>
      <c r="V634" s="37" t="n">
        <v>0.8277886497064579</v>
      </c>
      <c r="W634" s="37" t="n">
        <v>0.8426966292134831</v>
      </c>
    </row>
    <row r="635">
      <c r="A635" s="53" t="n">
        <v>45766</v>
      </c>
      <c r="B635" t="inlineStr">
        <is>
          <t>R05_Jawa Tengah DIY</t>
        </is>
      </c>
      <c r="C635" t="inlineStr">
        <is>
          <t>NOP SURAKARTA</t>
        </is>
      </c>
      <c r="D635" s="36" t="n">
        <v>3.95</v>
      </c>
      <c r="E635" s="36" t="n">
        <v>2.15</v>
      </c>
      <c r="F635" s="36" t="n">
        <v>4</v>
      </c>
      <c r="G635" s="36" t="n">
        <v>4.62</v>
      </c>
      <c r="H635" s="37" t="n">
        <v>0.6762589928057554</v>
      </c>
      <c r="I635" s="37" t="n">
        <v>0.8571428571428571</v>
      </c>
      <c r="J635" s="37" t="n">
        <v>0.656</v>
      </c>
      <c r="K635" s="37" t="n">
        <v>0.9375</v>
      </c>
      <c r="L635" s="37" t="n">
        <v>0.9375</v>
      </c>
      <c r="M635" s="37" t="n">
        <v>0.9766187050359713</v>
      </c>
      <c r="N635" s="37" t="n">
        <v>0.4622302158273381</v>
      </c>
      <c r="O635" s="36" t="n">
        <v>0.14</v>
      </c>
      <c r="P635" s="36" t="n">
        <v>3.62</v>
      </c>
      <c r="Q635" s="36" t="n">
        <v>8.4</v>
      </c>
      <c r="R635" s="36" t="n">
        <v>64.47</v>
      </c>
      <c r="S635" s="36" t="n">
        <v>0</v>
      </c>
      <c r="T635" s="37" t="n">
        <v>0.8033012379642366</v>
      </c>
      <c r="U635" s="37" t="n">
        <v>0.7352941176470589</v>
      </c>
      <c r="V635" s="37" t="n">
        <v>0.8298279158699808</v>
      </c>
      <c r="W635" s="37" t="n">
        <v>0.7733333333333333</v>
      </c>
    </row>
    <row r="636">
      <c r="A636" s="53" t="n">
        <v>45766</v>
      </c>
      <c r="B636" t="inlineStr">
        <is>
          <t>R05_Jawa Tengah DIY</t>
        </is>
      </c>
      <c r="C636" t="inlineStr">
        <is>
          <t>NOP YOGYAKARTA</t>
        </is>
      </c>
      <c r="D636" s="36" t="n">
        <v>3.21</v>
      </c>
      <c r="E636" s="36" t="n">
        <v>0</v>
      </c>
      <c r="F636" s="36" t="n">
        <v>3.72</v>
      </c>
      <c r="G636" s="36" t="n">
        <v>4.06</v>
      </c>
      <c r="H636" s="37" t="n">
        <v>0.5965346534653465</v>
      </c>
      <c r="I636" s="37" t="n">
        <v>0.9285714285714286</v>
      </c>
      <c r="J636" s="37" t="n">
        <v>0.5718085106382979</v>
      </c>
      <c r="K636" s="37" t="n">
        <v>0.9230769230769231</v>
      </c>
      <c r="L636" s="37" t="n">
        <v>0.9166666666666666</v>
      </c>
      <c r="M636" s="37" t="n">
        <v>0.9925742574257426</v>
      </c>
      <c r="N636" s="37" t="n">
        <v>0.4133663366336633</v>
      </c>
      <c r="O636" s="36" t="n">
        <v>0</v>
      </c>
      <c r="P636" s="36" t="n">
        <v>3.1</v>
      </c>
      <c r="Q636" s="36" t="n">
        <v>15.11</v>
      </c>
      <c r="R636" s="36" t="n">
        <v>44.1</v>
      </c>
      <c r="S636" s="36" t="n">
        <v>0</v>
      </c>
      <c r="T636" s="37" t="n">
        <v>0.9328263624841572</v>
      </c>
      <c r="U636" s="37" t="n">
        <v>0.8181818181818182</v>
      </c>
      <c r="V636" s="37" t="n">
        <v>0.9535928143712575</v>
      </c>
      <c r="W636" s="37" t="n">
        <v>0.9797979797979798</v>
      </c>
    </row>
    <row r="637">
      <c r="A637" s="53" t="n">
        <v>45766</v>
      </c>
      <c r="B637" t="inlineStr">
        <is>
          <t>R06_Jawa Timur</t>
        </is>
      </c>
      <c r="C637" t="inlineStr">
        <is>
          <t>NOP JEMBER</t>
        </is>
      </c>
      <c r="D637" s="36" t="n">
        <v>2.1</v>
      </c>
      <c r="E637" s="36" t="n">
        <v>2.64</v>
      </c>
      <c r="F637" s="36" t="n">
        <v>4.55</v>
      </c>
      <c r="G637" s="36" t="n">
        <v>3.83</v>
      </c>
      <c r="H637" s="37" t="n">
        <v>0.6728723404255319</v>
      </c>
      <c r="I637" s="37" t="n">
        <v>0.6896551724137931</v>
      </c>
      <c r="J637" s="37" t="n">
        <v>0.6714697406340058</v>
      </c>
      <c r="K637" s="37" t="n">
        <v>0.8</v>
      </c>
      <c r="L637" s="37" t="n">
        <v>0.8</v>
      </c>
      <c r="M637" s="37" t="n">
        <v>0.9867021276595744</v>
      </c>
      <c r="N637" s="37" t="n">
        <v>0.3537234042553192</v>
      </c>
      <c r="O637" s="36" t="n">
        <v>0</v>
      </c>
      <c r="P637" s="36" t="n">
        <v>3.61</v>
      </c>
      <c r="Q637" s="36" t="n">
        <v>5.06</v>
      </c>
      <c r="R637" s="36" t="n">
        <v>119.75</v>
      </c>
      <c r="S637" s="36" t="n">
        <v>0</v>
      </c>
      <c r="T637" s="37" t="n">
        <v>0.8155737704918032</v>
      </c>
      <c r="U637" s="37" t="n">
        <v>0.7796610169491526</v>
      </c>
      <c r="V637" s="37" t="n">
        <v>0.827027027027027</v>
      </c>
      <c r="W637" s="37" t="n">
        <v>0.7826086956521739</v>
      </c>
    </row>
    <row r="638">
      <c r="A638" s="53" t="n">
        <v>45766</v>
      </c>
      <c r="B638" t="inlineStr">
        <is>
          <t>R06_Jawa Timur</t>
        </is>
      </c>
      <c r="C638" t="inlineStr">
        <is>
          <t>NOP KEDIRI</t>
        </is>
      </c>
      <c r="D638" s="36" t="n">
        <v>1.21</v>
      </c>
      <c r="E638" s="36" t="n">
        <v>0.7</v>
      </c>
      <c r="F638" s="36" t="n">
        <v>2.16</v>
      </c>
      <c r="G638" s="36" t="n">
        <v>1.95</v>
      </c>
      <c r="H638" s="37" t="n">
        <v>0.869281045751634</v>
      </c>
      <c r="I638" s="37" t="n">
        <v>0.8333333333333334</v>
      </c>
      <c r="J638" s="37" t="n">
        <v>0.8707482993197279</v>
      </c>
      <c r="K638" s="37" t="n">
        <v>0.6</v>
      </c>
      <c r="L638" s="37" t="n">
        <v>0.6</v>
      </c>
      <c r="M638" s="37" t="n">
        <v>1</v>
      </c>
      <c r="N638" s="37" t="n">
        <v>0.6143790849673203</v>
      </c>
      <c r="O638" s="36" t="n">
        <v>0</v>
      </c>
      <c r="P638" s="36" t="n">
        <v>1.87</v>
      </c>
      <c r="Q638" s="36" t="n">
        <v>3.52</v>
      </c>
      <c r="R638" s="36" t="n">
        <v>13.85</v>
      </c>
      <c r="S638" s="36" t="n">
        <v>0</v>
      </c>
      <c r="T638" s="37" t="n">
        <v>0.9448529411764706</v>
      </c>
      <c r="U638" s="37" t="n">
        <v>0.8947368421052632</v>
      </c>
      <c r="V638" s="37" t="n">
        <v>0.9581395348837209</v>
      </c>
      <c r="W638" s="37" t="n">
        <v>0.8823529411764706</v>
      </c>
    </row>
    <row r="639">
      <c r="A639" s="53" t="n">
        <v>45766</v>
      </c>
      <c r="B639" t="inlineStr">
        <is>
          <t>R06_Jawa Timur</t>
        </is>
      </c>
      <c r="C639" t="inlineStr">
        <is>
          <t>NOP LAMONGAN</t>
        </is>
      </c>
      <c r="D639" s="36" t="n">
        <v>1.36</v>
      </c>
      <c r="E639" s="36" t="n">
        <v>1.01</v>
      </c>
      <c r="F639" s="36" t="n">
        <v>3.07</v>
      </c>
      <c r="G639" s="36" t="n">
        <v>3.7</v>
      </c>
      <c r="H639" s="37" t="n">
        <v>0.806060606060606</v>
      </c>
      <c r="I639" s="37" t="n">
        <v>0.9230769230769231</v>
      </c>
      <c r="J639" s="37" t="n">
        <v>0.7960526315789473</v>
      </c>
      <c r="K639" s="37" t="n">
        <v>0.9166666666666666</v>
      </c>
      <c r="L639" s="37" t="n">
        <v>0.9166666666666666</v>
      </c>
      <c r="M639" s="37" t="n">
        <v>1</v>
      </c>
      <c r="N639" s="37" t="n">
        <v>0.7151515151515152</v>
      </c>
      <c r="O639" s="36" t="n">
        <v>0</v>
      </c>
      <c r="P639" s="36" t="n">
        <v>2.59</v>
      </c>
      <c r="Q639" s="36" t="n">
        <v>10</v>
      </c>
      <c r="R639" s="36" t="n">
        <v>36.18</v>
      </c>
      <c r="S639" s="36" t="n">
        <v>0</v>
      </c>
      <c r="T639" s="37" t="n">
        <v>0.78</v>
      </c>
      <c r="U639" s="37" t="n">
        <v>0.654320987654321</v>
      </c>
      <c r="V639" s="37" t="n">
        <v>0.865546218487395</v>
      </c>
      <c r="W639" s="37" t="n">
        <v>0.8490566037735849</v>
      </c>
    </row>
    <row r="640">
      <c r="A640" s="53" t="n">
        <v>45766</v>
      </c>
      <c r="B640" t="inlineStr">
        <is>
          <t>R06_Jawa Timur</t>
        </is>
      </c>
      <c r="C640" t="inlineStr">
        <is>
          <t>NOP MADIUN</t>
        </is>
      </c>
      <c r="D640" s="36" t="n">
        <v>0.63</v>
      </c>
      <c r="E640" s="36" t="n">
        <v>0</v>
      </c>
      <c r="F640" s="36" t="n">
        <v>2.73</v>
      </c>
      <c r="G640" s="36" t="n">
        <v>3.42</v>
      </c>
      <c r="H640" s="37" t="n">
        <v>0.6276150627615062</v>
      </c>
      <c r="I640" s="37" t="n">
        <v>1</v>
      </c>
      <c r="J640" s="37" t="n">
        <v>0.6212765957446809</v>
      </c>
      <c r="K640" s="37" t="n">
        <v>1</v>
      </c>
      <c r="L640" s="37" t="n">
        <v>1</v>
      </c>
      <c r="M640" s="37" t="n">
        <v>0.99581589958159</v>
      </c>
      <c r="N640" s="37" t="n">
        <v>0.3640167364016736</v>
      </c>
      <c r="O640" s="36" t="n">
        <v>0</v>
      </c>
      <c r="P640" s="36" t="n">
        <v>2.51</v>
      </c>
      <c r="Q640" s="36" t="n">
        <v>6.3</v>
      </c>
      <c r="R640" s="36" t="n">
        <v>58.33</v>
      </c>
      <c r="S640" s="36" t="n">
        <v>0</v>
      </c>
      <c r="T640" s="37" t="n">
        <v>0.6914285714285714</v>
      </c>
      <c r="U640" s="37" t="n">
        <v>0.696</v>
      </c>
      <c r="V640" s="37" t="n">
        <v>0.6888888888888889</v>
      </c>
      <c r="W640" s="37" t="n">
        <v>0.7586206896551724</v>
      </c>
    </row>
    <row r="641">
      <c r="A641" s="53" t="n">
        <v>45766</v>
      </c>
      <c r="B641" t="inlineStr">
        <is>
          <t>R06_Jawa Timur</t>
        </is>
      </c>
      <c r="C641" t="inlineStr">
        <is>
          <t>NOP MALANG</t>
        </is>
      </c>
      <c r="D641" s="36" t="n">
        <v>1.31</v>
      </c>
      <c r="E641" s="36" t="n">
        <v>0</v>
      </c>
      <c r="F641" s="36" t="n">
        <v>2.62</v>
      </c>
      <c r="G641" s="36" t="n">
        <v>2.81</v>
      </c>
      <c r="H641" s="37" t="n">
        <v>0.8247422680412371</v>
      </c>
      <c r="I641" s="37" t="n">
        <v>0.8333333333333334</v>
      </c>
      <c r="J641" s="37" t="n">
        <v>0.8245614035087719</v>
      </c>
      <c r="K641" s="37" t="n">
        <v>1</v>
      </c>
      <c r="L641" s="37" t="n">
        <v>1</v>
      </c>
      <c r="M641" s="37" t="n">
        <v>0.9965635738831615</v>
      </c>
      <c r="N641" s="37" t="n">
        <v>0.7731958762886598</v>
      </c>
      <c r="O641" s="36" t="n">
        <v>0.02</v>
      </c>
      <c r="P641" s="36" t="n">
        <v>2.93</v>
      </c>
      <c r="Q641" s="36" t="n">
        <v>4.82</v>
      </c>
      <c r="R641" s="36" t="n">
        <v>55.31</v>
      </c>
      <c r="S641" s="36" t="n">
        <v>0</v>
      </c>
      <c r="T641" s="37" t="n">
        <v>0.7854077253218884</v>
      </c>
      <c r="U641" s="37" t="n">
        <v>0.7087378640776699</v>
      </c>
      <c r="V641" s="37" t="n">
        <v>0.8461538461538461</v>
      </c>
      <c r="W641" s="37" t="n">
        <v>0.589041095890411</v>
      </c>
    </row>
    <row r="642">
      <c r="A642" s="53" t="n">
        <v>45766</v>
      </c>
      <c r="B642" t="inlineStr">
        <is>
          <t>R06_Jawa Timur</t>
        </is>
      </c>
      <c r="C642" t="inlineStr">
        <is>
          <t>NOP SIDOARJO</t>
        </is>
      </c>
      <c r="D642" s="36" t="n">
        <v>3.12</v>
      </c>
      <c r="E642" s="36" t="n">
        <v>6.27</v>
      </c>
      <c r="F642" s="36" t="n">
        <v>3.11</v>
      </c>
      <c r="G642" s="36" t="n">
        <v>4.54</v>
      </c>
      <c r="H642" s="37" t="n">
        <v>0.5642023346303502</v>
      </c>
      <c r="I642" s="37" t="n">
        <v>0.88</v>
      </c>
      <c r="J642" s="37" t="n">
        <v>0.5301724137931034</v>
      </c>
      <c r="K642" s="37" t="n">
        <v>0.9090909090909091</v>
      </c>
      <c r="L642" s="37" t="n">
        <v>0.9090909090909091</v>
      </c>
      <c r="M642" s="37" t="n">
        <v>0.9766536964980544</v>
      </c>
      <c r="N642" s="37" t="n">
        <v>0.3929961089494163</v>
      </c>
      <c r="O642" s="36" t="n">
        <v>0.01</v>
      </c>
      <c r="P642" s="36" t="n">
        <v>5.26</v>
      </c>
      <c r="Q642" s="36" t="n">
        <v>11.43</v>
      </c>
      <c r="R642" s="36" t="n">
        <v>52.3</v>
      </c>
      <c r="S642" s="36" t="n">
        <v>0</v>
      </c>
      <c r="T642" s="37" t="n">
        <v>0.7815699658703071</v>
      </c>
      <c r="U642" s="37" t="n">
        <v>0.6231884057971014</v>
      </c>
      <c r="V642" s="37" t="n">
        <v>0.8303571428571429</v>
      </c>
      <c r="W642" s="37" t="n">
        <v>0.6744186046511628</v>
      </c>
    </row>
    <row r="643">
      <c r="A643" s="53" t="n">
        <v>45766</v>
      </c>
      <c r="B643" t="inlineStr">
        <is>
          <t>R06_Jawa Timur</t>
        </is>
      </c>
      <c r="C643" t="inlineStr">
        <is>
          <t>NOP SURABAYA</t>
        </is>
      </c>
      <c r="D643" s="36" t="n">
        <v>1.97</v>
      </c>
      <c r="E643" s="36" t="n">
        <v>0</v>
      </c>
      <c r="F643" s="36" t="n">
        <v>5.05</v>
      </c>
      <c r="G643" s="36" t="n">
        <v>3.61</v>
      </c>
      <c r="H643" s="37" t="n">
        <v>0.5863874345549738</v>
      </c>
      <c r="I643" s="37" t="n">
        <v>0.5111111111111111</v>
      </c>
      <c r="J643" s="37" t="n">
        <v>0.5964391691394659</v>
      </c>
      <c r="K643" s="37" t="n">
        <v>0.9130434782608695</v>
      </c>
      <c r="L643" s="37" t="n">
        <v>0.9130434782608695</v>
      </c>
      <c r="M643" s="37" t="n">
        <v>0.9685863874345549</v>
      </c>
      <c r="N643" s="37" t="n">
        <v>0.4109947643979058</v>
      </c>
      <c r="O643" s="36" t="n">
        <v>0.04</v>
      </c>
      <c r="P643" s="36" t="n">
        <v>3</v>
      </c>
      <c r="Q643" s="36" t="n">
        <v>7.43</v>
      </c>
      <c r="R643" s="36" t="n">
        <v>29.01</v>
      </c>
      <c r="S643" s="36" t="n">
        <v>0</v>
      </c>
      <c r="T643" s="37" t="n">
        <v>0.673469387755102</v>
      </c>
      <c r="U643" s="37" t="n">
        <v>0.6716417910447762</v>
      </c>
      <c r="V643" s="37" t="n">
        <v>0.6738768718801996</v>
      </c>
      <c r="W643" s="37" t="n">
        <v>0.8777777777777778</v>
      </c>
    </row>
    <row r="644">
      <c r="A644" s="53" t="n">
        <v>45766</v>
      </c>
      <c r="B644" t="inlineStr">
        <is>
          <t>R07_Bali Nusra</t>
        </is>
      </c>
      <c r="C644" t="inlineStr">
        <is>
          <t>NOP DENPASAR</t>
        </is>
      </c>
      <c r="D644" s="36" t="n">
        <v>2.91</v>
      </c>
      <c r="E644" s="36" t="n">
        <v>0</v>
      </c>
      <c r="F644" s="36" t="n">
        <v>5.35</v>
      </c>
      <c r="G644" s="36" t="n">
        <v>4.38</v>
      </c>
      <c r="H644" s="37" t="n">
        <v>0.8888888888888888</v>
      </c>
      <c r="I644" s="37" t="n">
        <v>0.8636363636363636</v>
      </c>
      <c r="J644" s="37" t="n">
        <v>0.8944723618090452</v>
      </c>
      <c r="K644" s="37" t="n">
        <v>0.9473684210526315</v>
      </c>
      <c r="L644" s="37" t="n">
        <v>0.9473684210526315</v>
      </c>
      <c r="M644" s="37" t="n">
        <v>0.9670781893004116</v>
      </c>
      <c r="N644" s="37" t="n">
        <v>0.8477366255144033</v>
      </c>
      <c r="O644" s="36" t="n">
        <v>0</v>
      </c>
      <c r="P644" s="36" t="n">
        <v>154.43</v>
      </c>
      <c r="Q644" s="36" t="n">
        <v>22.1</v>
      </c>
      <c r="R644" s="36" t="n">
        <v>80.54000000000001</v>
      </c>
      <c r="S644" s="36" t="n">
        <v>0</v>
      </c>
      <c r="T644" s="37" t="n">
        <v>0.8729792147806005</v>
      </c>
      <c r="U644" s="37" t="n">
        <v>0.84375</v>
      </c>
      <c r="V644" s="37" t="n">
        <v>0.8813056379821959</v>
      </c>
      <c r="W644" s="37" t="n">
        <v>0.4938271604938271</v>
      </c>
    </row>
    <row r="645">
      <c r="A645" s="53" t="n">
        <v>45766</v>
      </c>
      <c r="B645" t="inlineStr">
        <is>
          <t>R07_Bali Nusra</t>
        </is>
      </c>
      <c r="C645" t="inlineStr">
        <is>
          <t>NOP FLORES</t>
        </is>
      </c>
      <c r="D645" s="36" t="n">
        <v>8.869999999999999</v>
      </c>
      <c r="E645" s="36" t="n">
        <v>5.39</v>
      </c>
      <c r="F645" s="36" t="n">
        <v>6.83</v>
      </c>
      <c r="G645" s="36" t="n">
        <v>9.960000000000001</v>
      </c>
      <c r="H645" s="37" t="n">
        <v>0.45625</v>
      </c>
      <c r="I645" s="37" t="n">
        <v>0.571875</v>
      </c>
      <c r="J645" s="37" t="n">
        <v>0.4177083333333333</v>
      </c>
      <c r="K645" s="37" t="n">
        <v>0.5846994535519126</v>
      </c>
      <c r="L645" s="37" t="n">
        <v>0.5988700564971752</v>
      </c>
      <c r="M645" s="37" t="n">
        <v>0.990625</v>
      </c>
      <c r="N645" s="37" t="n">
        <v>0.26328125</v>
      </c>
      <c r="O645" s="36" t="n">
        <v>0.17</v>
      </c>
      <c r="P645" s="36" t="n">
        <v>12.19</v>
      </c>
      <c r="Q645" s="36" t="n">
        <v>8.529999999999999</v>
      </c>
      <c r="R645" s="36" t="n">
        <v>52.01</v>
      </c>
      <c r="S645" s="36" t="n">
        <v>0</v>
      </c>
      <c r="T645" s="37" t="n">
        <v>0.4474263088429388</v>
      </c>
      <c r="U645" s="37" t="n">
        <v>0.491698595146871</v>
      </c>
      <c r="V645" s="37" t="n">
        <v>0.3493635077793494</v>
      </c>
      <c r="W645" s="37" t="n">
        <v>0.674025974025974</v>
      </c>
    </row>
    <row r="646">
      <c r="A646" s="53" t="n">
        <v>45766</v>
      </c>
      <c r="B646" t="inlineStr">
        <is>
          <t>R07_Bali Nusra</t>
        </is>
      </c>
      <c r="C646" t="inlineStr">
        <is>
          <t>NOP KUPANG</t>
        </is>
      </c>
      <c r="D646" s="36" t="n">
        <v>1.18</v>
      </c>
      <c r="E646" s="36" t="n">
        <v>6.13</v>
      </c>
      <c r="F646" s="36" t="n">
        <v>3.9</v>
      </c>
      <c r="G646" s="36" t="n">
        <v>7.6</v>
      </c>
      <c r="H646" s="37" t="n">
        <v>0.5200458190148912</v>
      </c>
      <c r="I646" s="37" t="n">
        <v>0.6386554621848739</v>
      </c>
      <c r="J646" s="37" t="n">
        <v>0.5013262599469496</v>
      </c>
      <c r="K646" s="37" t="n">
        <v>0.6052631578947368</v>
      </c>
      <c r="L646" s="37" t="n">
        <v>0.6052631578947368</v>
      </c>
      <c r="M646" s="37" t="n">
        <v>0.9862542955326461</v>
      </c>
      <c r="N646" s="37" t="n">
        <v>0.2016036655211913</v>
      </c>
      <c r="O646" s="36" t="n">
        <v>0.11</v>
      </c>
      <c r="P646" s="36" t="n">
        <v>8.83</v>
      </c>
      <c r="Q646" s="36" t="n">
        <v>20.79</v>
      </c>
      <c r="R646" s="36" t="n">
        <v>169.97</v>
      </c>
      <c r="S646" s="36" t="n">
        <v>0</v>
      </c>
      <c r="T646" s="37" t="n">
        <v>0.5690737833594977</v>
      </c>
      <c r="U646" s="37" t="n">
        <v>0.5701643489254109</v>
      </c>
      <c r="V646" s="37" t="n">
        <v>0.567287784679089</v>
      </c>
      <c r="W646" s="37" t="n">
        <v>0.6297117516629712</v>
      </c>
    </row>
    <row r="647">
      <c r="A647" s="53" t="n">
        <v>45766</v>
      </c>
      <c r="B647" t="inlineStr">
        <is>
          <t>R07_Bali Nusra</t>
        </is>
      </c>
      <c r="C647" t="inlineStr">
        <is>
          <t>NOP MATARAM</t>
        </is>
      </c>
      <c r="D647" s="36" t="n">
        <v>2.76</v>
      </c>
      <c r="E647" s="36" t="n">
        <v>4.08</v>
      </c>
      <c r="F647" s="36" t="n">
        <v>4.2</v>
      </c>
      <c r="G647" s="36" t="n">
        <v>6.74</v>
      </c>
      <c r="H647" s="37" t="n">
        <v>0.5193965517241379</v>
      </c>
      <c r="I647" s="37" t="n">
        <v>0.6607142857142857</v>
      </c>
      <c r="J647" s="37" t="n">
        <v>0.5</v>
      </c>
      <c r="K647" s="37" t="n">
        <v>0.7837837837837838</v>
      </c>
      <c r="L647" s="37" t="n">
        <v>0.7837837837837838</v>
      </c>
      <c r="M647" s="37" t="n">
        <v>0.9956896551724138</v>
      </c>
      <c r="N647" s="37" t="n">
        <v>0.3362068965517241</v>
      </c>
      <c r="O647" s="36" t="n">
        <v>1.12</v>
      </c>
      <c r="P647" s="36" t="n">
        <v>24.18</v>
      </c>
      <c r="Q647" s="36" t="n">
        <v>15.66</v>
      </c>
      <c r="R647" s="36" t="n">
        <v>39.68</v>
      </c>
      <c r="S647" s="36" t="n">
        <v>0</v>
      </c>
      <c r="T647" s="37" t="n">
        <v>0.3658301158301158</v>
      </c>
      <c r="U647" s="37" t="n">
        <v>0.3823038397328882</v>
      </c>
      <c r="V647" s="37" t="n">
        <v>0.3432494279176201</v>
      </c>
      <c r="W647" s="37" t="n">
        <v>0.6157205240174672</v>
      </c>
    </row>
    <row r="648">
      <c r="A648" s="53" t="n">
        <v>45767</v>
      </c>
      <c r="B648" t="inlineStr">
        <is>
          <t>R01_Sumbagut</t>
        </is>
      </c>
      <c r="C648" t="inlineStr">
        <is>
          <t>NOP ACEH</t>
        </is>
      </c>
      <c r="D648" s="36" t="n">
        <v>3.68</v>
      </c>
      <c r="E648" s="36" t="n">
        <v>4.26</v>
      </c>
      <c r="F648" s="36" t="n">
        <v>9.99</v>
      </c>
      <c r="G648" s="36" t="n">
        <v>10.01</v>
      </c>
      <c r="H648" s="37" t="n">
        <v>0.8460803059273423</v>
      </c>
      <c r="I648" s="37" t="n">
        <v>0.8475836431226765</v>
      </c>
      <c r="J648" s="37" t="n">
        <v>0.8455598455598455</v>
      </c>
      <c r="K648" s="37" t="n">
        <v>0.4100877192982456</v>
      </c>
      <c r="L648" s="37" t="n">
        <v>0.41280353200883</v>
      </c>
      <c r="M648" s="37" t="n">
        <v>0.9995219885277247</v>
      </c>
      <c r="N648" s="37" t="n">
        <v>0.3092734225621415</v>
      </c>
      <c r="O648" s="36" t="n">
        <v>0.06</v>
      </c>
      <c r="P648" s="36" t="n">
        <v>4.2</v>
      </c>
      <c r="Q648" s="36" t="n">
        <v>73.08</v>
      </c>
      <c r="R648" s="36" t="n">
        <v>128.16</v>
      </c>
      <c r="S648" s="36" t="n">
        <v>0</v>
      </c>
      <c r="T648" s="37" t="n">
        <v>0.8761061946902655</v>
      </c>
      <c r="U648" s="37" t="n">
        <v>0.7446327683615819</v>
      </c>
      <c r="V648" s="37" t="n">
        <v>0.8983392048314042</v>
      </c>
      <c r="W648" s="37" t="n">
        <v>0.2018209408194234</v>
      </c>
    </row>
    <row r="649">
      <c r="A649" s="53" t="n">
        <v>45767</v>
      </c>
      <c r="B649" t="inlineStr">
        <is>
          <t>R01_Sumbagut</t>
        </is>
      </c>
      <c r="C649" t="inlineStr">
        <is>
          <t>NOP BINJAI</t>
        </is>
      </c>
      <c r="D649" s="36" t="n">
        <v>9.9</v>
      </c>
      <c r="E649" s="36" t="n">
        <v>4.84</v>
      </c>
      <c r="F649" s="36" t="n">
        <v>3.87</v>
      </c>
      <c r="G649" s="36" t="n">
        <v>4.27</v>
      </c>
      <c r="H649" s="37" t="n">
        <v>0.6254107338444688</v>
      </c>
      <c r="I649" s="37" t="n">
        <v>0.7419354838709677</v>
      </c>
      <c r="J649" s="37" t="n">
        <v>0.5890804597701149</v>
      </c>
      <c r="K649" s="37" t="n">
        <v>0.5465838509316771</v>
      </c>
      <c r="L649" s="37" t="n">
        <v>0.54375</v>
      </c>
      <c r="M649" s="37" t="n">
        <v>1</v>
      </c>
      <c r="N649" s="37" t="n">
        <v>0.3493975903614458</v>
      </c>
      <c r="O649" s="36" t="n">
        <v>0.02</v>
      </c>
      <c r="P649" s="36" t="n">
        <v>2.62</v>
      </c>
      <c r="Q649" s="36" t="n">
        <v>40.96</v>
      </c>
      <c r="R649" s="36" t="n">
        <v>101.85</v>
      </c>
      <c r="S649" s="36" t="n">
        <v>0</v>
      </c>
      <c r="T649" s="37" t="n">
        <v>0.6557911908646004</v>
      </c>
      <c r="U649" s="37" t="n">
        <v>0.5522388059701493</v>
      </c>
      <c r="V649" s="37" t="n">
        <v>0.719082719082719</v>
      </c>
      <c r="W649" s="37" t="n">
        <v>0.527027027027027</v>
      </c>
    </row>
    <row r="650">
      <c r="A650" s="53" t="n">
        <v>45767</v>
      </c>
      <c r="B650" t="inlineStr">
        <is>
          <t>R01_Sumbagut</t>
        </is>
      </c>
      <c r="C650" t="inlineStr">
        <is>
          <t>NOP MEDAN</t>
        </is>
      </c>
      <c r="D650" s="36" t="n">
        <v>5.48</v>
      </c>
      <c r="E650" s="36" t="n">
        <v>4.24</v>
      </c>
      <c r="F650" s="36" t="n">
        <v>3.76</v>
      </c>
      <c r="G650" s="36" t="n">
        <v>4.96</v>
      </c>
      <c r="H650" s="37" t="n">
        <v>0.4128553770086527</v>
      </c>
      <c r="I650" s="37" t="n">
        <v>0.4425531914893617</v>
      </c>
      <c r="J650" s="37" t="n">
        <v>0.4006968641114982</v>
      </c>
      <c r="K650" s="37" t="n">
        <v>0.7980769230769231</v>
      </c>
      <c r="L650" s="37" t="n">
        <v>0.803921568627451</v>
      </c>
      <c r="M650" s="37" t="n">
        <v>0.9987639060568603</v>
      </c>
      <c r="N650" s="37" t="n">
        <v>0.2447466007416564</v>
      </c>
      <c r="O650" s="36" t="n">
        <v>0</v>
      </c>
      <c r="P650" s="36" t="n">
        <v>4.75</v>
      </c>
      <c r="Q650" s="36" t="n">
        <v>16.85</v>
      </c>
      <c r="R650" s="36" t="n">
        <v>13.81</v>
      </c>
      <c r="S650" s="36" t="n">
        <v>0</v>
      </c>
      <c r="T650" s="37" t="n">
        <v>0.3129175946547884</v>
      </c>
      <c r="U650" s="37" t="n">
        <v>0.2015810276679842</v>
      </c>
      <c r="V650" s="37" t="n">
        <v>0.387263339070568</v>
      </c>
      <c r="W650" s="37" t="n">
        <v>0.8823529411764706</v>
      </c>
    </row>
    <row r="651">
      <c r="A651" s="53" t="n">
        <v>45767</v>
      </c>
      <c r="B651" t="inlineStr">
        <is>
          <t>R01_Sumbagut</t>
        </is>
      </c>
      <c r="C651" t="inlineStr">
        <is>
          <t>NOP PADANG SIDEMPUAN</t>
        </is>
      </c>
      <c r="D651" s="36" t="n">
        <v>3.08</v>
      </c>
      <c r="E651" s="36" t="n">
        <v>3.57</v>
      </c>
      <c r="F651" s="36" t="n">
        <v>4.99</v>
      </c>
      <c r="G651" s="36" t="n">
        <v>6.2</v>
      </c>
      <c r="H651" s="37" t="n">
        <v>0.2996845425867508</v>
      </c>
      <c r="I651" s="37" t="n">
        <v>0.4793814432989691</v>
      </c>
      <c r="J651" s="37" t="n">
        <v>0.2746225736879943</v>
      </c>
      <c r="K651" s="37" t="n">
        <v>0.4838709677419355</v>
      </c>
      <c r="L651" s="37" t="n">
        <v>0.4838709677419355</v>
      </c>
      <c r="M651" s="37" t="n">
        <v>0.9936908517350158</v>
      </c>
      <c r="N651" s="37" t="n">
        <v>0.1242902208201893</v>
      </c>
      <c r="O651" s="36" t="n">
        <v>0.01</v>
      </c>
      <c r="P651" s="36" t="n">
        <v>2.45</v>
      </c>
      <c r="Q651" s="36" t="n">
        <v>13.88</v>
      </c>
      <c r="R651" s="36" t="n">
        <v>96.79000000000001</v>
      </c>
      <c r="S651" s="36" t="n">
        <v>0</v>
      </c>
      <c r="T651" s="37" t="n">
        <v>0.2882070949185043</v>
      </c>
      <c r="U651" s="37" t="n">
        <v>0.4213881019830028</v>
      </c>
      <c r="V651" s="37" t="n">
        <v>0.239968110550093</v>
      </c>
      <c r="W651" s="37" t="n">
        <v>0.4638655462184874</v>
      </c>
    </row>
    <row r="652">
      <c r="A652" s="53" t="n">
        <v>45767</v>
      </c>
      <c r="B652" t="inlineStr">
        <is>
          <t>R01_Sumbagut</t>
        </is>
      </c>
      <c r="C652" t="inlineStr">
        <is>
          <t>NOP PEMATANG SIANTAR</t>
        </is>
      </c>
      <c r="D652" s="36" t="n">
        <v>3.66</v>
      </c>
      <c r="E652" s="36" t="n">
        <v>3.51</v>
      </c>
      <c r="F652" s="36" t="n">
        <v>4.71</v>
      </c>
      <c r="G652" s="36" t="n">
        <v>5.03</v>
      </c>
      <c r="H652" s="37" t="n">
        <v>0.3333333333333333</v>
      </c>
      <c r="I652" s="37" t="n">
        <v>0.3515981735159817</v>
      </c>
      <c r="J652" s="37" t="n">
        <v>0.3252361673414305</v>
      </c>
      <c r="K652" s="37" t="n">
        <v>0.670995670995671</v>
      </c>
      <c r="L652" s="37" t="n">
        <v>0.6787330316742082</v>
      </c>
      <c r="M652" s="37" t="n">
        <v>0.9990649836372136</v>
      </c>
      <c r="N652" s="37" t="n">
        <v>0.182328190743338</v>
      </c>
      <c r="O652" s="36" t="n">
        <v>0.02</v>
      </c>
      <c r="P652" s="36" t="n">
        <v>4.53</v>
      </c>
      <c r="Q652" s="36" t="n">
        <v>67.37</v>
      </c>
      <c r="R652" s="36" t="n">
        <v>64.22</v>
      </c>
      <c r="S652" s="36" t="n">
        <v>0</v>
      </c>
      <c r="T652" s="37" t="n">
        <v>0.1119294605809129</v>
      </c>
      <c r="U652" s="37" t="n">
        <v>0.3318284424379233</v>
      </c>
      <c r="V652" s="37" t="n">
        <v>0.08852421125621172</v>
      </c>
      <c r="W652" s="37" t="n">
        <v>0.8503401360544217</v>
      </c>
    </row>
    <row r="653">
      <c r="A653" s="53" t="n">
        <v>45767</v>
      </c>
      <c r="B653" t="inlineStr">
        <is>
          <t>R01_Sumbagut</t>
        </is>
      </c>
      <c r="C653" t="inlineStr">
        <is>
          <t>NOP RANTAU PRAPAT</t>
        </is>
      </c>
      <c r="D653" s="36" t="n">
        <v>3.25</v>
      </c>
      <c r="E653" s="36" t="n">
        <v>5.94</v>
      </c>
      <c r="F653" s="36" t="n">
        <v>4.55</v>
      </c>
      <c r="G653" s="36" t="n">
        <v>5.47</v>
      </c>
      <c r="H653" s="37" t="n">
        <v>0.2995419847328245</v>
      </c>
      <c r="I653" s="37" t="n">
        <v>0.2975778546712803</v>
      </c>
      <c r="J653" s="37" t="n">
        <v>0.299962921764924</v>
      </c>
      <c r="K653" s="37" t="n">
        <v>0.6627906976744186</v>
      </c>
      <c r="L653" s="37" t="n">
        <v>0.6627906976744186</v>
      </c>
      <c r="M653" s="37" t="n">
        <v>0.9914503816793893</v>
      </c>
      <c r="N653" s="37" t="n">
        <v>0.1752671755725191</v>
      </c>
      <c r="O653" s="36" t="n">
        <v>0.02</v>
      </c>
      <c r="P653" s="36" t="n">
        <v>4.18</v>
      </c>
      <c r="Q653" s="36" t="n">
        <v>39.79</v>
      </c>
      <c r="R653" s="36" t="n">
        <v>41.8</v>
      </c>
      <c r="S653" s="36" t="n">
        <v>0</v>
      </c>
      <c r="T653" s="37" t="n">
        <v>0.06837080381890977</v>
      </c>
      <c r="U653" s="37" t="n">
        <v>0.1435239206534422</v>
      </c>
      <c r="V653" s="37" t="n">
        <v>0.04908759124087591</v>
      </c>
      <c r="W653" s="37" t="n">
        <v>0.6097560975609756</v>
      </c>
    </row>
    <row r="654">
      <c r="A654" s="53" t="n">
        <v>45767</v>
      </c>
      <c r="B654" t="inlineStr">
        <is>
          <t>R10_Sumbagteng</t>
        </is>
      </c>
      <c r="C654" t="inlineStr">
        <is>
          <t>NOP BATAM</t>
        </is>
      </c>
      <c r="D654" s="36" t="n">
        <v>2.09</v>
      </c>
      <c r="E654" s="36" t="n">
        <v>8.039999999999999</v>
      </c>
      <c r="F654" s="36" t="n">
        <v>6.78</v>
      </c>
      <c r="G654" s="36" t="n">
        <v>10.46</v>
      </c>
      <c r="H654" s="37" t="n">
        <v>0.3</v>
      </c>
      <c r="I654" s="37" t="n">
        <v>0.3044444444444445</v>
      </c>
      <c r="J654" s="37" t="n">
        <v>0.2990049751243781</v>
      </c>
      <c r="K654" s="37" t="n">
        <v>0.656934306569343</v>
      </c>
      <c r="L654" s="37" t="n">
        <v>0.656934306569343</v>
      </c>
      <c r="M654" s="37" t="n">
        <v>0.9939024390243902</v>
      </c>
      <c r="N654" s="37" t="n">
        <v>0.1808943089430894</v>
      </c>
      <c r="O654" s="36" t="n">
        <v>0.82</v>
      </c>
      <c r="P654" s="36" t="n">
        <v>6.15</v>
      </c>
      <c r="Q654" s="36" t="n">
        <v>25.4</v>
      </c>
      <c r="R654" s="36" t="n">
        <v>15.44</v>
      </c>
      <c r="S654" s="36" t="n">
        <v>0</v>
      </c>
      <c r="T654" s="37" t="n">
        <v>0.0749448123620309</v>
      </c>
      <c r="U654" s="37" t="n">
        <v>0.238255033557047</v>
      </c>
      <c r="V654" s="37" t="n">
        <v>0.04927499037597844</v>
      </c>
      <c r="W654" s="37" t="n">
        <v>0.795774647887324</v>
      </c>
    </row>
    <row r="655">
      <c r="A655" s="53" t="n">
        <v>45767</v>
      </c>
      <c r="B655" t="inlineStr">
        <is>
          <t>R10_Sumbagteng</t>
        </is>
      </c>
      <c r="C655" t="inlineStr">
        <is>
          <t>NOP BUKITTINGGI</t>
        </is>
      </c>
      <c r="D655" s="36" t="n">
        <v>2.62</v>
      </c>
      <c r="E655" s="36" t="n">
        <v>4.29</v>
      </c>
      <c r="F655" s="36" t="n">
        <v>4.52</v>
      </c>
      <c r="G655" s="36" t="n">
        <v>5.63</v>
      </c>
      <c r="H655" s="37" t="n">
        <v>0.768235294117647</v>
      </c>
      <c r="I655" s="37" t="n">
        <v>0.8439024390243902</v>
      </c>
      <c r="J655" s="37" t="n">
        <v>0.7441860465116279</v>
      </c>
      <c r="K655" s="37" t="n">
        <v>0.6358381502890174</v>
      </c>
      <c r="L655" s="37" t="n">
        <v>0.6358381502890174</v>
      </c>
      <c r="M655" s="37" t="n">
        <v>0.991764705882353</v>
      </c>
      <c r="N655" s="37" t="n">
        <v>0.4541176470588235</v>
      </c>
      <c r="O655" s="36" t="n">
        <v>0</v>
      </c>
      <c r="P655" s="36" t="n">
        <v>3.93</v>
      </c>
      <c r="Q655" s="36" t="n">
        <v>8.630000000000001</v>
      </c>
      <c r="R655" s="36" t="n">
        <v>120.39</v>
      </c>
      <c r="S655" s="36" t="n">
        <v>0</v>
      </c>
      <c r="T655" s="37" t="n">
        <v>0.3240810202550637</v>
      </c>
      <c r="U655" s="37" t="n">
        <v>0.7638483965014577</v>
      </c>
      <c r="V655" s="37" t="n">
        <v>0.2833840199059994</v>
      </c>
      <c r="W655" s="37" t="n">
        <v>0.6068702290076335</v>
      </c>
    </row>
    <row r="656">
      <c r="A656" s="53" t="n">
        <v>45767</v>
      </c>
      <c r="B656" t="inlineStr">
        <is>
          <t>R10_Sumbagteng</t>
        </is>
      </c>
      <c r="C656" t="inlineStr">
        <is>
          <t>NOP DUMAI</t>
        </is>
      </c>
      <c r="D656" s="36" t="n">
        <v>5.54</v>
      </c>
      <c r="E656" s="36" t="n">
        <v>5.98</v>
      </c>
      <c r="F656" s="36" t="n">
        <v>5.82</v>
      </c>
      <c r="G656" s="36" t="n">
        <v>6.57</v>
      </c>
      <c r="H656" s="37" t="n">
        <v>0.4069631363370392</v>
      </c>
      <c r="I656" s="37" t="n">
        <v>0.4961325966850829</v>
      </c>
      <c r="J656" s="37" t="n">
        <v>0.3748507759649821</v>
      </c>
      <c r="K656" s="37" t="n">
        <v>0.7126948775055679</v>
      </c>
      <c r="L656" s="37" t="n">
        <v>0.7268518518518519</v>
      </c>
      <c r="M656" s="37" t="n">
        <v>0.9742539496781744</v>
      </c>
      <c r="N656" s="37" t="n">
        <v>0.2358104154476302</v>
      </c>
      <c r="O656" s="36" t="n">
        <v>0.28</v>
      </c>
      <c r="P656" s="36" t="n">
        <v>4.99</v>
      </c>
      <c r="Q656" s="36" t="n">
        <v>54.63</v>
      </c>
      <c r="R656" s="36" t="n">
        <v>132.84</v>
      </c>
      <c r="S656" s="36" t="n">
        <v>0</v>
      </c>
      <c r="T656" s="37" t="n">
        <v>0.297224709042077</v>
      </c>
      <c r="U656" s="37" t="n">
        <v>0.3381818181818182</v>
      </c>
      <c r="V656" s="37" t="n">
        <v>0.2986371716373691</v>
      </c>
      <c r="W656" s="37" t="n">
        <v>0.9333333333333333</v>
      </c>
    </row>
    <row r="657">
      <c r="A657" s="53" t="n">
        <v>45767</v>
      </c>
      <c r="B657" t="inlineStr">
        <is>
          <t>R10_Sumbagteng</t>
        </is>
      </c>
      <c r="C657" t="inlineStr">
        <is>
          <t>NOP PADANG</t>
        </is>
      </c>
      <c r="D657" s="36" t="n">
        <v>3.58</v>
      </c>
      <c r="E657" s="36" t="n">
        <v>2.53</v>
      </c>
      <c r="F657" s="36" t="n">
        <v>6.1</v>
      </c>
      <c r="G657" s="36" t="n">
        <v>6.71</v>
      </c>
      <c r="H657" s="37" t="n">
        <v>0.7576243980738363</v>
      </c>
      <c r="I657" s="37" t="n">
        <v>0.7181208053691275</v>
      </c>
      <c r="J657" s="37" t="n">
        <v>0.7629899726526892</v>
      </c>
      <c r="K657" s="37" t="n">
        <v>0.485981308411215</v>
      </c>
      <c r="L657" s="37" t="n">
        <v>0.485981308411215</v>
      </c>
      <c r="M657" s="37" t="n">
        <v>0.9895666131621188</v>
      </c>
      <c r="N657" s="37" t="n">
        <v>0.3089887640449438</v>
      </c>
      <c r="O657" s="36" t="n">
        <v>0.06</v>
      </c>
      <c r="P657" s="36" t="n">
        <v>4.8</v>
      </c>
      <c r="Q657" s="36" t="n">
        <v>47.79</v>
      </c>
      <c r="R657" s="36" t="n">
        <v>59.83</v>
      </c>
      <c r="S657" s="36" t="n">
        <v>0</v>
      </c>
      <c r="T657" s="37" t="n">
        <v>0.740684022460439</v>
      </c>
      <c r="U657" s="37" t="n">
        <v>0.6611195158850227</v>
      </c>
      <c r="V657" s="37" t="n">
        <v>0.7539297496603921</v>
      </c>
      <c r="W657" s="37" t="n">
        <v>0.4782608695652174</v>
      </c>
    </row>
    <row r="658">
      <c r="A658" s="53" t="n">
        <v>45767</v>
      </c>
      <c r="B658" t="inlineStr">
        <is>
          <t>R10_Sumbagteng</t>
        </is>
      </c>
      <c r="C658" t="inlineStr">
        <is>
          <t>NOP PEKANBARU</t>
        </is>
      </c>
      <c r="D658" s="36" t="n">
        <v>6.44</v>
      </c>
      <c r="E658" s="36" t="n">
        <v>5.96</v>
      </c>
      <c r="F658" s="36" t="n">
        <v>5.66</v>
      </c>
      <c r="G658" s="36" t="n">
        <v>7.73</v>
      </c>
      <c r="H658" s="37" t="n">
        <v>0.4002824858757062</v>
      </c>
      <c r="I658" s="37" t="n">
        <v>0.5017064846416383</v>
      </c>
      <c r="J658" s="37" t="n">
        <v>0.3801624915368991</v>
      </c>
      <c r="K658" s="37" t="n">
        <v>0.7517006802721088</v>
      </c>
      <c r="L658" s="37" t="n">
        <v>0.7586206896551724</v>
      </c>
      <c r="M658" s="37" t="n">
        <v>0.9892655367231639</v>
      </c>
      <c r="N658" s="37" t="n">
        <v>0.2203389830508475</v>
      </c>
      <c r="O658" s="36" t="n">
        <v>0.02</v>
      </c>
      <c r="P658" s="36" t="n">
        <v>3.38</v>
      </c>
      <c r="Q658" s="36" t="n">
        <v>47.67</v>
      </c>
      <c r="R658" s="36" t="n">
        <v>100.45</v>
      </c>
      <c r="S658" s="36" t="n">
        <v>0</v>
      </c>
      <c r="T658" s="37" t="n">
        <v>0.2918536416983086</v>
      </c>
      <c r="U658" s="37" t="n">
        <v>0.3026315789473684</v>
      </c>
      <c r="V658" s="37" t="n">
        <v>0.2956223628691983</v>
      </c>
      <c r="W658" s="37" t="n">
        <v>0.8657844990548205</v>
      </c>
    </row>
    <row r="659">
      <c r="A659" s="53" t="n">
        <v>45767</v>
      </c>
      <c r="B659" t="inlineStr">
        <is>
          <t>R02_Sumbagsel</t>
        </is>
      </c>
      <c r="C659" t="inlineStr">
        <is>
          <t>NOP BENGKULU</t>
        </is>
      </c>
      <c r="D659" s="36" t="n">
        <v>2.15</v>
      </c>
      <c r="E659" s="36" t="n">
        <v>4.57</v>
      </c>
      <c r="F659" s="36" t="n">
        <v>4.3</v>
      </c>
      <c r="G659" s="36" t="n">
        <v>6.58</v>
      </c>
      <c r="H659" s="37" t="n">
        <v>0.3632286995515695</v>
      </c>
      <c r="I659" s="37" t="n">
        <v>0.45010183299389</v>
      </c>
      <c r="J659" s="37" t="n">
        <v>0.3350923482849604</v>
      </c>
      <c r="K659" s="37" t="n">
        <v>0.669683257918552</v>
      </c>
      <c r="L659" s="37" t="n">
        <v>0.669683257918552</v>
      </c>
      <c r="M659" s="37" t="n">
        <v>0.9940209267563528</v>
      </c>
      <c r="N659" s="37" t="n">
        <v>0.190333831589437</v>
      </c>
      <c r="O659" s="36" t="n">
        <v>0</v>
      </c>
      <c r="P659" s="36" t="n">
        <v>6.22</v>
      </c>
      <c r="Q659" s="36" t="n">
        <v>6.81</v>
      </c>
      <c r="R659" s="36" t="n">
        <v>15.63</v>
      </c>
      <c r="S659" s="36" t="n">
        <v>0</v>
      </c>
      <c r="T659" s="37" t="n">
        <v>0.4618028020089876</v>
      </c>
      <c r="U659" s="37" t="n">
        <v>0.3927141713370697</v>
      </c>
      <c r="V659" s="37" t="n">
        <v>0.6302083333333334</v>
      </c>
      <c r="W659" s="37" t="n">
        <v>0.891946992864424</v>
      </c>
    </row>
    <row r="660">
      <c r="A660" s="53" t="n">
        <v>45767</v>
      </c>
      <c r="B660" t="inlineStr">
        <is>
          <t>R02_Sumbagsel</t>
        </is>
      </c>
      <c r="C660" t="inlineStr">
        <is>
          <t>NOP JAMBI</t>
        </is>
      </c>
      <c r="D660" s="36" t="n">
        <v>3.64</v>
      </c>
      <c r="E660" s="36" t="n">
        <v>6.8</v>
      </c>
      <c r="F660" s="36" t="n">
        <v>6.52</v>
      </c>
      <c r="G660" s="36" t="n">
        <v>8.77</v>
      </c>
      <c r="H660" s="37" t="n">
        <v>0.5316901408450704</v>
      </c>
      <c r="I660" s="37" t="n">
        <v>0.5751565762004175</v>
      </c>
      <c r="J660" s="37" t="n">
        <v>0.5124653739612188</v>
      </c>
      <c r="K660" s="37" t="n">
        <v>0.6642468239564429</v>
      </c>
      <c r="L660" s="37" t="n">
        <v>0.6648451730418944</v>
      </c>
      <c r="M660" s="37" t="n">
        <v>1</v>
      </c>
      <c r="N660" s="37" t="n">
        <v>0.280089628681178</v>
      </c>
      <c r="O660" s="36" t="n">
        <v>0</v>
      </c>
      <c r="P660" s="36" t="n">
        <v>7.94</v>
      </c>
      <c r="Q660" s="36" t="n">
        <v>18.32</v>
      </c>
      <c r="R660" s="36" t="n">
        <v>18</v>
      </c>
      <c r="S660" s="36" t="n">
        <v>0</v>
      </c>
      <c r="T660" s="37" t="n">
        <v>0.6353142368533561</v>
      </c>
      <c r="U660" s="37" t="n">
        <v>0.6296454506621102</v>
      </c>
      <c r="V660" s="37" t="n">
        <v>0.6638699528054536</v>
      </c>
      <c r="W660" s="37" t="n">
        <v>0.7421981004070556</v>
      </c>
    </row>
    <row r="661">
      <c r="A661" s="53" t="n">
        <v>45767</v>
      </c>
      <c r="B661" t="inlineStr">
        <is>
          <t>R02_Sumbagsel</t>
        </is>
      </c>
      <c r="C661" t="inlineStr">
        <is>
          <t>NOP LAMPUNG</t>
        </is>
      </c>
      <c r="D661" s="36" t="n">
        <v>3.07</v>
      </c>
      <c r="E661" s="36" t="n">
        <v>4.63</v>
      </c>
      <c r="F661" s="36" t="n">
        <v>5.3</v>
      </c>
      <c r="G661" s="36" t="n">
        <v>5.62</v>
      </c>
      <c r="H661" s="37" t="n">
        <v>0.5313028764805414</v>
      </c>
      <c r="I661" s="37" t="n">
        <v>0.6821192052980133</v>
      </c>
      <c r="J661" s="37" t="n">
        <v>0.4795454545454546</v>
      </c>
      <c r="K661" s="37" t="n">
        <v>0.7281553398058253</v>
      </c>
      <c r="L661" s="37" t="n">
        <v>0.7281553398058253</v>
      </c>
      <c r="M661" s="37" t="n">
        <v>1</v>
      </c>
      <c r="N661" s="37" t="n">
        <v>0.3426395939086294</v>
      </c>
      <c r="O661" s="36" t="n">
        <v>1.12</v>
      </c>
      <c r="P661" s="36" t="n">
        <v>5.46</v>
      </c>
      <c r="Q661" s="36" t="n">
        <v>5.79</v>
      </c>
      <c r="R661" s="36" t="n">
        <v>26.79</v>
      </c>
      <c r="S661" s="36" t="n">
        <v>0</v>
      </c>
      <c r="T661" s="37" t="n">
        <v>0.8968553459119497</v>
      </c>
      <c r="U661" s="37" t="n">
        <v>0.7977099236641222</v>
      </c>
      <c r="V661" s="37" t="n">
        <v>0.9463890119627825</v>
      </c>
      <c r="W661" s="37" t="n">
        <v>0.8548644338118022</v>
      </c>
    </row>
    <row r="662">
      <c r="A662" s="53" t="n">
        <v>45767</v>
      </c>
      <c r="B662" t="inlineStr">
        <is>
          <t>R02_Sumbagsel</t>
        </is>
      </c>
      <c r="C662" t="inlineStr">
        <is>
          <t>NOP MUARA ENIM</t>
        </is>
      </c>
      <c r="D662" s="36" t="n">
        <v>2.93</v>
      </c>
      <c r="E662" s="36" t="n">
        <v>3.84</v>
      </c>
      <c r="F662" s="36" t="n">
        <v>5.14</v>
      </c>
      <c r="G662" s="36" t="n">
        <v>5.41</v>
      </c>
      <c r="H662" s="37" t="n">
        <v>0.4003868471953578</v>
      </c>
      <c r="I662" s="37" t="n">
        <v>0.3452157598499062</v>
      </c>
      <c r="J662" s="37" t="n">
        <v>0.41183339820942</v>
      </c>
      <c r="K662" s="37" t="n">
        <v>0.5597826086956522</v>
      </c>
      <c r="L662" s="37" t="n">
        <v>0.5872093023255814</v>
      </c>
      <c r="M662" s="37" t="n">
        <v>0.9758220502901354</v>
      </c>
      <c r="N662" s="37" t="n">
        <v>0.1760154738878143</v>
      </c>
      <c r="O662" s="36" t="n">
        <v>0</v>
      </c>
      <c r="P662" s="36" t="n">
        <v>4.59</v>
      </c>
      <c r="Q662" s="36" t="n">
        <v>6.55</v>
      </c>
      <c r="R662" s="36" t="n">
        <v>9.07</v>
      </c>
      <c r="S662" s="36" t="n">
        <v>0</v>
      </c>
      <c r="T662" s="37" t="n">
        <v>0.4657711185740119</v>
      </c>
      <c r="U662" s="37" t="n">
        <v>0.4823462414578588</v>
      </c>
      <c r="V662" s="37" t="n">
        <v>0.530229746070133</v>
      </c>
      <c r="W662" s="37" t="n">
        <v>0.7969303423848878</v>
      </c>
    </row>
    <row r="663">
      <c r="A663" s="53" t="n">
        <v>45767</v>
      </c>
      <c r="B663" t="inlineStr">
        <is>
          <t>R02_Sumbagsel</t>
        </is>
      </c>
      <c r="C663" t="inlineStr">
        <is>
          <t>NOP PALEMBANG</t>
        </is>
      </c>
      <c r="D663" s="36" t="n">
        <v>3.53</v>
      </c>
      <c r="E663" s="36" t="n">
        <v>5.1</v>
      </c>
      <c r="F663" s="36" t="n">
        <v>8.08</v>
      </c>
      <c r="G663" s="36" t="n">
        <v>8.800000000000001</v>
      </c>
      <c r="H663" s="37" t="n">
        <v>0.3018084790987252</v>
      </c>
      <c r="I663" s="37" t="n">
        <v>0.3055555555555556</v>
      </c>
      <c r="J663" s="37" t="n">
        <v>0.301360769996681</v>
      </c>
      <c r="K663" s="37" t="n">
        <v>0.4272727272727272</v>
      </c>
      <c r="L663" s="37" t="n">
        <v>0.4272727272727272</v>
      </c>
      <c r="M663" s="37" t="n">
        <v>1</v>
      </c>
      <c r="N663" s="37" t="n">
        <v>0.131337088645123</v>
      </c>
      <c r="O663" s="36" t="n">
        <v>0</v>
      </c>
      <c r="P663" s="36" t="n">
        <v>6.13</v>
      </c>
      <c r="Q663" s="36" t="n">
        <v>11.91</v>
      </c>
      <c r="R663" s="36" t="n">
        <v>7</v>
      </c>
      <c r="S663" s="36" t="n">
        <v>0</v>
      </c>
      <c r="T663" s="37" t="n">
        <v>0.2910016192458941</v>
      </c>
      <c r="U663" s="37" t="n">
        <v>0.247907949790795</v>
      </c>
      <c r="V663" s="37" t="n">
        <v>0.4034357105674128</v>
      </c>
      <c r="W663" s="37" t="n">
        <v>0.4282700421940928</v>
      </c>
    </row>
    <row r="664">
      <c r="A664" s="53" t="n">
        <v>45767</v>
      </c>
      <c r="B664" t="inlineStr">
        <is>
          <t>R02_Sumbagsel</t>
        </is>
      </c>
      <c r="C664" t="inlineStr">
        <is>
          <t>NOP PANGKAL PINANG</t>
        </is>
      </c>
      <c r="D664" s="36" t="n">
        <v>1.94</v>
      </c>
      <c r="E664" s="36" t="n">
        <v>2.73</v>
      </c>
      <c r="F664" s="36" t="n">
        <v>5.31</v>
      </c>
      <c r="G664" s="36" t="n">
        <v>6.56</v>
      </c>
      <c r="H664" s="37" t="n">
        <v>0.6387434554973822</v>
      </c>
      <c r="I664" s="37" t="n">
        <v>0.7</v>
      </c>
      <c r="J664" s="37" t="n">
        <v>0.6353591160220995</v>
      </c>
      <c r="K664" s="37" t="n">
        <v>0.7142857142857143</v>
      </c>
      <c r="L664" s="37" t="n">
        <v>0.7142857142857143</v>
      </c>
      <c r="M664" s="37" t="n">
        <v>0.9973821989528796</v>
      </c>
      <c r="N664" s="37" t="n">
        <v>0.3664921465968586</v>
      </c>
      <c r="O664" s="36" t="n">
        <v>0</v>
      </c>
      <c r="P664" s="36" t="n">
        <v>4.47</v>
      </c>
      <c r="Q664" s="36" t="n">
        <v>7.69</v>
      </c>
      <c r="R664" s="36" t="n">
        <v>7.33</v>
      </c>
      <c r="S664" s="36" t="n">
        <v>0</v>
      </c>
      <c r="T664" s="37" t="n">
        <v>0.7893850042123</v>
      </c>
      <c r="U664" s="37" t="n">
        <v>0.8494623655913979</v>
      </c>
      <c r="V664" s="37" t="n">
        <v>0.844566712517194</v>
      </c>
      <c r="W664" s="37" t="n">
        <v>0.7341772151898734</v>
      </c>
    </row>
    <row r="665">
      <c r="A665" s="53" t="n">
        <v>45767</v>
      </c>
      <c r="B665" t="inlineStr">
        <is>
          <t>R05_Jawa Tengah DIY</t>
        </is>
      </c>
      <c r="C665" t="inlineStr">
        <is>
          <t>NOP MAGELANG</t>
        </is>
      </c>
      <c r="D665" s="36" t="n">
        <v>5.01</v>
      </c>
      <c r="E665" s="36" t="n">
        <v>0</v>
      </c>
      <c r="F665" s="36" t="n">
        <v>4.55</v>
      </c>
      <c r="G665" s="36" t="n">
        <v>5.08</v>
      </c>
      <c r="H665" s="37" t="n">
        <v>0.7655367231638418</v>
      </c>
      <c r="I665" s="37" t="n">
        <v>0.9487179487179487</v>
      </c>
      <c r="J665" s="37" t="n">
        <v>0.7428571428571429</v>
      </c>
      <c r="K665" s="37" t="n">
        <v>0.7837837837837838</v>
      </c>
      <c r="L665" s="37" t="n">
        <v>0.7837837837837838</v>
      </c>
      <c r="M665" s="37" t="n">
        <v>0.9971751412429378</v>
      </c>
      <c r="N665" s="37" t="n">
        <v>0.672316384180791</v>
      </c>
      <c r="O665" s="36" t="n">
        <v>0.3</v>
      </c>
      <c r="P665" s="36" t="n">
        <v>3.2</v>
      </c>
      <c r="Q665" s="36" t="n">
        <v>7.47</v>
      </c>
      <c r="R665" s="36" t="n">
        <v>18.78</v>
      </c>
      <c r="S665" s="36" t="n">
        <v>0</v>
      </c>
      <c r="T665" s="37" t="n">
        <v>0.9397905759162304</v>
      </c>
      <c r="U665" s="37" t="n">
        <v>0.9415584415584416</v>
      </c>
      <c r="V665" s="37" t="n">
        <v>0.9393442622950819</v>
      </c>
      <c r="W665" s="37" t="n">
        <v>0.8896551724137931</v>
      </c>
    </row>
    <row r="666">
      <c r="A666" s="53" t="n">
        <v>45767</v>
      </c>
      <c r="B666" t="inlineStr">
        <is>
          <t>R05_Jawa Tengah DIY</t>
        </is>
      </c>
      <c r="C666" t="inlineStr">
        <is>
          <t>NOP PEKALONGAN</t>
        </is>
      </c>
      <c r="D666" s="36" t="n">
        <v>4</v>
      </c>
      <c r="E666" s="36" t="n">
        <v>0</v>
      </c>
      <c r="F666" s="36" t="n">
        <v>3.29</v>
      </c>
      <c r="G666" s="36" t="n">
        <v>3.86</v>
      </c>
      <c r="H666" s="37" t="n">
        <v>0.6334519572953736</v>
      </c>
      <c r="I666" s="37" t="n">
        <v>0.8695652173913043</v>
      </c>
      <c r="J666" s="37" t="n">
        <v>0.6124031007751938</v>
      </c>
      <c r="K666" s="37" t="n">
        <v>1</v>
      </c>
      <c r="L666" s="37" t="n">
        <v>1</v>
      </c>
      <c r="M666" s="37" t="n">
        <v>0.9786476868327402</v>
      </c>
      <c r="N666" s="37" t="n">
        <v>0.604982206405694</v>
      </c>
      <c r="O666" s="36" t="n">
        <v>0.01</v>
      </c>
      <c r="P666" s="36" t="n">
        <v>3.29</v>
      </c>
      <c r="Q666" s="36" t="n">
        <v>5.67</v>
      </c>
      <c r="R666" s="36" t="n">
        <v>50.29</v>
      </c>
      <c r="S666" s="36" t="n">
        <v>0</v>
      </c>
      <c r="T666" s="37" t="n">
        <v>0.832089552238806</v>
      </c>
      <c r="U666" s="37" t="n">
        <v>0.7661290322580645</v>
      </c>
      <c r="V666" s="37" t="n">
        <v>0.8519417475728155</v>
      </c>
      <c r="W666" s="37" t="n">
        <v>0.6736842105263158</v>
      </c>
    </row>
    <row r="667">
      <c r="A667" s="53" t="n">
        <v>45767</v>
      </c>
      <c r="B667" t="inlineStr">
        <is>
          <t>R05_Jawa Tengah DIY</t>
        </is>
      </c>
      <c r="C667" t="inlineStr">
        <is>
          <t>NOP PURWOKERTO</t>
        </is>
      </c>
      <c r="D667" s="36" t="n">
        <v>2.39</v>
      </c>
      <c r="E667" s="36" t="n">
        <v>0</v>
      </c>
      <c r="F667" s="36" t="n">
        <v>3.62</v>
      </c>
      <c r="G667" s="36" t="n">
        <v>3.46</v>
      </c>
      <c r="H667" s="37" t="n">
        <v>0.7868852459016393</v>
      </c>
      <c r="I667" s="37" t="n">
        <v>0.7241379310344828</v>
      </c>
      <c r="J667" s="37" t="n">
        <v>0.7922848664688428</v>
      </c>
      <c r="K667" s="37" t="n">
        <v>1</v>
      </c>
      <c r="L667" s="37" t="n">
        <v>1</v>
      </c>
      <c r="M667" s="37" t="n">
        <v>0.9699453551912568</v>
      </c>
      <c r="N667" s="37" t="n">
        <v>0.5300546448087432</v>
      </c>
      <c r="O667" s="36" t="n">
        <v>0.28</v>
      </c>
      <c r="P667" s="36" t="n">
        <v>3.76</v>
      </c>
      <c r="Q667" s="36" t="n">
        <v>9.609999999999999</v>
      </c>
      <c r="R667" s="36" t="n">
        <v>40.5</v>
      </c>
      <c r="S667" s="36" t="n">
        <v>0</v>
      </c>
      <c r="T667" s="37" t="n">
        <v>0.7889908256880734</v>
      </c>
      <c r="U667" s="37" t="n">
        <v>0.7909090909090909</v>
      </c>
      <c r="V667" s="37" t="n">
        <v>0.7885057471264367</v>
      </c>
      <c r="W667" s="37" t="n">
        <v>0.7701149425287356</v>
      </c>
    </row>
    <row r="668">
      <c r="A668" s="53" t="n">
        <v>45767</v>
      </c>
      <c r="B668" t="inlineStr">
        <is>
          <t>R05_Jawa Tengah DIY</t>
        </is>
      </c>
      <c r="C668" t="inlineStr">
        <is>
          <t>NOP SEMARANG</t>
        </is>
      </c>
      <c r="D668" s="36" t="n">
        <v>2</v>
      </c>
      <c r="E668" s="36" t="n">
        <v>1.7</v>
      </c>
      <c r="F668" s="36" t="n">
        <v>3.05</v>
      </c>
      <c r="G668" s="36" t="n">
        <v>3.31</v>
      </c>
      <c r="H668" s="37" t="n">
        <v>0.4240506329113924</v>
      </c>
      <c r="I668" s="37" t="n">
        <v>0.4418604651162791</v>
      </c>
      <c r="J668" s="37" t="n">
        <v>0.4222737819025522</v>
      </c>
      <c r="K668" s="37" t="n">
        <v>1</v>
      </c>
      <c r="L668" s="37" t="n">
        <v>1</v>
      </c>
      <c r="M668" s="37" t="n">
        <v>0.9535864978902954</v>
      </c>
      <c r="N668" s="37" t="n">
        <v>0.2489451476793249</v>
      </c>
      <c r="O668" s="36" t="n">
        <v>0.05</v>
      </c>
      <c r="P668" s="36" t="n">
        <v>3.92</v>
      </c>
      <c r="Q668" s="36" t="n">
        <v>9.460000000000001</v>
      </c>
      <c r="R668" s="36" t="n">
        <v>73.98999999999999</v>
      </c>
      <c r="S668" s="36" t="n">
        <v>0</v>
      </c>
      <c r="T668" s="37" t="n">
        <v>0.7066492829204694</v>
      </c>
      <c r="U668" s="37" t="n">
        <v>0.4099099099099099</v>
      </c>
      <c r="V668" s="37" t="n">
        <v>0.8275229357798165</v>
      </c>
      <c r="W668" s="37" t="n">
        <v>0.8461538461538461</v>
      </c>
    </row>
    <row r="669">
      <c r="A669" s="53" t="n">
        <v>45767</v>
      </c>
      <c r="B669" t="inlineStr">
        <is>
          <t>R05_Jawa Tengah DIY</t>
        </is>
      </c>
      <c r="C669" t="inlineStr">
        <is>
          <t>NOP SURAKARTA</t>
        </is>
      </c>
      <c r="D669" s="36" t="n">
        <v>3.83</v>
      </c>
      <c r="E669" s="36" t="n">
        <v>2.15</v>
      </c>
      <c r="F669" s="36" t="n">
        <v>3.96</v>
      </c>
      <c r="G669" s="36" t="n">
        <v>4.6</v>
      </c>
      <c r="H669" s="37" t="n">
        <v>0.681184668989547</v>
      </c>
      <c r="I669" s="37" t="n">
        <v>0.8275862068965517</v>
      </c>
      <c r="J669" s="37" t="n">
        <v>0.6647286821705426</v>
      </c>
      <c r="K669" s="37" t="n">
        <v>0.9375</v>
      </c>
      <c r="L669" s="37" t="n">
        <v>0.9375</v>
      </c>
      <c r="M669" s="37" t="n">
        <v>0.9738675958188153</v>
      </c>
      <c r="N669" s="37" t="n">
        <v>0.4634146341463415</v>
      </c>
      <c r="O669" s="36" t="n">
        <v>0.14</v>
      </c>
      <c r="P669" s="36" t="n">
        <v>3.69</v>
      </c>
      <c r="Q669" s="36" t="n">
        <v>8.380000000000001</v>
      </c>
      <c r="R669" s="36" t="n">
        <v>62.83</v>
      </c>
      <c r="S669" s="36" t="n">
        <v>0</v>
      </c>
      <c r="T669" s="37" t="n">
        <v>0.8071334214002642</v>
      </c>
      <c r="U669" s="37" t="n">
        <v>0.7368421052631579</v>
      </c>
      <c r="V669" s="37" t="n">
        <v>0.833941605839416</v>
      </c>
      <c r="W669" s="37" t="n">
        <v>0.7662337662337663</v>
      </c>
    </row>
    <row r="670">
      <c r="A670" s="53" t="n">
        <v>45767</v>
      </c>
      <c r="B670" t="inlineStr">
        <is>
          <t>R05_Jawa Tengah DIY</t>
        </is>
      </c>
      <c r="C670" t="inlineStr">
        <is>
          <t>NOP YOGYAKARTA</t>
        </is>
      </c>
      <c r="D670" s="36" t="n">
        <v>3.21</v>
      </c>
      <c r="E670" s="36" t="n">
        <v>0</v>
      </c>
      <c r="F670" s="36" t="n">
        <v>3.61</v>
      </c>
      <c r="G670" s="36" t="n">
        <v>4.11</v>
      </c>
      <c r="H670" s="37" t="n">
        <v>0.5839080459770115</v>
      </c>
      <c r="I670" s="37" t="n">
        <v>0.9354838709677419</v>
      </c>
      <c r="J670" s="37" t="n">
        <v>0.556930693069307</v>
      </c>
      <c r="K670" s="37" t="n">
        <v>0.9310344827586207</v>
      </c>
      <c r="L670" s="37" t="n">
        <v>0.9259259259259259</v>
      </c>
      <c r="M670" s="37" t="n">
        <v>0.9931034482758621</v>
      </c>
      <c r="N670" s="37" t="n">
        <v>0.4091954022988506</v>
      </c>
      <c r="O670" s="36" t="n">
        <v>0</v>
      </c>
      <c r="P670" s="36" t="n">
        <v>3.1</v>
      </c>
      <c r="Q670" s="36" t="n">
        <v>15.12</v>
      </c>
      <c r="R670" s="36" t="n">
        <v>44.07</v>
      </c>
      <c r="S670" s="36" t="n">
        <v>0</v>
      </c>
      <c r="T670" s="37" t="n">
        <v>0.9346246973365617</v>
      </c>
      <c r="U670" s="37" t="n">
        <v>0.8320610687022901</v>
      </c>
      <c r="V670" s="37" t="n">
        <v>0.9539568345323741</v>
      </c>
      <c r="W670" s="37" t="n">
        <v>0.981651376146789</v>
      </c>
    </row>
    <row r="671">
      <c r="A671" s="53" t="n">
        <v>45767</v>
      </c>
      <c r="B671" t="inlineStr">
        <is>
          <t>R06_Jawa Timur</t>
        </is>
      </c>
      <c r="C671" t="inlineStr">
        <is>
          <t>NOP JEMBER</t>
        </is>
      </c>
      <c r="D671" s="36" t="n">
        <v>2.1</v>
      </c>
      <c r="E671" s="36" t="n">
        <v>2.64</v>
      </c>
      <c r="F671" s="36" t="n">
        <v>4.33</v>
      </c>
      <c r="G671" s="36" t="n">
        <v>3.6</v>
      </c>
      <c r="H671" s="37" t="n">
        <v>0.6823821339950372</v>
      </c>
      <c r="I671" s="37" t="n">
        <v>0.6896551724137931</v>
      </c>
      <c r="J671" s="37" t="n">
        <v>0.6818181818181818</v>
      </c>
      <c r="K671" s="37" t="n">
        <v>0.8</v>
      </c>
      <c r="L671" s="37" t="n">
        <v>0.8</v>
      </c>
      <c r="M671" s="37" t="n">
        <v>0.9875930521091811</v>
      </c>
      <c r="N671" s="37" t="n">
        <v>0.3573200992555831</v>
      </c>
      <c r="O671" s="36" t="n">
        <v>0</v>
      </c>
      <c r="P671" s="36" t="n">
        <v>3.34</v>
      </c>
      <c r="Q671" s="36" t="n">
        <v>5.04</v>
      </c>
      <c r="R671" s="36" t="n">
        <v>117.12</v>
      </c>
      <c r="S671" s="36" t="n">
        <v>0</v>
      </c>
      <c r="T671" s="37" t="n">
        <v>0.8090551181102362</v>
      </c>
      <c r="U671" s="37" t="n">
        <v>0.776</v>
      </c>
      <c r="V671" s="37" t="n">
        <v>0.8198433420365535</v>
      </c>
      <c r="W671" s="37" t="n">
        <v>0.7731958762886598</v>
      </c>
    </row>
    <row r="672">
      <c r="A672" s="53" t="n">
        <v>45767</v>
      </c>
      <c r="B672" t="inlineStr">
        <is>
          <t>R06_Jawa Timur</t>
        </is>
      </c>
      <c r="C672" t="inlineStr">
        <is>
          <t>NOP KEDIRI</t>
        </is>
      </c>
      <c r="D672" s="36" t="n">
        <v>1.21</v>
      </c>
      <c r="E672" s="36" t="n">
        <v>0.7</v>
      </c>
      <c r="F672" s="36" t="n">
        <v>2.09</v>
      </c>
      <c r="G672" s="36" t="n">
        <v>1.95</v>
      </c>
      <c r="H672" s="37" t="n">
        <v>0.8695652173913043</v>
      </c>
      <c r="I672" s="37" t="n">
        <v>0.8571428571428571</v>
      </c>
      <c r="J672" s="37" t="n">
        <v>0.8701298701298701</v>
      </c>
      <c r="K672" s="37" t="n">
        <v>0.6666666666666666</v>
      </c>
      <c r="L672" s="37" t="n">
        <v>0.6666666666666666</v>
      </c>
      <c r="M672" s="37" t="n">
        <v>1</v>
      </c>
      <c r="N672" s="37" t="n">
        <v>0.6149068322981367</v>
      </c>
      <c r="O672" s="36" t="n">
        <v>0</v>
      </c>
      <c r="P672" s="36" t="n">
        <v>2.03</v>
      </c>
      <c r="Q672" s="36" t="n">
        <v>3.51</v>
      </c>
      <c r="R672" s="36" t="n">
        <v>13.85</v>
      </c>
      <c r="S672" s="36" t="n">
        <v>0</v>
      </c>
      <c r="T672" s="37" t="n">
        <v>0.9460431654676259</v>
      </c>
      <c r="U672" s="37" t="n">
        <v>0.9</v>
      </c>
      <c r="V672" s="37" t="n">
        <v>0.9587155963302753</v>
      </c>
      <c r="W672" s="37" t="n">
        <v>0.8888888888888888</v>
      </c>
    </row>
    <row r="673">
      <c r="A673" s="53" t="n">
        <v>45767</v>
      </c>
      <c r="B673" t="inlineStr">
        <is>
          <t>R06_Jawa Timur</t>
        </is>
      </c>
      <c r="C673" t="inlineStr">
        <is>
          <t>NOP LAMONGAN</t>
        </is>
      </c>
      <c r="D673" s="36" t="n">
        <v>1.35</v>
      </c>
      <c r="E673" s="36" t="n">
        <v>1.01</v>
      </c>
      <c r="F673" s="36" t="n">
        <v>3.24</v>
      </c>
      <c r="G673" s="36" t="n">
        <v>3.73</v>
      </c>
      <c r="H673" s="37" t="n">
        <v>0.8181818181818182</v>
      </c>
      <c r="I673" s="37" t="n">
        <v>0.9285714285714286</v>
      </c>
      <c r="J673" s="37" t="n">
        <v>0.8097826086956522</v>
      </c>
      <c r="K673" s="37" t="n">
        <v>0.9230769230769231</v>
      </c>
      <c r="L673" s="37" t="n">
        <v>0.9230769230769231</v>
      </c>
      <c r="M673" s="37" t="n">
        <v>1</v>
      </c>
      <c r="N673" s="37" t="n">
        <v>0.7222222222222222</v>
      </c>
      <c r="O673" s="36" t="n">
        <v>0</v>
      </c>
      <c r="P673" s="36" t="n">
        <v>2.42</v>
      </c>
      <c r="Q673" s="36" t="n">
        <v>10.65</v>
      </c>
      <c r="R673" s="36" t="n">
        <v>34.1</v>
      </c>
      <c r="S673" s="36" t="n">
        <v>0</v>
      </c>
      <c r="T673" s="37" t="n">
        <v>0.782051282051282</v>
      </c>
      <c r="U673" s="37" t="n">
        <v>0.6868686868686869</v>
      </c>
      <c r="V673" s="37" t="n">
        <v>0.8518518518518519</v>
      </c>
      <c r="W673" s="37" t="n">
        <v>0.8676470588235294</v>
      </c>
    </row>
    <row r="674">
      <c r="A674" s="53" t="n">
        <v>45767</v>
      </c>
      <c r="B674" t="inlineStr">
        <is>
          <t>R06_Jawa Timur</t>
        </is>
      </c>
      <c r="C674" t="inlineStr">
        <is>
          <t>NOP MADIUN</t>
        </is>
      </c>
      <c r="D674" s="36" t="n">
        <v>0.63</v>
      </c>
      <c r="E674" s="36" t="n">
        <v>0</v>
      </c>
      <c r="F674" s="36" t="n">
        <v>2.72</v>
      </c>
      <c r="G674" s="36" t="n">
        <v>3.38</v>
      </c>
      <c r="H674" s="37" t="n">
        <v>0.6270491803278688</v>
      </c>
      <c r="I674" s="37" t="n">
        <v>1</v>
      </c>
      <c r="J674" s="37" t="n">
        <v>0.6208333333333333</v>
      </c>
      <c r="K674" s="37" t="n">
        <v>1</v>
      </c>
      <c r="L674" s="37" t="n">
        <v>1</v>
      </c>
      <c r="M674" s="37" t="n">
        <v>0.9959016393442623</v>
      </c>
      <c r="N674" s="37" t="n">
        <v>0.3647540983606558</v>
      </c>
      <c r="O674" s="36" t="n">
        <v>0</v>
      </c>
      <c r="P674" s="36" t="n">
        <v>2.48</v>
      </c>
      <c r="Q674" s="36" t="n">
        <v>6.13</v>
      </c>
      <c r="R674" s="36" t="n">
        <v>54.87</v>
      </c>
      <c r="S674" s="36" t="n">
        <v>0</v>
      </c>
      <c r="T674" s="37" t="n">
        <v>0.6881720430107527</v>
      </c>
      <c r="U674" s="37" t="n">
        <v>0.7111111111111111</v>
      </c>
      <c r="V674" s="37" t="n">
        <v>0.6751054852320675</v>
      </c>
      <c r="W674" s="37" t="n">
        <v>0.78125</v>
      </c>
    </row>
    <row r="675">
      <c r="A675" s="53" t="n">
        <v>45767</v>
      </c>
      <c r="B675" t="inlineStr">
        <is>
          <t>R06_Jawa Timur</t>
        </is>
      </c>
      <c r="C675" t="inlineStr">
        <is>
          <t>NOP MALANG</t>
        </is>
      </c>
      <c r="D675" s="36" t="n">
        <v>1.31</v>
      </c>
      <c r="E675" s="36" t="n">
        <v>0</v>
      </c>
      <c r="F675" s="36" t="n">
        <v>2.61</v>
      </c>
      <c r="G675" s="36" t="n">
        <v>2.79</v>
      </c>
      <c r="H675" s="37" t="n">
        <v>0.8271186440677966</v>
      </c>
      <c r="I675" s="37" t="n">
        <v>0.8333333333333334</v>
      </c>
      <c r="J675" s="37" t="n">
        <v>0.8269896193771626</v>
      </c>
      <c r="K675" s="37" t="n">
        <v>1</v>
      </c>
      <c r="L675" s="37" t="n">
        <v>1</v>
      </c>
      <c r="M675" s="37" t="n">
        <v>0.9966101694915255</v>
      </c>
      <c r="N675" s="37" t="n">
        <v>0.7728813559322034</v>
      </c>
      <c r="O675" s="36" t="n">
        <v>0.02</v>
      </c>
      <c r="P675" s="36" t="n">
        <v>2.92</v>
      </c>
      <c r="Q675" s="36" t="n">
        <v>4.99</v>
      </c>
      <c r="R675" s="36" t="n">
        <v>55.31</v>
      </c>
      <c r="S675" s="36" t="n">
        <v>0</v>
      </c>
      <c r="T675" s="37" t="n">
        <v>0.7899159663865546</v>
      </c>
      <c r="U675" s="37" t="n">
        <v>0.7115384615384616</v>
      </c>
      <c r="V675" s="37" t="n">
        <v>0.8507462686567164</v>
      </c>
      <c r="W675" s="37" t="n">
        <v>0.5945945945945946</v>
      </c>
    </row>
    <row r="676">
      <c r="A676" s="53" t="n">
        <v>45767</v>
      </c>
      <c r="B676" t="inlineStr">
        <is>
          <t>R06_Jawa Timur</t>
        </is>
      </c>
      <c r="C676" t="inlineStr">
        <is>
          <t>NOP SIDOARJO</t>
        </is>
      </c>
      <c r="D676" s="36" t="n">
        <v>3.09</v>
      </c>
      <c r="E676" s="36" t="n">
        <v>6.27</v>
      </c>
      <c r="F676" s="36" t="n">
        <v>3.35</v>
      </c>
      <c r="G676" s="36" t="n">
        <v>4.61</v>
      </c>
      <c r="H676" s="37" t="n">
        <v>0.5845070422535211</v>
      </c>
      <c r="I676" s="37" t="n">
        <v>0.8846153846153846</v>
      </c>
      <c r="J676" s="37" t="n">
        <v>0.5542635658914729</v>
      </c>
      <c r="K676" s="37" t="n">
        <v>0.9130434782608695</v>
      </c>
      <c r="L676" s="37" t="n">
        <v>0.9130434782608695</v>
      </c>
      <c r="M676" s="37" t="n">
        <v>0.9788732394366197</v>
      </c>
      <c r="N676" s="37" t="n">
        <v>0.4084507042253521</v>
      </c>
      <c r="O676" s="36" t="n">
        <v>0.01</v>
      </c>
      <c r="P676" s="36" t="n">
        <v>4.81</v>
      </c>
      <c r="Q676" s="36" t="n">
        <v>11.34</v>
      </c>
      <c r="R676" s="36" t="n">
        <v>52.3</v>
      </c>
      <c r="S676" s="36" t="n">
        <v>0</v>
      </c>
      <c r="T676" s="37" t="n">
        <v>0.7888198757763976</v>
      </c>
      <c r="U676" s="37" t="n">
        <v>0.6707317073170732</v>
      </c>
      <c r="V676" s="37" t="n">
        <v>0.8291666666666667</v>
      </c>
      <c r="W676" s="37" t="n">
        <v>0.7090909090909091</v>
      </c>
    </row>
    <row r="677">
      <c r="A677" s="53" t="n">
        <v>45767</v>
      </c>
      <c r="B677" t="inlineStr">
        <is>
          <t>R06_Jawa Timur</t>
        </is>
      </c>
      <c r="C677" t="inlineStr">
        <is>
          <t>NOP SURABAYA</t>
        </is>
      </c>
      <c r="D677" s="36" t="n">
        <v>2.2</v>
      </c>
      <c r="E677" s="36" t="n">
        <v>0</v>
      </c>
      <c r="F677" s="36" t="n">
        <v>5.83</v>
      </c>
      <c r="G677" s="36" t="n">
        <v>3.81</v>
      </c>
      <c r="H677" s="37" t="n">
        <v>0.6053268765133172</v>
      </c>
      <c r="I677" s="37" t="n">
        <v>0.5319148936170213</v>
      </c>
      <c r="J677" s="37" t="n">
        <v>0.6147540983606558</v>
      </c>
      <c r="K677" s="37" t="n">
        <v>0.92</v>
      </c>
      <c r="L677" s="37" t="n">
        <v>0.92</v>
      </c>
      <c r="M677" s="37" t="n">
        <v>0.9709443099273608</v>
      </c>
      <c r="N677" s="37" t="n">
        <v>0.423728813559322</v>
      </c>
      <c r="O677" s="36" t="n">
        <v>0.04</v>
      </c>
      <c r="P677" s="36" t="n">
        <v>3.17</v>
      </c>
      <c r="Q677" s="36" t="n">
        <v>7.22</v>
      </c>
      <c r="R677" s="36" t="n">
        <v>29.86</v>
      </c>
      <c r="S677" s="36" t="n">
        <v>0</v>
      </c>
      <c r="T677" s="37" t="n">
        <v>0.6847826086956522</v>
      </c>
      <c r="U677" s="37" t="n">
        <v>0.7027027027027027</v>
      </c>
      <c r="V677" s="37" t="n">
        <v>0.6808823529411765</v>
      </c>
      <c r="W677" s="37" t="n">
        <v>0.8846153846153846</v>
      </c>
    </row>
    <row r="678">
      <c r="A678" s="53" t="n">
        <v>45767</v>
      </c>
      <c r="B678" t="inlineStr">
        <is>
          <t>R07_Bali Nusra</t>
        </is>
      </c>
      <c r="C678" t="inlineStr">
        <is>
          <t>NOP DENPASAR</t>
        </is>
      </c>
      <c r="D678" s="36" t="n">
        <v>2.89</v>
      </c>
      <c r="E678" s="36" t="n">
        <v>0</v>
      </c>
      <c r="F678" s="36" t="n">
        <v>5.34</v>
      </c>
      <c r="G678" s="36" t="n">
        <v>4.3</v>
      </c>
      <c r="H678" s="37" t="n">
        <v>0.8914728682170543</v>
      </c>
      <c r="I678" s="37" t="n">
        <v>0.8666666666666667</v>
      </c>
      <c r="J678" s="37" t="n">
        <v>0.8967136150234741</v>
      </c>
      <c r="K678" s="37" t="n">
        <v>0.9487179487179487</v>
      </c>
      <c r="L678" s="37" t="n">
        <v>0.9487179487179487</v>
      </c>
      <c r="M678" s="37" t="n">
        <v>0.9689922480620154</v>
      </c>
      <c r="N678" s="37" t="n">
        <v>0.8565891472868217</v>
      </c>
      <c r="O678" s="36" t="n">
        <v>0</v>
      </c>
      <c r="P678" s="36" t="n">
        <v>113.22</v>
      </c>
      <c r="Q678" s="36" t="n">
        <v>21.98</v>
      </c>
      <c r="R678" s="36" t="n">
        <v>78.39</v>
      </c>
      <c r="S678" s="36" t="n">
        <v>0</v>
      </c>
      <c r="T678" s="37" t="n">
        <v>0.8625277161862528</v>
      </c>
      <c r="U678" s="37" t="n">
        <v>0.8282828282828283</v>
      </c>
      <c r="V678" s="37" t="n">
        <v>0.8721590909090909</v>
      </c>
      <c r="W678" s="37" t="n">
        <v>0.5</v>
      </c>
    </row>
    <row r="679">
      <c r="A679" s="53" t="n">
        <v>45767</v>
      </c>
      <c r="B679" t="inlineStr">
        <is>
          <t>R07_Bali Nusra</t>
        </is>
      </c>
      <c r="C679" t="inlineStr">
        <is>
          <t>NOP FLORES</t>
        </is>
      </c>
      <c r="D679" s="36" t="n">
        <v>8.67</v>
      </c>
      <c r="E679" s="36" t="n">
        <v>5.32</v>
      </c>
      <c r="F679" s="36" t="n">
        <v>6.83</v>
      </c>
      <c r="G679" s="36" t="n">
        <v>9.98</v>
      </c>
      <c r="H679" s="37" t="n">
        <v>0.4527177959791511</v>
      </c>
      <c r="I679" s="37" t="n">
        <v>0.5800604229607251</v>
      </c>
      <c r="J679" s="37" t="n">
        <v>0.4110671936758893</v>
      </c>
      <c r="K679" s="37" t="n">
        <v>0.578125</v>
      </c>
      <c r="L679" s="37" t="n">
        <v>0.5913978494623656</v>
      </c>
      <c r="M679" s="37" t="n">
        <v>0.9910647803425168</v>
      </c>
      <c r="N679" s="37" t="n">
        <v>0.2628443782576322</v>
      </c>
      <c r="O679" s="36" t="n">
        <v>0.17</v>
      </c>
      <c r="P679" s="36" t="n">
        <v>11.63</v>
      </c>
      <c r="Q679" s="36" t="n">
        <v>8.800000000000001</v>
      </c>
      <c r="R679" s="36" t="n">
        <v>46.14</v>
      </c>
      <c r="S679" s="36" t="n">
        <v>0</v>
      </c>
      <c r="T679" s="37" t="n">
        <v>0.450210970464135</v>
      </c>
      <c r="U679" s="37" t="n">
        <v>0.4950859950859951</v>
      </c>
      <c r="V679" s="37" t="n">
        <v>0.3517520215633423</v>
      </c>
      <c r="W679" s="37" t="n">
        <v>0.6774193548387096</v>
      </c>
    </row>
    <row r="680">
      <c r="A680" s="53" t="n">
        <v>45767</v>
      </c>
      <c r="B680" t="inlineStr">
        <is>
          <t>R07_Bali Nusra</t>
        </is>
      </c>
      <c r="C680" t="inlineStr">
        <is>
          <t>NOP KUPANG</t>
        </is>
      </c>
      <c r="D680" s="36" t="n">
        <v>1.18</v>
      </c>
      <c r="E680" s="36" t="n">
        <v>5.77</v>
      </c>
      <c r="F680" s="36" t="n">
        <v>3.89</v>
      </c>
      <c r="G680" s="36" t="n">
        <v>7.67</v>
      </c>
      <c r="H680" s="37" t="n">
        <v>0.5114503816793893</v>
      </c>
      <c r="I680" s="37" t="n">
        <v>0.632</v>
      </c>
      <c r="J680" s="37" t="n">
        <v>0.4924242424242424</v>
      </c>
      <c r="K680" s="37" t="n">
        <v>0.6075949367088608</v>
      </c>
      <c r="L680" s="37" t="n">
        <v>0.6075949367088608</v>
      </c>
      <c r="M680" s="37" t="n">
        <v>0.9869138495092693</v>
      </c>
      <c r="N680" s="37" t="n">
        <v>0.1952017448200654</v>
      </c>
      <c r="O680" s="36" t="n">
        <v>0.11</v>
      </c>
      <c r="P680" s="36" t="n">
        <v>8.83</v>
      </c>
      <c r="Q680" s="36" t="n">
        <v>19.23</v>
      </c>
      <c r="R680" s="36" t="n">
        <v>210.07</v>
      </c>
      <c r="S680" s="36" t="n">
        <v>0</v>
      </c>
      <c r="T680" s="37" t="n">
        <v>0.5727136431784108</v>
      </c>
      <c r="U680" s="37" t="n">
        <v>0.5748792270531401</v>
      </c>
      <c r="V680" s="37" t="n">
        <v>0.5691699604743083</v>
      </c>
      <c r="W680" s="37" t="n">
        <v>0.6365546218487395</v>
      </c>
    </row>
    <row r="681">
      <c r="A681" s="53" t="n">
        <v>45767</v>
      </c>
      <c r="B681" t="inlineStr">
        <is>
          <t>R07_Bali Nusra</t>
        </is>
      </c>
      <c r="C681" t="inlineStr">
        <is>
          <t>NOP MATARAM</t>
        </is>
      </c>
      <c r="D681" s="36" t="n">
        <v>2.76</v>
      </c>
      <c r="E681" s="36" t="n">
        <v>4.22</v>
      </c>
      <c r="F681" s="36" t="n">
        <v>4.19</v>
      </c>
      <c r="G681" s="36" t="n">
        <v>6.85</v>
      </c>
      <c r="H681" s="37" t="n">
        <v>0.5083682008368201</v>
      </c>
      <c r="I681" s="37" t="n">
        <v>0.6491228070175439</v>
      </c>
      <c r="J681" s="37" t="n">
        <v>0.489311163895487</v>
      </c>
      <c r="K681" s="37" t="n">
        <v>0.7837837837837838</v>
      </c>
      <c r="L681" s="37" t="n">
        <v>0.7837837837837838</v>
      </c>
      <c r="M681" s="37" t="n">
        <v>0.99581589958159</v>
      </c>
      <c r="N681" s="37" t="n">
        <v>0.3284518828451883</v>
      </c>
      <c r="O681" s="36" t="n">
        <v>1.12</v>
      </c>
      <c r="P681" s="36" t="n">
        <v>24.15</v>
      </c>
      <c r="Q681" s="36" t="n">
        <v>15.68</v>
      </c>
      <c r="R681" s="36" t="n">
        <v>37.25</v>
      </c>
      <c r="S681" s="36" t="n">
        <v>0</v>
      </c>
      <c r="T681" s="37" t="n">
        <v>0.3643911439114391</v>
      </c>
      <c r="U681" s="37" t="n">
        <v>0.3787638668779715</v>
      </c>
      <c r="V681" s="37" t="n">
        <v>0.3443708609271523</v>
      </c>
      <c r="W681" s="37" t="n">
        <v>0.6108786610878661</v>
      </c>
    </row>
    <row r="682">
      <c r="A682" s="53" t="n">
        <v>45768</v>
      </c>
      <c r="B682" t="inlineStr">
        <is>
          <t>R01_Sumbagut</t>
        </is>
      </c>
      <c r="C682" t="inlineStr">
        <is>
          <t>NOP ACEH</t>
        </is>
      </c>
      <c r="D682" s="36" t="n">
        <v>3.68</v>
      </c>
      <c r="E682" s="36" t="n">
        <v>4.2</v>
      </c>
      <c r="F682" s="36" t="n">
        <v>9.99</v>
      </c>
      <c r="G682" s="36" t="n">
        <v>10.26</v>
      </c>
      <c r="H682" s="37" t="n">
        <v>0.841087056655919</v>
      </c>
      <c r="I682" s="37" t="n">
        <v>0.8429602888086642</v>
      </c>
      <c r="J682" s="37" t="n">
        <v>0.8404452690166976</v>
      </c>
      <c r="K682" s="37" t="n">
        <v>0.4047109207708779</v>
      </c>
      <c r="L682" s="37" t="n">
        <v>0.4073275862068966</v>
      </c>
      <c r="M682" s="37" t="n">
        <v>0.9995393827729157</v>
      </c>
      <c r="N682" s="37" t="n">
        <v>0.3063104560110548</v>
      </c>
      <c r="O682" s="36" t="n">
        <v>0.06</v>
      </c>
      <c r="P682" s="36" t="n">
        <v>4.03</v>
      </c>
      <c r="Q682" s="36" t="n">
        <v>71.39</v>
      </c>
      <c r="R682" s="36" t="n">
        <v>126.22</v>
      </c>
      <c r="S682" s="36" t="n">
        <v>0</v>
      </c>
      <c r="T682" s="37" t="n">
        <v>0.8727197915237964</v>
      </c>
      <c r="U682" s="37" t="n">
        <v>0.7410526315789474</v>
      </c>
      <c r="V682" s="37" t="n">
        <v>0.8950882212684788</v>
      </c>
      <c r="W682" s="37" t="n">
        <v>0.1946022727272727</v>
      </c>
    </row>
    <row r="683">
      <c r="A683" s="53" t="n">
        <v>45768</v>
      </c>
      <c r="B683" t="inlineStr">
        <is>
          <t>R01_Sumbagut</t>
        </is>
      </c>
      <c r="C683" t="inlineStr">
        <is>
          <t>NOP BINJAI</t>
        </is>
      </c>
      <c r="D683" s="36" t="n">
        <v>9.9</v>
      </c>
      <c r="E683" s="36" t="n">
        <v>4.88</v>
      </c>
      <c r="F683" s="36" t="n">
        <v>3.86</v>
      </c>
      <c r="G683" s="36" t="n">
        <v>4.27</v>
      </c>
      <c r="H683" s="37" t="n">
        <v>0.6288117770767613</v>
      </c>
      <c r="I683" s="37" t="n">
        <v>0.7366071428571429</v>
      </c>
      <c r="J683" s="37" t="n">
        <v>0.5955983493810179</v>
      </c>
      <c r="K683" s="37" t="n">
        <v>0.5515151515151515</v>
      </c>
      <c r="L683" s="37" t="n">
        <v>0.5487804878048781</v>
      </c>
      <c r="M683" s="37" t="n">
        <v>1</v>
      </c>
      <c r="N683" s="37" t="n">
        <v>0.352260778128286</v>
      </c>
      <c r="O683" s="36" t="n">
        <v>0.02</v>
      </c>
      <c r="P683" s="36" t="n">
        <v>2.66</v>
      </c>
      <c r="Q683" s="36" t="n">
        <v>38.91</v>
      </c>
      <c r="R683" s="36" t="n">
        <v>101.73</v>
      </c>
      <c r="S683" s="36" t="n">
        <v>0</v>
      </c>
      <c r="T683" s="37" t="n">
        <v>0.6534500514933058</v>
      </c>
      <c r="U683" s="37" t="n">
        <v>0.5533807829181495</v>
      </c>
      <c r="V683" s="37" t="n">
        <v>0.7194076383476228</v>
      </c>
      <c r="W683" s="37" t="n">
        <v>0.5337620578778135</v>
      </c>
    </row>
    <row r="684">
      <c r="A684" s="53" t="n">
        <v>45768</v>
      </c>
      <c r="B684" t="inlineStr">
        <is>
          <t>R01_Sumbagut</t>
        </is>
      </c>
      <c r="C684" t="inlineStr">
        <is>
          <t>NOP MEDAN</t>
        </is>
      </c>
      <c r="D684" s="36" t="n">
        <v>5.48</v>
      </c>
      <c r="E684" s="36" t="n">
        <v>4.24</v>
      </c>
      <c r="F684" s="36" t="n">
        <v>3.91</v>
      </c>
      <c r="G684" s="36" t="n">
        <v>4.96</v>
      </c>
      <c r="H684" s="37" t="n">
        <v>0.4161712247324614</v>
      </c>
      <c r="I684" s="37" t="n">
        <v>0.4453441295546559</v>
      </c>
      <c r="J684" s="37" t="n">
        <v>0.404040404040404</v>
      </c>
      <c r="K684" s="37" t="n">
        <v>0.8090909090909091</v>
      </c>
      <c r="L684" s="37" t="n">
        <v>0.8148148148148148</v>
      </c>
      <c r="M684" s="37" t="n">
        <v>0.9988109393579072</v>
      </c>
      <c r="N684" s="37" t="n">
        <v>0.2497027348394768</v>
      </c>
      <c r="O684" s="36" t="n">
        <v>0</v>
      </c>
      <c r="P684" s="36" t="n">
        <v>4.59</v>
      </c>
      <c r="Q684" s="36" t="n">
        <v>16.85</v>
      </c>
      <c r="R684" s="36" t="n">
        <v>10.18</v>
      </c>
      <c r="S684" s="36" t="n">
        <v>0</v>
      </c>
      <c r="T684" s="37" t="n">
        <v>0.3202072538860103</v>
      </c>
      <c r="U684" s="37" t="n">
        <v>0.2059925093632959</v>
      </c>
      <c r="V684" s="37" t="n">
        <v>0.3949044585987261</v>
      </c>
      <c r="W684" s="37" t="n">
        <v>0.8909090909090909</v>
      </c>
    </row>
    <row r="685">
      <c r="A685" s="53" t="n">
        <v>45768</v>
      </c>
      <c r="B685" t="inlineStr">
        <is>
          <t>R01_Sumbagut</t>
        </is>
      </c>
      <c r="C685" t="inlineStr">
        <is>
          <t>NOP PADANG SIDEMPUAN</t>
        </is>
      </c>
      <c r="D685" s="36" t="n">
        <v>3.08</v>
      </c>
      <c r="E685" s="36" t="n">
        <v>3.61</v>
      </c>
      <c r="F685" s="36" t="n">
        <v>4.94</v>
      </c>
      <c r="G685" s="36" t="n">
        <v>6.24</v>
      </c>
      <c r="H685" s="37" t="n">
        <v>0.3093955715140634</v>
      </c>
      <c r="I685" s="37" t="n">
        <v>0.4834123222748815</v>
      </c>
      <c r="J685" s="37" t="n">
        <v>0.2842465753424658</v>
      </c>
      <c r="K685" s="37" t="n">
        <v>0.4705882352941176</v>
      </c>
      <c r="L685" s="37" t="n">
        <v>0.4705882352941176</v>
      </c>
      <c r="M685" s="37" t="n">
        <v>0.9940155595451825</v>
      </c>
      <c r="N685" s="37" t="n">
        <v>0.1262716935966487</v>
      </c>
      <c r="O685" s="36" t="n">
        <v>0.01</v>
      </c>
      <c r="P685" s="36" t="n">
        <v>2.45</v>
      </c>
      <c r="Q685" s="36" t="n">
        <v>14.36</v>
      </c>
      <c r="R685" s="36" t="n">
        <v>95.72</v>
      </c>
      <c r="S685" s="36" t="n">
        <v>0</v>
      </c>
      <c r="T685" s="37" t="n">
        <v>0.2902987827369974</v>
      </c>
      <c r="U685" s="37" t="n">
        <v>0.4228650137741047</v>
      </c>
      <c r="V685" s="37" t="n">
        <v>0.2431881843646549</v>
      </c>
      <c r="W685" s="37" t="n">
        <v>0.4657980456026058</v>
      </c>
    </row>
    <row r="686">
      <c r="A686" s="53" t="n">
        <v>45768</v>
      </c>
      <c r="B686" t="inlineStr">
        <is>
          <t>R01_Sumbagut</t>
        </is>
      </c>
      <c r="C686" t="inlineStr">
        <is>
          <t>NOP PEMATANG SIANTAR</t>
        </is>
      </c>
      <c r="D686" s="36" t="n">
        <v>3.66</v>
      </c>
      <c r="E686" s="36" t="n">
        <v>3.61</v>
      </c>
      <c r="F686" s="36" t="n">
        <v>5.12</v>
      </c>
      <c r="G686" s="36" t="n">
        <v>4.89</v>
      </c>
      <c r="H686" s="37" t="n">
        <v>0.3308337009263344</v>
      </c>
      <c r="I686" s="37" t="n">
        <v>0.355206847360913</v>
      </c>
      <c r="J686" s="37" t="n">
        <v>0.3199233716475096</v>
      </c>
      <c r="K686" s="37" t="n">
        <v>0.6706827309236948</v>
      </c>
      <c r="L686" s="37" t="n">
        <v>0.6778242677824268</v>
      </c>
      <c r="M686" s="37" t="n">
        <v>0.9991177767975298</v>
      </c>
      <c r="N686" s="37" t="n">
        <v>0.1812968681076312</v>
      </c>
      <c r="O686" s="36" t="n">
        <v>0.02</v>
      </c>
      <c r="P686" s="36" t="n">
        <v>4.48</v>
      </c>
      <c r="Q686" s="36" t="n">
        <v>64.41</v>
      </c>
      <c r="R686" s="36" t="n">
        <v>64.52</v>
      </c>
      <c r="S686" s="36" t="n">
        <v>0</v>
      </c>
      <c r="T686" s="37" t="n">
        <v>0.1132411067193676</v>
      </c>
      <c r="U686" s="37" t="n">
        <v>0.3358613217768147</v>
      </c>
      <c r="V686" s="37" t="n">
        <v>0.08965896589658966</v>
      </c>
      <c r="W686" s="37" t="n">
        <v>0.8419354838709677</v>
      </c>
    </row>
    <row r="687">
      <c r="A687" s="53" t="n">
        <v>45768</v>
      </c>
      <c r="B687" t="inlineStr">
        <is>
          <t>R01_Sumbagut</t>
        </is>
      </c>
      <c r="C687" t="inlineStr">
        <is>
          <t>NOP RANTAU PRAPAT</t>
        </is>
      </c>
      <c r="D687" s="36" t="n">
        <v>3.25</v>
      </c>
      <c r="E687" s="36" t="n">
        <v>5.82</v>
      </c>
      <c r="F687" s="36" t="n">
        <v>4.56</v>
      </c>
      <c r="G687" s="36" t="n">
        <v>5.35</v>
      </c>
      <c r="H687" s="37" t="n">
        <v>0.3034238488783944</v>
      </c>
      <c r="I687" s="37" t="n">
        <v>0.2957983193277311</v>
      </c>
      <c r="J687" s="37" t="n">
        <v>0.3050483351235231</v>
      </c>
      <c r="K687" s="37" t="n">
        <v>0.6590909090909091</v>
      </c>
      <c r="L687" s="37" t="n">
        <v>0.6590909090909091</v>
      </c>
      <c r="M687" s="37" t="n">
        <v>0.9917355371900827</v>
      </c>
      <c r="N687" s="37" t="n">
        <v>0.1779811097992916</v>
      </c>
      <c r="O687" s="36" t="n">
        <v>0.02</v>
      </c>
      <c r="P687" s="36" t="n">
        <v>4.26</v>
      </c>
      <c r="Q687" s="36" t="n">
        <v>39.72</v>
      </c>
      <c r="R687" s="36" t="n">
        <v>43.69</v>
      </c>
      <c r="S687" s="36" t="n">
        <v>0</v>
      </c>
      <c r="T687" s="37" t="n">
        <v>0.0689807976366322</v>
      </c>
      <c r="U687" s="37" t="n">
        <v>0.1489841986455982</v>
      </c>
      <c r="V687" s="37" t="n">
        <v>0.0489424925712288</v>
      </c>
      <c r="W687" s="37" t="n">
        <v>0.6212121212121212</v>
      </c>
    </row>
    <row r="688">
      <c r="A688" s="53" t="n">
        <v>45768</v>
      </c>
      <c r="B688" t="inlineStr">
        <is>
          <t>R10_Sumbagteng</t>
        </is>
      </c>
      <c r="C688" t="inlineStr">
        <is>
          <t>NOP BATAM</t>
        </is>
      </c>
      <c r="D688" s="36" t="n">
        <v>2.09</v>
      </c>
      <c r="E688" s="36" t="n">
        <v>8.06</v>
      </c>
      <c r="F688" s="36" t="n">
        <v>6.88</v>
      </c>
      <c r="G688" s="36" t="n">
        <v>10.5</v>
      </c>
      <c r="H688" s="37" t="n">
        <v>0.3050583657587549</v>
      </c>
      <c r="I688" s="37" t="n">
        <v>0.3103448275862069</v>
      </c>
      <c r="J688" s="37" t="n">
        <v>0.3038936372269705</v>
      </c>
      <c r="K688" s="37" t="n">
        <v>0.6597222222222222</v>
      </c>
      <c r="L688" s="37" t="n">
        <v>0.6597222222222222</v>
      </c>
      <c r="M688" s="37" t="n">
        <v>0.9933852140077821</v>
      </c>
      <c r="N688" s="37" t="n">
        <v>0.1863813229571984</v>
      </c>
      <c r="O688" s="36" t="n">
        <v>0.82</v>
      </c>
      <c r="P688" s="36" t="n">
        <v>5.59</v>
      </c>
      <c r="Q688" s="36" t="n">
        <v>25.27</v>
      </c>
      <c r="R688" s="36" t="n">
        <v>17.07</v>
      </c>
      <c r="S688" s="36" t="n">
        <v>0</v>
      </c>
      <c r="T688" s="37" t="n">
        <v>0.07779544250132485</v>
      </c>
      <c r="U688" s="37" t="n">
        <v>0.2402545743834527</v>
      </c>
      <c r="V688" s="37" t="n">
        <v>0.05190952910641453</v>
      </c>
      <c r="W688" s="37" t="n">
        <v>0.7781456953642384</v>
      </c>
    </row>
    <row r="689">
      <c r="A689" s="53" t="n">
        <v>45768</v>
      </c>
      <c r="B689" t="inlineStr">
        <is>
          <t>R10_Sumbagteng</t>
        </is>
      </c>
      <c r="C689" t="inlineStr">
        <is>
          <t>NOP BUKITTINGGI</t>
        </is>
      </c>
      <c r="D689" s="36" t="n">
        <v>2.57</v>
      </c>
      <c r="E689" s="36" t="n">
        <v>4.29</v>
      </c>
      <c r="F689" s="36" t="n">
        <v>5.02</v>
      </c>
      <c r="G689" s="36" t="n">
        <v>5.42</v>
      </c>
      <c r="H689" s="37" t="n">
        <v>0.7673684210526316</v>
      </c>
      <c r="I689" s="37" t="n">
        <v>0.8353909465020576</v>
      </c>
      <c r="J689" s="37" t="n">
        <v>0.743988684582744</v>
      </c>
      <c r="K689" s="37" t="n">
        <v>0.6157635467980296</v>
      </c>
      <c r="L689" s="37" t="n">
        <v>0.6345177664974619</v>
      </c>
      <c r="M689" s="37" t="n">
        <v>0.9926315789473684</v>
      </c>
      <c r="N689" s="37" t="n">
        <v>0.4694736842105263</v>
      </c>
      <c r="O689" s="36" t="n">
        <v>0</v>
      </c>
      <c r="P689" s="36" t="n">
        <v>3.58</v>
      </c>
      <c r="Q689" s="36" t="n">
        <v>8.57</v>
      </c>
      <c r="R689" s="36" t="n">
        <v>111.44</v>
      </c>
      <c r="S689" s="36" t="n">
        <v>0</v>
      </c>
      <c r="T689" s="37" t="n">
        <v>0.3251576734407849</v>
      </c>
      <c r="U689" s="37" t="n">
        <v>0.7663043478260869</v>
      </c>
      <c r="V689" s="37" t="n">
        <v>0.2844582363589346</v>
      </c>
      <c r="W689" s="37" t="n">
        <v>0.6028368794326241</v>
      </c>
    </row>
    <row r="690">
      <c r="A690" s="53" t="n">
        <v>45768</v>
      </c>
      <c r="B690" t="inlineStr">
        <is>
          <t>R10_Sumbagteng</t>
        </is>
      </c>
      <c r="C690" t="inlineStr">
        <is>
          <t>NOP DUMAI</t>
        </is>
      </c>
      <c r="D690" s="36" t="n">
        <v>5.52</v>
      </c>
      <c r="E690" s="36" t="n">
        <v>5.84</v>
      </c>
      <c r="F690" s="36" t="n">
        <v>5.78</v>
      </c>
      <c r="G690" s="36" t="n">
        <v>6.6</v>
      </c>
      <c r="H690" s="37" t="n">
        <v>0.4085657931811778</v>
      </c>
      <c r="I690" s="37" t="n">
        <v>0.5010615711252654</v>
      </c>
      <c r="J690" s="37" t="n">
        <v>0.3751438434982739</v>
      </c>
      <c r="K690" s="37" t="n">
        <v>0.7097457627118644</v>
      </c>
      <c r="L690" s="37" t="n">
        <v>0.7230769230769231</v>
      </c>
      <c r="M690" s="37" t="n">
        <v>0.9746407438715131</v>
      </c>
      <c r="N690" s="37" t="n">
        <v>0.2380952380952381</v>
      </c>
      <c r="O690" s="36" t="n">
        <v>0.28</v>
      </c>
      <c r="P690" s="36" t="n">
        <v>4.87</v>
      </c>
      <c r="Q690" s="36" t="n">
        <v>55.32</v>
      </c>
      <c r="R690" s="36" t="n">
        <v>132.04</v>
      </c>
      <c r="S690" s="36" t="n">
        <v>0</v>
      </c>
      <c r="T690" s="37" t="n">
        <v>0.2978632478632479</v>
      </c>
      <c r="U690" s="37" t="n">
        <v>0.3383458646616541</v>
      </c>
      <c r="V690" s="37" t="n">
        <v>0.2994125450066326</v>
      </c>
      <c r="W690" s="37" t="n">
        <v>0.9333333333333333</v>
      </c>
    </row>
    <row r="691">
      <c r="A691" s="53" t="n">
        <v>45768</v>
      </c>
      <c r="B691" t="inlineStr">
        <is>
          <t>R10_Sumbagteng</t>
        </is>
      </c>
      <c r="C691" t="inlineStr">
        <is>
          <t>NOP PADANG</t>
        </is>
      </c>
      <c r="D691" s="36" t="n">
        <v>3.67</v>
      </c>
      <c r="E691" s="36" t="n">
        <v>2.48</v>
      </c>
      <c r="F691" s="36" t="n">
        <v>6.56</v>
      </c>
      <c r="G691" s="36" t="n">
        <v>6.81</v>
      </c>
      <c r="H691" s="37" t="n">
        <v>0.7633136094674556</v>
      </c>
      <c r="I691" s="37" t="n">
        <v>0.7407407407407407</v>
      </c>
      <c r="J691" s="37" t="n">
        <v>0.7663865546218488</v>
      </c>
      <c r="K691" s="37" t="n">
        <v>0.5166666666666667</v>
      </c>
      <c r="L691" s="37" t="n">
        <v>0.5166666666666667</v>
      </c>
      <c r="M691" s="37" t="n">
        <v>0.985207100591716</v>
      </c>
      <c r="N691" s="37" t="n">
        <v>0.3084319526627219</v>
      </c>
      <c r="O691" s="36" t="n">
        <v>0.06</v>
      </c>
      <c r="P691" s="36" t="n">
        <v>4.72</v>
      </c>
      <c r="Q691" s="36" t="n">
        <v>47.75</v>
      </c>
      <c r="R691" s="36" t="n">
        <v>61.27</v>
      </c>
      <c r="S691" s="36" t="n">
        <v>0</v>
      </c>
      <c r="T691" s="37" t="n">
        <v>0.7444572179339793</v>
      </c>
      <c r="U691" s="37" t="n">
        <v>0.6619519094766619</v>
      </c>
      <c r="V691" s="37" t="n">
        <v>0.7583223622343427</v>
      </c>
      <c r="W691" s="37" t="n">
        <v>0.4914529914529914</v>
      </c>
    </row>
    <row r="692">
      <c r="A692" s="53" t="n">
        <v>45768</v>
      </c>
      <c r="B692" t="inlineStr">
        <is>
          <t>R10_Sumbagteng</t>
        </is>
      </c>
      <c r="C692" t="inlineStr">
        <is>
          <t>NOP PEKANBARU</t>
        </is>
      </c>
      <c r="D692" s="36" t="n">
        <v>6.44</v>
      </c>
      <c r="E692" s="36" t="n">
        <v>5.94</v>
      </c>
      <c r="F692" s="36" t="n">
        <v>5.59</v>
      </c>
      <c r="G692" s="36" t="n">
        <v>7.45</v>
      </c>
      <c r="H692" s="37" t="n">
        <v>0.4048648648648648</v>
      </c>
      <c r="I692" s="37" t="n">
        <v>0.4935064935064935</v>
      </c>
      <c r="J692" s="37" t="n">
        <v>0.38715953307393</v>
      </c>
      <c r="K692" s="37" t="n">
        <v>0.7532894736842105</v>
      </c>
      <c r="L692" s="37" t="n">
        <v>0.76</v>
      </c>
      <c r="M692" s="37" t="n">
        <v>0.9897297297297297</v>
      </c>
      <c r="N692" s="37" t="n">
        <v>0.222972972972973</v>
      </c>
      <c r="O692" s="36" t="n">
        <v>0.02</v>
      </c>
      <c r="P692" s="36" t="n">
        <v>3.34</v>
      </c>
      <c r="Q692" s="36" t="n">
        <v>47.87</v>
      </c>
      <c r="R692" s="36" t="n">
        <v>100.14</v>
      </c>
      <c r="S692" s="36" t="n">
        <v>0</v>
      </c>
      <c r="T692" s="37" t="n">
        <v>0.2936128073939594</v>
      </c>
      <c r="U692" s="37" t="n">
        <v>0.3068057080131724</v>
      </c>
      <c r="V692" s="37" t="n">
        <v>0.2975227502527806</v>
      </c>
      <c r="W692" s="37" t="n">
        <v>0.8676207513416816</v>
      </c>
    </row>
    <row r="693">
      <c r="A693" s="53" t="n">
        <v>45768</v>
      </c>
      <c r="B693" t="inlineStr">
        <is>
          <t>R02_Sumbagsel</t>
        </is>
      </c>
      <c r="C693" t="inlineStr">
        <is>
          <t>NOP BENGKULU</t>
        </is>
      </c>
      <c r="D693" s="36" t="n">
        <v>2.1</v>
      </c>
      <c r="E693" s="36" t="n">
        <v>4.34</v>
      </c>
      <c r="F693" s="36" t="n">
        <v>4.23</v>
      </c>
      <c r="G693" s="36" t="n">
        <v>6.57</v>
      </c>
      <c r="H693" s="37" t="n">
        <v>0.3617619493908154</v>
      </c>
      <c r="I693" s="37" t="n">
        <v>0.4288354898336414</v>
      </c>
      <c r="J693" s="37" t="n">
        <v>0.3389830508474576</v>
      </c>
      <c r="K693" s="37" t="n">
        <v>0.6810344827586207</v>
      </c>
      <c r="L693" s="37" t="n">
        <v>0.6810344827586207</v>
      </c>
      <c r="M693" s="37" t="n">
        <v>0.9920337394564198</v>
      </c>
      <c r="N693" s="37" t="n">
        <v>0.1879100281162137</v>
      </c>
      <c r="O693" s="36" t="n">
        <v>0</v>
      </c>
      <c r="P693" s="36" t="n">
        <v>6.2</v>
      </c>
      <c r="Q693" s="36" t="n">
        <v>6.52</v>
      </c>
      <c r="R693" s="36" t="n">
        <v>14.78</v>
      </c>
      <c r="S693" s="36" t="n">
        <v>0</v>
      </c>
      <c r="T693" s="37" t="n">
        <v>0.4616537596802398</v>
      </c>
      <c r="U693" s="37" t="n">
        <v>0.3930461073318216</v>
      </c>
      <c r="V693" s="37" t="n">
        <v>0.6258570029382958</v>
      </c>
      <c r="W693" s="37" t="n">
        <v>0.8903846153846153</v>
      </c>
    </row>
    <row r="694">
      <c r="A694" s="53" t="n">
        <v>45768</v>
      </c>
      <c r="B694" t="inlineStr">
        <is>
          <t>R02_Sumbagsel</t>
        </is>
      </c>
      <c r="C694" t="inlineStr">
        <is>
          <t>NOP JAMBI</t>
        </is>
      </c>
      <c r="D694" s="36" t="n">
        <v>3.66</v>
      </c>
      <c r="E694" s="36" t="n">
        <v>6.8</v>
      </c>
      <c r="F694" s="36" t="n">
        <v>6.44</v>
      </c>
      <c r="G694" s="36" t="n">
        <v>8.59</v>
      </c>
      <c r="H694" s="37" t="n">
        <v>0.5341118623232944</v>
      </c>
      <c r="I694" s="37" t="n">
        <v>0.5772681954137587</v>
      </c>
      <c r="J694" s="37" t="n">
        <v>0.5148822745446469</v>
      </c>
      <c r="K694" s="37" t="n">
        <v>0.6597582037996546</v>
      </c>
      <c r="L694" s="37" t="n">
        <v>0.662608695652174</v>
      </c>
      <c r="M694" s="37" t="n">
        <v>1</v>
      </c>
      <c r="N694" s="37" t="n">
        <v>0.2805777504609711</v>
      </c>
      <c r="O694" s="36" t="n">
        <v>0</v>
      </c>
      <c r="P694" s="36" t="n">
        <v>8.02</v>
      </c>
      <c r="Q694" s="36" t="n">
        <v>17.87</v>
      </c>
      <c r="R694" s="36" t="n">
        <v>18</v>
      </c>
      <c r="S694" s="36" t="n">
        <v>0</v>
      </c>
      <c r="T694" s="37" t="n">
        <v>0.6346742903818664</v>
      </c>
      <c r="U694" s="37" t="n">
        <v>0.6262214983713354</v>
      </c>
      <c r="V694" s="37" t="n">
        <v>0.6671679197994987</v>
      </c>
      <c r="W694" s="37" t="n">
        <v>0.747074122236671</v>
      </c>
    </row>
    <row r="695">
      <c r="A695" s="53" t="n">
        <v>45768</v>
      </c>
      <c r="B695" t="inlineStr">
        <is>
          <t>R02_Sumbagsel</t>
        </is>
      </c>
      <c r="C695" t="inlineStr">
        <is>
          <t>NOP LAMPUNG</t>
        </is>
      </c>
      <c r="D695" s="36" t="n">
        <v>3.07</v>
      </c>
      <c r="E695" s="36" t="n">
        <v>5.15</v>
      </c>
      <c r="F695" s="36" t="n">
        <v>5.23</v>
      </c>
      <c r="G695" s="36" t="n">
        <v>5.5</v>
      </c>
      <c r="H695" s="37" t="n">
        <v>0.5297427652733119</v>
      </c>
      <c r="I695" s="37" t="n">
        <v>0.6904024767801857</v>
      </c>
      <c r="J695" s="37" t="n">
        <v>0.4733984799131379</v>
      </c>
      <c r="K695" s="37" t="n">
        <v>0.7040358744394619</v>
      </c>
      <c r="L695" s="37" t="n">
        <v>0.7040358744394619</v>
      </c>
      <c r="M695" s="37" t="n">
        <v>1</v>
      </c>
      <c r="N695" s="37" t="n">
        <v>0.340032154340836</v>
      </c>
      <c r="O695" s="36" t="n">
        <v>1.12</v>
      </c>
      <c r="P695" s="36" t="n">
        <v>5.54</v>
      </c>
      <c r="Q695" s="36" t="n">
        <v>5.99</v>
      </c>
      <c r="R695" s="36" t="n">
        <v>26.46</v>
      </c>
      <c r="S695" s="36" t="n">
        <v>0</v>
      </c>
      <c r="T695" s="37" t="n">
        <v>0.8976564817561554</v>
      </c>
      <c r="U695" s="37" t="n">
        <v>0.8014354066985646</v>
      </c>
      <c r="V695" s="37" t="n">
        <v>0.9468619246861925</v>
      </c>
      <c r="W695" s="37" t="n">
        <v>0.8582089552238806</v>
      </c>
    </row>
    <row r="696">
      <c r="A696" s="53" t="n">
        <v>45768</v>
      </c>
      <c r="B696" t="inlineStr">
        <is>
          <t>R02_Sumbagsel</t>
        </is>
      </c>
      <c r="C696" t="inlineStr">
        <is>
          <t>NOP MUARA ENIM</t>
        </is>
      </c>
      <c r="D696" s="36" t="n">
        <v>3.08</v>
      </c>
      <c r="E696" s="36" t="n">
        <v>3.85</v>
      </c>
      <c r="F696" s="36" t="n">
        <v>5.19</v>
      </c>
      <c r="G696" s="36" t="n">
        <v>5.39</v>
      </c>
      <c r="H696" s="37" t="n">
        <v>0.3995733008229199</v>
      </c>
      <c r="I696" s="37" t="n">
        <v>0.3441226575809199</v>
      </c>
      <c r="J696" s="37" t="n">
        <v>0.4116555308092056</v>
      </c>
      <c r="K696" s="37" t="n">
        <v>0.5544554455445545</v>
      </c>
      <c r="L696" s="37" t="n">
        <v>0.5913978494623656</v>
      </c>
      <c r="M696" s="37" t="n">
        <v>0.9740932642487047</v>
      </c>
      <c r="N696" s="37" t="n">
        <v>0.1734227369704358</v>
      </c>
      <c r="O696" s="36" t="n">
        <v>0</v>
      </c>
      <c r="P696" s="36" t="n">
        <v>4.51</v>
      </c>
      <c r="Q696" s="36" t="n">
        <v>6.54</v>
      </c>
      <c r="R696" s="36" t="n">
        <v>8.98</v>
      </c>
      <c r="S696" s="36" t="n">
        <v>0</v>
      </c>
      <c r="T696" s="37" t="n">
        <v>0.4662395268605224</v>
      </c>
      <c r="U696" s="37" t="n">
        <v>0.4782608695652174</v>
      </c>
      <c r="V696" s="37" t="n">
        <v>0.5348301669545192</v>
      </c>
      <c r="W696" s="37" t="n">
        <v>0.7943181818181818</v>
      </c>
    </row>
    <row r="697">
      <c r="A697" s="53" t="n">
        <v>45768</v>
      </c>
      <c r="B697" t="inlineStr">
        <is>
          <t>R02_Sumbagsel</t>
        </is>
      </c>
      <c r="C697" t="inlineStr">
        <is>
          <t>NOP PALEMBANG</t>
        </is>
      </c>
      <c r="D697" s="36" t="n">
        <v>3.52</v>
      </c>
      <c r="E697" s="36" t="n">
        <v>5.03</v>
      </c>
      <c r="F697" s="36" t="n">
        <v>7.84</v>
      </c>
      <c r="G697" s="36" t="n">
        <v>8.76</v>
      </c>
      <c r="H697" s="37" t="n">
        <v>0.3</v>
      </c>
      <c r="I697" s="37" t="n">
        <v>0.3133159268929504</v>
      </c>
      <c r="J697" s="37" t="n">
        <v>0.2984244670991659</v>
      </c>
      <c r="K697" s="37" t="n">
        <v>0.4416666666666667</v>
      </c>
      <c r="L697" s="37" t="n">
        <v>0.4416666666666667</v>
      </c>
      <c r="M697" s="37" t="n">
        <v>1</v>
      </c>
      <c r="N697" s="37" t="n">
        <v>0.1287292817679558</v>
      </c>
      <c r="O697" s="36" t="n">
        <v>0</v>
      </c>
      <c r="P697" s="36" t="n">
        <v>6.07</v>
      </c>
      <c r="Q697" s="36" t="n">
        <v>11.98</v>
      </c>
      <c r="R697" s="36" t="n">
        <v>6.71</v>
      </c>
      <c r="S697" s="36" t="n">
        <v>0</v>
      </c>
      <c r="T697" s="37" t="n">
        <v>0.2978770455550641</v>
      </c>
      <c r="U697" s="37" t="n">
        <v>0.2502517623363545</v>
      </c>
      <c r="V697" s="37" t="n">
        <v>0.4142857142857143</v>
      </c>
      <c r="W697" s="37" t="n">
        <v>0.4406438631790744</v>
      </c>
    </row>
    <row r="698">
      <c r="A698" s="53" t="n">
        <v>45768</v>
      </c>
      <c r="B698" t="inlineStr">
        <is>
          <t>R02_Sumbagsel</t>
        </is>
      </c>
      <c r="C698" t="inlineStr">
        <is>
          <t>NOP PANGKAL PINANG</t>
        </is>
      </c>
      <c r="D698" s="36" t="n">
        <v>1.94</v>
      </c>
      <c r="E698" s="36" t="n">
        <v>2.73</v>
      </c>
      <c r="F698" s="36" t="n">
        <v>5.34</v>
      </c>
      <c r="G698" s="36" t="n">
        <v>6.3</v>
      </c>
      <c r="H698" s="37" t="n">
        <v>0.6533018867924528</v>
      </c>
      <c r="I698" s="37" t="n">
        <v>0.7</v>
      </c>
      <c r="J698" s="37" t="n">
        <v>0.650990099009901</v>
      </c>
      <c r="K698" s="37" t="n">
        <v>0.7142857142857143</v>
      </c>
      <c r="L698" s="37" t="n">
        <v>0.7142857142857143</v>
      </c>
      <c r="M698" s="37" t="n">
        <v>0.9976415094339622</v>
      </c>
      <c r="N698" s="37" t="n">
        <v>0.3844339622641509</v>
      </c>
      <c r="O698" s="36" t="n">
        <v>0</v>
      </c>
      <c r="P698" s="36" t="n">
        <v>5.26</v>
      </c>
      <c r="Q698" s="36" t="n">
        <v>7.33</v>
      </c>
      <c r="R698" s="36" t="n">
        <v>7.34</v>
      </c>
      <c r="S698" s="36" t="n">
        <v>0</v>
      </c>
      <c r="T698" s="37" t="n">
        <v>0.789056304520222</v>
      </c>
      <c r="U698" s="37" t="n">
        <v>0.8442211055276382</v>
      </c>
      <c r="V698" s="37" t="n">
        <v>0.8428571428571429</v>
      </c>
      <c r="W698" s="37" t="n">
        <v>0.7232142857142857</v>
      </c>
    </row>
    <row r="699">
      <c r="A699" s="53" t="n">
        <v>45768</v>
      </c>
      <c r="B699" t="inlineStr">
        <is>
          <t>R05_Jawa Tengah DIY</t>
        </is>
      </c>
      <c r="C699" t="inlineStr">
        <is>
          <t>NOP MAGELANG</t>
        </is>
      </c>
      <c r="D699" s="36" t="n">
        <v>5.01</v>
      </c>
      <c r="E699" s="36" t="n">
        <v>0</v>
      </c>
      <c r="F699" s="36" t="n">
        <v>4.53</v>
      </c>
      <c r="G699" s="36" t="n">
        <v>5.03</v>
      </c>
      <c r="H699" s="37" t="n">
        <v>0.76775956284153</v>
      </c>
      <c r="I699" s="37" t="n">
        <v>0.9487179487179487</v>
      </c>
      <c r="J699" s="37" t="n">
        <v>0.746177370030581</v>
      </c>
      <c r="K699" s="37" t="n">
        <v>0.7837837837837838</v>
      </c>
      <c r="L699" s="37" t="n">
        <v>0.7837837837837838</v>
      </c>
      <c r="M699" s="37" t="n">
        <v>0.9972677595628415</v>
      </c>
      <c r="N699" s="37" t="n">
        <v>0.6721311475409836</v>
      </c>
      <c r="O699" s="36" t="n">
        <v>0.22</v>
      </c>
      <c r="P699" s="36" t="n">
        <v>3.41</v>
      </c>
      <c r="Q699" s="36" t="n">
        <v>7.48</v>
      </c>
      <c r="R699" s="36" t="n">
        <v>18.74</v>
      </c>
      <c r="S699" s="36" t="n">
        <v>0</v>
      </c>
      <c r="T699" s="37" t="n">
        <v>0.9405940594059405</v>
      </c>
      <c r="U699" s="37" t="n">
        <v>0.9393939393939394</v>
      </c>
      <c r="V699" s="37" t="n">
        <v>0.9409020217729394</v>
      </c>
      <c r="W699" s="37" t="n">
        <v>0.8774193548387097</v>
      </c>
    </row>
    <row r="700">
      <c r="A700" s="53" t="n">
        <v>45768</v>
      </c>
      <c r="B700" t="inlineStr">
        <is>
          <t>R05_Jawa Tengah DIY</t>
        </is>
      </c>
      <c r="C700" t="inlineStr">
        <is>
          <t>NOP PEKALONGAN</t>
        </is>
      </c>
      <c r="D700" s="36" t="n">
        <v>3.35</v>
      </c>
      <c r="E700" s="36" t="n">
        <v>0</v>
      </c>
      <c r="F700" s="36" t="n">
        <v>3.41</v>
      </c>
      <c r="G700" s="36" t="n">
        <v>3.86</v>
      </c>
      <c r="H700" s="37" t="n">
        <v>0.640625</v>
      </c>
      <c r="I700" s="37" t="n">
        <v>0.7931034482758621</v>
      </c>
      <c r="J700" s="37" t="n">
        <v>0.6254295532646048</v>
      </c>
      <c r="K700" s="37" t="n">
        <v>1</v>
      </c>
      <c r="L700" s="37" t="n">
        <v>1</v>
      </c>
      <c r="M700" s="37" t="n">
        <v>0.971875</v>
      </c>
      <c r="N700" s="37" t="n">
        <v>0.603125</v>
      </c>
      <c r="O700" s="36" t="n">
        <v>0.01</v>
      </c>
      <c r="P700" s="36" t="n">
        <v>3.35</v>
      </c>
      <c r="Q700" s="36" t="n">
        <v>5.96</v>
      </c>
      <c r="R700" s="36" t="n">
        <v>49.59</v>
      </c>
      <c r="S700" s="36" t="n">
        <v>0</v>
      </c>
      <c r="T700" s="37" t="n">
        <v>0.8201680672268907</v>
      </c>
      <c r="U700" s="37" t="n">
        <v>0.7753623188405797</v>
      </c>
      <c r="V700" s="37" t="n">
        <v>0.8336980306345733</v>
      </c>
      <c r="W700" s="37" t="n">
        <v>0.6635514018691588</v>
      </c>
    </row>
    <row r="701">
      <c r="A701" s="53" t="n">
        <v>45768</v>
      </c>
      <c r="B701" t="inlineStr">
        <is>
          <t>R05_Jawa Tengah DIY</t>
        </is>
      </c>
      <c r="C701" t="inlineStr">
        <is>
          <t>NOP PURWOKERTO</t>
        </is>
      </c>
      <c r="D701" s="36" t="n">
        <v>2.31</v>
      </c>
      <c r="E701" s="36" t="n">
        <v>0</v>
      </c>
      <c r="F701" s="36" t="n">
        <v>3.62</v>
      </c>
      <c r="G701" s="36" t="n">
        <v>3.75</v>
      </c>
      <c r="H701" s="37" t="n">
        <v>0.78125</v>
      </c>
      <c r="I701" s="37" t="n">
        <v>0.7096774193548387</v>
      </c>
      <c r="J701" s="37" t="n">
        <v>0.7875354107648725</v>
      </c>
      <c r="K701" s="37" t="n">
        <v>1</v>
      </c>
      <c r="L701" s="37" t="n">
        <v>1</v>
      </c>
      <c r="M701" s="37" t="n">
        <v>0.96875</v>
      </c>
      <c r="N701" s="37" t="n">
        <v>0.5182291666666666</v>
      </c>
      <c r="O701" s="36" t="n">
        <v>0.28</v>
      </c>
      <c r="P701" s="36" t="n">
        <v>3.75</v>
      </c>
      <c r="Q701" s="36" t="n">
        <v>9.609999999999999</v>
      </c>
      <c r="R701" s="36" t="n">
        <v>39.32</v>
      </c>
      <c r="S701" s="36" t="n">
        <v>0</v>
      </c>
      <c r="T701" s="37" t="n">
        <v>0.7909407665505227</v>
      </c>
      <c r="U701" s="37" t="n">
        <v>0.7913043478260869</v>
      </c>
      <c r="V701" s="37" t="n">
        <v>0.7908496732026143</v>
      </c>
      <c r="W701" s="37" t="n">
        <v>0.7692307692307693</v>
      </c>
    </row>
    <row r="702">
      <c r="A702" s="53" t="n">
        <v>45768</v>
      </c>
      <c r="B702" t="inlineStr">
        <is>
          <t>R05_Jawa Tengah DIY</t>
        </is>
      </c>
      <c r="C702" t="inlineStr">
        <is>
          <t>NOP SEMARANG</t>
        </is>
      </c>
      <c r="D702" s="36" t="n">
        <v>2.94</v>
      </c>
      <c r="E702" s="36" t="n">
        <v>1.7</v>
      </c>
      <c r="F702" s="36" t="n">
        <v>3.06</v>
      </c>
      <c r="G702" s="36" t="n">
        <v>3.58</v>
      </c>
      <c r="H702" s="37" t="n">
        <v>0.4101694915254237</v>
      </c>
      <c r="I702" s="37" t="n">
        <v>0.4909090909090909</v>
      </c>
      <c r="J702" s="37" t="n">
        <v>0.4018691588785047</v>
      </c>
      <c r="K702" s="37" t="n">
        <v>1</v>
      </c>
      <c r="L702" s="37" t="n">
        <v>1</v>
      </c>
      <c r="M702" s="37" t="n">
        <v>0.9559322033898305</v>
      </c>
      <c r="N702" s="37" t="n">
        <v>0.2389830508474576</v>
      </c>
      <c r="O702" s="36" t="n">
        <v>1</v>
      </c>
      <c r="P702" s="36" t="n">
        <v>3.95</v>
      </c>
      <c r="Q702" s="36" t="n">
        <v>9.41</v>
      </c>
      <c r="R702" s="36" t="n">
        <v>73.02</v>
      </c>
      <c r="S702" s="36" t="n">
        <v>0</v>
      </c>
      <c r="T702" s="37" t="n">
        <v>0.7219003476245655</v>
      </c>
      <c r="U702" s="37" t="n">
        <v>0.4444444444444444</v>
      </c>
      <c r="V702" s="37" t="n">
        <v>0.8306451612903226</v>
      </c>
      <c r="W702" s="37" t="n">
        <v>0.8240740740740741</v>
      </c>
    </row>
    <row r="703">
      <c r="A703" s="53" t="n">
        <v>45768</v>
      </c>
      <c r="B703" t="inlineStr">
        <is>
          <t>R05_Jawa Tengah DIY</t>
        </is>
      </c>
      <c r="C703" t="inlineStr">
        <is>
          <t>NOP SURAKARTA</t>
        </is>
      </c>
      <c r="D703" s="36" t="n">
        <v>3.49</v>
      </c>
      <c r="E703" s="36" t="n">
        <v>2.15</v>
      </c>
      <c r="F703" s="36" t="n">
        <v>3.91</v>
      </c>
      <c r="G703" s="36" t="n">
        <v>4.55</v>
      </c>
      <c r="H703" s="37" t="n">
        <v>0.6949429037520392</v>
      </c>
      <c r="I703" s="37" t="n">
        <v>0.8513513513513513</v>
      </c>
      <c r="J703" s="37" t="n">
        <v>0.673469387755102</v>
      </c>
      <c r="K703" s="37" t="n">
        <v>0.9365079365079365</v>
      </c>
      <c r="L703" s="37" t="n">
        <v>0.9365079365079365</v>
      </c>
      <c r="M703" s="37" t="n">
        <v>0.9738988580750407</v>
      </c>
      <c r="N703" s="37" t="n">
        <v>0.4845024469820555</v>
      </c>
      <c r="O703" s="36" t="n">
        <v>0.14</v>
      </c>
      <c r="P703" s="36" t="n">
        <v>3.65</v>
      </c>
      <c r="Q703" s="36" t="n">
        <v>8.380000000000001</v>
      </c>
      <c r="R703" s="36" t="n">
        <v>57.42</v>
      </c>
      <c r="S703" s="36" t="n">
        <v>0</v>
      </c>
      <c r="T703" s="37" t="n">
        <v>0.8104089219330854</v>
      </c>
      <c r="U703" s="37" t="n">
        <v>0.7342342342342343</v>
      </c>
      <c r="V703" s="37" t="n">
        <v>0.8393162393162393</v>
      </c>
      <c r="W703" s="37" t="n">
        <v>0.7668711656441718</v>
      </c>
    </row>
    <row r="704">
      <c r="A704" s="53" t="n">
        <v>45768</v>
      </c>
      <c r="B704" t="inlineStr">
        <is>
          <t>R05_Jawa Tengah DIY</t>
        </is>
      </c>
      <c r="C704" t="inlineStr">
        <is>
          <t>NOP YOGYAKARTA</t>
        </is>
      </c>
      <c r="D704" s="36" t="n">
        <v>3.19</v>
      </c>
      <c r="E704" s="36" t="n">
        <v>0</v>
      </c>
      <c r="F704" s="36" t="n">
        <v>3.64</v>
      </c>
      <c r="G704" s="36" t="n">
        <v>3.91</v>
      </c>
      <c r="H704" s="37" t="n">
        <v>0.5882352941176471</v>
      </c>
      <c r="I704" s="37" t="n">
        <v>0.90625</v>
      </c>
      <c r="J704" s="37" t="n">
        <v>0.5644028103044496</v>
      </c>
      <c r="K704" s="37" t="n">
        <v>0.9310344827586207</v>
      </c>
      <c r="L704" s="37" t="n">
        <v>0.9259259259259259</v>
      </c>
      <c r="M704" s="37" t="n">
        <v>0.9912854030501089</v>
      </c>
      <c r="N704" s="37" t="n">
        <v>0.4139433551198257</v>
      </c>
      <c r="O704" s="36" t="n">
        <v>0</v>
      </c>
      <c r="P704" s="36" t="n">
        <v>3.1</v>
      </c>
      <c r="Q704" s="36" t="n">
        <v>15.3</v>
      </c>
      <c r="R704" s="36" t="n">
        <v>44.03</v>
      </c>
      <c r="S704" s="36" t="n">
        <v>0</v>
      </c>
      <c r="T704" s="37" t="n">
        <v>0.9338747099767981</v>
      </c>
      <c r="U704" s="37" t="n">
        <v>0.8321167883211679</v>
      </c>
      <c r="V704" s="37" t="n">
        <v>0.953103448275862</v>
      </c>
      <c r="W704" s="37" t="n">
        <v>0.9824561403508771</v>
      </c>
    </row>
    <row r="705">
      <c r="A705" s="53" t="n">
        <v>45768</v>
      </c>
      <c r="B705" t="inlineStr">
        <is>
          <t>R06_Jawa Timur</t>
        </is>
      </c>
      <c r="C705" t="inlineStr">
        <is>
          <t>NOP JEMBER</t>
        </is>
      </c>
      <c r="D705" s="36" t="n">
        <v>2.1</v>
      </c>
      <c r="E705" s="36" t="n">
        <v>2.64</v>
      </c>
      <c r="F705" s="36" t="n">
        <v>4.27</v>
      </c>
      <c r="G705" s="36" t="n">
        <v>3.37</v>
      </c>
      <c r="H705" s="37" t="n">
        <v>0.6819277108433734</v>
      </c>
      <c r="I705" s="37" t="n">
        <v>0.7</v>
      </c>
      <c r="J705" s="37" t="n">
        <v>0.6805194805194805</v>
      </c>
      <c r="K705" s="37" t="n">
        <v>0.8095238095238095</v>
      </c>
      <c r="L705" s="37" t="n">
        <v>0.8095238095238095</v>
      </c>
      <c r="M705" s="37" t="n">
        <v>0.9879518072289156</v>
      </c>
      <c r="N705" s="37" t="n">
        <v>0.363855421686747</v>
      </c>
      <c r="O705" s="36" t="n">
        <v>0</v>
      </c>
      <c r="P705" s="36" t="n">
        <v>3.61</v>
      </c>
      <c r="Q705" s="36" t="n">
        <v>5.01</v>
      </c>
      <c r="R705" s="36" t="n">
        <v>132.93</v>
      </c>
      <c r="S705" s="36" t="n">
        <v>0</v>
      </c>
      <c r="T705" s="37" t="n">
        <v>0.7973484848484849</v>
      </c>
      <c r="U705" s="37" t="n">
        <v>0.7734375</v>
      </c>
      <c r="V705" s="37" t="n">
        <v>0.805</v>
      </c>
      <c r="W705" s="37" t="n">
        <v>0.7777777777777778</v>
      </c>
    </row>
    <row r="706">
      <c r="A706" s="53" t="n">
        <v>45768</v>
      </c>
      <c r="B706" t="inlineStr">
        <is>
          <t>R06_Jawa Timur</t>
        </is>
      </c>
      <c r="C706" t="inlineStr">
        <is>
          <t>NOP KEDIRI</t>
        </is>
      </c>
      <c r="D706" s="36" t="n">
        <v>1.21</v>
      </c>
      <c r="E706" s="36" t="n">
        <v>0.7</v>
      </c>
      <c r="F706" s="36" t="n">
        <v>2.21</v>
      </c>
      <c r="G706" s="36" t="n">
        <v>1.94</v>
      </c>
      <c r="H706" s="37" t="n">
        <v>0.8682634730538922</v>
      </c>
      <c r="I706" s="37" t="n">
        <v>0.8571428571428571</v>
      </c>
      <c r="J706" s="37" t="n">
        <v>0.86875</v>
      </c>
      <c r="K706" s="37" t="n">
        <v>0.6666666666666666</v>
      </c>
      <c r="L706" s="37" t="n">
        <v>0.6666666666666666</v>
      </c>
      <c r="M706" s="37" t="n">
        <v>1</v>
      </c>
      <c r="N706" s="37" t="n">
        <v>0.6227544910179641</v>
      </c>
      <c r="O706" s="36" t="n">
        <v>0</v>
      </c>
      <c r="P706" s="36" t="n">
        <v>1.99</v>
      </c>
      <c r="Q706" s="36" t="n">
        <v>3.51</v>
      </c>
      <c r="R706" s="36" t="n">
        <v>13.85</v>
      </c>
      <c r="S706" s="36" t="n">
        <v>0</v>
      </c>
      <c r="T706" s="37" t="n">
        <v>0.9486301369863014</v>
      </c>
      <c r="U706" s="37" t="n">
        <v>0.90625</v>
      </c>
      <c r="V706" s="37" t="n">
        <v>0.9605263157894737</v>
      </c>
      <c r="W706" s="37" t="n">
        <v>0.896551724137931</v>
      </c>
    </row>
    <row r="707">
      <c r="A707" s="53" t="n">
        <v>45768</v>
      </c>
      <c r="B707" t="inlineStr">
        <is>
          <t>R06_Jawa Timur</t>
        </is>
      </c>
      <c r="C707" t="inlineStr">
        <is>
          <t>NOP LAMONGAN</t>
        </is>
      </c>
      <c r="D707" s="36" t="n">
        <v>1.5</v>
      </c>
      <c r="E707" s="36" t="n">
        <v>1.01</v>
      </c>
      <c r="F707" s="36" t="n">
        <v>3.22</v>
      </c>
      <c r="G707" s="36" t="n">
        <v>3.7</v>
      </c>
      <c r="H707" s="37" t="n">
        <v>0.8125</v>
      </c>
      <c r="I707" s="37" t="n">
        <v>0.9333333333333333</v>
      </c>
      <c r="J707" s="37" t="n">
        <v>0.8031088082901554</v>
      </c>
      <c r="K707" s="37" t="n">
        <v>0.9285714285714286</v>
      </c>
      <c r="L707" s="37" t="n">
        <v>0.9285714285714286</v>
      </c>
      <c r="M707" s="37" t="n">
        <v>1</v>
      </c>
      <c r="N707" s="37" t="n">
        <v>0.7211538461538461</v>
      </c>
      <c r="O707" s="36" t="n">
        <v>0</v>
      </c>
      <c r="P707" s="36" t="n">
        <v>2.35</v>
      </c>
      <c r="Q707" s="36" t="n">
        <v>10.66</v>
      </c>
      <c r="R707" s="36" t="n">
        <v>33.4</v>
      </c>
      <c r="S707" s="36" t="n">
        <v>0</v>
      </c>
      <c r="T707" s="37" t="n">
        <v>0.7751004016064257</v>
      </c>
      <c r="U707" s="37" t="n">
        <v>0.6826923076923077</v>
      </c>
      <c r="V707" s="37" t="n">
        <v>0.8413793103448276</v>
      </c>
      <c r="W707" s="37" t="n">
        <v>0.8732394366197183</v>
      </c>
    </row>
    <row r="708">
      <c r="A708" s="53" t="n">
        <v>45768</v>
      </c>
      <c r="B708" t="inlineStr">
        <is>
          <t>R06_Jawa Timur</t>
        </is>
      </c>
      <c r="C708" t="inlineStr">
        <is>
          <t>NOP MADIUN</t>
        </is>
      </c>
      <c r="D708" s="36" t="n">
        <v>0.63</v>
      </c>
      <c r="E708" s="36" t="n">
        <v>0</v>
      </c>
      <c r="F708" s="36" t="n">
        <v>2.71</v>
      </c>
      <c r="G708" s="36" t="n">
        <v>3.41</v>
      </c>
      <c r="H708" s="37" t="n">
        <v>0.6307692307692307</v>
      </c>
      <c r="I708" s="37" t="n">
        <v>1</v>
      </c>
      <c r="J708" s="37" t="n">
        <v>0.625</v>
      </c>
      <c r="K708" s="37" t="n">
        <v>1</v>
      </c>
      <c r="L708" s="37" t="n">
        <v>1</v>
      </c>
      <c r="M708" s="37" t="n">
        <v>0.9961538461538462</v>
      </c>
      <c r="N708" s="37" t="n">
        <v>0.3692307692307693</v>
      </c>
      <c r="O708" s="36" t="n">
        <v>0</v>
      </c>
      <c r="P708" s="36" t="n">
        <v>2.49</v>
      </c>
      <c r="Q708" s="36" t="n">
        <v>5.91</v>
      </c>
      <c r="R708" s="36" t="n">
        <v>53.13</v>
      </c>
      <c r="S708" s="36" t="n">
        <v>0</v>
      </c>
      <c r="T708" s="37" t="n">
        <v>0.6915167095115681</v>
      </c>
      <c r="U708" s="37" t="n">
        <v>0.7163120567375887</v>
      </c>
      <c r="V708" s="37" t="n">
        <v>0.6774193548387096</v>
      </c>
      <c r="W708" s="37" t="n">
        <v>0.7920792079207921</v>
      </c>
    </row>
    <row r="709">
      <c r="A709" s="53" t="n">
        <v>45768</v>
      </c>
      <c r="B709" t="inlineStr">
        <is>
          <t>R06_Jawa Timur</t>
        </is>
      </c>
      <c r="C709" t="inlineStr">
        <is>
          <t>NOP MALANG</t>
        </is>
      </c>
      <c r="D709" s="36" t="n">
        <v>1.31</v>
      </c>
      <c r="E709" s="36" t="n">
        <v>0</v>
      </c>
      <c r="F709" s="36" t="n">
        <v>2.88</v>
      </c>
      <c r="G709" s="36" t="n">
        <v>2.77</v>
      </c>
      <c r="H709" s="37" t="n">
        <v>0.8210862619808307</v>
      </c>
      <c r="I709" s="37" t="n">
        <v>0.8333333333333334</v>
      </c>
      <c r="J709" s="37" t="n">
        <v>0.8208469055374593</v>
      </c>
      <c r="K709" s="37" t="n">
        <v>1</v>
      </c>
      <c r="L709" s="37" t="n">
        <v>1</v>
      </c>
      <c r="M709" s="37" t="n">
        <v>0.9968051118210862</v>
      </c>
      <c r="N709" s="37" t="n">
        <v>0.7603833865814696</v>
      </c>
      <c r="O709" s="36" t="n">
        <v>0.02</v>
      </c>
      <c r="P709" s="36" t="n">
        <v>2.9</v>
      </c>
      <c r="Q709" s="36" t="n">
        <v>4.85</v>
      </c>
      <c r="R709" s="36" t="n">
        <v>51.22</v>
      </c>
      <c r="S709" s="36" t="n">
        <v>0</v>
      </c>
      <c r="T709" s="37" t="n">
        <v>0.7936507936507936</v>
      </c>
      <c r="U709" s="37" t="n">
        <v>0.7009345794392523</v>
      </c>
      <c r="V709" s="37" t="n">
        <v>0.8620689655172413</v>
      </c>
      <c r="W709" s="37" t="n">
        <v>0.5866666666666667</v>
      </c>
    </row>
    <row r="710">
      <c r="A710" s="53" t="n">
        <v>45768</v>
      </c>
      <c r="B710" t="inlineStr">
        <is>
          <t>R06_Jawa Timur</t>
        </is>
      </c>
      <c r="C710" t="inlineStr">
        <is>
          <t>NOP SIDOARJO</t>
        </is>
      </c>
      <c r="D710" s="36" t="n">
        <v>3.05</v>
      </c>
      <c r="E710" s="36" t="n">
        <v>6.27</v>
      </c>
      <c r="F710" s="36" t="n">
        <v>3.33</v>
      </c>
      <c r="G710" s="36" t="n">
        <v>4.58</v>
      </c>
      <c r="H710" s="37" t="n">
        <v>0.5932203389830508</v>
      </c>
      <c r="I710" s="37" t="n">
        <v>0.8888888888888888</v>
      </c>
      <c r="J710" s="37" t="n">
        <v>0.5634328358208955</v>
      </c>
      <c r="K710" s="37" t="n">
        <v>0.9166666666666666</v>
      </c>
      <c r="L710" s="37" t="n">
        <v>0.9166666666666666</v>
      </c>
      <c r="M710" s="37" t="n">
        <v>0.9796610169491525</v>
      </c>
      <c r="N710" s="37" t="n">
        <v>0.4169491525423729</v>
      </c>
      <c r="O710" s="36" t="n">
        <v>0.01</v>
      </c>
      <c r="P710" s="36" t="n">
        <v>5.57</v>
      </c>
      <c r="Q710" s="36" t="n">
        <v>11.42</v>
      </c>
      <c r="R710" s="36" t="n">
        <v>53.22</v>
      </c>
      <c r="S710" s="36" t="n">
        <v>0</v>
      </c>
      <c r="T710" s="37" t="n">
        <v>0.8</v>
      </c>
      <c r="U710" s="37" t="n">
        <v>0.7065217391304348</v>
      </c>
      <c r="V710" s="37" t="n">
        <v>0.8346774193548387</v>
      </c>
      <c r="W710" s="37" t="n">
        <v>0.7384615384615385</v>
      </c>
    </row>
    <row r="711">
      <c r="A711" s="53" t="n">
        <v>45768</v>
      </c>
      <c r="B711" t="inlineStr">
        <is>
          <t>R06_Jawa Timur</t>
        </is>
      </c>
      <c r="C711" t="inlineStr">
        <is>
          <t>NOP SURABAYA</t>
        </is>
      </c>
      <c r="D711" s="36" t="n">
        <v>2.15</v>
      </c>
      <c r="E711" s="36" t="n">
        <v>0</v>
      </c>
      <c r="F711" s="36" t="n">
        <v>5.44</v>
      </c>
      <c r="G711" s="36" t="n">
        <v>3.72</v>
      </c>
      <c r="H711" s="37" t="n">
        <v>0.6042154566744731</v>
      </c>
      <c r="I711" s="37" t="n">
        <v>0.5306122448979592</v>
      </c>
      <c r="J711" s="37" t="n">
        <v>0.6137566137566137</v>
      </c>
      <c r="K711" s="37" t="n">
        <v>0.9230769230769231</v>
      </c>
      <c r="L711" s="37" t="n">
        <v>0.9230769230769231</v>
      </c>
      <c r="M711" s="37" t="n">
        <v>0.9695550351288056</v>
      </c>
      <c r="N711" s="37" t="n">
        <v>0.4238875878220141</v>
      </c>
      <c r="O711" s="36" t="n">
        <v>0.04</v>
      </c>
      <c r="P711" s="36" t="n">
        <v>3.14</v>
      </c>
      <c r="Q711" s="36" t="n">
        <v>7.18</v>
      </c>
      <c r="R711" s="36" t="n">
        <v>29.01</v>
      </c>
      <c r="S711" s="36" t="n">
        <v>0</v>
      </c>
      <c r="T711" s="37" t="n">
        <v>0.6801853997682503</v>
      </c>
      <c r="U711" s="37" t="n">
        <v>0.7046979865771812</v>
      </c>
      <c r="V711" s="37" t="n">
        <v>0.6750700280112045</v>
      </c>
      <c r="W711" s="37" t="n">
        <v>0.8857142857142857</v>
      </c>
    </row>
    <row r="712">
      <c r="A712" s="53" t="n">
        <v>45768</v>
      </c>
      <c r="B712" t="inlineStr">
        <is>
          <t>R07_Bali Nusra</t>
        </is>
      </c>
      <c r="C712" t="inlineStr">
        <is>
          <t>NOP DENPASAR</t>
        </is>
      </c>
      <c r="D712" s="36" t="n">
        <v>2.89</v>
      </c>
      <c r="E712" s="36" t="n">
        <v>0</v>
      </c>
      <c r="F712" s="36" t="n">
        <v>5.33</v>
      </c>
      <c r="G712" s="36" t="n">
        <v>4.25</v>
      </c>
      <c r="H712" s="37" t="n">
        <v>0.8947368421052632</v>
      </c>
      <c r="I712" s="37" t="n">
        <v>0.8666666666666667</v>
      </c>
      <c r="J712" s="37" t="n">
        <v>0.9004524886877828</v>
      </c>
      <c r="K712" s="37" t="n">
        <v>0.9487179487179487</v>
      </c>
      <c r="L712" s="37" t="n">
        <v>0.9487179487179487</v>
      </c>
      <c r="M712" s="37" t="n">
        <v>0.9699248120300752</v>
      </c>
      <c r="N712" s="37" t="n">
        <v>0.8571428571428571</v>
      </c>
      <c r="O712" s="36" t="n">
        <v>0</v>
      </c>
      <c r="P712" s="36" t="n">
        <v>83.04000000000001</v>
      </c>
      <c r="Q712" s="36" t="n">
        <v>21.9</v>
      </c>
      <c r="R712" s="36" t="n">
        <v>81.34</v>
      </c>
      <c r="S712" s="36" t="n">
        <v>0</v>
      </c>
      <c r="T712" s="37" t="n">
        <v>0.8568421052631578</v>
      </c>
      <c r="U712" s="37" t="n">
        <v>0.8269230769230769</v>
      </c>
      <c r="V712" s="37" t="n">
        <v>0.8652291105121294</v>
      </c>
      <c r="W712" s="37" t="n">
        <v>0.5116279069767442</v>
      </c>
    </row>
    <row r="713">
      <c r="A713" s="53" t="n">
        <v>45768</v>
      </c>
      <c r="B713" t="inlineStr">
        <is>
          <t>R07_Bali Nusra</t>
        </is>
      </c>
      <c r="C713" t="inlineStr">
        <is>
          <t>NOP FLORES</t>
        </is>
      </c>
      <c r="D713" s="36" t="n">
        <v>8.57</v>
      </c>
      <c r="E713" s="36" t="n">
        <v>5.46</v>
      </c>
      <c r="F713" s="36" t="n">
        <v>6.68</v>
      </c>
      <c r="G713" s="36" t="n">
        <v>9.890000000000001</v>
      </c>
      <c r="H713" s="37" t="n">
        <v>0.4588992137240887</v>
      </c>
      <c r="I713" s="37" t="n">
        <v>0.5965417867435159</v>
      </c>
      <c r="J713" s="37" t="n">
        <v>0.4134980988593156</v>
      </c>
      <c r="K713" s="37" t="n">
        <v>0.5748792270531401</v>
      </c>
      <c r="L713" s="37" t="n">
        <v>0.5870646766169154</v>
      </c>
      <c r="M713" s="37" t="n">
        <v>0.9914224446032881</v>
      </c>
      <c r="N713" s="37" t="n">
        <v>0.2651894210150107</v>
      </c>
      <c r="O713" s="36" t="n">
        <v>0.17</v>
      </c>
      <c r="P713" s="36" t="n">
        <v>11.26</v>
      </c>
      <c r="Q713" s="36" t="n">
        <v>8.66</v>
      </c>
      <c r="R713" s="36" t="n">
        <v>45.39</v>
      </c>
      <c r="S713" s="36" t="n">
        <v>0</v>
      </c>
      <c r="T713" s="37" t="n">
        <v>0.4658634538152611</v>
      </c>
      <c r="U713" s="37" t="n">
        <v>0.512280701754386</v>
      </c>
      <c r="V713" s="37" t="n">
        <v>0.3641025641025641</v>
      </c>
      <c r="W713" s="37" t="n">
        <v>0.682648401826484</v>
      </c>
    </row>
    <row r="714">
      <c r="A714" s="53" t="n">
        <v>45768</v>
      </c>
      <c r="B714" t="inlineStr">
        <is>
          <t>R07_Bali Nusra</t>
        </is>
      </c>
      <c r="C714" t="inlineStr">
        <is>
          <t>NOP KUPANG</t>
        </is>
      </c>
      <c r="D714" s="36" t="n">
        <v>1.18</v>
      </c>
      <c r="E714" s="36" t="n">
        <v>5.44</v>
      </c>
      <c r="F714" s="36" t="n">
        <v>3.92</v>
      </c>
      <c r="G714" s="36" t="n">
        <v>7.95</v>
      </c>
      <c r="H714" s="37" t="n">
        <v>0.491701244813278</v>
      </c>
      <c r="I714" s="37" t="n">
        <v>0.6171875</v>
      </c>
      <c r="J714" s="37" t="n">
        <v>0.472488038277512</v>
      </c>
      <c r="K714" s="37" t="n">
        <v>0.6075949367088608</v>
      </c>
      <c r="L714" s="37" t="n">
        <v>0.6075949367088608</v>
      </c>
      <c r="M714" s="37" t="n">
        <v>0.9865145228215768</v>
      </c>
      <c r="N714" s="37" t="n">
        <v>0.1898340248962656</v>
      </c>
      <c r="O714" s="36" t="n">
        <v>0.2</v>
      </c>
      <c r="P714" s="36" t="n">
        <v>8.84</v>
      </c>
      <c r="Q714" s="36" t="n">
        <v>20.96</v>
      </c>
      <c r="R714" s="36" t="n">
        <v>167.37</v>
      </c>
      <c r="S714" s="36" t="n">
        <v>0</v>
      </c>
      <c r="T714" s="37" t="n">
        <v>0.5654338549075392</v>
      </c>
      <c r="U714" s="37" t="n">
        <v>0.5651672433679354</v>
      </c>
      <c r="V714" s="37" t="n">
        <v>0.5658627087198516</v>
      </c>
      <c r="W714" s="37" t="n">
        <v>0.6408163265306123</v>
      </c>
    </row>
    <row r="715">
      <c r="A715" s="53" t="n">
        <v>45768</v>
      </c>
      <c r="B715" t="inlineStr">
        <is>
          <t>R07_Bali Nusra</t>
        </is>
      </c>
      <c r="C715" t="inlineStr">
        <is>
          <t>NOP MATARAM</t>
        </is>
      </c>
      <c r="D715" s="36" t="n">
        <v>3.13</v>
      </c>
      <c r="E715" s="36" t="n">
        <v>4.44</v>
      </c>
      <c r="F715" s="36" t="n">
        <v>4.22</v>
      </c>
      <c r="G715" s="36" t="n">
        <v>6.76</v>
      </c>
      <c r="H715" s="37" t="n">
        <v>0.5077220077220077</v>
      </c>
      <c r="I715" s="37" t="n">
        <v>0.6818181818181818</v>
      </c>
      <c r="J715" s="37" t="n">
        <v>0.4823008849557522</v>
      </c>
      <c r="K715" s="37" t="n">
        <v>0.7777777777777778</v>
      </c>
      <c r="L715" s="37" t="n">
        <v>0.7777777777777778</v>
      </c>
      <c r="M715" s="37" t="n">
        <v>0.9961389961389961</v>
      </c>
      <c r="N715" s="37" t="n">
        <v>0.3204633204633205</v>
      </c>
      <c r="O715" s="36" t="n">
        <v>1.12</v>
      </c>
      <c r="P715" s="36" t="n">
        <v>25.7</v>
      </c>
      <c r="Q715" s="36" t="n">
        <v>16.11</v>
      </c>
      <c r="R715" s="36" t="n">
        <v>35.94</v>
      </c>
      <c r="S715" s="36" t="n">
        <v>0</v>
      </c>
      <c r="T715" s="37" t="n">
        <v>0.3723776223776224</v>
      </c>
      <c r="U715" s="37" t="n">
        <v>0.3916913946587537</v>
      </c>
      <c r="V715" s="37" t="n">
        <v>0.3446808510638298</v>
      </c>
      <c r="W715" s="37" t="n">
        <v>0.6212121212121212</v>
      </c>
    </row>
    <row r="716">
      <c r="A716" s="53" t="n">
        <v>45769</v>
      </c>
      <c r="B716" t="inlineStr">
        <is>
          <t>R01_Sumbagut</t>
        </is>
      </c>
      <c r="C716" t="inlineStr">
        <is>
          <t>NOP ACEH</t>
        </is>
      </c>
      <c r="D716" s="36" t="n">
        <v>3.68</v>
      </c>
      <c r="E716" s="36" t="n">
        <v>4.1</v>
      </c>
      <c r="F716" s="36" t="n">
        <v>9.99</v>
      </c>
      <c r="G716" s="36" t="n">
        <v>10.14</v>
      </c>
      <c r="H716" s="37" t="n">
        <v>0.8382677861246134</v>
      </c>
      <c r="I716" s="37" t="n">
        <v>0.8421955403087479</v>
      </c>
      <c r="J716" s="37" t="n">
        <v>0.8369047619047619</v>
      </c>
      <c r="K716" s="37" t="n">
        <v>0.3991853360488798</v>
      </c>
      <c r="L716" s="37" t="n">
        <v>0.4016393442622951</v>
      </c>
      <c r="M716" s="37" t="n">
        <v>0.9995581087052585</v>
      </c>
      <c r="N716" s="37" t="n">
        <v>0.3035793194874061</v>
      </c>
      <c r="O716" s="36" t="n">
        <v>0.06</v>
      </c>
      <c r="P716" s="36" t="n">
        <v>3.97</v>
      </c>
      <c r="Q716" s="36" t="n">
        <v>71.14</v>
      </c>
      <c r="R716" s="36" t="n">
        <v>126.7</v>
      </c>
      <c r="S716" s="36" t="n">
        <v>0</v>
      </c>
      <c r="T716" s="37" t="n">
        <v>0.8682572614107884</v>
      </c>
      <c r="U716" s="37" t="n">
        <v>0.724950884086444</v>
      </c>
      <c r="V716" s="37" t="n">
        <v>0.8931424265259985</v>
      </c>
      <c r="W716" s="37" t="n">
        <v>0.1951219512195122</v>
      </c>
    </row>
    <row r="717">
      <c r="A717" s="53" t="n">
        <v>45769</v>
      </c>
      <c r="B717" t="inlineStr">
        <is>
          <t>R01_Sumbagut</t>
        </is>
      </c>
      <c r="C717" t="inlineStr">
        <is>
          <t>NOP BINJAI</t>
        </is>
      </c>
      <c r="D717" s="36" t="n">
        <v>9.9</v>
      </c>
      <c r="E717" s="36" t="n">
        <v>4.84</v>
      </c>
      <c r="F717" s="36" t="n">
        <v>3.86</v>
      </c>
      <c r="G717" s="36" t="n">
        <v>4.21</v>
      </c>
      <c r="H717" s="37" t="n">
        <v>0.6265306122448979</v>
      </c>
      <c r="I717" s="37" t="n">
        <v>0.7312775330396476</v>
      </c>
      <c r="J717" s="37" t="n">
        <v>0.5949535192563081</v>
      </c>
      <c r="K717" s="37" t="n">
        <v>0.5481927710843374</v>
      </c>
      <c r="L717" s="37" t="n">
        <v>0.5454545454545454</v>
      </c>
      <c r="M717" s="37" t="n">
        <v>1</v>
      </c>
      <c r="N717" s="37" t="n">
        <v>0.3510204081632653</v>
      </c>
      <c r="O717" s="36" t="n">
        <v>0.02</v>
      </c>
      <c r="P717" s="36" t="n">
        <v>2.68</v>
      </c>
      <c r="Q717" s="36" t="n">
        <v>38.32</v>
      </c>
      <c r="R717" s="36" t="n">
        <v>101.28</v>
      </c>
      <c r="S717" s="36" t="n">
        <v>0</v>
      </c>
      <c r="T717" s="37" t="n">
        <v>0.6582964057114722</v>
      </c>
      <c r="U717" s="37" t="n">
        <v>0.5544388609715243</v>
      </c>
      <c r="V717" s="37" t="n">
        <v>0.7254313578394599</v>
      </c>
      <c r="W717" s="37" t="n">
        <v>0.5226586102719033</v>
      </c>
    </row>
    <row r="718">
      <c r="A718" s="53" t="n">
        <v>45769</v>
      </c>
      <c r="B718" t="inlineStr">
        <is>
          <t>R01_Sumbagut</t>
        </is>
      </c>
      <c r="C718" t="inlineStr">
        <is>
          <t>NOP MEDAN</t>
        </is>
      </c>
      <c r="D718" s="36" t="n">
        <v>5.32</v>
      </c>
      <c r="E718" s="36" t="n">
        <v>4.03</v>
      </c>
      <c r="F718" s="36" t="n">
        <v>3.94</v>
      </c>
      <c r="G718" s="36" t="n">
        <v>4.94</v>
      </c>
      <c r="H718" s="37" t="n">
        <v>0.411123227917121</v>
      </c>
      <c r="I718" s="37" t="n">
        <v>0.4448529411764706</v>
      </c>
      <c r="J718" s="37" t="n">
        <v>0.3968992248062015</v>
      </c>
      <c r="K718" s="37" t="n">
        <v>0.8099173553719008</v>
      </c>
      <c r="L718" s="37" t="n">
        <v>0.8151260504201681</v>
      </c>
      <c r="M718" s="37" t="n">
        <v>0.9989094874591058</v>
      </c>
      <c r="N718" s="37" t="n">
        <v>0.2529989094874591</v>
      </c>
      <c r="O718" s="36" t="n">
        <v>0</v>
      </c>
      <c r="P718" s="36" t="n">
        <v>4.55</v>
      </c>
      <c r="Q718" s="36" t="n">
        <v>16.8</v>
      </c>
      <c r="R718" s="36" t="n">
        <v>11</v>
      </c>
      <c r="S718" s="36" t="n">
        <v>0</v>
      </c>
      <c r="T718" s="37" t="n">
        <v>0.3207729468599034</v>
      </c>
      <c r="U718" s="37" t="n">
        <v>0.2035714285714286</v>
      </c>
      <c r="V718" s="37" t="n">
        <v>0.3938053097345133</v>
      </c>
      <c r="W718" s="37" t="n">
        <v>0.8771929824561403</v>
      </c>
    </row>
    <row r="719">
      <c r="A719" s="53" t="n">
        <v>45769</v>
      </c>
      <c r="B719" t="inlineStr">
        <is>
          <t>R01_Sumbagut</t>
        </is>
      </c>
      <c r="C719" t="inlineStr">
        <is>
          <t>NOP PADANG SIDEMPUAN</t>
        </is>
      </c>
      <c r="D719" s="36" t="n">
        <v>3.08</v>
      </c>
      <c r="E719" s="36" t="n">
        <v>3.68</v>
      </c>
      <c r="F719" s="36" t="n">
        <v>4.91</v>
      </c>
      <c r="G719" s="36" t="n">
        <v>6.21</v>
      </c>
      <c r="H719" s="37" t="n">
        <v>0.3041738136077758</v>
      </c>
      <c r="I719" s="37" t="n">
        <v>0.4690265486725664</v>
      </c>
      <c r="J719" s="37" t="n">
        <v>0.2797110965200262</v>
      </c>
      <c r="K719" s="37" t="n">
        <v>0.4716981132075472</v>
      </c>
      <c r="L719" s="37" t="n">
        <v>0.4716981132075472</v>
      </c>
      <c r="M719" s="37" t="n">
        <v>0.9937106918238994</v>
      </c>
      <c r="N719" s="37" t="n">
        <v>0.1246426529445397</v>
      </c>
      <c r="O719" s="36" t="n">
        <v>0.01</v>
      </c>
      <c r="P719" s="36" t="n">
        <v>2.45</v>
      </c>
      <c r="Q719" s="36" t="n">
        <v>13.92</v>
      </c>
      <c r="R719" s="36" t="n">
        <v>94.27</v>
      </c>
      <c r="S719" s="36" t="n">
        <v>0</v>
      </c>
      <c r="T719" s="37" t="n">
        <v>0.2900191604250131</v>
      </c>
      <c r="U719" s="37" t="n">
        <v>0.4204693611473272</v>
      </c>
      <c r="V719" s="37" t="n">
        <v>0.2438731379144642</v>
      </c>
      <c r="W719" s="37" t="n">
        <v>0.462015503875969</v>
      </c>
    </row>
    <row r="720">
      <c r="A720" s="53" t="n">
        <v>45769</v>
      </c>
      <c r="B720" t="inlineStr">
        <is>
          <t>R01_Sumbagut</t>
        </is>
      </c>
      <c r="C720" t="inlineStr">
        <is>
          <t>NOP PEMATANG SIANTAR</t>
        </is>
      </c>
      <c r="D720" s="36" t="n">
        <v>3.47</v>
      </c>
      <c r="E720" s="36" t="n">
        <v>3.76</v>
      </c>
      <c r="F720" s="36" t="n">
        <v>4.92</v>
      </c>
      <c r="G720" s="36" t="n">
        <v>4.86</v>
      </c>
      <c r="H720" s="37" t="n">
        <v>0.3306922435362802</v>
      </c>
      <c r="I720" s="37" t="n">
        <v>0.3604972375690608</v>
      </c>
      <c r="J720" s="37" t="n">
        <v>0.3178016726403823</v>
      </c>
      <c r="K720" s="37" t="n">
        <v>0.6666666666666666</v>
      </c>
      <c r="L720" s="37" t="n">
        <v>0.6733067729083665</v>
      </c>
      <c r="M720" s="37" t="n">
        <v>0.9987489574645538</v>
      </c>
      <c r="N720" s="37" t="n">
        <v>0.182652210175146</v>
      </c>
      <c r="O720" s="36" t="n">
        <v>0.03</v>
      </c>
      <c r="P720" s="36" t="n">
        <v>4.53</v>
      </c>
      <c r="Q720" s="36" t="n">
        <v>65.36</v>
      </c>
      <c r="R720" s="36" t="n">
        <v>64.23</v>
      </c>
      <c r="S720" s="36" t="n">
        <v>0</v>
      </c>
      <c r="T720" s="37" t="n">
        <v>0.1141875119343135</v>
      </c>
      <c r="U720" s="37" t="n">
        <v>0.3360995850622407</v>
      </c>
      <c r="V720" s="37" t="n">
        <v>0.09052228486331242</v>
      </c>
      <c r="W720" s="37" t="n">
        <v>0.8395061728395061</v>
      </c>
    </row>
    <row r="721">
      <c r="A721" s="53" t="n">
        <v>45769</v>
      </c>
      <c r="B721" t="inlineStr">
        <is>
          <t>R01_Sumbagut</t>
        </is>
      </c>
      <c r="C721" t="inlineStr">
        <is>
          <t>NOP RANTAU PRAPAT</t>
        </is>
      </c>
      <c r="D721" s="36" t="n">
        <v>4.45</v>
      </c>
      <c r="E721" s="36" t="n">
        <v>6.41</v>
      </c>
      <c r="F721" s="36" t="n">
        <v>6.34</v>
      </c>
      <c r="G721" s="36" t="n">
        <v>6.12</v>
      </c>
      <c r="H721" s="37" t="n">
        <v>0.3091644204851752</v>
      </c>
      <c r="I721" s="37" t="n">
        <v>0.3076923076923077</v>
      </c>
      <c r="J721" s="37" t="n">
        <v>0.3095001655081099</v>
      </c>
      <c r="K721" s="37" t="n">
        <v>0.6226415094339622</v>
      </c>
      <c r="L721" s="37" t="n">
        <v>0.6255924170616114</v>
      </c>
      <c r="M721" s="37" t="n">
        <v>0.9897574123989218</v>
      </c>
      <c r="N721" s="37" t="n">
        <v>0.1757412398921833</v>
      </c>
      <c r="O721" s="36" t="n">
        <v>0.02</v>
      </c>
      <c r="P721" s="36" t="n">
        <v>4.46</v>
      </c>
      <c r="Q721" s="36" t="n">
        <v>39.72</v>
      </c>
      <c r="R721" s="36" t="n">
        <v>47.89</v>
      </c>
      <c r="S721" s="36" t="n">
        <v>0</v>
      </c>
      <c r="T721" s="37" t="n">
        <v>0.06952539550374688</v>
      </c>
      <c r="U721" s="37" t="n">
        <v>0.1585106382978723</v>
      </c>
      <c r="V721" s="37" t="n">
        <v>0.04850378165077277</v>
      </c>
      <c r="W721" s="37" t="n">
        <v>0.6040268456375839</v>
      </c>
    </row>
    <row r="722">
      <c r="A722" s="53" t="n">
        <v>45769</v>
      </c>
      <c r="B722" t="inlineStr">
        <is>
          <t>R10_Sumbagteng</t>
        </is>
      </c>
      <c r="C722" t="inlineStr">
        <is>
          <t>NOP BATAM</t>
        </is>
      </c>
      <c r="D722" s="36" t="n">
        <v>4.45</v>
      </c>
      <c r="E722" s="36" t="n">
        <v>9.279999999999999</v>
      </c>
      <c r="F722" s="36" t="n">
        <v>6.85</v>
      </c>
      <c r="G722" s="36" t="n">
        <v>10.55</v>
      </c>
      <c r="H722" s="37" t="n">
        <v>0.3014892844169996</v>
      </c>
      <c r="I722" s="37" t="n">
        <v>0.3234126984126984</v>
      </c>
      <c r="J722" s="37" t="n">
        <v>0.2965762561138284</v>
      </c>
      <c r="K722" s="37" t="n">
        <v>0.6380368098159509</v>
      </c>
      <c r="L722" s="37" t="n">
        <v>0.6380368098159509</v>
      </c>
      <c r="M722" s="37" t="n">
        <v>0.9934616781692699</v>
      </c>
      <c r="N722" s="37" t="n">
        <v>0.1852524518706865</v>
      </c>
      <c r="O722" s="36" t="n">
        <v>0.82</v>
      </c>
      <c r="P722" s="36" t="n">
        <v>5.4</v>
      </c>
      <c r="Q722" s="36" t="n">
        <v>27.92</v>
      </c>
      <c r="R722" s="36" t="n">
        <v>17.77</v>
      </c>
      <c r="S722" s="36" t="n">
        <v>0</v>
      </c>
      <c r="T722" s="37" t="n">
        <v>0.07721968543886353</v>
      </c>
      <c r="U722" s="37" t="n">
        <v>0.2390648567119155</v>
      </c>
      <c r="V722" s="37" t="n">
        <v>0.0512273212379936</v>
      </c>
      <c r="W722" s="37" t="n">
        <v>0.7854889589905363</v>
      </c>
    </row>
    <row r="723">
      <c r="A723" s="53" t="n">
        <v>45769</v>
      </c>
      <c r="B723" t="inlineStr">
        <is>
          <t>R10_Sumbagteng</t>
        </is>
      </c>
      <c r="C723" t="inlineStr">
        <is>
          <t>NOP BUKITTINGGI</t>
        </is>
      </c>
      <c r="D723" s="36" t="n">
        <v>2.57</v>
      </c>
      <c r="E723" s="36" t="n">
        <v>4.31</v>
      </c>
      <c r="F723" s="36" t="n">
        <v>4.99</v>
      </c>
      <c r="G723" s="36" t="n">
        <v>5.86</v>
      </c>
      <c r="H723" s="37" t="n">
        <v>0.7700101317122594</v>
      </c>
      <c r="I723" s="37" t="n">
        <v>0.8412698412698413</v>
      </c>
      <c r="J723" s="37" t="n">
        <v>0.745578231292517</v>
      </c>
      <c r="K723" s="37" t="n">
        <v>0.6132075471698113</v>
      </c>
      <c r="L723" s="37" t="n">
        <v>0.6310679611650486</v>
      </c>
      <c r="M723" s="37" t="n">
        <v>0.9918946301925026</v>
      </c>
      <c r="N723" s="37" t="n">
        <v>0.4711246200607903</v>
      </c>
      <c r="O723" s="36" t="n">
        <v>0.06</v>
      </c>
      <c r="P723" s="36" t="n">
        <v>3.18</v>
      </c>
      <c r="Q723" s="36" t="n">
        <v>10.11</v>
      </c>
      <c r="R723" s="36" t="n">
        <v>104.98</v>
      </c>
      <c r="S723" s="36" t="n">
        <v>0</v>
      </c>
      <c r="T723" s="37" t="n">
        <v>0.3039294306335205</v>
      </c>
      <c r="U723" s="37" t="n">
        <v>0.7797029702970297</v>
      </c>
      <c r="V723" s="37" t="n">
        <v>0.2622878554110646</v>
      </c>
      <c r="W723" s="37" t="n">
        <v>0.6190476190476191</v>
      </c>
    </row>
    <row r="724">
      <c r="A724" s="53" t="n">
        <v>45769</v>
      </c>
      <c r="B724" t="inlineStr">
        <is>
          <t>R10_Sumbagteng</t>
        </is>
      </c>
      <c r="C724" t="inlineStr">
        <is>
          <t>NOP DUMAI</t>
        </is>
      </c>
      <c r="D724" s="36" t="n">
        <v>5.47</v>
      </c>
      <c r="E724" s="36" t="n">
        <v>5.67</v>
      </c>
      <c r="F724" s="36" t="n">
        <v>5.68</v>
      </c>
      <c r="G724" s="36" t="n">
        <v>6.91</v>
      </c>
      <c r="H724" s="37" t="n">
        <v>0.4075718015665796</v>
      </c>
      <c r="I724" s="37" t="n">
        <v>0.5019685039370079</v>
      </c>
      <c r="J724" s="37" t="n">
        <v>0.3734896943852168</v>
      </c>
      <c r="K724" s="37" t="n">
        <v>0.7176470588235294</v>
      </c>
      <c r="L724" s="37" t="n">
        <v>0.7285714285714285</v>
      </c>
      <c r="M724" s="37" t="n">
        <v>0.9754569190600523</v>
      </c>
      <c r="N724" s="37" t="n">
        <v>0.2404699738903394</v>
      </c>
      <c r="O724" s="36" t="n">
        <v>0.28</v>
      </c>
      <c r="P724" s="36" t="n">
        <v>4.81</v>
      </c>
      <c r="Q724" s="36" t="n">
        <v>56.62</v>
      </c>
      <c r="R724" s="36" t="n">
        <v>131.34</v>
      </c>
      <c r="S724" s="36" t="n">
        <v>0</v>
      </c>
      <c r="T724" s="37" t="n">
        <v>0.2975965433432352</v>
      </c>
      <c r="U724" s="37" t="n">
        <v>0.3395860284605433</v>
      </c>
      <c r="V724" s="37" t="n">
        <v>0.2983653673432728</v>
      </c>
      <c r="W724" s="37" t="n">
        <v>0.9371428571428572</v>
      </c>
    </row>
    <row r="725">
      <c r="A725" s="53" t="n">
        <v>45769</v>
      </c>
      <c r="B725" t="inlineStr">
        <is>
          <t>R10_Sumbagteng</t>
        </is>
      </c>
      <c r="C725" t="inlineStr">
        <is>
          <t>NOP PADANG</t>
        </is>
      </c>
      <c r="D725" s="36" t="n">
        <v>3.67</v>
      </c>
      <c r="E725" s="36" t="n">
        <v>2.48</v>
      </c>
      <c r="F725" s="36" t="n">
        <v>6.6</v>
      </c>
      <c r="G725" s="36" t="n">
        <v>6.99</v>
      </c>
      <c r="H725" s="37" t="n">
        <v>0.7686274509803922</v>
      </c>
      <c r="I725" s="37" t="n">
        <v>0.7362637362637363</v>
      </c>
      <c r="J725" s="37" t="n">
        <v>0.7729970326409495</v>
      </c>
      <c r="K725" s="37" t="n">
        <v>0.4850746268656717</v>
      </c>
      <c r="L725" s="37" t="n">
        <v>0.4850746268656717</v>
      </c>
      <c r="M725" s="37" t="n">
        <v>0.9856209150326798</v>
      </c>
      <c r="N725" s="37" t="n">
        <v>0.2954248366013072</v>
      </c>
      <c r="O725" s="36" t="n">
        <v>0.06</v>
      </c>
      <c r="P725" s="36" t="n">
        <v>4.71</v>
      </c>
      <c r="Q725" s="36" t="n">
        <v>41.28</v>
      </c>
      <c r="R725" s="36" t="n">
        <v>63.66</v>
      </c>
      <c r="S725" s="36" t="n">
        <v>0</v>
      </c>
      <c r="T725" s="37" t="n">
        <v>0.7615106831176648</v>
      </c>
      <c r="U725" s="37" t="n">
        <v>0.6724367509986684</v>
      </c>
      <c r="V725" s="37" t="n">
        <v>0.7758324751115688</v>
      </c>
      <c r="W725" s="37" t="n">
        <v>0.4871287128712871</v>
      </c>
    </row>
    <row r="726">
      <c r="A726" s="53" t="n">
        <v>45769</v>
      </c>
      <c r="B726" t="inlineStr">
        <is>
          <t>R10_Sumbagteng</t>
        </is>
      </c>
      <c r="C726" t="inlineStr">
        <is>
          <t>NOP PEKANBARU</t>
        </is>
      </c>
      <c r="D726" s="36" t="n">
        <v>5.97</v>
      </c>
      <c r="E726" s="36" t="n">
        <v>5.94</v>
      </c>
      <c r="F726" s="36" t="n">
        <v>5.66</v>
      </c>
      <c r="G726" s="36" t="n">
        <v>7.52</v>
      </c>
      <c r="H726" s="37" t="n">
        <v>0.4111365369946606</v>
      </c>
      <c r="I726" s="37" t="n">
        <v>0.5074404761904762</v>
      </c>
      <c r="J726" s="37" t="n">
        <v>0.3912910150260656</v>
      </c>
      <c r="K726" s="37" t="n">
        <v>0.7419354838709677</v>
      </c>
      <c r="L726" s="37" t="n">
        <v>0.7477744807121661</v>
      </c>
      <c r="M726" s="37" t="n">
        <v>0.9893211289092296</v>
      </c>
      <c r="N726" s="37" t="n">
        <v>0.2275616577676074</v>
      </c>
      <c r="O726" s="36" t="n">
        <v>0.02</v>
      </c>
      <c r="P726" s="36" t="n">
        <v>3.4</v>
      </c>
      <c r="Q726" s="36" t="n">
        <v>48.66</v>
      </c>
      <c r="R726" s="36" t="n">
        <v>101.34</v>
      </c>
      <c r="S726" s="36" t="n">
        <v>0</v>
      </c>
      <c r="T726" s="37" t="n">
        <v>0.2960362047440699</v>
      </c>
      <c r="U726" s="37" t="n">
        <v>0.3110877561744614</v>
      </c>
      <c r="V726" s="37" t="n">
        <v>0.3001666269935729</v>
      </c>
      <c r="W726" s="37" t="n">
        <v>0.8614864864864865</v>
      </c>
    </row>
    <row r="727">
      <c r="A727" s="53" t="n">
        <v>45769</v>
      </c>
      <c r="B727" t="inlineStr">
        <is>
          <t>R02_Sumbagsel</t>
        </is>
      </c>
      <c r="C727" t="inlineStr">
        <is>
          <t>NOP BENGKULU</t>
        </is>
      </c>
      <c r="D727" s="36" t="n">
        <v>2.09</v>
      </c>
      <c r="E727" s="36" t="n">
        <v>4.58</v>
      </c>
      <c r="F727" s="36" t="n">
        <v>4.3</v>
      </c>
      <c r="G727" s="36" t="n">
        <v>6.4</v>
      </c>
      <c r="H727" s="37" t="n">
        <v>0.3552515445719329</v>
      </c>
      <c r="I727" s="37" t="n">
        <v>0.41396933560477</v>
      </c>
      <c r="J727" s="37" t="n">
        <v>0.334723049434187</v>
      </c>
      <c r="K727" s="37" t="n">
        <v>0.6831275720164609</v>
      </c>
      <c r="L727" s="37" t="n">
        <v>0.6831275720164609</v>
      </c>
      <c r="M727" s="37" t="n">
        <v>0.9911738746690203</v>
      </c>
      <c r="N727" s="37" t="n">
        <v>0.1857899382171227</v>
      </c>
      <c r="O727" s="36" t="n">
        <v>0</v>
      </c>
      <c r="P727" s="36" t="n">
        <v>6.28</v>
      </c>
      <c r="Q727" s="36" t="n">
        <v>6.71</v>
      </c>
      <c r="R727" s="36" t="n">
        <v>13.99</v>
      </c>
      <c r="S727" s="36" t="n">
        <v>0</v>
      </c>
      <c r="T727" s="37" t="n">
        <v>0.4640845070422535</v>
      </c>
      <c r="U727" s="37" t="n">
        <v>0.3966380543633762</v>
      </c>
      <c r="V727" s="37" t="n">
        <v>0.6257947320617621</v>
      </c>
      <c r="W727" s="37" t="n">
        <v>0.890892696122633</v>
      </c>
    </row>
    <row r="728">
      <c r="A728" s="53" t="n">
        <v>45769</v>
      </c>
      <c r="B728" t="inlineStr">
        <is>
          <t>R02_Sumbagsel</t>
        </is>
      </c>
      <c r="C728" t="inlineStr">
        <is>
          <t>NOP JAMBI</t>
        </is>
      </c>
      <c r="D728" s="36" t="n">
        <v>3.86</v>
      </c>
      <c r="E728" s="36" t="n">
        <v>6.77</v>
      </c>
      <c r="F728" s="36" t="n">
        <v>6.31</v>
      </c>
      <c r="G728" s="36" t="n">
        <v>8.82</v>
      </c>
      <c r="H728" s="37" t="n">
        <v>0.5369738339021616</v>
      </c>
      <c r="I728" s="37" t="n">
        <v>0.578125</v>
      </c>
      <c r="J728" s="37" t="n">
        <v>0.5185337726523888</v>
      </c>
      <c r="K728" s="37" t="n">
        <v>0.6534181240063593</v>
      </c>
      <c r="L728" s="37" t="n">
        <v>0.656</v>
      </c>
      <c r="M728" s="37" t="n">
        <v>1</v>
      </c>
      <c r="N728" s="37" t="n">
        <v>0.2787258248009101</v>
      </c>
      <c r="O728" s="36" t="n">
        <v>0</v>
      </c>
      <c r="P728" s="36" t="n">
        <v>8.09</v>
      </c>
      <c r="Q728" s="36" t="n">
        <v>18.75</v>
      </c>
      <c r="R728" s="36" t="n">
        <v>18</v>
      </c>
      <c r="S728" s="36" t="n">
        <v>0</v>
      </c>
      <c r="T728" s="37" t="n">
        <v>0.6315483119906868</v>
      </c>
      <c r="U728" s="37" t="n">
        <v>0.6205564142194745</v>
      </c>
      <c r="V728" s="37" t="n">
        <v>0.6668257756563246</v>
      </c>
      <c r="W728" s="37" t="n">
        <v>0.7478206724782067</v>
      </c>
    </row>
    <row r="729">
      <c r="A729" s="53" t="n">
        <v>45769</v>
      </c>
      <c r="B729" t="inlineStr">
        <is>
          <t>R02_Sumbagsel</t>
        </is>
      </c>
      <c r="C729" t="inlineStr">
        <is>
          <t>NOP LAMPUNG</t>
        </is>
      </c>
      <c r="D729" s="36" t="n">
        <v>3.84</v>
      </c>
      <c r="E729" s="36" t="n">
        <v>4.99</v>
      </c>
      <c r="F729" s="36" t="n">
        <v>4.99</v>
      </c>
      <c r="G729" s="36" t="n">
        <v>5.37</v>
      </c>
      <c r="H729" s="37" t="n">
        <v>0.5305343511450382</v>
      </c>
      <c r="I729" s="37" t="n">
        <v>0.6873156342182891</v>
      </c>
      <c r="J729" s="37" t="n">
        <v>0.4757981462409887</v>
      </c>
      <c r="K729" s="37" t="n">
        <v>0.7081545064377682</v>
      </c>
      <c r="L729" s="37" t="n">
        <v>0.7081545064377682</v>
      </c>
      <c r="M729" s="37" t="n">
        <v>1</v>
      </c>
      <c r="N729" s="37" t="n">
        <v>0.3389312977099236</v>
      </c>
      <c r="O729" s="36" t="n">
        <v>1.12</v>
      </c>
      <c r="P729" s="36" t="n">
        <v>5.53</v>
      </c>
      <c r="Q729" s="36" t="n">
        <v>5.96</v>
      </c>
      <c r="R729" s="36" t="n">
        <v>27.77</v>
      </c>
      <c r="S729" s="36" t="n">
        <v>0</v>
      </c>
      <c r="T729" s="37" t="n">
        <v>0.8985875706214689</v>
      </c>
      <c r="U729" s="37" t="n">
        <v>0.8033707865168539</v>
      </c>
      <c r="V729" s="37" t="n">
        <v>0.947579031612645</v>
      </c>
      <c r="W729" s="37" t="n">
        <v>0.8573426573426574</v>
      </c>
    </row>
    <row r="730">
      <c r="A730" s="53" t="n">
        <v>45769</v>
      </c>
      <c r="B730" t="inlineStr">
        <is>
          <t>R02_Sumbagsel</t>
        </is>
      </c>
      <c r="C730" t="inlineStr">
        <is>
          <t>NOP MUARA ENIM</t>
        </is>
      </c>
      <c r="D730" s="36" t="n">
        <v>3.13</v>
      </c>
      <c r="E730" s="36" t="n">
        <v>3.84</v>
      </c>
      <c r="F730" s="36" t="n">
        <v>5.25</v>
      </c>
      <c r="G730" s="36" t="n">
        <v>5.3</v>
      </c>
      <c r="H730" s="37" t="n">
        <v>0.3987378083763626</v>
      </c>
      <c r="I730" s="37" t="n">
        <v>0.3466872110939908</v>
      </c>
      <c r="J730" s="37" t="n">
        <v>0.4106450475854776</v>
      </c>
      <c r="K730" s="37" t="n">
        <v>0.5466666666666666</v>
      </c>
      <c r="L730" s="37" t="n">
        <v>0.5902439024390244</v>
      </c>
      <c r="M730" s="37" t="n">
        <v>0.9718875502008032</v>
      </c>
      <c r="N730" s="37" t="n">
        <v>0.1752725186460126</v>
      </c>
      <c r="O730" s="36" t="n">
        <v>0</v>
      </c>
      <c r="P730" s="36" t="n">
        <v>4.52</v>
      </c>
      <c r="Q730" s="36" t="n">
        <v>6.43</v>
      </c>
      <c r="R730" s="36" t="n">
        <v>8.94</v>
      </c>
      <c r="S730" s="36" t="n">
        <v>0</v>
      </c>
      <c r="T730" s="37" t="n">
        <v>0.4672941176470588</v>
      </c>
      <c r="U730" s="37" t="n">
        <v>0.4802494802494803</v>
      </c>
      <c r="V730" s="37" t="n">
        <v>0.5353424657534247</v>
      </c>
      <c r="W730" s="37" t="n">
        <v>0.7932900432900433</v>
      </c>
    </row>
    <row r="731">
      <c r="A731" s="53" t="n">
        <v>45769</v>
      </c>
      <c r="B731" t="inlineStr">
        <is>
          <t>R02_Sumbagsel</t>
        </is>
      </c>
      <c r="C731" t="inlineStr">
        <is>
          <t>NOP PALEMBANG</t>
        </is>
      </c>
      <c r="D731" s="36" t="n">
        <v>3.47</v>
      </c>
      <c r="E731" s="36" t="n">
        <v>5</v>
      </c>
      <c r="F731" s="36" t="n">
        <v>7.5</v>
      </c>
      <c r="G731" s="36" t="n">
        <v>8.35</v>
      </c>
      <c r="H731" s="37" t="n">
        <v>0.3034143817899638</v>
      </c>
      <c r="I731" s="37" t="n">
        <v>0.3135802469135803</v>
      </c>
      <c r="J731" s="37" t="n">
        <v>0.3022247905229702</v>
      </c>
      <c r="K731" s="37" t="n">
        <v>0.4566929133858268</v>
      </c>
      <c r="L731" s="37" t="n">
        <v>0.4566929133858268</v>
      </c>
      <c r="M731" s="37" t="n">
        <v>1</v>
      </c>
      <c r="N731" s="37" t="n">
        <v>0.128039317123642</v>
      </c>
      <c r="O731" s="36" t="n">
        <v>0</v>
      </c>
      <c r="P731" s="36" t="n">
        <v>5.86</v>
      </c>
      <c r="Q731" s="36" t="n">
        <v>11.82</v>
      </c>
      <c r="R731" s="36" t="n">
        <v>6.05</v>
      </c>
      <c r="S731" s="36" t="n">
        <v>0</v>
      </c>
      <c r="T731" s="37" t="n">
        <v>0.3006467765491341</v>
      </c>
      <c r="U731" s="37" t="n">
        <v>0.2510801728276524</v>
      </c>
      <c r="V731" s="37" t="n">
        <v>0.4188940092165899</v>
      </c>
      <c r="W731" s="37" t="n">
        <v>0.4435946462715105</v>
      </c>
    </row>
    <row r="732">
      <c r="A732" s="53" t="n">
        <v>45769</v>
      </c>
      <c r="B732" t="inlineStr">
        <is>
          <t>R02_Sumbagsel</t>
        </is>
      </c>
      <c r="C732" t="inlineStr">
        <is>
          <t>NOP PANGKAL PINANG</t>
        </is>
      </c>
      <c r="D732" s="36" t="n">
        <v>1.94</v>
      </c>
      <c r="E732" s="36" t="n">
        <v>2.85</v>
      </c>
      <c r="F732" s="36" t="n">
        <v>5.33</v>
      </c>
      <c r="G732" s="36" t="n">
        <v>6.3</v>
      </c>
      <c r="H732" s="37" t="n">
        <v>0.6428571428571429</v>
      </c>
      <c r="I732" s="37" t="n">
        <v>0.72</v>
      </c>
      <c r="J732" s="37" t="n">
        <v>0.6384439359267735</v>
      </c>
      <c r="K732" s="37" t="n">
        <v>0.7222222222222222</v>
      </c>
      <c r="L732" s="37" t="n">
        <v>0.7222222222222222</v>
      </c>
      <c r="M732" s="37" t="n">
        <v>0.9978354978354979</v>
      </c>
      <c r="N732" s="37" t="n">
        <v>0.3766233766233766</v>
      </c>
      <c r="O732" s="36" t="n">
        <v>0</v>
      </c>
      <c r="P732" s="36" t="n">
        <v>5.7</v>
      </c>
      <c r="Q732" s="36" t="n">
        <v>6.86</v>
      </c>
      <c r="R732" s="36" t="n">
        <v>7.47</v>
      </c>
      <c r="S732" s="36" t="n">
        <v>0</v>
      </c>
      <c r="T732" s="37" t="n">
        <v>0.7920489296636085</v>
      </c>
      <c r="U732" s="37" t="n">
        <v>0.8450363196125908</v>
      </c>
      <c r="V732" s="37" t="n">
        <v>0.8439450686641697</v>
      </c>
      <c r="W732" s="37" t="n">
        <v>0.7220630372492837</v>
      </c>
    </row>
    <row r="733">
      <c r="A733" s="53" t="n">
        <v>45769</v>
      </c>
      <c r="B733" t="inlineStr">
        <is>
          <t>R05_Jawa Tengah DIY</t>
        </is>
      </c>
      <c r="C733" t="inlineStr">
        <is>
          <t>NOP MAGELANG</t>
        </is>
      </c>
      <c r="D733" s="36" t="n">
        <v>4.99</v>
      </c>
      <c r="E733" s="36" t="n">
        <v>0</v>
      </c>
      <c r="F733" s="36" t="n">
        <v>4.5</v>
      </c>
      <c r="G733" s="36" t="n">
        <v>4.62</v>
      </c>
      <c r="H733" s="37" t="n">
        <v>0.7636363636363637</v>
      </c>
      <c r="I733" s="37" t="n">
        <v>0.9512195121951219</v>
      </c>
      <c r="J733" s="37" t="n">
        <v>0.7412790697674418</v>
      </c>
      <c r="K733" s="37" t="n">
        <v>0.7948717948717948</v>
      </c>
      <c r="L733" s="37" t="n">
        <v>0.7948717948717948</v>
      </c>
      <c r="M733" s="37" t="n">
        <v>0.9974025974025974</v>
      </c>
      <c r="N733" s="37" t="n">
        <v>0.6727272727272727</v>
      </c>
      <c r="O733" s="36" t="n">
        <v>0.22</v>
      </c>
      <c r="P733" s="36" t="n">
        <v>3.32</v>
      </c>
      <c r="Q733" s="36" t="n">
        <v>8.17</v>
      </c>
      <c r="R733" s="36" t="n">
        <v>18.47</v>
      </c>
      <c r="S733" s="36" t="n">
        <v>0</v>
      </c>
      <c r="T733" s="37" t="n">
        <v>0.9422169811320755</v>
      </c>
      <c r="U733" s="37" t="n">
        <v>0.9411764705882353</v>
      </c>
      <c r="V733" s="37" t="n">
        <v>0.9424778761061947</v>
      </c>
      <c r="W733" s="37" t="n">
        <v>0.88125</v>
      </c>
    </row>
    <row r="734">
      <c r="A734" s="53" t="n">
        <v>45769</v>
      </c>
      <c r="B734" t="inlineStr">
        <is>
          <t>R05_Jawa Tengah DIY</t>
        </is>
      </c>
      <c r="C734" t="inlineStr">
        <is>
          <t>NOP PEKALONGAN</t>
        </is>
      </c>
      <c r="D734" s="36" t="n">
        <v>3.25</v>
      </c>
      <c r="E734" s="36" t="n">
        <v>0</v>
      </c>
      <c r="F734" s="36" t="n">
        <v>3.44</v>
      </c>
      <c r="G734" s="36" t="n">
        <v>3.64</v>
      </c>
      <c r="H734" s="37" t="n">
        <v>0.6380368098159509</v>
      </c>
      <c r="I734" s="37" t="n">
        <v>0.7666666666666667</v>
      </c>
      <c r="J734" s="37" t="n">
        <v>0.625</v>
      </c>
      <c r="K734" s="37" t="n">
        <v>1</v>
      </c>
      <c r="L734" s="37" t="n">
        <v>1</v>
      </c>
      <c r="M734" s="37" t="n">
        <v>0.9693251533742331</v>
      </c>
      <c r="N734" s="37" t="n">
        <v>0.6012269938650306</v>
      </c>
      <c r="O734" s="36" t="n">
        <v>0.01</v>
      </c>
      <c r="P734" s="36" t="n">
        <v>3.33</v>
      </c>
      <c r="Q734" s="36" t="n">
        <v>5.99</v>
      </c>
      <c r="R734" s="36" t="n">
        <v>50.24</v>
      </c>
      <c r="S734" s="36" t="n">
        <v>0</v>
      </c>
      <c r="T734" s="37" t="n">
        <v>0.8135860979462876</v>
      </c>
      <c r="U734" s="37" t="n">
        <v>0.7533333333333333</v>
      </c>
      <c r="V734" s="37" t="n">
        <v>0.8322981366459627</v>
      </c>
      <c r="W734" s="37" t="n">
        <v>0.672566371681416</v>
      </c>
    </row>
    <row r="735">
      <c r="A735" s="53" t="n">
        <v>45769</v>
      </c>
      <c r="B735" t="inlineStr">
        <is>
          <t>R05_Jawa Tengah DIY</t>
        </is>
      </c>
      <c r="C735" t="inlineStr">
        <is>
          <t>NOP PURWOKERTO</t>
        </is>
      </c>
      <c r="D735" s="36" t="n">
        <v>3.24</v>
      </c>
      <c r="E735" s="36" t="n">
        <v>0</v>
      </c>
      <c r="F735" s="36" t="n">
        <v>3.62</v>
      </c>
      <c r="G735" s="36" t="n">
        <v>4.89</v>
      </c>
      <c r="H735" s="37" t="n">
        <v>0.7883211678832117</v>
      </c>
      <c r="I735" s="37" t="n">
        <v>0.7631578947368421</v>
      </c>
      <c r="J735" s="37" t="n">
        <v>0.7908847184986595</v>
      </c>
      <c r="K735" s="37" t="n">
        <v>1</v>
      </c>
      <c r="L735" s="37" t="n">
        <v>1</v>
      </c>
      <c r="M735" s="37" t="n">
        <v>0.9708029197080292</v>
      </c>
      <c r="N735" s="37" t="n">
        <v>0.5231143552311436</v>
      </c>
      <c r="O735" s="36" t="n">
        <v>0.28</v>
      </c>
      <c r="P735" s="36" t="n">
        <v>3.72</v>
      </c>
      <c r="Q735" s="36" t="n">
        <v>10.52</v>
      </c>
      <c r="R735" s="36" t="n">
        <v>41.35</v>
      </c>
      <c r="S735" s="36" t="n">
        <v>0</v>
      </c>
      <c r="T735" s="37" t="n">
        <v>0.8016528925619835</v>
      </c>
      <c r="U735" s="37" t="n">
        <v>0.8</v>
      </c>
      <c r="V735" s="37" t="n">
        <v>0.8020618556701031</v>
      </c>
      <c r="W735" s="37" t="n">
        <v>0.7708333333333334</v>
      </c>
    </row>
    <row r="736">
      <c r="A736" s="53" t="n">
        <v>45769</v>
      </c>
      <c r="B736" t="inlineStr">
        <is>
          <t>R05_Jawa Tengah DIY</t>
        </is>
      </c>
      <c r="C736" t="inlineStr">
        <is>
          <t>NOP SEMARANG</t>
        </is>
      </c>
      <c r="D736" s="36" t="n">
        <v>2.93</v>
      </c>
      <c r="E736" s="36" t="n">
        <v>1.7</v>
      </c>
      <c r="F736" s="36" t="n">
        <v>3.05</v>
      </c>
      <c r="G736" s="36" t="n">
        <v>3.81</v>
      </c>
      <c r="H736" s="37" t="n">
        <v>0.4120521172638437</v>
      </c>
      <c r="I736" s="37" t="n">
        <v>0.5172413793103449</v>
      </c>
      <c r="J736" s="37" t="n">
        <v>0.4010791366906475</v>
      </c>
      <c r="K736" s="37" t="n">
        <v>1</v>
      </c>
      <c r="L736" s="37" t="n">
        <v>1</v>
      </c>
      <c r="M736" s="37" t="n">
        <v>0.9560260586319218</v>
      </c>
      <c r="N736" s="37" t="n">
        <v>0.245928338762215</v>
      </c>
      <c r="O736" s="36" t="n">
        <v>1</v>
      </c>
      <c r="P736" s="36" t="n">
        <v>4.07</v>
      </c>
      <c r="Q736" s="36" t="n">
        <v>9.42</v>
      </c>
      <c r="R736" s="36" t="n">
        <v>72.14</v>
      </c>
      <c r="S736" s="36" t="n">
        <v>0</v>
      </c>
      <c r="T736" s="37" t="n">
        <v>0.7290748898678414</v>
      </c>
      <c r="U736" s="37" t="n">
        <v>0.452755905511811</v>
      </c>
      <c r="V736" s="37" t="n">
        <v>0.8363914373088684</v>
      </c>
      <c r="W736" s="37" t="n">
        <v>0.8260869565217391</v>
      </c>
    </row>
    <row r="737">
      <c r="A737" s="53" t="n">
        <v>45769</v>
      </c>
      <c r="B737" t="inlineStr">
        <is>
          <t>R05_Jawa Tengah DIY</t>
        </is>
      </c>
      <c r="C737" t="inlineStr">
        <is>
          <t>NOP SURAKARTA</t>
        </is>
      </c>
      <c r="D737" s="36" t="n">
        <v>3.37</v>
      </c>
      <c r="E737" s="36" t="n">
        <v>2.15</v>
      </c>
      <c r="F737" s="36" t="n">
        <v>4.1</v>
      </c>
      <c r="G737" s="36" t="n">
        <v>4.49</v>
      </c>
      <c r="H737" s="37" t="n">
        <v>0.7147147147147147</v>
      </c>
      <c r="I737" s="37" t="n">
        <v>0.8589743589743589</v>
      </c>
      <c r="J737" s="37" t="n">
        <v>0.6955782312925171</v>
      </c>
      <c r="K737" s="37" t="n">
        <v>0.9402985074626866</v>
      </c>
      <c r="L737" s="37" t="n">
        <v>0.9402985074626866</v>
      </c>
      <c r="M737" s="37" t="n">
        <v>0.975975975975976</v>
      </c>
      <c r="N737" s="37" t="n">
        <v>0.5015015015015015</v>
      </c>
      <c r="O737" s="36" t="n">
        <v>0.13</v>
      </c>
      <c r="P737" s="36" t="n">
        <v>3.55</v>
      </c>
      <c r="Q737" s="36" t="n">
        <v>8.4</v>
      </c>
      <c r="R737" s="36" t="n">
        <v>56.32</v>
      </c>
      <c r="S737" s="36" t="n">
        <v>0</v>
      </c>
      <c r="T737" s="37" t="n">
        <v>0.810304449648712</v>
      </c>
      <c r="U737" s="37" t="n">
        <v>0.7229437229437229</v>
      </c>
      <c r="V737" s="37" t="n">
        <v>0.8426966292134831</v>
      </c>
      <c r="W737" s="37" t="n">
        <v>0.7664670658682635</v>
      </c>
    </row>
    <row r="738">
      <c r="A738" s="53" t="n">
        <v>45769</v>
      </c>
      <c r="B738" t="inlineStr">
        <is>
          <t>R05_Jawa Tengah DIY</t>
        </is>
      </c>
      <c r="C738" t="inlineStr">
        <is>
          <t>NOP YOGYAKARTA</t>
        </is>
      </c>
      <c r="D738" s="36" t="n">
        <v>3.37</v>
      </c>
      <c r="E738" s="36" t="n">
        <v>0</v>
      </c>
      <c r="F738" s="36" t="n">
        <v>3.56</v>
      </c>
      <c r="G738" s="36" t="n">
        <v>3.91</v>
      </c>
      <c r="H738" s="37" t="n">
        <v>0.5920502092050209</v>
      </c>
      <c r="I738" s="37" t="n">
        <v>0.9210526315789473</v>
      </c>
      <c r="J738" s="37" t="n">
        <v>0.5636363636363636</v>
      </c>
      <c r="K738" s="37" t="n">
        <v>0.9428571428571428</v>
      </c>
      <c r="L738" s="37" t="n">
        <v>0.9393939393939394</v>
      </c>
      <c r="M738" s="37" t="n">
        <v>0.9916317991631799</v>
      </c>
      <c r="N738" s="37" t="n">
        <v>0.4225941422594142</v>
      </c>
      <c r="O738" s="36" t="n">
        <v>0</v>
      </c>
      <c r="P738" s="36" t="n">
        <v>3.08</v>
      </c>
      <c r="Q738" s="36" t="n">
        <v>15.39</v>
      </c>
      <c r="R738" s="36" t="n">
        <v>42.8</v>
      </c>
      <c r="S738" s="36" t="n">
        <v>0</v>
      </c>
      <c r="T738" s="37" t="n">
        <v>0.9331103678929766</v>
      </c>
      <c r="U738" s="37" t="n">
        <v>0.8266666666666667</v>
      </c>
      <c r="V738" s="37" t="n">
        <v>0.9544846050870147</v>
      </c>
      <c r="W738" s="37" t="n">
        <v>0.9838709677419355</v>
      </c>
    </row>
    <row r="739">
      <c r="A739" s="53" t="n">
        <v>45769</v>
      </c>
      <c r="B739" t="inlineStr">
        <is>
          <t>R06_Jawa Timur</t>
        </is>
      </c>
      <c r="C739" t="inlineStr">
        <is>
          <t>NOP JEMBER</t>
        </is>
      </c>
      <c r="D739" s="36" t="n">
        <v>2.1</v>
      </c>
      <c r="E739" s="36" t="n">
        <v>2.64</v>
      </c>
      <c r="F739" s="36" t="n">
        <v>4.27</v>
      </c>
      <c r="G739" s="36" t="n">
        <v>3.37</v>
      </c>
      <c r="H739" s="37" t="n">
        <v>0.6876456876456877</v>
      </c>
      <c r="I739" s="37" t="n">
        <v>0.7</v>
      </c>
      <c r="J739" s="37" t="n">
        <v>0.6867167919799498</v>
      </c>
      <c r="K739" s="37" t="n">
        <v>0.8095238095238095</v>
      </c>
      <c r="L739" s="37" t="n">
        <v>0.8095238095238095</v>
      </c>
      <c r="M739" s="37" t="n">
        <v>0.9813519813519813</v>
      </c>
      <c r="N739" s="37" t="n">
        <v>0.365967365967366</v>
      </c>
      <c r="O739" s="36" t="n">
        <v>0</v>
      </c>
      <c r="P739" s="36" t="n">
        <v>3.34</v>
      </c>
      <c r="Q739" s="36" t="n">
        <v>5.01</v>
      </c>
      <c r="R739" s="36" t="n">
        <v>127.66</v>
      </c>
      <c r="S739" s="36" t="n">
        <v>0</v>
      </c>
      <c r="T739" s="37" t="n">
        <v>0.8007312614259597</v>
      </c>
      <c r="U739" s="37" t="n">
        <v>0.7777777777777778</v>
      </c>
      <c r="V739" s="37" t="n">
        <v>0.808252427184466</v>
      </c>
      <c r="W739" s="37" t="n">
        <v>0.7714285714285715</v>
      </c>
    </row>
    <row r="740">
      <c r="A740" s="53" t="n">
        <v>45769</v>
      </c>
      <c r="B740" t="inlineStr">
        <is>
          <t>R06_Jawa Timur</t>
        </is>
      </c>
      <c r="C740" t="inlineStr">
        <is>
          <t>NOP KEDIRI</t>
        </is>
      </c>
      <c r="D740" s="36" t="n">
        <v>1.21</v>
      </c>
      <c r="E740" s="36" t="n">
        <v>0.7</v>
      </c>
      <c r="F740" s="36" t="n">
        <v>2.21</v>
      </c>
      <c r="G740" s="36" t="n">
        <v>1.95</v>
      </c>
      <c r="H740" s="37" t="n">
        <v>0.8742857142857143</v>
      </c>
      <c r="I740" s="37" t="n">
        <v>0.8571428571428571</v>
      </c>
      <c r="J740" s="37" t="n">
        <v>0.875</v>
      </c>
      <c r="K740" s="37" t="n">
        <v>0.6666666666666666</v>
      </c>
      <c r="L740" s="37" t="n">
        <v>0.6666666666666666</v>
      </c>
      <c r="M740" s="37" t="n">
        <v>1</v>
      </c>
      <c r="N740" s="37" t="n">
        <v>0.6342857142857142</v>
      </c>
      <c r="O740" s="36" t="n">
        <v>0</v>
      </c>
      <c r="P740" s="36" t="n">
        <v>1.99</v>
      </c>
      <c r="Q740" s="36" t="n">
        <v>3.52</v>
      </c>
      <c r="R740" s="36" t="n">
        <v>13.85</v>
      </c>
      <c r="S740" s="36" t="n">
        <v>0</v>
      </c>
      <c r="T740" s="37" t="n">
        <v>0.9501661129568106</v>
      </c>
      <c r="U740" s="37" t="n">
        <v>0.9090909090909091</v>
      </c>
      <c r="V740" s="37" t="n">
        <v>0.9617021276595744</v>
      </c>
      <c r="W740" s="37" t="n">
        <v>0.9</v>
      </c>
    </row>
    <row r="741">
      <c r="A741" s="53" t="n">
        <v>45769</v>
      </c>
      <c r="B741" t="inlineStr">
        <is>
          <t>R06_Jawa Timur</t>
        </is>
      </c>
      <c r="C741" t="inlineStr">
        <is>
          <t>NOP LAMONGAN</t>
        </is>
      </c>
      <c r="D741" s="36" t="n">
        <v>1.5</v>
      </c>
      <c r="E741" s="36" t="n">
        <v>1.01</v>
      </c>
      <c r="F741" s="36" t="n">
        <v>3.22</v>
      </c>
      <c r="G741" s="36" t="n">
        <v>3.72</v>
      </c>
      <c r="H741" s="37" t="n">
        <v>0.8046511627906977</v>
      </c>
      <c r="I741" s="37" t="n">
        <v>0.9333333333333333</v>
      </c>
      <c r="J741" s="37" t="n">
        <v>0.795</v>
      </c>
      <c r="K741" s="37" t="n">
        <v>0.9285714285714286</v>
      </c>
      <c r="L741" s="37" t="n">
        <v>0.9285714285714286</v>
      </c>
      <c r="M741" s="37" t="n">
        <v>1</v>
      </c>
      <c r="N741" s="37" t="n">
        <v>0.7162790697674418</v>
      </c>
      <c r="O741" s="36" t="n">
        <v>0</v>
      </c>
      <c r="P741" s="36" t="n">
        <v>2.34</v>
      </c>
      <c r="Q741" s="36" t="n">
        <v>10.71</v>
      </c>
      <c r="R741" s="36" t="n">
        <v>37.98</v>
      </c>
      <c r="S741" s="36" t="n">
        <v>0</v>
      </c>
      <c r="T741" s="37" t="n">
        <v>0.779467680608365</v>
      </c>
      <c r="U741" s="37" t="n">
        <v>0.6822429906542056</v>
      </c>
      <c r="V741" s="37" t="n">
        <v>0.8461538461538461</v>
      </c>
      <c r="W741" s="37" t="n">
        <v>0.8767123287671232</v>
      </c>
    </row>
    <row r="742">
      <c r="A742" s="53" t="n">
        <v>45769</v>
      </c>
      <c r="B742" t="inlineStr">
        <is>
          <t>R06_Jawa Timur</t>
        </is>
      </c>
      <c r="C742" t="inlineStr">
        <is>
          <t>NOP MADIUN</t>
        </is>
      </c>
      <c r="D742" s="36" t="n">
        <v>0.63</v>
      </c>
      <c r="E742" s="36" t="n">
        <v>0</v>
      </c>
      <c r="F742" s="36" t="n">
        <v>3.12</v>
      </c>
      <c r="G742" s="36" t="n">
        <v>3.24</v>
      </c>
      <c r="H742" s="37" t="n">
        <v>0.6219081272084805</v>
      </c>
      <c r="I742" s="37" t="n">
        <v>1</v>
      </c>
      <c r="J742" s="37" t="n">
        <v>0.6164874551971327</v>
      </c>
      <c r="K742" s="37" t="n">
        <v>1</v>
      </c>
      <c r="L742" s="37" t="n">
        <v>1</v>
      </c>
      <c r="M742" s="37" t="n">
        <v>0.9964664310954063</v>
      </c>
      <c r="N742" s="37" t="n">
        <v>0.3604240282685512</v>
      </c>
      <c r="O742" s="36" t="n">
        <v>0</v>
      </c>
      <c r="P742" s="36" t="n">
        <v>2.47</v>
      </c>
      <c r="Q742" s="36" t="n">
        <v>6</v>
      </c>
      <c r="R742" s="36" t="n">
        <v>51.4</v>
      </c>
      <c r="S742" s="36" t="n">
        <v>0</v>
      </c>
      <c r="T742" s="37" t="n">
        <v>0.7021791767554479</v>
      </c>
      <c r="U742" s="37" t="n">
        <v>0.7248322147651006</v>
      </c>
      <c r="V742" s="37" t="n">
        <v>0.6893939393939394</v>
      </c>
      <c r="W742" s="37" t="n">
        <v>0.7777777777777778</v>
      </c>
    </row>
    <row r="743">
      <c r="A743" s="53" t="n">
        <v>45769</v>
      </c>
      <c r="B743" t="inlineStr">
        <is>
          <t>R06_Jawa Timur</t>
        </is>
      </c>
      <c r="C743" t="inlineStr">
        <is>
          <t>NOP MALANG</t>
        </is>
      </c>
      <c r="D743" s="36" t="n">
        <v>1.31</v>
      </c>
      <c r="E743" s="36" t="n">
        <v>0</v>
      </c>
      <c r="F743" s="36" t="n">
        <v>2.81</v>
      </c>
      <c r="G743" s="36" t="n">
        <v>2.75</v>
      </c>
      <c r="H743" s="37" t="n">
        <v>0.8195718654434251</v>
      </c>
      <c r="I743" s="37" t="n">
        <v>0.8571428571428571</v>
      </c>
      <c r="J743" s="37" t="n">
        <v>0.81875</v>
      </c>
      <c r="K743" s="37" t="n">
        <v>1</v>
      </c>
      <c r="L743" s="37" t="n">
        <v>1</v>
      </c>
      <c r="M743" s="37" t="n">
        <v>0.9969418960244648</v>
      </c>
      <c r="N743" s="37" t="n">
        <v>0.7614678899082569</v>
      </c>
      <c r="O743" s="36" t="n">
        <v>0.02</v>
      </c>
      <c r="P743" s="36" t="n">
        <v>2.88</v>
      </c>
      <c r="Q743" s="36" t="n">
        <v>4.82</v>
      </c>
      <c r="R743" s="36" t="n">
        <v>49.18</v>
      </c>
      <c r="S743" s="36" t="n">
        <v>0</v>
      </c>
      <c r="T743" s="37" t="n">
        <v>0.7862595419847328</v>
      </c>
      <c r="U743" s="37" t="n">
        <v>0.6818181818181818</v>
      </c>
      <c r="V743" s="37" t="n">
        <v>0.8618421052631579</v>
      </c>
      <c r="W743" s="37" t="n">
        <v>0.5866666666666667</v>
      </c>
    </row>
    <row r="744">
      <c r="A744" s="53" t="n">
        <v>45769</v>
      </c>
      <c r="B744" t="inlineStr">
        <is>
          <t>R06_Jawa Timur</t>
        </is>
      </c>
      <c r="C744" t="inlineStr">
        <is>
          <t>NOP SIDOARJO</t>
        </is>
      </c>
      <c r="D744" s="36" t="n">
        <v>2.98</v>
      </c>
      <c r="E744" s="36" t="n">
        <v>5.94</v>
      </c>
      <c r="F744" s="36" t="n">
        <v>3.32</v>
      </c>
      <c r="G744" s="36" t="n">
        <v>5</v>
      </c>
      <c r="H744" s="37" t="n">
        <v>0.6006389776357828</v>
      </c>
      <c r="I744" s="37" t="n">
        <v>0.9</v>
      </c>
      <c r="J744" s="37" t="n">
        <v>0.568904593639576</v>
      </c>
      <c r="K744" s="37" t="n">
        <v>0.8888888888888888</v>
      </c>
      <c r="L744" s="37" t="n">
        <v>0.8888888888888888</v>
      </c>
      <c r="M744" s="37" t="n">
        <v>0.9808306709265175</v>
      </c>
      <c r="N744" s="37" t="n">
        <v>0.4249201277955272</v>
      </c>
      <c r="O744" s="36" t="n">
        <v>0.01</v>
      </c>
      <c r="P744" s="36" t="n">
        <v>4.89</v>
      </c>
      <c r="Q744" s="36" t="n">
        <v>11.44</v>
      </c>
      <c r="R744" s="36" t="n">
        <v>53.06</v>
      </c>
      <c r="S744" s="36" t="n">
        <v>0</v>
      </c>
      <c r="T744" s="37" t="n">
        <v>0.804945054945055</v>
      </c>
      <c r="U744" s="37" t="n">
        <v>0.7254901960784313</v>
      </c>
      <c r="V744" s="37" t="n">
        <v>0.8358778625954199</v>
      </c>
      <c r="W744" s="37" t="n">
        <v>0.7567567567567568</v>
      </c>
    </row>
    <row r="745">
      <c r="A745" s="53" t="n">
        <v>45769</v>
      </c>
      <c r="B745" t="inlineStr">
        <is>
          <t>R06_Jawa Timur</t>
        </is>
      </c>
      <c r="C745" t="inlineStr">
        <is>
          <t>NOP SURABAYA</t>
        </is>
      </c>
      <c r="D745" s="36" t="n">
        <v>2.35</v>
      </c>
      <c r="E745" s="36" t="n">
        <v>0</v>
      </c>
      <c r="F745" s="36" t="n">
        <v>4.93</v>
      </c>
      <c r="G745" s="36" t="n">
        <v>3.68</v>
      </c>
      <c r="H745" s="37" t="n">
        <v>0.5946547884187082</v>
      </c>
      <c r="I745" s="37" t="n">
        <v>0.5294117647058824</v>
      </c>
      <c r="J745" s="37" t="n">
        <v>0.6030150753768844</v>
      </c>
      <c r="K745" s="37" t="n">
        <v>0.9259259259259259</v>
      </c>
      <c r="L745" s="37" t="n">
        <v>0.9259259259259259</v>
      </c>
      <c r="M745" s="37" t="n">
        <v>0.9688195991091314</v>
      </c>
      <c r="N745" s="37" t="n">
        <v>0.4142538975501114</v>
      </c>
      <c r="O745" s="36" t="n">
        <v>0.04</v>
      </c>
      <c r="P745" s="36" t="n">
        <v>3.17</v>
      </c>
      <c r="Q745" s="36" t="n">
        <v>7.15</v>
      </c>
      <c r="R745" s="36" t="n">
        <v>29.01</v>
      </c>
      <c r="S745" s="36" t="n">
        <v>0</v>
      </c>
      <c r="T745" s="37" t="n">
        <v>0.6769911504424779</v>
      </c>
      <c r="U745" s="37" t="n">
        <v>0.689873417721519</v>
      </c>
      <c r="V745" s="37" t="n">
        <v>0.6742627345844504</v>
      </c>
      <c r="W745" s="37" t="n">
        <v>0.8899082568807339</v>
      </c>
    </row>
    <row r="746">
      <c r="A746" s="53" t="n">
        <v>45769</v>
      </c>
      <c r="B746" t="inlineStr">
        <is>
          <t>R07_Bali Nusra</t>
        </is>
      </c>
      <c r="C746" t="inlineStr">
        <is>
          <t>NOP DENPASAR</t>
        </is>
      </c>
      <c r="D746" s="36" t="n">
        <v>2.87</v>
      </c>
      <c r="E746" s="36" t="n">
        <v>0</v>
      </c>
      <c r="F746" s="36" t="n">
        <v>5.33</v>
      </c>
      <c r="G746" s="36" t="n">
        <v>4.15</v>
      </c>
      <c r="H746" s="37" t="n">
        <v>0.8985507246376812</v>
      </c>
      <c r="I746" s="37" t="n">
        <v>0.8723404255319149</v>
      </c>
      <c r="J746" s="37" t="n">
        <v>0.9039301310043668</v>
      </c>
      <c r="K746" s="37" t="n">
        <v>0.9512195121951219</v>
      </c>
      <c r="L746" s="37" t="n">
        <v>0.9512195121951219</v>
      </c>
      <c r="M746" s="37" t="n">
        <v>0.9637681159420289</v>
      </c>
      <c r="N746" s="37" t="n">
        <v>0.855072463768116</v>
      </c>
      <c r="O746" s="36" t="n">
        <v>0</v>
      </c>
      <c r="P746" s="36" t="n">
        <v>83.94</v>
      </c>
      <c r="Q746" s="36" t="n">
        <v>21.82</v>
      </c>
      <c r="R746" s="36" t="n">
        <v>84.18000000000001</v>
      </c>
      <c r="S746" s="36" t="n">
        <v>0</v>
      </c>
      <c r="T746" s="37" t="n">
        <v>0.8617234468937875</v>
      </c>
      <c r="U746" s="37" t="n">
        <v>0.8407079646017699</v>
      </c>
      <c r="V746" s="37" t="n">
        <v>0.8678756476683938</v>
      </c>
      <c r="W746" s="37" t="n">
        <v>0.5473684210526316</v>
      </c>
    </row>
    <row r="747">
      <c r="A747" s="53" t="n">
        <v>45769</v>
      </c>
      <c r="B747" t="inlineStr">
        <is>
          <t>R07_Bali Nusra</t>
        </is>
      </c>
      <c r="C747" t="inlineStr">
        <is>
          <t>NOP FLORES</t>
        </is>
      </c>
      <c r="D747" s="36" t="n">
        <v>8.539999999999999</v>
      </c>
      <c r="E747" s="36" t="n">
        <v>5.32</v>
      </c>
      <c r="F747" s="36" t="n">
        <v>6.83</v>
      </c>
      <c r="G747" s="36" t="n">
        <v>9.720000000000001</v>
      </c>
      <c r="H747" s="37" t="n">
        <v>0.4819034852546917</v>
      </c>
      <c r="I747" s="37" t="n">
        <v>0.6199460916442049</v>
      </c>
      <c r="J747" s="37" t="n">
        <v>0.4362176628010705</v>
      </c>
      <c r="K747" s="37" t="n">
        <v>0.591304347826087</v>
      </c>
      <c r="L747" s="37" t="n">
        <v>0.6026785714285714</v>
      </c>
      <c r="M747" s="37" t="n">
        <v>0.9919571045576407</v>
      </c>
      <c r="N747" s="37" t="n">
        <v>0.2875335120643432</v>
      </c>
      <c r="O747" s="36" t="n">
        <v>0.62</v>
      </c>
      <c r="P747" s="36" t="n">
        <v>11.07</v>
      </c>
      <c r="Q747" s="36" t="n">
        <v>8.32</v>
      </c>
      <c r="R747" s="36" t="n">
        <v>45.39</v>
      </c>
      <c r="S747" s="36" t="n">
        <v>0</v>
      </c>
      <c r="T747" s="37" t="n">
        <v>0.4864864864864865</v>
      </c>
      <c r="U747" s="37" t="n">
        <v>0.5295091009376723</v>
      </c>
      <c r="V747" s="37" t="n">
        <v>0.3948296122209166</v>
      </c>
      <c r="W747" s="37" t="n">
        <v>0.6864583333333333</v>
      </c>
    </row>
    <row r="748">
      <c r="A748" s="53" t="n">
        <v>45769</v>
      </c>
      <c r="B748" t="inlineStr">
        <is>
          <t>R07_Bali Nusra</t>
        </is>
      </c>
      <c r="C748" t="inlineStr">
        <is>
          <t>NOP KUPANG</t>
        </is>
      </c>
      <c r="D748" s="36" t="n">
        <v>1.18</v>
      </c>
      <c r="E748" s="36" t="n">
        <v>6.1</v>
      </c>
      <c r="F748" s="36" t="n">
        <v>8.34</v>
      </c>
      <c r="G748" s="36" t="n">
        <v>10.59</v>
      </c>
      <c r="H748" s="37" t="n">
        <v>0.4689849624060151</v>
      </c>
      <c r="I748" s="37" t="n">
        <v>0.6197183098591549</v>
      </c>
      <c r="J748" s="37" t="n">
        <v>0.4457700650759219</v>
      </c>
      <c r="K748" s="37" t="n">
        <v>0.6136363636363636</v>
      </c>
      <c r="L748" s="37" t="n">
        <v>0.6136363636363636</v>
      </c>
      <c r="M748" s="37" t="n">
        <v>0.9774436090225563</v>
      </c>
      <c r="N748" s="37" t="n">
        <v>0.1917293233082707</v>
      </c>
      <c r="O748" s="36" t="n">
        <v>0.19</v>
      </c>
      <c r="P748" s="36" t="n">
        <v>8.779999999999999</v>
      </c>
      <c r="Q748" s="36" t="n">
        <v>21.27</v>
      </c>
      <c r="R748" s="36" t="n">
        <v>156.99</v>
      </c>
      <c r="S748" s="36" t="n">
        <v>0</v>
      </c>
      <c r="T748" s="37" t="n">
        <v>0.565922920892495</v>
      </c>
      <c r="U748" s="37" t="n">
        <v>0.5640744797371303</v>
      </c>
      <c r="V748" s="37" t="n">
        <v>0.568904593639576</v>
      </c>
      <c r="W748" s="37" t="n">
        <v>0.6524271844660194</v>
      </c>
    </row>
    <row r="749">
      <c r="A749" s="53" t="n">
        <v>45769</v>
      </c>
      <c r="B749" t="inlineStr">
        <is>
          <t>R07_Bali Nusra</t>
        </is>
      </c>
      <c r="C749" t="inlineStr">
        <is>
          <t>NOP MATARAM</t>
        </is>
      </c>
      <c r="D749" s="36" t="n">
        <v>3.13</v>
      </c>
      <c r="E749" s="36" t="n">
        <v>5.66</v>
      </c>
      <c r="F749" s="36" t="n">
        <v>4.22</v>
      </c>
      <c r="G749" s="36" t="n">
        <v>6.34</v>
      </c>
      <c r="H749" s="37" t="n">
        <v>0.5190972222222222</v>
      </c>
      <c r="I749" s="37" t="n">
        <v>0.6538461538461539</v>
      </c>
      <c r="J749" s="37" t="n">
        <v>0.4979919678714859</v>
      </c>
      <c r="K749" s="37" t="n">
        <v>0.7254901960784313</v>
      </c>
      <c r="L749" s="37" t="n">
        <v>0.7254901960784313</v>
      </c>
      <c r="M749" s="37" t="n">
        <v>0.9895833333333334</v>
      </c>
      <c r="N749" s="37" t="n">
        <v>0.3177083333333333</v>
      </c>
      <c r="O749" s="36" t="n">
        <v>1.09</v>
      </c>
      <c r="P749" s="36" t="n">
        <v>24.32</v>
      </c>
      <c r="Q749" s="36" t="n">
        <v>15.91</v>
      </c>
      <c r="R749" s="36" t="n">
        <v>46.29</v>
      </c>
      <c r="S749" s="36" t="n">
        <v>0</v>
      </c>
      <c r="T749" s="37" t="n">
        <v>0.3742690058479532</v>
      </c>
      <c r="U749" s="37" t="n">
        <v>0.3931133428981349</v>
      </c>
      <c r="V749" s="37" t="n">
        <v>0.348</v>
      </c>
      <c r="W749" s="37" t="n">
        <v>0.6204379562043796</v>
      </c>
    </row>
    <row r="750">
      <c r="A750" s="53" t="n">
        <v>45770</v>
      </c>
      <c r="B750" t="inlineStr">
        <is>
          <t>R01_Sumbagut</t>
        </is>
      </c>
      <c r="C750" t="inlineStr">
        <is>
          <t>NOP ACEH</t>
        </is>
      </c>
      <c r="D750" s="36" t="n">
        <v>3.68</v>
      </c>
      <c r="E750" s="36" t="n">
        <v>4.07</v>
      </c>
      <c r="F750" s="36" t="n">
        <v>9.99</v>
      </c>
      <c r="G750" s="36" t="n">
        <v>9.970000000000001</v>
      </c>
      <c r="H750" s="37" t="n">
        <v>0.8383505154639175</v>
      </c>
      <c r="I750" s="37" t="n">
        <v>0.8420195439739414</v>
      </c>
      <c r="J750" s="37" t="n">
        <v>0.8371065709552733</v>
      </c>
      <c r="K750" s="37" t="n">
        <v>0.4158607350096712</v>
      </c>
      <c r="L750" s="37" t="n">
        <v>0.4171539961013645</v>
      </c>
      <c r="M750" s="37" t="n">
        <v>0.9995876288659794</v>
      </c>
      <c r="N750" s="37" t="n">
        <v>0.3129896907216495</v>
      </c>
      <c r="O750" s="36" t="n">
        <v>0.06</v>
      </c>
      <c r="P750" s="36" t="n">
        <v>4.4</v>
      </c>
      <c r="Q750" s="36" t="n">
        <v>70.5</v>
      </c>
      <c r="R750" s="36" t="n">
        <v>128.14</v>
      </c>
      <c r="S750" s="36" t="n">
        <v>0</v>
      </c>
      <c r="T750" s="37" t="n">
        <v>0.8676885346413243</v>
      </c>
      <c r="U750" s="37" t="n">
        <v>0.7262569832402235</v>
      </c>
      <c r="V750" s="37" t="n">
        <v>0.8921345112567683</v>
      </c>
      <c r="W750" s="37" t="n">
        <v>0.2</v>
      </c>
    </row>
    <row r="751">
      <c r="A751" s="53" t="n">
        <v>45770</v>
      </c>
      <c r="B751" t="inlineStr">
        <is>
          <t>R01_Sumbagut</t>
        </is>
      </c>
      <c r="C751" t="inlineStr">
        <is>
          <t>NOP BINJAI</t>
        </is>
      </c>
      <c r="D751" s="36" t="n">
        <v>9.9</v>
      </c>
      <c r="E751" s="36" t="n">
        <v>4.76</v>
      </c>
      <c r="F751" s="36" t="n">
        <v>3.7</v>
      </c>
      <c r="G751" s="36" t="n">
        <v>4.28</v>
      </c>
      <c r="H751" s="37" t="n">
        <v>0.6265640038498557</v>
      </c>
      <c r="I751" s="37" t="n">
        <v>0.7361702127659574</v>
      </c>
      <c r="J751" s="37" t="n">
        <v>0.5945273631840796</v>
      </c>
      <c r="K751" s="37" t="n">
        <v>0.5375722543352601</v>
      </c>
      <c r="L751" s="37" t="n">
        <v>0.5348837209302325</v>
      </c>
      <c r="M751" s="37" t="n">
        <v>1</v>
      </c>
      <c r="N751" s="37" t="n">
        <v>0.3455245428296439</v>
      </c>
      <c r="O751" s="36" t="n">
        <v>0.02</v>
      </c>
      <c r="P751" s="36" t="n">
        <v>2.69</v>
      </c>
      <c r="Q751" s="36" t="n">
        <v>37.76</v>
      </c>
      <c r="R751" s="36" t="n">
        <v>100.54</v>
      </c>
      <c r="S751" s="36" t="n">
        <v>0</v>
      </c>
      <c r="T751" s="37" t="n">
        <v>0.656176608736496</v>
      </c>
      <c r="U751" s="37" t="n">
        <v>0.5518867924528302</v>
      </c>
      <c r="V751" s="37" t="n">
        <v>0.7240634005763689</v>
      </c>
      <c r="W751" s="37" t="n">
        <v>0.5356125356125356</v>
      </c>
    </row>
    <row r="752">
      <c r="A752" s="53" t="n">
        <v>45770</v>
      </c>
      <c r="B752" t="inlineStr">
        <is>
          <t>R01_Sumbagut</t>
        </is>
      </c>
      <c r="C752" t="inlineStr">
        <is>
          <t>NOP MEDAN</t>
        </is>
      </c>
      <c r="D752" s="36" t="n">
        <v>5.26</v>
      </c>
      <c r="E752" s="36" t="n">
        <v>4.01</v>
      </c>
      <c r="F752" s="36" t="n">
        <v>4.06</v>
      </c>
      <c r="G752" s="36" t="n">
        <v>4.95</v>
      </c>
      <c r="H752" s="37" t="n">
        <v>0.4051383399209486</v>
      </c>
      <c r="I752" s="37" t="n">
        <v>0.4533762057877814</v>
      </c>
      <c r="J752" s="37" t="n">
        <v>0.383737517831669</v>
      </c>
      <c r="K752" s="37" t="n">
        <v>0.8226950354609929</v>
      </c>
      <c r="L752" s="37" t="n">
        <v>0.8273381294964028</v>
      </c>
      <c r="M752" s="37" t="n">
        <v>0.9970355731225297</v>
      </c>
      <c r="N752" s="37" t="n">
        <v>0.2549407114624506</v>
      </c>
      <c r="O752" s="36" t="n">
        <v>0</v>
      </c>
      <c r="P752" s="36" t="n">
        <v>4.51</v>
      </c>
      <c r="Q752" s="36" t="n">
        <v>17.08</v>
      </c>
      <c r="R752" s="36" t="n">
        <v>10.6</v>
      </c>
      <c r="S752" s="36" t="n">
        <v>0</v>
      </c>
      <c r="T752" s="37" t="n">
        <v>0.3233965672990063</v>
      </c>
      <c r="U752" s="37" t="n">
        <v>0.2112211221122112</v>
      </c>
      <c r="V752" s="37" t="n">
        <v>0.3983286908077994</v>
      </c>
      <c r="W752" s="37" t="n">
        <v>0.890625</v>
      </c>
    </row>
    <row r="753">
      <c r="A753" s="53" t="n">
        <v>45770</v>
      </c>
      <c r="B753" t="inlineStr">
        <is>
          <t>R01_Sumbagut</t>
        </is>
      </c>
      <c r="C753" t="inlineStr">
        <is>
          <t>NOP PADANG SIDEMPUAN</t>
        </is>
      </c>
      <c r="D753" s="36" t="n">
        <v>3.08</v>
      </c>
      <c r="E753" s="36" t="n">
        <v>3.59</v>
      </c>
      <c r="F753" s="36" t="n">
        <v>4.9</v>
      </c>
      <c r="G753" s="36" t="n">
        <v>6.21</v>
      </c>
      <c r="H753" s="37" t="n">
        <v>0.30078125</v>
      </c>
      <c r="I753" s="37" t="n">
        <v>0.463519313304721</v>
      </c>
      <c r="J753" s="37" t="n">
        <v>0.2764592687620269</v>
      </c>
      <c r="K753" s="37" t="n">
        <v>0.4722222222222222</v>
      </c>
      <c r="L753" s="37" t="n">
        <v>0.4722222222222222</v>
      </c>
      <c r="M753" s="37" t="n">
        <v>0.9938616071428571</v>
      </c>
      <c r="N753" s="37" t="n">
        <v>0.1238839285714286</v>
      </c>
      <c r="O753" s="36" t="n">
        <v>0.01</v>
      </c>
      <c r="P753" s="36" t="n">
        <v>2.42</v>
      </c>
      <c r="Q753" s="36" t="n">
        <v>13.82</v>
      </c>
      <c r="R753" s="36" t="n">
        <v>98.8</v>
      </c>
      <c r="S753" s="36" t="n">
        <v>0</v>
      </c>
      <c r="T753" s="37" t="n">
        <v>0.2958423057810171</v>
      </c>
      <c r="U753" s="37" t="n">
        <v>0.4214151534126487</v>
      </c>
      <c r="V753" s="37" t="n">
        <v>0.2522214627477785</v>
      </c>
      <c r="W753" s="37" t="n">
        <v>0.4650817236255572</v>
      </c>
    </row>
    <row r="754">
      <c r="A754" s="53" t="n">
        <v>45770</v>
      </c>
      <c r="B754" t="inlineStr">
        <is>
          <t>R01_Sumbagut</t>
        </is>
      </c>
      <c r="C754" t="inlineStr">
        <is>
          <t>NOP PEMATANG SIANTAR</t>
        </is>
      </c>
      <c r="D754" s="36" t="n">
        <v>3.66</v>
      </c>
      <c r="E754" s="36" t="n">
        <v>3.74</v>
      </c>
      <c r="F754" s="36" t="n">
        <v>5.15</v>
      </c>
      <c r="G754" s="36" t="n">
        <v>5.17</v>
      </c>
      <c r="H754" s="37" t="n">
        <v>0.3346425765907305</v>
      </c>
      <c r="I754" s="37" t="n">
        <v>0.3661417322834646</v>
      </c>
      <c r="J754" s="37" t="n">
        <v>0.3211883408071749</v>
      </c>
      <c r="K754" s="37" t="n">
        <v>0.6702508960573477</v>
      </c>
      <c r="L754" s="37" t="n">
        <v>0.6765799256505576</v>
      </c>
      <c r="M754" s="37" t="n">
        <v>0.9972505891594659</v>
      </c>
      <c r="N754" s="37" t="n">
        <v>0.1873527101335428</v>
      </c>
      <c r="O754" s="36" t="n">
        <v>0.03</v>
      </c>
      <c r="P754" s="36" t="n">
        <v>4.41</v>
      </c>
      <c r="Q754" s="36" t="n">
        <v>66.91</v>
      </c>
      <c r="R754" s="36" t="n">
        <v>66.98999999999999</v>
      </c>
      <c r="S754" s="36" t="n">
        <v>0</v>
      </c>
      <c r="T754" s="37" t="n">
        <v>0.1149917928141528</v>
      </c>
      <c r="U754" s="37" t="n">
        <v>0.3343195266272189</v>
      </c>
      <c r="V754" s="37" t="n">
        <v>0.09138965131645826</v>
      </c>
      <c r="W754" s="37" t="n">
        <v>0.8436578171091446</v>
      </c>
    </row>
    <row r="755">
      <c r="A755" s="53" t="n">
        <v>45770</v>
      </c>
      <c r="B755" t="inlineStr">
        <is>
          <t>R01_Sumbagut</t>
        </is>
      </c>
      <c r="C755" t="inlineStr">
        <is>
          <t>NOP RANTAU PRAPAT</t>
        </is>
      </c>
      <c r="D755" s="36" t="n">
        <v>5.04</v>
      </c>
      <c r="E755" s="36" t="n">
        <v>6.66</v>
      </c>
      <c r="F755" s="36" t="n">
        <v>6.1</v>
      </c>
      <c r="G755" s="36" t="n">
        <v>6.3</v>
      </c>
      <c r="H755" s="37" t="n">
        <v>0.3112258064516129</v>
      </c>
      <c r="I755" s="37" t="n">
        <v>0.3108298171589311</v>
      </c>
      <c r="J755" s="37" t="n">
        <v>0.311314791403287</v>
      </c>
      <c r="K755" s="37" t="n">
        <v>0.6244343891402715</v>
      </c>
      <c r="L755" s="37" t="n">
        <v>0.6272727272727273</v>
      </c>
      <c r="M755" s="37" t="n">
        <v>0.9891612903225806</v>
      </c>
      <c r="N755" s="37" t="n">
        <v>0.176</v>
      </c>
      <c r="O755" s="36" t="n">
        <v>0.02</v>
      </c>
      <c r="P755" s="36" t="n">
        <v>4.28</v>
      </c>
      <c r="Q755" s="36" t="n">
        <v>38.5</v>
      </c>
      <c r="R755" s="36" t="n">
        <v>48.55</v>
      </c>
      <c r="S755" s="36" t="n">
        <v>0</v>
      </c>
      <c r="T755" s="37" t="n">
        <v>0.06971821669533007</v>
      </c>
      <c r="U755" s="37" t="n">
        <v>0.160367722165475</v>
      </c>
      <c r="V755" s="37" t="n">
        <v>0.04874608150470219</v>
      </c>
      <c r="W755" s="37" t="n">
        <v>0.6114649681528662</v>
      </c>
    </row>
    <row r="756">
      <c r="A756" s="53" t="n">
        <v>45770</v>
      </c>
      <c r="B756" t="inlineStr">
        <is>
          <t>R10_Sumbagteng</t>
        </is>
      </c>
      <c r="C756" t="inlineStr">
        <is>
          <t>NOP BATAM</t>
        </is>
      </c>
      <c r="D756" s="36" t="n">
        <v>4.43</v>
      </c>
      <c r="E756" s="36" t="n">
        <v>8.5</v>
      </c>
      <c r="F756" s="36" t="n">
        <v>6.78</v>
      </c>
      <c r="G756" s="36" t="n">
        <v>10.55</v>
      </c>
      <c r="H756" s="37" t="n">
        <v>0.2960662525879917</v>
      </c>
      <c r="I756" s="37" t="n">
        <v>0.3212927756653993</v>
      </c>
      <c r="J756" s="37" t="n">
        <v>0.2904721753794267</v>
      </c>
      <c r="K756" s="37" t="n">
        <v>0.6390532544378699</v>
      </c>
      <c r="L756" s="37" t="n">
        <v>0.6390532544378699</v>
      </c>
      <c r="M756" s="37" t="n">
        <v>0.9937888198757764</v>
      </c>
      <c r="N756" s="37" t="n">
        <v>0.1825396825396825</v>
      </c>
      <c r="O756" s="36" t="n">
        <v>0.82</v>
      </c>
      <c r="P756" s="36" t="n">
        <v>5.38</v>
      </c>
      <c r="Q756" s="36" t="n">
        <v>27.99</v>
      </c>
      <c r="R756" s="36" t="n">
        <v>18.68</v>
      </c>
      <c r="S756" s="36" t="n">
        <v>0</v>
      </c>
      <c r="T756" s="37" t="n">
        <v>0.08006680420473523</v>
      </c>
      <c r="U756" s="37" t="n">
        <v>0.239193083573487</v>
      </c>
      <c r="V756" s="37" t="n">
        <v>0.0541100621690076</v>
      </c>
      <c r="W756" s="37" t="n">
        <v>0.7921686746987951</v>
      </c>
    </row>
    <row r="757">
      <c r="A757" s="53" t="n">
        <v>45770</v>
      </c>
      <c r="B757" t="inlineStr">
        <is>
          <t>R10_Sumbagteng</t>
        </is>
      </c>
      <c r="C757" t="inlineStr">
        <is>
          <t>NOP BUKITTINGGI</t>
        </is>
      </c>
      <c r="D757" s="36" t="n">
        <v>2.57</v>
      </c>
      <c r="E757" s="36" t="n">
        <v>4.4</v>
      </c>
      <c r="F757" s="36" t="n">
        <v>5.02</v>
      </c>
      <c r="G757" s="36" t="n">
        <v>5.84</v>
      </c>
      <c r="H757" s="37" t="n">
        <v>0.7586538461538461</v>
      </c>
      <c r="I757" s="37" t="n">
        <v>0.8390804597701149</v>
      </c>
      <c r="J757" s="37" t="n">
        <v>0.7317073170731707</v>
      </c>
      <c r="K757" s="37" t="n">
        <v>0.6164383561643836</v>
      </c>
      <c r="L757" s="37" t="n">
        <v>0.6338028169014085</v>
      </c>
      <c r="M757" s="37" t="n">
        <v>0.9923076923076923</v>
      </c>
      <c r="N757" s="37" t="n">
        <v>0.4644230769230769</v>
      </c>
      <c r="O757" s="36" t="n">
        <v>0.06</v>
      </c>
      <c r="P757" s="36" t="n">
        <v>3.16</v>
      </c>
      <c r="Q757" s="36" t="n">
        <v>10.11</v>
      </c>
      <c r="R757" s="36" t="n">
        <v>101.34</v>
      </c>
      <c r="S757" s="36" t="n">
        <v>0</v>
      </c>
      <c r="T757" s="37" t="n">
        <v>0.3022452504317789</v>
      </c>
      <c r="U757" s="37" t="n">
        <v>0.7833333333333333</v>
      </c>
      <c r="V757" s="37" t="n">
        <v>0.2606035028487023</v>
      </c>
      <c r="W757" s="37" t="n">
        <v>0.6200607902735562</v>
      </c>
    </row>
    <row r="758">
      <c r="A758" s="53" t="n">
        <v>45770</v>
      </c>
      <c r="B758" t="inlineStr">
        <is>
          <t>R10_Sumbagteng</t>
        </is>
      </c>
      <c r="C758" t="inlineStr">
        <is>
          <t>NOP DUMAI</t>
        </is>
      </c>
      <c r="D758" s="36" t="n">
        <v>5.3</v>
      </c>
      <c r="E758" s="36" t="n">
        <v>5.46</v>
      </c>
      <c r="F758" s="36" t="n">
        <v>5.6</v>
      </c>
      <c r="G758" s="36" t="n">
        <v>7.28</v>
      </c>
      <c r="H758" s="37" t="n">
        <v>0.4108662994491737</v>
      </c>
      <c r="I758" s="37" t="n">
        <v>0.5055350553505535</v>
      </c>
      <c r="J758" s="37" t="n">
        <v>0.3756013745704467</v>
      </c>
      <c r="K758" s="37" t="n">
        <v>0.718978102189781</v>
      </c>
      <c r="L758" s="37" t="n">
        <v>0.7281368821292775</v>
      </c>
      <c r="M758" s="37" t="n">
        <v>0.9762143214822233</v>
      </c>
      <c r="N758" s="37" t="n">
        <v>0.242613920881322</v>
      </c>
      <c r="O758" s="36" t="n">
        <v>0.27</v>
      </c>
      <c r="P758" s="36" t="n">
        <v>4.79</v>
      </c>
      <c r="Q758" s="36" t="n">
        <v>57.01</v>
      </c>
      <c r="R758" s="36" t="n">
        <v>127.9</v>
      </c>
      <c r="S758" s="36" t="n">
        <v>0</v>
      </c>
      <c r="T758" s="37" t="n">
        <v>0.2956905503634475</v>
      </c>
      <c r="U758" s="37" t="n">
        <v>0.3395989974937343</v>
      </c>
      <c r="V758" s="37" t="n">
        <v>0.2961558352008274</v>
      </c>
      <c r="W758" s="37" t="n">
        <v>0.9391143911439115</v>
      </c>
    </row>
    <row r="759">
      <c r="A759" s="53" t="n">
        <v>45770</v>
      </c>
      <c r="B759" t="inlineStr">
        <is>
          <t>R10_Sumbagteng</t>
        </is>
      </c>
      <c r="C759" t="inlineStr">
        <is>
          <t>NOP PADANG</t>
        </is>
      </c>
      <c r="D759" s="36" t="n">
        <v>3.67</v>
      </c>
      <c r="E759" s="36" t="n">
        <v>2.48</v>
      </c>
      <c r="F759" s="36" t="n">
        <v>6.56</v>
      </c>
      <c r="G759" s="36" t="n">
        <v>6.88</v>
      </c>
      <c r="H759" s="37" t="n">
        <v>0.7652068126520681</v>
      </c>
      <c r="I759" s="37" t="n">
        <v>0.7268041237113402</v>
      </c>
      <c r="J759" s="37" t="n">
        <v>0.7703448275862069</v>
      </c>
      <c r="K759" s="37" t="n">
        <v>0.4822695035460993</v>
      </c>
      <c r="L759" s="37" t="n">
        <v>0.4822695035460993</v>
      </c>
      <c r="M759" s="37" t="n">
        <v>0.9854014598540146</v>
      </c>
      <c r="N759" s="37" t="n">
        <v>0.2864963503649635</v>
      </c>
      <c r="O759" s="36" t="n">
        <v>0.06</v>
      </c>
      <c r="P759" s="36" t="n">
        <v>4.71</v>
      </c>
      <c r="Q759" s="36" t="n">
        <v>41.63</v>
      </c>
      <c r="R759" s="36" t="n">
        <v>64.12</v>
      </c>
      <c r="S759" s="36" t="n">
        <v>0</v>
      </c>
      <c r="T759" s="37" t="n">
        <v>0.7633967789165447</v>
      </c>
      <c r="U759" s="37" t="n">
        <v>0.672566371681416</v>
      </c>
      <c r="V759" s="37" t="n">
        <v>0.77837384744342</v>
      </c>
      <c r="W759" s="37" t="n">
        <v>0.4830827067669173</v>
      </c>
    </row>
    <row r="760">
      <c r="A760" s="53" t="n">
        <v>45770</v>
      </c>
      <c r="B760" t="inlineStr">
        <is>
          <t>R10_Sumbagteng</t>
        </is>
      </c>
      <c r="C760" t="inlineStr">
        <is>
          <t>NOP PEKANBARU</t>
        </is>
      </c>
      <c r="D760" s="36" t="n">
        <v>5.88</v>
      </c>
      <c r="E760" s="36" t="n">
        <v>5.94</v>
      </c>
      <c r="F760" s="36" t="n">
        <v>5.61</v>
      </c>
      <c r="G760" s="36" t="n">
        <v>7.06</v>
      </c>
      <c r="H760" s="37" t="n">
        <v>0.4109153206069506</v>
      </c>
      <c r="I760" s="37" t="n">
        <v>0.5150645624103299</v>
      </c>
      <c r="J760" s="37" t="n">
        <v>0.389495426379463</v>
      </c>
      <c r="K760" s="37" t="n">
        <v>0.7409470752089137</v>
      </c>
      <c r="L760" s="37" t="n">
        <v>0.7464788732394366</v>
      </c>
      <c r="M760" s="37" t="n">
        <v>0.9892315222711698</v>
      </c>
      <c r="N760" s="37" t="n">
        <v>0.2293196279980421</v>
      </c>
      <c r="O760" s="36" t="n">
        <v>0.02</v>
      </c>
      <c r="P760" s="36" t="n">
        <v>3.37</v>
      </c>
      <c r="Q760" s="36" t="n">
        <v>49.16</v>
      </c>
      <c r="R760" s="36" t="n">
        <v>102.29</v>
      </c>
      <c r="S760" s="36" t="n">
        <v>0</v>
      </c>
      <c r="T760" s="37" t="n">
        <v>0.2996688741721854</v>
      </c>
      <c r="U760" s="37" t="n">
        <v>0.3140537798072044</v>
      </c>
      <c r="V760" s="37" t="n">
        <v>0.3044475011462632</v>
      </c>
      <c r="W760" s="37" t="n">
        <v>0.8562197092084006</v>
      </c>
    </row>
    <row r="761">
      <c r="A761" s="53" t="n">
        <v>45770</v>
      </c>
      <c r="B761" t="inlineStr">
        <is>
          <t>R02_Sumbagsel</t>
        </is>
      </c>
      <c r="C761" t="inlineStr">
        <is>
          <t>NOP BENGKULU</t>
        </is>
      </c>
      <c r="D761" s="36" t="n">
        <v>2.09</v>
      </c>
      <c r="E761" s="36" t="n">
        <v>4.32</v>
      </c>
      <c r="F761" s="36" t="n">
        <v>4.4</v>
      </c>
      <c r="G761" s="36" t="n">
        <v>6.28</v>
      </c>
      <c r="H761" s="37" t="n">
        <v>0.3516666666666667</v>
      </c>
      <c r="I761" s="37" t="n">
        <v>0.4086538461538461</v>
      </c>
      <c r="J761" s="37" t="n">
        <v>0.3316441441441442</v>
      </c>
      <c r="K761" s="37" t="n">
        <v>0.6745098039215687</v>
      </c>
      <c r="L761" s="37" t="n">
        <v>0.6745098039215687</v>
      </c>
      <c r="M761" s="37" t="n">
        <v>0.9916666666666667</v>
      </c>
      <c r="N761" s="37" t="n">
        <v>0.18375</v>
      </c>
      <c r="O761" s="36" t="n">
        <v>0</v>
      </c>
      <c r="P761" s="36" t="n">
        <v>6.27</v>
      </c>
      <c r="Q761" s="36" t="n">
        <v>6.64</v>
      </c>
      <c r="R761" s="36" t="n">
        <v>13.38</v>
      </c>
      <c r="S761" s="36" t="n">
        <v>0</v>
      </c>
      <c r="T761" s="37" t="n">
        <v>0.4618615962856511</v>
      </c>
      <c r="U761" s="37" t="n">
        <v>0.3922297297297297</v>
      </c>
      <c r="V761" s="37" t="n">
        <v>0.6236286919831223</v>
      </c>
      <c r="W761" s="37" t="n">
        <v>0.8854435831180018</v>
      </c>
    </row>
    <row r="762">
      <c r="A762" s="53" t="n">
        <v>45770</v>
      </c>
      <c r="B762" t="inlineStr">
        <is>
          <t>R02_Sumbagsel</t>
        </is>
      </c>
      <c r="C762" t="inlineStr">
        <is>
          <t>NOP JAMBI</t>
        </is>
      </c>
      <c r="D762" s="36" t="n">
        <v>3.84</v>
      </c>
      <c r="E762" s="36" t="n">
        <v>6.72</v>
      </c>
      <c r="F762" s="36" t="n">
        <v>6.33</v>
      </c>
      <c r="G762" s="36" t="n">
        <v>8.56</v>
      </c>
      <c r="H762" s="37" t="n">
        <v>0.5324604473540644</v>
      </c>
      <c r="I762" s="37" t="n">
        <v>0.5721973094170404</v>
      </c>
      <c r="J762" s="37" t="n">
        <v>0.5150921207369659</v>
      </c>
      <c r="K762" s="37" t="n">
        <v>0.6551724137931034</v>
      </c>
      <c r="L762" s="37" t="n">
        <v>0.6577287066246057</v>
      </c>
      <c r="M762" s="37" t="n">
        <v>1</v>
      </c>
      <c r="N762" s="37" t="n">
        <v>0.2746863066012002</v>
      </c>
      <c r="O762" s="36" t="n">
        <v>0</v>
      </c>
      <c r="P762" s="36" t="n">
        <v>8.029999999999999</v>
      </c>
      <c r="Q762" s="36" t="n">
        <v>18.31</v>
      </c>
      <c r="R762" s="36" t="n">
        <v>18</v>
      </c>
      <c r="S762" s="36" t="n">
        <v>0</v>
      </c>
      <c r="T762" s="37" t="n">
        <v>0.632660687593423</v>
      </c>
      <c r="U762" s="37" t="n">
        <v>0.6201492537313433</v>
      </c>
      <c r="V762" s="37" t="n">
        <v>0.6691075514874142</v>
      </c>
      <c r="W762" s="37" t="n">
        <v>0.7490974729241877</v>
      </c>
    </row>
    <row r="763">
      <c r="A763" s="53" t="n">
        <v>45770</v>
      </c>
      <c r="B763" t="inlineStr">
        <is>
          <t>R02_Sumbagsel</t>
        </is>
      </c>
      <c r="C763" t="inlineStr">
        <is>
          <t>NOP LAMPUNG</t>
        </is>
      </c>
      <c r="D763" s="36" t="n">
        <v>3.84</v>
      </c>
      <c r="E763" s="36" t="n">
        <v>5.1</v>
      </c>
      <c r="F763" s="36" t="n">
        <v>4.8</v>
      </c>
      <c r="G763" s="36" t="n">
        <v>5.31</v>
      </c>
      <c r="H763" s="37" t="n">
        <v>0.5237757274662882</v>
      </c>
      <c r="I763" s="37" t="n">
        <v>0.6912181303116147</v>
      </c>
      <c r="J763" s="37" t="n">
        <v>0.4678030303030303</v>
      </c>
      <c r="K763" s="37" t="n">
        <v>0.7172131147540983</v>
      </c>
      <c r="L763" s="37" t="n">
        <v>0.7172131147540983</v>
      </c>
      <c r="M763" s="37" t="n">
        <v>0.9985805535841022</v>
      </c>
      <c r="N763" s="37" t="n">
        <v>0.3342796309439319</v>
      </c>
      <c r="O763" s="36" t="n">
        <v>1.12</v>
      </c>
      <c r="P763" s="36" t="n">
        <v>5.53</v>
      </c>
      <c r="Q763" s="36" t="n">
        <v>5.97</v>
      </c>
      <c r="R763" s="36" t="n">
        <v>27.07</v>
      </c>
      <c r="S763" s="36" t="n">
        <v>0</v>
      </c>
      <c r="T763" s="37" t="n">
        <v>0.8986831496909433</v>
      </c>
      <c r="U763" s="37" t="n">
        <v>0.801063829787234</v>
      </c>
      <c r="V763" s="37" t="n">
        <v>0.948170731707317</v>
      </c>
      <c r="W763" s="37" t="n">
        <v>0.852589641434263</v>
      </c>
    </row>
    <row r="764">
      <c r="A764" s="53" t="n">
        <v>45770</v>
      </c>
      <c r="B764" t="inlineStr">
        <is>
          <t>R02_Sumbagsel</t>
        </is>
      </c>
      <c r="C764" t="inlineStr">
        <is>
          <t>NOP MUARA ENIM</t>
        </is>
      </c>
      <c r="D764" s="36" t="n">
        <v>3.09</v>
      </c>
      <c r="E764" s="36" t="n">
        <v>3.84</v>
      </c>
      <c r="F764" s="36" t="n">
        <v>5.14</v>
      </c>
      <c r="G764" s="36" t="n">
        <v>5.23</v>
      </c>
      <c r="H764" s="37" t="n">
        <v>0.396448087431694</v>
      </c>
      <c r="I764" s="37" t="n">
        <v>0.3405483405483405</v>
      </c>
      <c r="J764" s="37" t="n">
        <v>0.4095045500505561</v>
      </c>
      <c r="K764" s="37" t="n">
        <v>0.5423728813559322</v>
      </c>
      <c r="L764" s="37" t="n">
        <v>0.5833333333333334</v>
      </c>
      <c r="M764" s="37" t="n">
        <v>0.9718579234972677</v>
      </c>
      <c r="N764" s="37" t="n">
        <v>0.1751366120218579</v>
      </c>
      <c r="O764" s="36" t="n">
        <v>0</v>
      </c>
      <c r="P764" s="36" t="n">
        <v>4.44</v>
      </c>
      <c r="Q764" s="36" t="n">
        <v>6.37</v>
      </c>
      <c r="R764" s="36" t="n">
        <v>8.75</v>
      </c>
      <c r="S764" s="36" t="n">
        <v>0</v>
      </c>
      <c r="T764" s="37" t="n">
        <v>0.4630738522954092</v>
      </c>
      <c r="U764" s="37" t="n">
        <v>0.4777227722772277</v>
      </c>
      <c r="V764" s="37" t="n">
        <v>0.5340557275541795</v>
      </c>
      <c r="W764" s="37" t="n">
        <v>0.7989637305699482</v>
      </c>
    </row>
    <row r="765">
      <c r="A765" s="53" t="n">
        <v>45770</v>
      </c>
      <c r="B765" t="inlineStr">
        <is>
          <t>R02_Sumbagsel</t>
        </is>
      </c>
      <c r="C765" t="inlineStr">
        <is>
          <t>NOP PALEMBANG</t>
        </is>
      </c>
      <c r="D765" s="36" t="n">
        <v>3.44</v>
      </c>
      <c r="E765" s="36" t="n">
        <v>4.97</v>
      </c>
      <c r="F765" s="36" t="n">
        <v>8.039999999999999</v>
      </c>
      <c r="G765" s="36" t="n">
        <v>9.039999999999999</v>
      </c>
      <c r="H765" s="37" t="n">
        <v>0.2966871165644172</v>
      </c>
      <c r="I765" s="37" t="n">
        <v>0.2990654205607476</v>
      </c>
      <c r="J765" s="37" t="n">
        <v>0.2964080065807513</v>
      </c>
      <c r="K765" s="37" t="n">
        <v>0.4609375</v>
      </c>
      <c r="L765" s="37" t="n">
        <v>0.4609375</v>
      </c>
      <c r="M765" s="37" t="n">
        <v>0.9995092024539878</v>
      </c>
      <c r="N765" s="37" t="n">
        <v>0.1251533742331288</v>
      </c>
      <c r="O765" s="36" t="n">
        <v>0</v>
      </c>
      <c r="P765" s="36" t="n">
        <v>5.9</v>
      </c>
      <c r="Q765" s="36" t="n">
        <v>12.29</v>
      </c>
      <c r="R765" s="36" t="n">
        <v>6</v>
      </c>
      <c r="S765" s="36" t="n">
        <v>0</v>
      </c>
      <c r="T765" s="37" t="n">
        <v>0.2994305910072649</v>
      </c>
      <c r="U765" s="37" t="n">
        <v>0.2476233589859665</v>
      </c>
      <c r="V765" s="37" t="n">
        <v>0.4196621914248592</v>
      </c>
      <c r="W765" s="37" t="n">
        <v>0.4497257769652651</v>
      </c>
    </row>
    <row r="766">
      <c r="A766" s="53" t="n">
        <v>45770</v>
      </c>
      <c r="B766" t="inlineStr">
        <is>
          <t>R02_Sumbagsel</t>
        </is>
      </c>
      <c r="C766" t="inlineStr">
        <is>
          <t>NOP PANGKAL PINANG</t>
        </is>
      </c>
      <c r="D766" s="36" t="n">
        <v>1.94</v>
      </c>
      <c r="E766" s="36" t="n">
        <v>3.22</v>
      </c>
      <c r="F766" s="36" t="n">
        <v>5.34</v>
      </c>
      <c r="G766" s="36" t="n">
        <v>6.51</v>
      </c>
      <c r="H766" s="37" t="n">
        <v>0.6473988439306358</v>
      </c>
      <c r="I766" s="37" t="n">
        <v>0.75</v>
      </c>
      <c r="J766" s="37" t="n">
        <v>0.6415478615071283</v>
      </c>
      <c r="K766" s="37" t="n">
        <v>0.6666666666666666</v>
      </c>
      <c r="L766" s="37" t="n">
        <v>0.6666666666666666</v>
      </c>
      <c r="M766" s="37" t="n">
        <v>0.9980732177263969</v>
      </c>
      <c r="N766" s="37" t="n">
        <v>0.3641618497109826</v>
      </c>
      <c r="O766" s="36" t="n">
        <v>0</v>
      </c>
      <c r="P766" s="36" t="n">
        <v>5.82</v>
      </c>
      <c r="Q766" s="36" t="n">
        <v>6.94</v>
      </c>
      <c r="R766" s="36" t="n">
        <v>7.48</v>
      </c>
      <c r="S766" s="36" t="n">
        <v>0</v>
      </c>
      <c r="T766" s="37" t="n">
        <v>0.7933579335793358</v>
      </c>
      <c r="U766" s="37" t="n">
        <v>0.8477751756440282</v>
      </c>
      <c r="V766" s="37" t="n">
        <v>0.8433734939759037</v>
      </c>
      <c r="W766" s="37" t="n">
        <v>0.7237569060773481</v>
      </c>
    </row>
    <row r="767">
      <c r="A767" s="53" t="n">
        <v>45770</v>
      </c>
      <c r="B767" t="inlineStr">
        <is>
          <t>R05_Jawa Tengah DIY</t>
        </is>
      </c>
      <c r="C767" t="inlineStr">
        <is>
          <t>NOP MAGELANG</t>
        </is>
      </c>
      <c r="D767" s="36" t="n">
        <v>4.42</v>
      </c>
      <c r="E767" s="36" t="n">
        <v>0</v>
      </c>
      <c r="F767" s="36" t="n">
        <v>4.36</v>
      </c>
      <c r="G767" s="36" t="n">
        <v>4.97</v>
      </c>
      <c r="H767" s="37" t="n">
        <v>0.7669902912621359</v>
      </c>
      <c r="I767" s="37" t="n">
        <v>0.9565217391304348</v>
      </c>
      <c r="J767" s="37" t="n">
        <v>0.7431693989071039</v>
      </c>
      <c r="K767" s="37" t="n">
        <v>0.75</v>
      </c>
      <c r="L767" s="37" t="n">
        <v>0.75</v>
      </c>
      <c r="M767" s="37" t="n">
        <v>0.9975728155339806</v>
      </c>
      <c r="N767" s="37" t="n">
        <v>0.6771844660194175</v>
      </c>
      <c r="O767" s="36" t="n">
        <v>0.22</v>
      </c>
      <c r="P767" s="36" t="n">
        <v>3.44</v>
      </c>
      <c r="Q767" s="36" t="n">
        <v>7.99</v>
      </c>
      <c r="R767" s="36" t="n">
        <v>17.02</v>
      </c>
      <c r="S767" s="36" t="n">
        <v>0</v>
      </c>
      <c r="T767" s="37" t="n">
        <v>0.9454342984409799</v>
      </c>
      <c r="U767" s="37" t="n">
        <v>0.9453551912568307</v>
      </c>
      <c r="V767" s="37" t="n">
        <v>0.9454545454545454</v>
      </c>
      <c r="W767" s="37" t="n">
        <v>0.8901734104046243</v>
      </c>
    </row>
    <row r="768">
      <c r="A768" s="53" t="n">
        <v>45770</v>
      </c>
      <c r="B768" t="inlineStr">
        <is>
          <t>R05_Jawa Tengah DIY</t>
        </is>
      </c>
      <c r="C768" t="inlineStr">
        <is>
          <t>NOP PEKALONGAN</t>
        </is>
      </c>
      <c r="D768" s="36" t="n">
        <v>3.14</v>
      </c>
      <c r="E768" s="36" t="n">
        <v>0</v>
      </c>
      <c r="F768" s="36" t="n">
        <v>3.4</v>
      </c>
      <c r="G768" s="36" t="n">
        <v>3.42</v>
      </c>
      <c r="H768" s="37" t="n">
        <v>0.6355685131195336</v>
      </c>
      <c r="I768" s="37" t="n">
        <v>0.7741935483870968</v>
      </c>
      <c r="J768" s="37" t="n">
        <v>0.6217948717948718</v>
      </c>
      <c r="K768" s="37" t="n">
        <v>1</v>
      </c>
      <c r="L768" s="37" t="n">
        <v>1</v>
      </c>
      <c r="M768" s="37" t="n">
        <v>0.9708454810495627</v>
      </c>
      <c r="N768" s="37" t="n">
        <v>0.6034985422740525</v>
      </c>
      <c r="O768" s="36" t="n">
        <v>0.01</v>
      </c>
      <c r="P768" s="36" t="n">
        <v>3.31</v>
      </c>
      <c r="Q768" s="36" t="n">
        <v>5.94</v>
      </c>
      <c r="R768" s="36" t="n">
        <v>49.97</v>
      </c>
      <c r="S768" s="36" t="n">
        <v>0</v>
      </c>
      <c r="T768" s="37" t="n">
        <v>0.8147590361445783</v>
      </c>
      <c r="U768" s="37" t="n">
        <v>0.76875</v>
      </c>
      <c r="V768" s="37" t="n">
        <v>0.8293650793650794</v>
      </c>
      <c r="W768" s="37" t="n">
        <v>0.6666666666666666</v>
      </c>
    </row>
    <row r="769">
      <c r="A769" s="53" t="n">
        <v>45770</v>
      </c>
      <c r="B769" t="inlineStr">
        <is>
          <t>R05_Jawa Tengah DIY</t>
        </is>
      </c>
      <c r="C769" t="inlineStr">
        <is>
          <t>NOP PURWOKERTO</t>
        </is>
      </c>
      <c r="D769" s="36" t="n">
        <v>3.26</v>
      </c>
      <c r="E769" s="36" t="n">
        <v>0</v>
      </c>
      <c r="F769" s="36" t="n">
        <v>3.62</v>
      </c>
      <c r="G769" s="36" t="n">
        <v>4.68</v>
      </c>
      <c r="H769" s="37" t="n">
        <v>0.7847222222222222</v>
      </c>
      <c r="I769" s="37" t="n">
        <v>0.7804878048780488</v>
      </c>
      <c r="J769" s="37" t="n">
        <v>0.7851662404092071</v>
      </c>
      <c r="K769" s="37" t="n">
        <v>1</v>
      </c>
      <c r="L769" s="37" t="n">
        <v>1</v>
      </c>
      <c r="M769" s="37" t="n">
        <v>0.9722222222222222</v>
      </c>
      <c r="N769" s="37" t="n">
        <v>0.5254629629629629</v>
      </c>
      <c r="O769" s="36" t="n">
        <v>0.28</v>
      </c>
      <c r="P769" s="36" t="n">
        <v>3.69</v>
      </c>
      <c r="Q769" s="36" t="n">
        <v>9.710000000000001</v>
      </c>
      <c r="R769" s="36" t="n">
        <v>40.73</v>
      </c>
      <c r="S769" s="36" t="n">
        <v>0</v>
      </c>
      <c r="T769" s="37" t="n">
        <v>0.8069073783359497</v>
      </c>
      <c r="U769" s="37" t="n">
        <v>0.8031496062992126</v>
      </c>
      <c r="V769" s="37" t="n">
        <v>0.807843137254902</v>
      </c>
      <c r="W769" s="37" t="n">
        <v>0.7745098039215687</v>
      </c>
    </row>
    <row r="770">
      <c r="A770" s="53" t="n">
        <v>45770</v>
      </c>
      <c r="B770" t="inlineStr">
        <is>
          <t>R05_Jawa Tengah DIY</t>
        </is>
      </c>
      <c r="C770" t="inlineStr">
        <is>
          <t>NOP SEMARANG</t>
        </is>
      </c>
      <c r="D770" s="36" t="n">
        <v>2.94</v>
      </c>
      <c r="E770" s="36" t="n">
        <v>1.69</v>
      </c>
      <c r="F770" s="36" t="n">
        <v>3.05</v>
      </c>
      <c r="G770" s="36" t="n">
        <v>4.12</v>
      </c>
      <c r="H770" s="37" t="n">
        <v>0.4027355623100304</v>
      </c>
      <c r="I770" s="37" t="n">
        <v>0.4696969696969697</v>
      </c>
      <c r="J770" s="37" t="n">
        <v>0.3952702702702703</v>
      </c>
      <c r="K770" s="37" t="n">
        <v>1</v>
      </c>
      <c r="L770" s="37" t="n">
        <v>1</v>
      </c>
      <c r="M770" s="37" t="n">
        <v>0.9498480243161094</v>
      </c>
      <c r="N770" s="37" t="n">
        <v>0.243161094224924</v>
      </c>
      <c r="O770" s="36" t="n">
        <v>1</v>
      </c>
      <c r="P770" s="36" t="n">
        <v>4.88</v>
      </c>
      <c r="Q770" s="36" t="n">
        <v>9.43</v>
      </c>
      <c r="R770" s="36" t="n">
        <v>70.45999999999999</v>
      </c>
      <c r="S770" s="36" t="n">
        <v>0</v>
      </c>
      <c r="T770" s="37" t="n">
        <v>0.7348643006263048</v>
      </c>
      <c r="U770" s="37" t="n">
        <v>0.4615384615384616</v>
      </c>
      <c r="V770" s="37" t="n">
        <v>0.836676217765043</v>
      </c>
      <c r="W770" s="37" t="n">
        <v>0.8333333333333334</v>
      </c>
    </row>
    <row r="771">
      <c r="A771" s="53" t="n">
        <v>45770</v>
      </c>
      <c r="B771" t="inlineStr">
        <is>
          <t>R05_Jawa Tengah DIY</t>
        </is>
      </c>
      <c r="C771" t="inlineStr">
        <is>
          <t>NOP SURAKARTA</t>
        </is>
      </c>
      <c r="D771" s="36" t="n">
        <v>3.66</v>
      </c>
      <c r="E771" s="36" t="n">
        <v>2.15</v>
      </c>
      <c r="F771" s="36" t="n">
        <v>4.05</v>
      </c>
      <c r="G771" s="36" t="n">
        <v>4.49</v>
      </c>
      <c r="H771" s="37" t="n">
        <v>0.723404255319149</v>
      </c>
      <c r="I771" s="37" t="n">
        <v>0.8674698795180723</v>
      </c>
      <c r="J771" s="37" t="n">
        <v>0.7041800643086816</v>
      </c>
      <c r="K771" s="37" t="n">
        <v>0.9444444444444444</v>
      </c>
      <c r="L771" s="37" t="n">
        <v>0.9444444444444444</v>
      </c>
      <c r="M771" s="37" t="n">
        <v>0.975886524822695</v>
      </c>
      <c r="N771" s="37" t="n">
        <v>0.5063829787234042</v>
      </c>
      <c r="O771" s="36" t="n">
        <v>0.13</v>
      </c>
      <c r="P771" s="36" t="n">
        <v>3.76</v>
      </c>
      <c r="Q771" s="36" t="n">
        <v>8.24</v>
      </c>
      <c r="R771" s="36" t="n">
        <v>55.39</v>
      </c>
      <c r="S771" s="36" t="n">
        <v>0</v>
      </c>
      <c r="T771" s="37" t="n">
        <v>0.8131256952169077</v>
      </c>
      <c r="U771" s="37" t="n">
        <v>0.7226890756302521</v>
      </c>
      <c r="V771" s="37" t="n">
        <v>0.8456883509833586</v>
      </c>
      <c r="W771" s="37" t="n">
        <v>0.7732558139534884</v>
      </c>
    </row>
    <row r="772">
      <c r="A772" s="53" t="n">
        <v>45770</v>
      </c>
      <c r="B772" t="inlineStr">
        <is>
          <t>R05_Jawa Tengah DIY</t>
        </is>
      </c>
      <c r="C772" t="inlineStr">
        <is>
          <t>NOP YOGYAKARTA</t>
        </is>
      </c>
      <c r="D772" s="36" t="n">
        <v>3.36</v>
      </c>
      <c r="E772" s="36" t="n">
        <v>0</v>
      </c>
      <c r="F772" s="36" t="n">
        <v>3.49</v>
      </c>
      <c r="G772" s="36" t="n">
        <v>3.77</v>
      </c>
      <c r="H772" s="37" t="n">
        <v>0.5924453280318092</v>
      </c>
      <c r="I772" s="37" t="n">
        <v>0.9047619047619048</v>
      </c>
      <c r="J772" s="37" t="n">
        <v>0.5639913232104121</v>
      </c>
      <c r="K772" s="37" t="n">
        <v>0.9473684210526315</v>
      </c>
      <c r="L772" s="37" t="n">
        <v>0.9444444444444444</v>
      </c>
      <c r="M772" s="37" t="n">
        <v>0.9900596421471173</v>
      </c>
      <c r="N772" s="37" t="n">
        <v>0.4254473161033797</v>
      </c>
      <c r="O772" s="36" t="n">
        <v>0</v>
      </c>
      <c r="P772" s="36" t="n">
        <v>3.11</v>
      </c>
      <c r="Q772" s="36" t="n">
        <v>15.45</v>
      </c>
      <c r="R772" s="36" t="n">
        <v>42.55</v>
      </c>
      <c r="S772" s="36" t="n">
        <v>0</v>
      </c>
      <c r="T772" s="37" t="n">
        <v>0.9329787234042554</v>
      </c>
      <c r="U772" s="37" t="n">
        <v>0.8311688311688312</v>
      </c>
      <c r="V772" s="37" t="n">
        <v>0.9529262086513995</v>
      </c>
      <c r="W772" s="37" t="n">
        <v>0.984375</v>
      </c>
    </row>
    <row r="773">
      <c r="A773" s="53" t="n">
        <v>45770</v>
      </c>
      <c r="B773" t="inlineStr">
        <is>
          <t>R06_Jawa Timur</t>
        </is>
      </c>
      <c r="C773" t="inlineStr">
        <is>
          <t>NOP JEMBER</t>
        </is>
      </c>
      <c r="D773" s="36" t="n">
        <v>2.21</v>
      </c>
      <c r="E773" s="36" t="n">
        <v>2.64</v>
      </c>
      <c r="F773" s="36" t="n">
        <v>4.23</v>
      </c>
      <c r="G773" s="36" t="n">
        <v>3.79</v>
      </c>
      <c r="H773" s="37" t="n">
        <v>0.6930022573363431</v>
      </c>
      <c r="I773" s="37" t="n">
        <v>0.6875</v>
      </c>
      <c r="J773" s="37" t="n">
        <v>0.6934306569343066</v>
      </c>
      <c r="K773" s="37" t="n">
        <v>0.7727272727272727</v>
      </c>
      <c r="L773" s="37" t="n">
        <v>0.7727272727272727</v>
      </c>
      <c r="M773" s="37" t="n">
        <v>0.9819413092550791</v>
      </c>
      <c r="N773" s="37" t="n">
        <v>0.381489841986456</v>
      </c>
      <c r="O773" s="36" t="n">
        <v>0</v>
      </c>
      <c r="P773" s="36" t="n">
        <v>3.61</v>
      </c>
      <c r="Q773" s="36" t="n">
        <v>5</v>
      </c>
      <c r="R773" s="36" t="n">
        <v>125.02</v>
      </c>
      <c r="S773" s="36" t="n">
        <v>0</v>
      </c>
      <c r="T773" s="37" t="n">
        <v>0.802491103202847</v>
      </c>
      <c r="U773" s="37" t="n">
        <v>0.7826086956521739</v>
      </c>
      <c r="V773" s="37" t="n">
        <v>0.8089622641509434</v>
      </c>
      <c r="W773" s="37" t="n">
        <v>0.7592592592592593</v>
      </c>
    </row>
    <row r="774">
      <c r="A774" s="53" t="n">
        <v>45770</v>
      </c>
      <c r="B774" t="inlineStr">
        <is>
          <t>R06_Jawa Timur</t>
        </is>
      </c>
      <c r="C774" t="inlineStr">
        <is>
          <t>NOP KEDIRI</t>
        </is>
      </c>
      <c r="D774" s="36" t="n">
        <v>1.21</v>
      </c>
      <c r="E774" s="36" t="n">
        <v>0.7</v>
      </c>
      <c r="F774" s="36" t="n">
        <v>2.16</v>
      </c>
      <c r="G774" s="36" t="n">
        <v>1.96</v>
      </c>
      <c r="H774" s="37" t="n">
        <v>0.8777777777777778</v>
      </c>
      <c r="I774" s="37" t="n">
        <v>0.8571428571428571</v>
      </c>
      <c r="J774" s="37" t="n">
        <v>0.8786127167630058</v>
      </c>
      <c r="K774" s="37" t="n">
        <v>0.6666666666666666</v>
      </c>
      <c r="L774" s="37" t="n">
        <v>0.6666666666666666</v>
      </c>
      <c r="M774" s="37" t="n">
        <v>1</v>
      </c>
      <c r="N774" s="37" t="n">
        <v>0.6388888888888888</v>
      </c>
      <c r="O774" s="36" t="n">
        <v>0</v>
      </c>
      <c r="P774" s="36" t="n">
        <v>1.99</v>
      </c>
      <c r="Q774" s="36" t="n">
        <v>3.5</v>
      </c>
      <c r="R774" s="36" t="n">
        <v>13.85</v>
      </c>
      <c r="S774" s="36" t="n">
        <v>0</v>
      </c>
      <c r="T774" s="37" t="n">
        <v>0.9495268138801262</v>
      </c>
      <c r="U774" s="37" t="n">
        <v>0.9117647058823529</v>
      </c>
      <c r="V774" s="37" t="n">
        <v>0.9598393574297188</v>
      </c>
      <c r="W774" s="37" t="n">
        <v>0.8870967741935484</v>
      </c>
    </row>
    <row r="775">
      <c r="A775" s="53" t="n">
        <v>45770</v>
      </c>
      <c r="B775" t="inlineStr">
        <is>
          <t>R06_Jawa Timur</t>
        </is>
      </c>
      <c r="C775" t="inlineStr">
        <is>
          <t>NOP LAMONGAN</t>
        </is>
      </c>
      <c r="D775" s="36" t="n">
        <v>1.5</v>
      </c>
      <c r="E775" s="36" t="n">
        <v>1.55</v>
      </c>
      <c r="F775" s="36" t="n">
        <v>3.22</v>
      </c>
      <c r="G775" s="36" t="n">
        <v>3.67</v>
      </c>
      <c r="H775" s="37" t="n">
        <v>0.8141592920353983</v>
      </c>
      <c r="I775" s="37" t="n">
        <v>0.9411764705882353</v>
      </c>
      <c r="J775" s="37" t="n">
        <v>0.8038277511961722</v>
      </c>
      <c r="K775" s="37" t="n">
        <v>0.9375</v>
      </c>
      <c r="L775" s="37" t="n">
        <v>0.9375</v>
      </c>
      <c r="M775" s="37" t="n">
        <v>1</v>
      </c>
      <c r="N775" s="37" t="n">
        <v>0.7168141592920354</v>
      </c>
      <c r="O775" s="36" t="n">
        <v>0</v>
      </c>
      <c r="P775" s="36" t="n">
        <v>2.32</v>
      </c>
      <c r="Q775" s="36" t="n">
        <v>10.73</v>
      </c>
      <c r="R775" s="36" t="n">
        <v>37.98</v>
      </c>
      <c r="S775" s="36" t="n">
        <v>0</v>
      </c>
      <c r="T775" s="37" t="n">
        <v>0.7717391304347826</v>
      </c>
      <c r="U775" s="37" t="n">
        <v>0.6696428571428571</v>
      </c>
      <c r="V775" s="37" t="n">
        <v>0.8414634146341463</v>
      </c>
      <c r="W775" s="37" t="n">
        <v>0.88</v>
      </c>
    </row>
    <row r="776">
      <c r="A776" s="53" t="n">
        <v>45770</v>
      </c>
      <c r="B776" t="inlineStr">
        <is>
          <t>R06_Jawa Timur</t>
        </is>
      </c>
      <c r="C776" t="inlineStr">
        <is>
          <t>NOP MADIUN</t>
        </is>
      </c>
      <c r="D776" s="36" t="n">
        <v>0.63</v>
      </c>
      <c r="E776" s="36" t="n">
        <v>0</v>
      </c>
      <c r="F776" s="36" t="n">
        <v>3.03</v>
      </c>
      <c r="G776" s="36" t="n">
        <v>3.12</v>
      </c>
      <c r="H776" s="37" t="n">
        <v>0.6143344709897611</v>
      </c>
      <c r="I776" s="37" t="n">
        <v>1</v>
      </c>
      <c r="J776" s="37" t="n">
        <v>0.6076388888888888</v>
      </c>
      <c r="K776" s="37" t="n">
        <v>0.8</v>
      </c>
      <c r="L776" s="37" t="n">
        <v>0.8</v>
      </c>
      <c r="M776" s="37" t="n">
        <v>0.9965870307167235</v>
      </c>
      <c r="N776" s="37" t="n">
        <v>0.3583617747440273</v>
      </c>
      <c r="O776" s="36" t="n">
        <v>0</v>
      </c>
      <c r="P776" s="36" t="n">
        <v>2.45</v>
      </c>
      <c r="Q776" s="36" t="n">
        <v>5.87</v>
      </c>
      <c r="R776" s="36" t="n">
        <v>47.94</v>
      </c>
      <c r="S776" s="36" t="n">
        <v>0</v>
      </c>
      <c r="T776" s="37" t="n">
        <v>0.7097505668934241</v>
      </c>
      <c r="U776" s="37" t="n">
        <v>0.7261146496815286</v>
      </c>
      <c r="V776" s="37" t="n">
        <v>0.7007042253521126</v>
      </c>
      <c r="W776" s="37" t="n">
        <v>0.7894736842105263</v>
      </c>
    </row>
    <row r="777">
      <c r="A777" s="53" t="n">
        <v>45770</v>
      </c>
      <c r="B777" t="inlineStr">
        <is>
          <t>R06_Jawa Timur</t>
        </is>
      </c>
      <c r="C777" t="inlineStr">
        <is>
          <t>NOP MALANG</t>
        </is>
      </c>
      <c r="D777" s="36" t="n">
        <v>1.31</v>
      </c>
      <c r="E777" s="36" t="n">
        <v>0</v>
      </c>
      <c r="F777" s="36" t="n">
        <v>2.84</v>
      </c>
      <c r="G777" s="36" t="n">
        <v>2.71</v>
      </c>
      <c r="H777" s="37" t="n">
        <v>0.8189910979228486</v>
      </c>
      <c r="I777" s="37" t="n">
        <v>0.8571428571428571</v>
      </c>
      <c r="J777" s="37" t="n">
        <v>0.8181818181818182</v>
      </c>
      <c r="K777" s="37" t="n">
        <v>1</v>
      </c>
      <c r="L777" s="37" t="n">
        <v>1</v>
      </c>
      <c r="M777" s="37" t="n">
        <v>0.9970326409495549</v>
      </c>
      <c r="N777" s="37" t="n">
        <v>0.7655786350148368</v>
      </c>
      <c r="O777" s="36" t="n">
        <v>0.02</v>
      </c>
      <c r="P777" s="36" t="n">
        <v>2.76</v>
      </c>
      <c r="Q777" s="36" t="n">
        <v>4.78</v>
      </c>
      <c r="R777" s="36" t="n">
        <v>44.7</v>
      </c>
      <c r="S777" s="36" t="n">
        <v>0</v>
      </c>
      <c r="T777" s="37" t="n">
        <v>0.8</v>
      </c>
      <c r="U777" s="37" t="n">
        <v>0.7008547008547008</v>
      </c>
      <c r="V777" s="37" t="n">
        <v>0.8711656441717791</v>
      </c>
      <c r="W777" s="37" t="n">
        <v>0.6219512195121951</v>
      </c>
    </row>
    <row r="778">
      <c r="A778" s="53" t="n">
        <v>45770</v>
      </c>
      <c r="B778" t="inlineStr">
        <is>
          <t>R06_Jawa Timur</t>
        </is>
      </c>
      <c r="C778" t="inlineStr">
        <is>
          <t>NOP SIDOARJO</t>
        </is>
      </c>
      <c r="D778" s="36" t="n">
        <v>2.87</v>
      </c>
      <c r="E778" s="36" t="n">
        <v>5.94</v>
      </c>
      <c r="F778" s="36" t="n">
        <v>3.25</v>
      </c>
      <c r="G778" s="36" t="n">
        <v>4.82</v>
      </c>
      <c r="H778" s="37" t="n">
        <v>0.6036585365853658</v>
      </c>
      <c r="I778" s="37" t="n">
        <v>0.9090909090909091</v>
      </c>
      <c r="J778" s="37" t="n">
        <v>0.5694915254237288</v>
      </c>
      <c r="K778" s="37" t="n">
        <v>0.8666666666666667</v>
      </c>
      <c r="L778" s="37" t="n">
        <v>0.8666666666666667</v>
      </c>
      <c r="M778" s="37" t="n">
        <v>0.9817073170731707</v>
      </c>
      <c r="N778" s="37" t="n">
        <v>0.4207317073170732</v>
      </c>
      <c r="O778" s="36" t="n">
        <v>0.01</v>
      </c>
      <c r="P778" s="36" t="n">
        <v>4.44</v>
      </c>
      <c r="Q778" s="36" t="n">
        <v>11.52</v>
      </c>
      <c r="R778" s="36" t="n">
        <v>52.78</v>
      </c>
      <c r="S778" s="36" t="n">
        <v>0</v>
      </c>
      <c r="T778" s="37" t="n">
        <v>0.8055555555555556</v>
      </c>
      <c r="U778" s="37" t="n">
        <v>0.7027027027027027</v>
      </c>
      <c r="V778" s="37" t="n">
        <v>0.8456140350877193</v>
      </c>
      <c r="W778" s="37" t="n">
        <v>0.7692307692307693</v>
      </c>
    </row>
    <row r="779">
      <c r="A779" s="53" t="n">
        <v>45770</v>
      </c>
      <c r="B779" t="inlineStr">
        <is>
          <t>R06_Jawa Timur</t>
        </is>
      </c>
      <c r="C779" t="inlineStr">
        <is>
          <t>NOP SURABAYA</t>
        </is>
      </c>
      <c r="D779" s="36" t="n">
        <v>2.3</v>
      </c>
      <c r="E779" s="36" t="n">
        <v>0</v>
      </c>
      <c r="F779" s="36" t="n">
        <v>4.56</v>
      </c>
      <c r="G779" s="36" t="n">
        <v>4.02</v>
      </c>
      <c r="H779" s="37" t="n">
        <v>0.5948275862068966</v>
      </c>
      <c r="I779" s="37" t="n">
        <v>0.5471698113207547</v>
      </c>
      <c r="J779" s="37" t="n">
        <v>0.6009732360097324</v>
      </c>
      <c r="K779" s="37" t="n">
        <v>0.9310344827586207</v>
      </c>
      <c r="L779" s="37" t="n">
        <v>0.9310344827586207</v>
      </c>
      <c r="M779" s="37" t="n">
        <v>0.9676724137931034</v>
      </c>
      <c r="N779" s="37" t="n">
        <v>0.4116379310344828</v>
      </c>
      <c r="O779" s="36" t="n">
        <v>0.04</v>
      </c>
      <c r="P779" s="36" t="n">
        <v>3.1</v>
      </c>
      <c r="Q779" s="36" t="n">
        <v>7.12</v>
      </c>
      <c r="R779" s="36" t="n">
        <v>29.01</v>
      </c>
      <c r="S779" s="36" t="n">
        <v>0</v>
      </c>
      <c r="T779" s="37" t="n">
        <v>0.6726128016789087</v>
      </c>
      <c r="U779" s="37" t="n">
        <v>0.6809815950920245</v>
      </c>
      <c r="V779" s="37" t="n">
        <v>0.6708860759493671</v>
      </c>
      <c r="W779" s="37" t="n">
        <v>0.8918918918918919</v>
      </c>
    </row>
    <row r="780">
      <c r="A780" s="53" t="n">
        <v>45770</v>
      </c>
      <c r="B780" t="inlineStr">
        <is>
          <t>R07_Bali Nusra</t>
        </is>
      </c>
      <c r="C780" t="inlineStr">
        <is>
          <t>NOP DENPASAR</t>
        </is>
      </c>
      <c r="D780" s="36" t="n">
        <v>3.2</v>
      </c>
      <c r="E780" s="36" t="n">
        <v>0</v>
      </c>
      <c r="F780" s="36" t="n">
        <v>5.33</v>
      </c>
      <c r="G780" s="36" t="n">
        <v>4.07</v>
      </c>
      <c r="H780" s="37" t="n">
        <v>0.900709219858156</v>
      </c>
      <c r="I780" s="37" t="n">
        <v>0.875</v>
      </c>
      <c r="J780" s="37" t="n">
        <v>0.905982905982906</v>
      </c>
      <c r="K780" s="37" t="n">
        <v>0.9523809523809523</v>
      </c>
      <c r="L780" s="37" t="n">
        <v>0.9523809523809523</v>
      </c>
      <c r="M780" s="37" t="n">
        <v>0.9645390070921985</v>
      </c>
      <c r="N780" s="37" t="n">
        <v>0.8546099290780141</v>
      </c>
      <c r="O780" s="36" t="n">
        <v>0</v>
      </c>
      <c r="P780" s="36" t="n">
        <v>96.03</v>
      </c>
      <c r="Q780" s="36" t="n">
        <v>21.53</v>
      </c>
      <c r="R780" s="36" t="n">
        <v>82.69</v>
      </c>
      <c r="S780" s="36" t="n">
        <v>0</v>
      </c>
      <c r="T780" s="37" t="n">
        <v>0.8640776699029126</v>
      </c>
      <c r="U780" s="37" t="n">
        <v>0.847457627118644</v>
      </c>
      <c r="V780" s="37" t="n">
        <v>0.8690176322418136</v>
      </c>
      <c r="W780" s="37" t="n">
        <v>0.55</v>
      </c>
    </row>
    <row r="781">
      <c r="A781" s="53" t="n">
        <v>45770</v>
      </c>
      <c r="B781" t="inlineStr">
        <is>
          <t>R07_Bali Nusra</t>
        </is>
      </c>
      <c r="C781" t="inlineStr">
        <is>
          <t>NOP FLORES</t>
        </is>
      </c>
      <c r="D781" s="36" t="n">
        <v>8.539999999999999</v>
      </c>
      <c r="E781" s="36" t="n">
        <v>5.22</v>
      </c>
      <c r="F781" s="36" t="n">
        <v>8.300000000000001</v>
      </c>
      <c r="G781" s="36" t="n">
        <v>9.960000000000001</v>
      </c>
      <c r="H781" s="37" t="n">
        <v>0.5091687041564792</v>
      </c>
      <c r="I781" s="37" t="n">
        <v>0.6442786069651741</v>
      </c>
      <c r="J781" s="37" t="n">
        <v>0.4651539708265802</v>
      </c>
      <c r="K781" s="37" t="n">
        <v>0.6061776061776062</v>
      </c>
      <c r="L781" s="37" t="n">
        <v>0.616600790513834</v>
      </c>
      <c r="M781" s="37" t="n">
        <v>0.9926650366748166</v>
      </c>
      <c r="N781" s="37" t="n">
        <v>0.3190709046454768</v>
      </c>
      <c r="O781" s="36" t="n">
        <v>0.62</v>
      </c>
      <c r="P781" s="36" t="n">
        <v>10.76</v>
      </c>
      <c r="Q781" s="36" t="n">
        <v>8.140000000000001</v>
      </c>
      <c r="R781" s="36" t="n">
        <v>45.61</v>
      </c>
      <c r="S781" s="36" t="n">
        <v>0</v>
      </c>
      <c r="T781" s="37" t="n">
        <v>0.5040535777229468</v>
      </c>
      <c r="U781" s="37" t="n">
        <v>0.545974025974026</v>
      </c>
      <c r="V781" s="37" t="n">
        <v>0.4155701754385965</v>
      </c>
      <c r="W781" s="37" t="n">
        <v>0.686964795432921</v>
      </c>
    </row>
    <row r="782">
      <c r="A782" s="53" t="n">
        <v>45770</v>
      </c>
      <c r="B782" t="inlineStr">
        <is>
          <t>R07_Bali Nusra</t>
        </is>
      </c>
      <c r="C782" t="inlineStr">
        <is>
          <t>NOP KUPANG</t>
        </is>
      </c>
      <c r="D782" s="36" t="n">
        <v>1.18</v>
      </c>
      <c r="E782" s="36" t="n">
        <v>6.23</v>
      </c>
      <c r="F782" s="36" t="n">
        <v>11.31</v>
      </c>
      <c r="G782" s="36" t="n">
        <v>10.2</v>
      </c>
      <c r="H782" s="37" t="n">
        <v>0.4898678414096916</v>
      </c>
      <c r="I782" s="37" t="n">
        <v>0.6174496644295302</v>
      </c>
      <c r="J782" s="37" t="n">
        <v>0.4705882352941176</v>
      </c>
      <c r="K782" s="37" t="n">
        <v>0.6086956521739131</v>
      </c>
      <c r="L782" s="37" t="n">
        <v>0.6086956521739131</v>
      </c>
      <c r="M782" s="37" t="n">
        <v>0.9788546255506608</v>
      </c>
      <c r="N782" s="37" t="n">
        <v>0.1850220264317181</v>
      </c>
      <c r="O782" s="36" t="n">
        <v>0.19</v>
      </c>
      <c r="P782" s="36" t="n">
        <v>8.539999999999999</v>
      </c>
      <c r="Q782" s="36" t="n">
        <v>21.61</v>
      </c>
      <c r="R782" s="36" t="n">
        <v>156.99</v>
      </c>
      <c r="S782" s="36" t="n">
        <v>0</v>
      </c>
      <c r="T782" s="37" t="n">
        <v>0.5777070063694267</v>
      </c>
      <c r="U782" s="37" t="n">
        <v>0.5783009211873081</v>
      </c>
      <c r="V782" s="37" t="n">
        <v>0.5767284991568297</v>
      </c>
      <c r="W782" s="37" t="n">
        <v>0.672566371681416</v>
      </c>
    </row>
    <row r="783">
      <c r="A783" s="53" t="n">
        <v>45770</v>
      </c>
      <c r="B783" t="inlineStr">
        <is>
          <t>R07_Bali Nusra</t>
        </is>
      </c>
      <c r="C783" t="inlineStr">
        <is>
          <t>NOP MATARAM</t>
        </is>
      </c>
      <c r="D783" s="36" t="n">
        <v>3.13</v>
      </c>
      <c r="E783" s="36" t="n">
        <v>5.16</v>
      </c>
      <c r="F783" s="36" t="n">
        <v>4.48</v>
      </c>
      <c r="G783" s="36" t="n">
        <v>5.96</v>
      </c>
      <c r="H783" s="37" t="n">
        <v>0.5296950240770465</v>
      </c>
      <c r="I783" s="37" t="n">
        <v>0.6428571428571429</v>
      </c>
      <c r="J783" s="37" t="n">
        <v>0.5120593692022264</v>
      </c>
      <c r="K783" s="37" t="n">
        <v>0.7407407407407407</v>
      </c>
      <c r="L783" s="37" t="n">
        <v>0.7407407407407407</v>
      </c>
      <c r="M783" s="37" t="n">
        <v>0.9903691813804173</v>
      </c>
      <c r="N783" s="37" t="n">
        <v>0.3226324237560192</v>
      </c>
      <c r="O783" s="36" t="n">
        <v>1.09</v>
      </c>
      <c r="P783" s="36" t="n">
        <v>23.04</v>
      </c>
      <c r="Q783" s="36" t="n">
        <v>16.32</v>
      </c>
      <c r="R783" s="36" t="n">
        <v>43.43</v>
      </c>
      <c r="S783" s="36" t="n">
        <v>0</v>
      </c>
      <c r="T783" s="37" t="n">
        <v>0.3837025316455696</v>
      </c>
      <c r="U783" s="37" t="n">
        <v>0.4040268456375839</v>
      </c>
      <c r="V783" s="37" t="n">
        <v>0.3545279383429673</v>
      </c>
      <c r="W783" s="37" t="n">
        <v>0.6179401993355482</v>
      </c>
    </row>
    <row r="784">
      <c r="A784" s="53" t="n">
        <v>45771</v>
      </c>
      <c r="B784" t="inlineStr">
        <is>
          <t>R01_Sumbagut</t>
        </is>
      </c>
      <c r="C784" t="inlineStr">
        <is>
          <t>NOP ACEH</t>
        </is>
      </c>
      <c r="D784" s="36" t="n">
        <v>3.68</v>
      </c>
      <c r="E784" s="36" t="n">
        <v>4.11</v>
      </c>
      <c r="F784" s="36" t="n">
        <v>9.67</v>
      </c>
      <c r="G784" s="36" t="n">
        <v>9.779999999999999</v>
      </c>
      <c r="H784" s="37" t="n">
        <v>0.8367023384859295</v>
      </c>
      <c r="I784" s="37" t="n">
        <v>0.8335949764521193</v>
      </c>
      <c r="J784" s="37" t="n">
        <v>0.8377518557794273</v>
      </c>
      <c r="K784" s="37" t="n">
        <v>0.4180790960451977</v>
      </c>
      <c r="L784" s="37" t="n">
        <v>0.4193548387096774</v>
      </c>
      <c r="M784" s="37" t="n">
        <v>0.9996036464526358</v>
      </c>
      <c r="N784" s="37" t="n">
        <v>0.3131193024177567</v>
      </c>
      <c r="O784" s="36" t="n">
        <v>0.06</v>
      </c>
      <c r="P784" s="36" t="n">
        <v>4.49</v>
      </c>
      <c r="Q784" s="36" t="n">
        <v>68.48999999999999</v>
      </c>
      <c r="R784" s="36" t="n">
        <v>129.45</v>
      </c>
      <c r="S784" s="36" t="n">
        <v>0</v>
      </c>
      <c r="T784" s="37" t="n">
        <v>0.8665331605607256</v>
      </c>
      <c r="U784" s="37" t="n">
        <v>0.7210762331838565</v>
      </c>
      <c r="V784" s="37" t="n">
        <v>0.8914739291090735</v>
      </c>
      <c r="W784" s="37" t="n">
        <v>0.1990049751243781</v>
      </c>
    </row>
    <row r="785">
      <c r="A785" s="53" t="n">
        <v>45771</v>
      </c>
      <c r="B785" t="inlineStr">
        <is>
          <t>R01_Sumbagut</t>
        </is>
      </c>
      <c r="C785" t="inlineStr">
        <is>
          <t>NOP BINJAI</t>
        </is>
      </c>
      <c r="D785" s="36" t="n">
        <v>9.9</v>
      </c>
      <c r="E785" s="36" t="n">
        <v>4.76</v>
      </c>
      <c r="F785" s="36" t="n">
        <v>3.7</v>
      </c>
      <c r="G785" s="36" t="n">
        <v>4.22</v>
      </c>
      <c r="H785" s="37" t="n">
        <v>0.6264949402023919</v>
      </c>
      <c r="I785" s="37" t="n">
        <v>0.746938775510204</v>
      </c>
      <c r="J785" s="37" t="n">
        <v>0.5914489311163895</v>
      </c>
      <c r="K785" s="37" t="n">
        <v>0.5573770491803278</v>
      </c>
      <c r="L785" s="37" t="n">
        <v>0.554945054945055</v>
      </c>
      <c r="M785" s="37" t="n">
        <v>1</v>
      </c>
      <c r="N785" s="37" t="n">
        <v>0.3459061637534498</v>
      </c>
      <c r="O785" s="36" t="n">
        <v>0.02</v>
      </c>
      <c r="P785" s="36" t="n">
        <v>2.68</v>
      </c>
      <c r="Q785" s="36" t="n">
        <v>35.87</v>
      </c>
      <c r="R785" s="36" t="n">
        <v>100.83</v>
      </c>
      <c r="S785" s="36" t="n">
        <v>0</v>
      </c>
      <c r="T785" s="37" t="n">
        <v>0.6621682411156096</v>
      </c>
      <c r="U785" s="37" t="n">
        <v>0.5548961424332344</v>
      </c>
      <c r="V785" s="37" t="n">
        <v>0.7326388888888888</v>
      </c>
      <c r="W785" s="37" t="n">
        <v>0.5454545454545454</v>
      </c>
    </row>
    <row r="786">
      <c r="A786" s="53" t="n">
        <v>45771</v>
      </c>
      <c r="B786" t="inlineStr">
        <is>
          <t>R01_Sumbagut</t>
        </is>
      </c>
      <c r="C786" t="inlineStr">
        <is>
          <t>NOP MEDAN</t>
        </is>
      </c>
      <c r="D786" s="36" t="n">
        <v>5.2</v>
      </c>
      <c r="E786" s="36" t="n">
        <v>4.24</v>
      </c>
      <c r="F786" s="36" t="n">
        <v>4.37</v>
      </c>
      <c r="G786" s="36" t="n">
        <v>5.09</v>
      </c>
      <c r="H786" s="37" t="n">
        <v>0.4102803738317757</v>
      </c>
      <c r="I786" s="37" t="n">
        <v>0.4682779456193353</v>
      </c>
      <c r="J786" s="37" t="n">
        <v>0.3843031123139378</v>
      </c>
      <c r="K786" s="37" t="n">
        <v>0.8129032258064516</v>
      </c>
      <c r="L786" s="37" t="n">
        <v>0.8169934640522876</v>
      </c>
      <c r="M786" s="37" t="n">
        <v>0.997196261682243</v>
      </c>
      <c r="N786" s="37" t="n">
        <v>0.2598130841121495</v>
      </c>
      <c r="O786" s="36" t="n">
        <v>0</v>
      </c>
      <c r="P786" s="36" t="n">
        <v>4.75</v>
      </c>
      <c r="Q786" s="36" t="n">
        <v>17.26</v>
      </c>
      <c r="R786" s="36" t="n">
        <v>10.46</v>
      </c>
      <c r="S786" s="36" t="n">
        <v>0</v>
      </c>
      <c r="T786" s="37" t="n">
        <v>0.3221070811744387</v>
      </c>
      <c r="U786" s="37" t="n">
        <v>0.2012383900928792</v>
      </c>
      <c r="V786" s="37" t="n">
        <v>0.4008042895442359</v>
      </c>
      <c r="W786" s="37" t="n">
        <v>0.8769230769230769</v>
      </c>
    </row>
    <row r="787">
      <c r="A787" s="53" t="n">
        <v>45771</v>
      </c>
      <c r="B787" t="inlineStr">
        <is>
          <t>R01_Sumbagut</t>
        </is>
      </c>
      <c r="C787" t="inlineStr">
        <is>
          <t>NOP PADANG SIDEMPUAN</t>
        </is>
      </c>
      <c r="D787" s="36" t="n">
        <v>3.08</v>
      </c>
      <c r="E787" s="36" t="n">
        <v>3.64</v>
      </c>
      <c r="F787" s="36" t="n">
        <v>4.9</v>
      </c>
      <c r="G787" s="36" t="n">
        <v>6.34</v>
      </c>
      <c r="H787" s="37" t="n">
        <v>0.2992505353319058</v>
      </c>
      <c r="I787" s="37" t="n">
        <v>0.4578313253012048</v>
      </c>
      <c r="J787" s="37" t="n">
        <v>0.2748610253242743</v>
      </c>
      <c r="K787" s="37" t="n">
        <v>0.4736842105263158</v>
      </c>
      <c r="L787" s="37" t="n">
        <v>0.4736842105263158</v>
      </c>
      <c r="M787" s="37" t="n">
        <v>0.9941113490364025</v>
      </c>
      <c r="N787" s="37" t="n">
        <v>0.1241970021413276</v>
      </c>
      <c r="O787" s="36" t="n">
        <v>0.01</v>
      </c>
      <c r="P787" s="36" t="n">
        <v>2.46</v>
      </c>
      <c r="Q787" s="36" t="n">
        <v>13.82</v>
      </c>
      <c r="R787" s="36" t="n">
        <v>98.8</v>
      </c>
      <c r="S787" s="36" t="n">
        <v>0</v>
      </c>
      <c r="T787" s="37" t="n">
        <v>0.2949345115985482</v>
      </c>
      <c r="U787" s="37" t="n">
        <v>0.4178571428571429</v>
      </c>
      <c r="V787" s="37" t="n">
        <v>0.25206431986093</v>
      </c>
      <c r="W787" s="37" t="n">
        <v>0.4743589743589743</v>
      </c>
    </row>
    <row r="788">
      <c r="A788" s="53" t="n">
        <v>45771</v>
      </c>
      <c r="B788" t="inlineStr">
        <is>
          <t>R01_Sumbagut</t>
        </is>
      </c>
      <c r="C788" t="inlineStr">
        <is>
          <t>NOP PEMATANG SIANTAR</t>
        </is>
      </c>
      <c r="D788" s="36" t="n">
        <v>3.66</v>
      </c>
      <c r="E788" s="36" t="n">
        <v>3.75</v>
      </c>
      <c r="F788" s="36" t="n">
        <v>5.28</v>
      </c>
      <c r="G788" s="36" t="n">
        <v>4.9</v>
      </c>
      <c r="H788" s="37" t="n">
        <v>0.336834208552138</v>
      </c>
      <c r="I788" s="37" t="n">
        <v>0.3706030150753769</v>
      </c>
      <c r="J788" s="37" t="n">
        <v>0.3224598930481283</v>
      </c>
      <c r="K788" s="37" t="n">
        <v>0.6813559322033899</v>
      </c>
      <c r="L788" s="37" t="n">
        <v>0.6877192982456141</v>
      </c>
      <c r="M788" s="37" t="n">
        <v>0.9973743435858965</v>
      </c>
      <c r="N788" s="37" t="n">
        <v>0.1882970742685671</v>
      </c>
      <c r="O788" s="36" t="n">
        <v>0.03</v>
      </c>
      <c r="P788" s="36" t="n">
        <v>4.43</v>
      </c>
      <c r="Q788" s="36" t="n">
        <v>72.43000000000001</v>
      </c>
      <c r="R788" s="36" t="n">
        <v>71.33</v>
      </c>
      <c r="S788" s="36" t="n">
        <v>0</v>
      </c>
      <c r="T788" s="37" t="n">
        <v>0.1150810857687972</v>
      </c>
      <c r="U788" s="37" t="n">
        <v>0.3386944181646168</v>
      </c>
      <c r="V788" s="37" t="n">
        <v>0.09090030911901081</v>
      </c>
      <c r="W788" s="37" t="n">
        <v>0.8435754189944135</v>
      </c>
    </row>
    <row r="789">
      <c r="A789" s="53" t="n">
        <v>45771</v>
      </c>
      <c r="B789" t="inlineStr">
        <is>
          <t>R01_Sumbagut</t>
        </is>
      </c>
      <c r="C789" t="inlineStr">
        <is>
          <t>NOP RANTAU PRAPAT</t>
        </is>
      </c>
      <c r="D789" s="36" t="n">
        <v>5.04</v>
      </c>
      <c r="E789" s="36" t="n">
        <v>6.38</v>
      </c>
      <c r="F789" s="36" t="n">
        <v>5.92</v>
      </c>
      <c r="G789" s="36" t="n">
        <v>6.11</v>
      </c>
      <c r="H789" s="37" t="n">
        <v>0.313582726587999</v>
      </c>
      <c r="I789" s="37" t="n">
        <v>0.3112033195020747</v>
      </c>
      <c r="J789" s="37" t="n">
        <v>0.3141104294478528</v>
      </c>
      <c r="K789" s="37" t="n">
        <v>0.6177777777777778</v>
      </c>
      <c r="L789" s="37" t="n">
        <v>0.6205357142857143</v>
      </c>
      <c r="M789" s="37" t="n">
        <v>0.9894551845342706</v>
      </c>
      <c r="N789" s="37" t="n">
        <v>0.1775043936731107</v>
      </c>
      <c r="O789" s="36" t="n">
        <v>0.02</v>
      </c>
      <c r="P789" s="36" t="n">
        <v>4.3</v>
      </c>
      <c r="Q789" s="36" t="n">
        <v>39.04</v>
      </c>
      <c r="R789" s="36" t="n">
        <v>48.66</v>
      </c>
      <c r="S789" s="36" t="n">
        <v>0</v>
      </c>
      <c r="T789" s="37" t="n">
        <v>0.06944266495836003</v>
      </c>
      <c r="U789" s="37" t="n">
        <v>0.1603585657370518</v>
      </c>
      <c r="V789" s="37" t="n">
        <v>0.04860267314702309</v>
      </c>
      <c r="W789" s="37" t="n">
        <v>0.6211180124223602</v>
      </c>
    </row>
    <row r="790">
      <c r="A790" s="53" t="n">
        <v>45771</v>
      </c>
      <c r="B790" t="inlineStr">
        <is>
          <t>R10_Sumbagteng</t>
        </is>
      </c>
      <c r="C790" t="inlineStr">
        <is>
          <t>NOP BATAM</t>
        </is>
      </c>
      <c r="D790" s="36" t="n">
        <v>3.17</v>
      </c>
      <c r="E790" s="36" t="n">
        <v>8.59</v>
      </c>
      <c r="F790" s="36" t="n">
        <v>6.75</v>
      </c>
      <c r="G790" s="36" t="n">
        <v>10.54</v>
      </c>
      <c r="H790" s="37" t="n">
        <v>0.2998021108179419</v>
      </c>
      <c r="I790" s="37" t="n">
        <v>0.3375</v>
      </c>
      <c r="J790" s="37" t="n">
        <v>0.2912621359223301</v>
      </c>
      <c r="K790" s="37" t="n">
        <v>0.6031746031746031</v>
      </c>
      <c r="L790" s="37" t="n">
        <v>0.6195652173913043</v>
      </c>
      <c r="M790" s="37" t="n">
        <v>0.9937335092348285</v>
      </c>
      <c r="N790" s="37" t="n">
        <v>0.1870052770448549</v>
      </c>
      <c r="O790" s="36" t="n">
        <v>0.82</v>
      </c>
      <c r="P790" s="36" t="n">
        <v>5.34</v>
      </c>
      <c r="Q790" s="36" t="n">
        <v>31.38</v>
      </c>
      <c r="R790" s="36" t="n">
        <v>21.16</v>
      </c>
      <c r="S790" s="36" t="n">
        <v>0</v>
      </c>
      <c r="T790" s="37" t="n">
        <v>0.0797534376481745</v>
      </c>
      <c r="U790" s="37" t="n">
        <v>0.2381280110116999</v>
      </c>
      <c r="V790" s="37" t="n">
        <v>0.05367483296213808</v>
      </c>
      <c r="W790" s="37" t="n">
        <v>0.7976878612716763</v>
      </c>
    </row>
    <row r="791">
      <c r="A791" s="53" t="n">
        <v>45771</v>
      </c>
      <c r="B791" t="inlineStr">
        <is>
          <t>R10_Sumbagteng</t>
        </is>
      </c>
      <c r="C791" t="inlineStr">
        <is>
          <t>NOP BUKITTINGGI</t>
        </is>
      </c>
      <c r="D791" s="36" t="n">
        <v>2.57</v>
      </c>
      <c r="E791" s="36" t="n">
        <v>4.34</v>
      </c>
      <c r="F791" s="36" t="n">
        <v>5.39</v>
      </c>
      <c r="G791" s="36" t="n">
        <v>5.65</v>
      </c>
      <c r="H791" s="37" t="n">
        <v>0.7580201649862511</v>
      </c>
      <c r="I791" s="37" t="n">
        <v>0.8388278388278388</v>
      </c>
      <c r="J791" s="37" t="n">
        <v>0.7310513447432763</v>
      </c>
      <c r="K791" s="37" t="n">
        <v>0.62882096069869</v>
      </c>
      <c r="L791" s="37" t="n">
        <v>0.6457399103139013</v>
      </c>
      <c r="M791" s="37" t="n">
        <v>0.9926672777268561</v>
      </c>
      <c r="N791" s="37" t="n">
        <v>0.4656278643446379</v>
      </c>
      <c r="O791" s="36" t="n">
        <v>0.06</v>
      </c>
      <c r="P791" s="36" t="n">
        <v>3.28</v>
      </c>
      <c r="Q791" s="36" t="n">
        <v>10.11</v>
      </c>
      <c r="R791" s="36" t="n">
        <v>101.13</v>
      </c>
      <c r="S791" s="36" t="n">
        <v>0</v>
      </c>
      <c r="T791" s="37" t="n">
        <v>0.3024149286498353</v>
      </c>
      <c r="U791" s="37" t="n">
        <v>0.7847533632286996</v>
      </c>
      <c r="V791" s="37" t="n">
        <v>0.2601773478436115</v>
      </c>
      <c r="W791" s="37" t="n">
        <v>0.6171428571428571</v>
      </c>
    </row>
    <row r="792">
      <c r="A792" s="53" t="n">
        <v>45771</v>
      </c>
      <c r="B792" t="inlineStr">
        <is>
          <t>R10_Sumbagteng</t>
        </is>
      </c>
      <c r="C792" t="inlineStr">
        <is>
          <t>NOP DUMAI</t>
        </is>
      </c>
      <c r="D792" s="36" t="n">
        <v>5.2</v>
      </c>
      <c r="E792" s="36" t="n">
        <v>5.84</v>
      </c>
      <c r="F792" s="36" t="n">
        <v>5.54</v>
      </c>
      <c r="G792" s="36" t="n">
        <v>6.89</v>
      </c>
      <c r="H792" s="37" t="n">
        <v>0.4118360417171962</v>
      </c>
      <c r="I792" s="37" t="n">
        <v>0.5049773755656108</v>
      </c>
      <c r="J792" s="37" t="n">
        <v>0.3777335984095427</v>
      </c>
      <c r="K792" s="37" t="n">
        <v>0.7240143369175627</v>
      </c>
      <c r="L792" s="37" t="n">
        <v>0.7332089552238806</v>
      </c>
      <c r="M792" s="37" t="n">
        <v>0.9769585253456221</v>
      </c>
      <c r="N792" s="37" t="n">
        <v>0.2444821731748727</v>
      </c>
      <c r="O792" s="36" t="n">
        <v>0.27</v>
      </c>
      <c r="P792" s="36" t="n">
        <v>4.79</v>
      </c>
      <c r="Q792" s="36" t="n">
        <v>55.76</v>
      </c>
      <c r="R792" s="36" t="n">
        <v>128.82</v>
      </c>
      <c r="S792" s="36" t="n">
        <v>0</v>
      </c>
      <c r="T792" s="37" t="n">
        <v>0.2964258935266184</v>
      </c>
      <c r="U792" s="37" t="n">
        <v>0.341726618705036</v>
      </c>
      <c r="V792" s="37" t="n">
        <v>0.2970495082513752</v>
      </c>
      <c r="W792" s="37" t="n">
        <v>0.9385964912280702</v>
      </c>
    </row>
    <row r="793">
      <c r="A793" s="53" t="n">
        <v>45771</v>
      </c>
      <c r="B793" t="inlineStr">
        <is>
          <t>R10_Sumbagteng</t>
        </is>
      </c>
      <c r="C793" t="inlineStr">
        <is>
          <t>NOP PADANG</t>
        </is>
      </c>
      <c r="D793" s="36" t="n">
        <v>3.67</v>
      </c>
      <c r="E793" s="36" t="n">
        <v>2.54</v>
      </c>
      <c r="F793" s="36" t="n">
        <v>6.54</v>
      </c>
      <c r="G793" s="36" t="n">
        <v>6.71</v>
      </c>
      <c r="H793" s="37" t="n">
        <v>0.7581206496519721</v>
      </c>
      <c r="I793" s="37" t="n">
        <v>0.7368421052631579</v>
      </c>
      <c r="J793" s="37" t="n">
        <v>0.761056105610561</v>
      </c>
      <c r="K793" s="37" t="n">
        <v>0.474025974025974</v>
      </c>
      <c r="L793" s="37" t="n">
        <v>0.474025974025974</v>
      </c>
      <c r="M793" s="37" t="n">
        <v>0.984338747099768</v>
      </c>
      <c r="N793" s="37" t="n">
        <v>0.2853828306264501</v>
      </c>
      <c r="O793" s="36" t="n">
        <v>0.06</v>
      </c>
      <c r="P793" s="36" t="n">
        <v>4.76</v>
      </c>
      <c r="Q793" s="36" t="n">
        <v>41.17</v>
      </c>
      <c r="R793" s="36" t="n">
        <v>63.71</v>
      </c>
      <c r="S793" s="36" t="n">
        <v>0</v>
      </c>
      <c r="T793" s="37" t="n">
        <v>0.7638303847233923</v>
      </c>
      <c r="U793" s="37" t="n">
        <v>0.6718377088305489</v>
      </c>
      <c r="V793" s="37" t="n">
        <v>0.7791559278350515</v>
      </c>
      <c r="W793" s="37" t="n">
        <v>0.4920071047957371</v>
      </c>
    </row>
    <row r="794">
      <c r="A794" s="53" t="n">
        <v>45771</v>
      </c>
      <c r="B794" t="inlineStr">
        <is>
          <t>R10_Sumbagteng</t>
        </is>
      </c>
      <c r="C794" t="inlineStr">
        <is>
          <t>NOP PEKANBARU</t>
        </is>
      </c>
      <c r="D794" s="36" t="n">
        <v>5.82</v>
      </c>
      <c r="E794" s="36" t="n">
        <v>5.94</v>
      </c>
      <c r="F794" s="36" t="n">
        <v>5.77</v>
      </c>
      <c r="G794" s="36" t="n">
        <v>6.62</v>
      </c>
      <c r="H794" s="37" t="n">
        <v>0.4079848806992676</v>
      </c>
      <c r="I794" s="37" t="n">
        <v>0.5062068965517241</v>
      </c>
      <c r="J794" s="37" t="n">
        <v>0.3876852907639681</v>
      </c>
      <c r="K794" s="37" t="n">
        <v>0.7465940054495913</v>
      </c>
      <c r="L794" s="37" t="n">
        <v>0.7520661157024794</v>
      </c>
      <c r="M794" s="37" t="n">
        <v>0.9891330025986298</v>
      </c>
      <c r="N794" s="37" t="n">
        <v>0.2277344672808883</v>
      </c>
      <c r="O794" s="36" t="n">
        <v>0.02</v>
      </c>
      <c r="P794" s="36" t="n">
        <v>3.4</v>
      </c>
      <c r="Q794" s="36" t="n">
        <v>48.7</v>
      </c>
      <c r="R794" s="36" t="n">
        <v>101.71</v>
      </c>
      <c r="S794" s="36" t="n">
        <v>0</v>
      </c>
      <c r="T794" s="37" t="n">
        <v>0.2988935191837908</v>
      </c>
      <c r="U794" s="37" t="n">
        <v>0.3120429058995612</v>
      </c>
      <c r="V794" s="37" t="n">
        <v>0.3051366120218579</v>
      </c>
      <c r="W794" s="37" t="n">
        <v>0.8546875</v>
      </c>
    </row>
    <row r="795">
      <c r="A795" s="53" t="n">
        <v>45771</v>
      </c>
      <c r="B795" t="inlineStr">
        <is>
          <t>R02_Sumbagsel</t>
        </is>
      </c>
      <c r="C795" t="inlineStr">
        <is>
          <t>NOP BENGKULU</t>
        </is>
      </c>
      <c r="D795" s="36" t="n">
        <v>2.51</v>
      </c>
      <c r="E795" s="36" t="n">
        <v>4.14</v>
      </c>
      <c r="F795" s="36" t="n">
        <v>4.39</v>
      </c>
      <c r="G795" s="36" t="n">
        <v>6.31</v>
      </c>
      <c r="H795" s="37" t="n">
        <v>0.3522138013562026</v>
      </c>
      <c r="I795" s="37" t="n">
        <v>0.4119448698315467</v>
      </c>
      <c r="J795" s="37" t="n">
        <v>0.331175836030205</v>
      </c>
      <c r="K795" s="37" t="n">
        <v>0.6728624535315985</v>
      </c>
      <c r="L795" s="37" t="n">
        <v>0.6728624535315985</v>
      </c>
      <c r="M795" s="37" t="n">
        <v>0.9920223374551257</v>
      </c>
      <c r="N795" s="37" t="n">
        <v>0.1842840047865975</v>
      </c>
      <c r="O795" s="36" t="n">
        <v>0</v>
      </c>
      <c r="P795" s="36" t="n">
        <v>6.28</v>
      </c>
      <c r="Q795" s="36" t="n">
        <v>6.54</v>
      </c>
      <c r="R795" s="36" t="n">
        <v>13.36</v>
      </c>
      <c r="S795" s="36" t="n">
        <v>0</v>
      </c>
      <c r="T795" s="37" t="n">
        <v>0.4634042553191489</v>
      </c>
      <c r="U795" s="37" t="n">
        <v>0.3924380704041721</v>
      </c>
      <c r="V795" s="37" t="n">
        <v>0.626418152350081</v>
      </c>
      <c r="W795" s="37" t="n">
        <v>0.8853820598006644</v>
      </c>
    </row>
    <row r="796">
      <c r="A796" s="53" t="n">
        <v>45771</v>
      </c>
      <c r="B796" t="inlineStr">
        <is>
          <t>R02_Sumbagsel</t>
        </is>
      </c>
      <c r="C796" t="inlineStr">
        <is>
          <t>NOP JAMBI</t>
        </is>
      </c>
      <c r="D796" s="36" t="n">
        <v>3.8</v>
      </c>
      <c r="E796" s="36" t="n">
        <v>6.59</v>
      </c>
      <c r="F796" s="36" t="n">
        <v>6.3</v>
      </c>
      <c r="G796" s="36" t="n">
        <v>8.539999999999999</v>
      </c>
      <c r="H796" s="37" t="n">
        <v>0.5317439057058666</v>
      </c>
      <c r="I796" s="37" t="n">
        <v>0.5761061946902655</v>
      </c>
      <c r="J796" s="37" t="n">
        <v>0.5124855935459086</v>
      </c>
      <c r="K796" s="37" t="n">
        <v>0.6605222734254992</v>
      </c>
      <c r="L796" s="37" t="n">
        <v>0.6630602782071098</v>
      </c>
      <c r="M796" s="37" t="n">
        <v>1</v>
      </c>
      <c r="N796" s="37" t="n">
        <v>0.2756496115724618</v>
      </c>
      <c r="O796" s="36" t="n">
        <v>0</v>
      </c>
      <c r="P796" s="36" t="n">
        <v>7.93</v>
      </c>
      <c r="Q796" s="36" t="n">
        <v>21.13</v>
      </c>
      <c r="R796" s="36" t="n">
        <v>18</v>
      </c>
      <c r="S796" s="36" t="n">
        <v>0</v>
      </c>
      <c r="T796" s="37" t="n">
        <v>0.6349292709466812</v>
      </c>
      <c r="U796" s="37" t="n">
        <v>0.6198979591836735</v>
      </c>
      <c r="V796" s="37" t="n">
        <v>0.6735774150860168</v>
      </c>
      <c r="W796" s="37" t="n">
        <v>0.746031746031746</v>
      </c>
    </row>
    <row r="797">
      <c r="A797" s="53" t="n">
        <v>45771</v>
      </c>
      <c r="B797" t="inlineStr">
        <is>
          <t>R02_Sumbagsel</t>
        </is>
      </c>
      <c r="C797" t="inlineStr">
        <is>
          <t>NOP LAMPUNG</t>
        </is>
      </c>
      <c r="D797" s="36" t="n">
        <v>3.84</v>
      </c>
      <c r="E797" s="36" t="n">
        <v>4.86</v>
      </c>
      <c r="F797" s="36" t="n">
        <v>4.65</v>
      </c>
      <c r="G797" s="36" t="n">
        <v>5.3</v>
      </c>
      <c r="H797" s="37" t="n">
        <v>0.529214237743452</v>
      </c>
      <c r="I797" s="37" t="n">
        <v>0.6929347826086957</v>
      </c>
      <c r="J797" s="37" t="n">
        <v>0.4754683318465656</v>
      </c>
      <c r="K797" s="37" t="n">
        <v>0.7176470588235294</v>
      </c>
      <c r="L797" s="37" t="n">
        <v>0.7154150197628458</v>
      </c>
      <c r="M797" s="37" t="n">
        <v>0.9986568166554735</v>
      </c>
      <c r="N797" s="37" t="n">
        <v>0.3391537944929483</v>
      </c>
      <c r="O797" s="36" t="n">
        <v>1.12</v>
      </c>
      <c r="P797" s="36" t="n">
        <v>5.53</v>
      </c>
      <c r="Q797" s="36" t="n">
        <v>5.91</v>
      </c>
      <c r="R797" s="36" t="n">
        <v>26.89</v>
      </c>
      <c r="S797" s="36" t="n">
        <v>0</v>
      </c>
      <c r="T797" s="37" t="n">
        <v>0.897706776603968</v>
      </c>
      <c r="U797" s="37" t="n">
        <v>0.8038815117466803</v>
      </c>
      <c r="V797" s="37" t="n">
        <v>0.9463111760409058</v>
      </c>
      <c r="W797" s="37" t="n">
        <v>0.8538754764930114</v>
      </c>
    </row>
    <row r="798">
      <c r="A798" s="53" t="n">
        <v>45771</v>
      </c>
      <c r="B798" t="inlineStr">
        <is>
          <t>R02_Sumbagsel</t>
        </is>
      </c>
      <c r="C798" t="inlineStr">
        <is>
          <t>NOP MUARA ENIM</t>
        </is>
      </c>
      <c r="D798" s="36" t="n">
        <v>3.11</v>
      </c>
      <c r="E798" s="36" t="n">
        <v>3.84</v>
      </c>
      <c r="F798" s="36" t="n">
        <v>5.18</v>
      </c>
      <c r="G798" s="36" t="n">
        <v>5.2</v>
      </c>
      <c r="H798" s="37" t="n">
        <v>0.3972494049193335</v>
      </c>
      <c r="I798" s="37" t="n">
        <v>0.3398328690807799</v>
      </c>
      <c r="J798" s="37" t="n">
        <v>0.4107084557623245</v>
      </c>
      <c r="K798" s="37" t="n">
        <v>0.5450819672131147</v>
      </c>
      <c r="L798" s="37" t="n">
        <v>0.5848214285714286</v>
      </c>
      <c r="M798" s="37" t="n">
        <v>0.9719650886008993</v>
      </c>
      <c r="N798" s="37" t="n">
        <v>0.1761438772811426</v>
      </c>
      <c r="O798" s="36" t="n">
        <v>0</v>
      </c>
      <c r="P798" s="36" t="n">
        <v>4.44</v>
      </c>
      <c r="Q798" s="36" t="n">
        <v>6.32</v>
      </c>
      <c r="R798" s="36" t="n">
        <v>8.75</v>
      </c>
      <c r="S798" s="36" t="n">
        <v>0</v>
      </c>
      <c r="T798" s="37" t="n">
        <v>0.4627625716104392</v>
      </c>
      <c r="U798" s="37" t="n">
        <v>0.4753554502369668</v>
      </c>
      <c r="V798" s="37" t="n">
        <v>0.5347461803844258</v>
      </c>
      <c r="W798" s="37" t="n">
        <v>0.7986041874376869</v>
      </c>
    </row>
    <row r="799">
      <c r="A799" s="53" t="n">
        <v>45771</v>
      </c>
      <c r="B799" t="inlineStr">
        <is>
          <t>R02_Sumbagsel</t>
        </is>
      </c>
      <c r="C799" t="inlineStr">
        <is>
          <t>NOP PALEMBANG</t>
        </is>
      </c>
      <c r="D799" s="36" t="n">
        <v>3.38</v>
      </c>
      <c r="E799" s="36" t="n">
        <v>4.98</v>
      </c>
      <c r="F799" s="36" t="n">
        <v>8.039999999999999</v>
      </c>
      <c r="G799" s="36" t="n">
        <v>9.02</v>
      </c>
      <c r="H799" s="37" t="n">
        <v>0.2881395897194058</v>
      </c>
      <c r="I799" s="37" t="n">
        <v>0.2895927601809955</v>
      </c>
      <c r="J799" s="37" t="n">
        <v>0.2879705185575152</v>
      </c>
      <c r="K799" s="37" t="n">
        <v>0.4609375</v>
      </c>
      <c r="L799" s="37" t="n">
        <v>0.4609375</v>
      </c>
      <c r="M799" s="37" t="n">
        <v>0.9995284131101155</v>
      </c>
      <c r="N799" s="37" t="n">
        <v>0.1228483848149022</v>
      </c>
      <c r="O799" s="36" t="n">
        <v>0</v>
      </c>
      <c r="P799" s="36" t="n">
        <v>5.85</v>
      </c>
      <c r="Q799" s="36" t="n">
        <v>12.38</v>
      </c>
      <c r="R799" s="36" t="n">
        <v>6</v>
      </c>
      <c r="S799" s="36" t="n">
        <v>0</v>
      </c>
      <c r="T799" s="37" t="n">
        <v>0.2991213310899233</v>
      </c>
      <c r="U799" s="37" t="n">
        <v>0.2437120555073721</v>
      </c>
      <c r="V799" s="37" t="n">
        <v>0.4213759213759214</v>
      </c>
      <c r="W799" s="37" t="n">
        <v>0.4466192170818505</v>
      </c>
    </row>
    <row r="800">
      <c r="A800" s="53" t="n">
        <v>45771</v>
      </c>
      <c r="B800" t="inlineStr">
        <is>
          <t>R02_Sumbagsel</t>
        </is>
      </c>
      <c r="C800" t="inlineStr">
        <is>
          <t>NOP PANGKAL PINANG</t>
        </is>
      </c>
      <c r="D800" s="36" t="n">
        <v>1.94</v>
      </c>
      <c r="E800" s="36" t="n">
        <v>3.01</v>
      </c>
      <c r="F800" s="36" t="n">
        <v>5.34</v>
      </c>
      <c r="G800" s="36" t="n">
        <v>6.49</v>
      </c>
      <c r="H800" s="37" t="n">
        <v>0.6429872495446266</v>
      </c>
      <c r="I800" s="37" t="n">
        <v>0.7096774193548387</v>
      </c>
      <c r="J800" s="37" t="n">
        <v>0.6389961389961391</v>
      </c>
      <c r="K800" s="37" t="n">
        <v>0.6818181818181818</v>
      </c>
      <c r="L800" s="37" t="n">
        <v>0.6818181818181818</v>
      </c>
      <c r="M800" s="37" t="n">
        <v>0.9981785063752276</v>
      </c>
      <c r="N800" s="37" t="n">
        <v>0.3624772313296903</v>
      </c>
      <c r="O800" s="36" t="n">
        <v>0</v>
      </c>
      <c r="P800" s="36" t="n">
        <v>5.7</v>
      </c>
      <c r="Q800" s="36" t="n">
        <v>6.57</v>
      </c>
      <c r="R800" s="36" t="n">
        <v>7.47</v>
      </c>
      <c r="S800" s="36" t="n">
        <v>0</v>
      </c>
      <c r="T800" s="37" t="n">
        <v>0.7906316536550745</v>
      </c>
      <c r="U800" s="37" t="n">
        <v>0.8381374722838137</v>
      </c>
      <c r="V800" s="37" t="n">
        <v>0.8426573426573427</v>
      </c>
      <c r="W800" s="37" t="n">
        <v>0.7195767195767195</v>
      </c>
    </row>
    <row r="801">
      <c r="A801" s="53" t="n">
        <v>45771</v>
      </c>
      <c r="B801" t="inlineStr">
        <is>
          <t>R05_Jawa Tengah DIY</t>
        </is>
      </c>
      <c r="C801" t="inlineStr">
        <is>
          <t>NOP MAGELANG</t>
        </is>
      </c>
      <c r="D801" s="36" t="n">
        <v>3.84</v>
      </c>
      <c r="E801" s="36" t="n">
        <v>0</v>
      </c>
      <c r="F801" s="36" t="n">
        <v>4.02</v>
      </c>
      <c r="G801" s="36" t="n">
        <v>5.12</v>
      </c>
      <c r="H801" s="37" t="n">
        <v>0.78125</v>
      </c>
      <c r="I801" s="37" t="n">
        <v>0.9636363636363636</v>
      </c>
      <c r="J801" s="37" t="n">
        <v>0.7557251908396947</v>
      </c>
      <c r="K801" s="37" t="n">
        <v>0.7924528301886793</v>
      </c>
      <c r="L801" s="37" t="n">
        <v>0.7924528301886793</v>
      </c>
      <c r="M801" s="37" t="n">
        <v>0.9977678571428571</v>
      </c>
      <c r="N801" s="37" t="n">
        <v>0.6897321428571429</v>
      </c>
      <c r="O801" s="36" t="n">
        <v>0.22</v>
      </c>
      <c r="P801" s="36" t="n">
        <v>3.38</v>
      </c>
      <c r="Q801" s="36" t="n">
        <v>8.24</v>
      </c>
      <c r="R801" s="36" t="n">
        <v>16.98</v>
      </c>
      <c r="S801" s="36" t="n">
        <v>0</v>
      </c>
      <c r="T801" s="37" t="n">
        <v>0.9480381760339343</v>
      </c>
      <c r="U801" s="37" t="n">
        <v>0.946524064171123</v>
      </c>
      <c r="V801" s="37" t="n">
        <v>0.9484126984126984</v>
      </c>
      <c r="W801" s="37" t="n">
        <v>0.8926553672316384</v>
      </c>
    </row>
    <row r="802">
      <c r="A802" s="53" t="n">
        <v>45771</v>
      </c>
      <c r="B802" t="inlineStr">
        <is>
          <t>R05_Jawa Tengah DIY</t>
        </is>
      </c>
      <c r="C802" t="inlineStr">
        <is>
          <t>NOP PEKALONGAN</t>
        </is>
      </c>
      <c r="D802" s="36" t="n">
        <v>3.04</v>
      </c>
      <c r="E802" s="36" t="n">
        <v>0</v>
      </c>
      <c r="F802" s="36" t="n">
        <v>3.37</v>
      </c>
      <c r="G802" s="36" t="n">
        <v>3.64</v>
      </c>
      <c r="H802" s="37" t="n">
        <v>0.6459948320413437</v>
      </c>
      <c r="I802" s="37" t="n">
        <v>0.75</v>
      </c>
      <c r="J802" s="37" t="n">
        <v>0.6353276353276354</v>
      </c>
      <c r="K802" s="37" t="n">
        <v>1</v>
      </c>
      <c r="L802" s="37" t="n">
        <v>1</v>
      </c>
      <c r="M802" s="37" t="n">
        <v>0.9689922480620154</v>
      </c>
      <c r="N802" s="37" t="n">
        <v>0.5684754521963824</v>
      </c>
      <c r="O802" s="36" t="n">
        <v>0.01</v>
      </c>
      <c r="P802" s="36" t="n">
        <v>3.33</v>
      </c>
      <c r="Q802" s="36" t="n">
        <v>5.97</v>
      </c>
      <c r="R802" s="36" t="n">
        <v>49.47</v>
      </c>
      <c r="S802" s="36" t="n">
        <v>0</v>
      </c>
      <c r="T802" s="37" t="n">
        <v>0.8105413105413105</v>
      </c>
      <c r="U802" s="37" t="n">
        <v>0.7758620689655172</v>
      </c>
      <c r="V802" s="37" t="n">
        <v>0.821969696969697</v>
      </c>
      <c r="W802" s="37" t="n">
        <v>0.6518518518518519</v>
      </c>
    </row>
    <row r="803">
      <c r="A803" s="53" t="n">
        <v>45771</v>
      </c>
      <c r="B803" t="inlineStr">
        <is>
          <t>R05_Jawa Tengah DIY</t>
        </is>
      </c>
      <c r="C803" t="inlineStr">
        <is>
          <t>NOP PURWOKERTO</t>
        </is>
      </c>
      <c r="D803" s="36" t="n">
        <v>3.26</v>
      </c>
      <c r="E803" s="36" t="n">
        <v>0</v>
      </c>
      <c r="F803" s="36" t="n">
        <v>3.76</v>
      </c>
      <c r="G803" s="36" t="n">
        <v>4.82</v>
      </c>
      <c r="H803" s="37" t="n">
        <v>0.7855579868708972</v>
      </c>
      <c r="I803" s="37" t="n">
        <v>0.7857142857142857</v>
      </c>
      <c r="J803" s="37" t="n">
        <v>0.7855421686746988</v>
      </c>
      <c r="K803" s="37" t="n">
        <v>1</v>
      </c>
      <c r="L803" s="37" t="n">
        <v>1</v>
      </c>
      <c r="M803" s="37" t="n">
        <v>0.9737417943107221</v>
      </c>
      <c r="N803" s="37" t="n">
        <v>0.5295404814004376</v>
      </c>
      <c r="O803" s="36" t="n">
        <v>0.28</v>
      </c>
      <c r="P803" s="36" t="n">
        <v>3.71</v>
      </c>
      <c r="Q803" s="36" t="n">
        <v>9.199999999999999</v>
      </c>
      <c r="R803" s="36" t="n">
        <v>39.75</v>
      </c>
      <c r="S803" s="36" t="n">
        <v>0</v>
      </c>
      <c r="T803" s="37" t="n">
        <v>0.8056801195814649</v>
      </c>
      <c r="U803" s="37" t="n">
        <v>0.7969924812030075</v>
      </c>
      <c r="V803" s="37" t="n">
        <v>0.8078358208955224</v>
      </c>
      <c r="W803" s="37" t="n">
        <v>0.7830188679245284</v>
      </c>
    </row>
    <row r="804">
      <c r="A804" s="53" t="n">
        <v>45771</v>
      </c>
      <c r="B804" t="inlineStr">
        <is>
          <t>R05_Jawa Tengah DIY</t>
        </is>
      </c>
      <c r="C804" t="inlineStr">
        <is>
          <t>NOP SEMARANG</t>
        </is>
      </c>
      <c r="D804" s="36" t="n">
        <v>2.92</v>
      </c>
      <c r="E804" s="36" t="n">
        <v>1.69</v>
      </c>
      <c r="F804" s="36" t="n">
        <v>3.05</v>
      </c>
      <c r="G804" s="36" t="n">
        <v>4.21</v>
      </c>
      <c r="H804" s="37" t="n">
        <v>0.4139402560455192</v>
      </c>
      <c r="I804" s="37" t="n">
        <v>0.4929577464788732</v>
      </c>
      <c r="J804" s="37" t="n">
        <v>0.4050632911392405</v>
      </c>
      <c r="K804" s="37" t="n">
        <v>1</v>
      </c>
      <c r="L804" s="37" t="n">
        <v>1</v>
      </c>
      <c r="M804" s="37" t="n">
        <v>0.9516358463726885</v>
      </c>
      <c r="N804" s="37" t="n">
        <v>0.2503556187766714</v>
      </c>
      <c r="O804" s="36" t="n">
        <v>1</v>
      </c>
      <c r="P804" s="36" t="n">
        <v>5.09</v>
      </c>
      <c r="Q804" s="36" t="n">
        <v>9.43</v>
      </c>
      <c r="R804" s="36" t="n">
        <v>69.75</v>
      </c>
      <c r="S804" s="36" t="n">
        <v>0</v>
      </c>
      <c r="T804" s="37" t="n">
        <v>0.7420318725099602</v>
      </c>
      <c r="U804" s="37" t="n">
        <v>0.4833948339483395</v>
      </c>
      <c r="V804" s="37" t="n">
        <v>0.8376534788540245</v>
      </c>
      <c r="W804" s="37" t="n">
        <v>0.8396946564885496</v>
      </c>
    </row>
    <row r="805">
      <c r="A805" s="53" t="n">
        <v>45771</v>
      </c>
      <c r="B805" t="inlineStr">
        <is>
          <t>R05_Jawa Tengah DIY</t>
        </is>
      </c>
      <c r="C805" t="inlineStr">
        <is>
          <t>NOP SURAKARTA</t>
        </is>
      </c>
      <c r="D805" s="36" t="n">
        <v>3.63</v>
      </c>
      <c r="E805" s="36" t="n">
        <v>2.15</v>
      </c>
      <c r="F805" s="36" t="n">
        <v>4.19</v>
      </c>
      <c r="G805" s="36" t="n">
        <v>4.49</v>
      </c>
      <c r="H805" s="37" t="n">
        <v>0.7336747759282971</v>
      </c>
      <c r="I805" s="37" t="n">
        <v>0.8735632183908046</v>
      </c>
      <c r="J805" s="37" t="n">
        <v>0.7161383285302594</v>
      </c>
      <c r="K805" s="37" t="n">
        <v>0.9473684210526315</v>
      </c>
      <c r="L805" s="37" t="n">
        <v>0.9473684210526315</v>
      </c>
      <c r="M805" s="37" t="n">
        <v>0.971830985915493</v>
      </c>
      <c r="N805" s="37" t="n">
        <v>0.5147247119078106</v>
      </c>
      <c r="O805" s="36" t="n">
        <v>0.13</v>
      </c>
      <c r="P805" s="36" t="n">
        <v>3.75</v>
      </c>
      <c r="Q805" s="36" t="n">
        <v>7.95</v>
      </c>
      <c r="R805" s="36" t="n">
        <v>53.98</v>
      </c>
      <c r="S805" s="36" t="n">
        <v>0</v>
      </c>
      <c r="T805" s="37" t="n">
        <v>0.8177083333333334</v>
      </c>
      <c r="U805" s="37" t="n">
        <v>0.7254901960784313</v>
      </c>
      <c r="V805" s="37" t="n">
        <v>0.851063829787234</v>
      </c>
      <c r="W805" s="37" t="n">
        <v>0.7675675675675676</v>
      </c>
    </row>
    <row r="806">
      <c r="A806" s="53" t="n">
        <v>45771</v>
      </c>
      <c r="B806" t="inlineStr">
        <is>
          <t>R05_Jawa Tengah DIY</t>
        </is>
      </c>
      <c r="C806" t="inlineStr">
        <is>
          <t>NOP YOGYAKARTA</t>
        </is>
      </c>
      <c r="D806" s="36" t="n">
        <v>3.34</v>
      </c>
      <c r="E806" s="36" t="n">
        <v>0</v>
      </c>
      <c r="F806" s="36" t="n">
        <v>3.49</v>
      </c>
      <c r="G806" s="36" t="n">
        <v>3.68</v>
      </c>
      <c r="H806" s="37" t="n">
        <v>0.5923076923076923</v>
      </c>
      <c r="I806" s="37" t="n">
        <v>0.9069767441860465</v>
      </c>
      <c r="J806" s="37" t="n">
        <v>0.5639412997903563</v>
      </c>
      <c r="K806" s="37" t="n">
        <v>0.9487179487179487</v>
      </c>
      <c r="L806" s="37" t="n">
        <v>0.9459459459459459</v>
      </c>
      <c r="M806" s="37" t="n">
        <v>0.9903846153846154</v>
      </c>
      <c r="N806" s="37" t="n">
        <v>0.425</v>
      </c>
      <c r="O806" s="36" t="n">
        <v>0</v>
      </c>
      <c r="P806" s="36" t="n">
        <v>3.08</v>
      </c>
      <c r="Q806" s="36" t="n">
        <v>15.44</v>
      </c>
      <c r="R806" s="36" t="n">
        <v>42.49</v>
      </c>
      <c r="S806" s="36" t="n">
        <v>0</v>
      </c>
      <c r="T806" s="37" t="n">
        <v>0.9333333333333333</v>
      </c>
      <c r="U806" s="37" t="n">
        <v>0.8282208588957055</v>
      </c>
      <c r="V806" s="37" t="n">
        <v>0.9544334975369458</v>
      </c>
      <c r="W806" s="37" t="n">
        <v>0.9851851851851852</v>
      </c>
    </row>
    <row r="807">
      <c r="A807" s="53" t="n">
        <v>45771</v>
      </c>
      <c r="B807" t="inlineStr">
        <is>
          <t>R06_Jawa Timur</t>
        </is>
      </c>
      <c r="C807" t="inlineStr">
        <is>
          <t>NOP JEMBER</t>
        </is>
      </c>
      <c r="D807" s="36" t="n">
        <v>2.17</v>
      </c>
      <c r="E807" s="36" t="n">
        <v>2.29</v>
      </c>
      <c r="F807" s="36" t="n">
        <v>4.19</v>
      </c>
      <c r="G807" s="36" t="n">
        <v>3.63</v>
      </c>
      <c r="H807" s="37" t="n">
        <v>0.673728813559322</v>
      </c>
      <c r="I807" s="37" t="n">
        <v>0.65</v>
      </c>
      <c r="J807" s="37" t="n">
        <v>0.6759259259259259</v>
      </c>
      <c r="K807" s="37" t="n">
        <v>0.8076923076923077</v>
      </c>
      <c r="L807" s="37" t="n">
        <v>0.8076923076923077</v>
      </c>
      <c r="M807" s="37" t="n">
        <v>0.9809322033898306</v>
      </c>
      <c r="N807" s="37" t="n">
        <v>0.3771186440677966</v>
      </c>
      <c r="O807" s="36" t="n">
        <v>0</v>
      </c>
      <c r="P807" s="36" t="n">
        <v>3.79</v>
      </c>
      <c r="Q807" s="36" t="n">
        <v>5.06</v>
      </c>
      <c r="R807" s="36" t="n">
        <v>114.21</v>
      </c>
      <c r="S807" s="36" t="n">
        <v>0</v>
      </c>
      <c r="T807" s="37" t="n">
        <v>0.7945670628183361</v>
      </c>
      <c r="U807" s="37" t="n">
        <v>0.7832167832167832</v>
      </c>
      <c r="V807" s="37" t="n">
        <v>0.7982062780269058</v>
      </c>
      <c r="W807" s="37" t="n">
        <v>0.7678571428571429</v>
      </c>
    </row>
    <row r="808">
      <c r="A808" s="53" t="n">
        <v>45771</v>
      </c>
      <c r="B808" t="inlineStr">
        <is>
          <t>R06_Jawa Timur</t>
        </is>
      </c>
      <c r="C808" t="inlineStr">
        <is>
          <t>NOP KEDIRI</t>
        </is>
      </c>
      <c r="D808" s="36" t="n">
        <v>1.21</v>
      </c>
      <c r="E808" s="36" t="n">
        <v>0.7</v>
      </c>
      <c r="F808" s="36" t="n">
        <v>3.41</v>
      </c>
      <c r="G808" s="36" t="n">
        <v>2.07</v>
      </c>
      <c r="H808" s="37" t="n">
        <v>0.8872549019607843</v>
      </c>
      <c r="I808" s="37" t="n">
        <v>0.8571428571428571</v>
      </c>
      <c r="J808" s="37" t="n">
        <v>0.8883248730964467</v>
      </c>
      <c r="K808" s="37" t="n">
        <v>0.6666666666666666</v>
      </c>
      <c r="L808" s="37" t="n">
        <v>0.6666666666666666</v>
      </c>
      <c r="M808" s="37" t="n">
        <v>1</v>
      </c>
      <c r="N808" s="37" t="n">
        <v>0.6568627450980392</v>
      </c>
      <c r="O808" s="36" t="n">
        <v>0</v>
      </c>
      <c r="P808" s="36" t="n">
        <v>1.95</v>
      </c>
      <c r="Q808" s="36" t="n">
        <v>3.52</v>
      </c>
      <c r="R808" s="36" t="n">
        <v>13.85</v>
      </c>
      <c r="S808" s="36" t="n">
        <v>0</v>
      </c>
      <c r="T808" s="37" t="n">
        <v>0.9483282674772037</v>
      </c>
      <c r="U808" s="37" t="n">
        <v>0.9178082191780822</v>
      </c>
      <c r="V808" s="37" t="n">
        <v>0.95703125</v>
      </c>
      <c r="W808" s="37" t="n">
        <v>0.8955223880597015</v>
      </c>
    </row>
    <row r="809">
      <c r="A809" s="53" t="n">
        <v>45771</v>
      </c>
      <c r="B809" t="inlineStr">
        <is>
          <t>R06_Jawa Timur</t>
        </is>
      </c>
      <c r="C809" t="inlineStr">
        <is>
          <t>NOP LAMONGAN</t>
        </is>
      </c>
      <c r="D809" s="36" t="n">
        <v>1.47</v>
      </c>
      <c r="E809" s="36" t="n">
        <v>1.55</v>
      </c>
      <c r="F809" s="36" t="n">
        <v>4.42</v>
      </c>
      <c r="G809" s="36" t="n">
        <v>3.71</v>
      </c>
      <c r="H809" s="37" t="n">
        <v>0.8346456692913385</v>
      </c>
      <c r="I809" s="37" t="n">
        <v>0.9523809523809523</v>
      </c>
      <c r="J809" s="37" t="n">
        <v>0.8240343347639485</v>
      </c>
      <c r="K809" s="37" t="n">
        <v>0.95</v>
      </c>
      <c r="L809" s="37" t="n">
        <v>0.95</v>
      </c>
      <c r="M809" s="37" t="n">
        <v>1</v>
      </c>
      <c r="N809" s="37" t="n">
        <v>0.7362204724409449</v>
      </c>
      <c r="O809" s="36" t="n">
        <v>0</v>
      </c>
      <c r="P809" s="36" t="n">
        <v>2.34</v>
      </c>
      <c r="Q809" s="36" t="n">
        <v>10.69</v>
      </c>
      <c r="R809" s="36" t="n">
        <v>37.48</v>
      </c>
      <c r="S809" s="36" t="n">
        <v>0</v>
      </c>
      <c r="T809" s="37" t="n">
        <v>0.7836065573770492</v>
      </c>
      <c r="U809" s="37" t="n">
        <v>0.6984126984126984</v>
      </c>
      <c r="V809" s="37" t="n">
        <v>0.8435754189944135</v>
      </c>
      <c r="W809" s="37" t="n">
        <v>0.8863636363636364</v>
      </c>
    </row>
    <row r="810">
      <c r="A810" s="53" t="n">
        <v>45771</v>
      </c>
      <c r="B810" t="inlineStr">
        <is>
          <t>R06_Jawa Timur</t>
        </is>
      </c>
      <c r="C810" t="inlineStr">
        <is>
          <t>NOP MADIUN</t>
        </is>
      </c>
      <c r="D810" s="36" t="n">
        <v>0.63</v>
      </c>
      <c r="E810" s="36" t="n">
        <v>0</v>
      </c>
      <c r="F810" s="36" t="n">
        <v>4.65</v>
      </c>
      <c r="G810" s="36" t="n">
        <v>3.36</v>
      </c>
      <c r="H810" s="37" t="n">
        <v>0.599388379204893</v>
      </c>
      <c r="I810" s="37" t="n">
        <v>1</v>
      </c>
      <c r="J810" s="37" t="n">
        <v>0.593167701863354</v>
      </c>
      <c r="K810" s="37" t="n">
        <v>0.8</v>
      </c>
      <c r="L810" s="37" t="n">
        <v>0.8</v>
      </c>
      <c r="M810" s="37" t="n">
        <v>0.9969418960244648</v>
      </c>
      <c r="N810" s="37" t="n">
        <v>0.345565749235474</v>
      </c>
      <c r="O810" s="36" t="n">
        <v>0</v>
      </c>
      <c r="P810" s="36" t="n">
        <v>2.63</v>
      </c>
      <c r="Q810" s="36" t="n">
        <v>6.22</v>
      </c>
      <c r="R810" s="36" t="n">
        <v>61.34</v>
      </c>
      <c r="S810" s="36" t="n">
        <v>0</v>
      </c>
      <c r="T810" s="37" t="n">
        <v>0.7184873949579832</v>
      </c>
      <c r="U810" s="37" t="n">
        <v>0.7321428571428571</v>
      </c>
      <c r="V810" s="37" t="n">
        <v>0.711038961038961</v>
      </c>
      <c r="W810" s="37" t="n">
        <v>0.8048780487804879</v>
      </c>
    </row>
    <row r="811">
      <c r="A811" s="53" t="n">
        <v>45771</v>
      </c>
      <c r="B811" t="inlineStr">
        <is>
          <t>R06_Jawa Timur</t>
        </is>
      </c>
      <c r="C811" t="inlineStr">
        <is>
          <t>NOP MALANG</t>
        </is>
      </c>
      <c r="D811" s="36" t="n">
        <v>1.3</v>
      </c>
      <c r="E811" s="36" t="n">
        <v>0</v>
      </c>
      <c r="F811" s="36" t="n">
        <v>2.91</v>
      </c>
      <c r="G811" s="36" t="n">
        <v>2.74</v>
      </c>
      <c r="H811" s="37" t="n">
        <v>0.8240223463687151</v>
      </c>
      <c r="I811" s="37" t="n">
        <v>0.875</v>
      </c>
      <c r="J811" s="37" t="n">
        <v>0.8228571428571428</v>
      </c>
      <c r="K811" s="37" t="n">
        <v>1</v>
      </c>
      <c r="L811" s="37" t="n">
        <v>1</v>
      </c>
      <c r="M811" s="37" t="n">
        <v>0.9972067039106145</v>
      </c>
      <c r="N811" s="37" t="n">
        <v>0.770949720670391</v>
      </c>
      <c r="O811" s="36" t="n">
        <v>0.02</v>
      </c>
      <c r="P811" s="36" t="n">
        <v>2.8</v>
      </c>
      <c r="Q811" s="36" t="n">
        <v>4.67</v>
      </c>
      <c r="R811" s="36" t="n">
        <v>39.99</v>
      </c>
      <c r="S811" s="36" t="n">
        <v>0</v>
      </c>
      <c r="T811" s="37" t="n">
        <v>0.8193548387096774</v>
      </c>
      <c r="U811" s="37" t="n">
        <v>0.7154471544715447</v>
      </c>
      <c r="V811" s="37" t="n">
        <v>0.8877005347593583</v>
      </c>
      <c r="W811" s="37" t="n">
        <v>0.6136363636363636</v>
      </c>
    </row>
    <row r="812">
      <c r="A812" s="53" t="n">
        <v>45771</v>
      </c>
      <c r="B812" t="inlineStr">
        <is>
          <t>R06_Jawa Timur</t>
        </is>
      </c>
      <c r="C812" t="inlineStr">
        <is>
          <t>NOP SIDOARJO</t>
        </is>
      </c>
      <c r="D812" s="36" t="n">
        <v>2.83</v>
      </c>
      <c r="E812" s="36" t="n">
        <v>5.94</v>
      </c>
      <c r="F812" s="36" t="n">
        <v>3.21</v>
      </c>
      <c r="G812" s="36" t="n">
        <v>5.06</v>
      </c>
      <c r="H812" s="37" t="n">
        <v>0.6104651162790697</v>
      </c>
      <c r="I812" s="37" t="n">
        <v>0.8918918918918919</v>
      </c>
      <c r="J812" s="37" t="n">
        <v>0.5765472312703583</v>
      </c>
      <c r="K812" s="37" t="n">
        <v>0.8484848484848485</v>
      </c>
      <c r="L812" s="37" t="n">
        <v>0.8484848484848485</v>
      </c>
      <c r="M812" s="37" t="n">
        <v>0.9796511627906976</v>
      </c>
      <c r="N812" s="37" t="n">
        <v>0.4273255813953488</v>
      </c>
      <c r="O812" s="36" t="n">
        <v>0.01</v>
      </c>
      <c r="P812" s="36" t="n">
        <v>4.3</v>
      </c>
      <c r="Q812" s="36" t="n">
        <v>11.52</v>
      </c>
      <c r="R812" s="36" t="n">
        <v>52.66</v>
      </c>
      <c r="S812" s="36" t="n">
        <v>0</v>
      </c>
      <c r="T812" s="37" t="n">
        <v>0.7976190476190477</v>
      </c>
      <c r="U812" s="37" t="n">
        <v>0.6854838709677419</v>
      </c>
      <c r="V812" s="37" t="n">
        <v>0.8445945945945946</v>
      </c>
      <c r="W812" s="37" t="n">
        <v>0.7411764705882353</v>
      </c>
    </row>
    <row r="813">
      <c r="A813" s="53" t="n">
        <v>45771</v>
      </c>
      <c r="B813" t="inlineStr">
        <is>
          <t>R06_Jawa Timur</t>
        </is>
      </c>
      <c r="C813" t="inlineStr">
        <is>
          <t>NOP SURABAYA</t>
        </is>
      </c>
      <c r="D813" s="36" t="n">
        <v>2.22</v>
      </c>
      <c r="E813" s="36" t="n">
        <v>0</v>
      </c>
      <c r="F813" s="36" t="n">
        <v>4.5</v>
      </c>
      <c r="G813" s="36" t="n">
        <v>3.72</v>
      </c>
      <c r="H813" s="37" t="n">
        <v>0.5962732919254659</v>
      </c>
      <c r="I813" s="37" t="n">
        <v>0.5357142857142857</v>
      </c>
      <c r="J813" s="37" t="n">
        <v>0.6042154566744731</v>
      </c>
      <c r="K813" s="37" t="n">
        <v>0.9333333333333333</v>
      </c>
      <c r="L813" s="37" t="n">
        <v>0.9333333333333333</v>
      </c>
      <c r="M813" s="37" t="n">
        <v>0.9627329192546584</v>
      </c>
      <c r="N813" s="37" t="n">
        <v>0.4182194616977226</v>
      </c>
      <c r="O813" s="36" t="n">
        <v>1.22</v>
      </c>
      <c r="P813" s="36" t="n">
        <v>3.18</v>
      </c>
      <c r="Q813" s="36" t="n">
        <v>7.1</v>
      </c>
      <c r="R813" s="36" t="n">
        <v>29.86</v>
      </c>
      <c r="S813" s="36" t="n">
        <v>0</v>
      </c>
      <c r="T813" s="37" t="n">
        <v>0.6659939455095862</v>
      </c>
      <c r="U813" s="37" t="n">
        <v>0.6705882352941176</v>
      </c>
      <c r="V813" s="37" t="n">
        <v>0.6650426309378806</v>
      </c>
      <c r="W813" s="37" t="n">
        <v>0.8947368421052632</v>
      </c>
    </row>
    <row r="814">
      <c r="A814" s="53" t="n">
        <v>45771</v>
      </c>
      <c r="B814" t="inlineStr">
        <is>
          <t>R07_Bali Nusra</t>
        </is>
      </c>
      <c r="C814" t="inlineStr">
        <is>
          <t>NOP DENPASAR</t>
        </is>
      </c>
      <c r="D814" s="36" t="n">
        <v>3.2</v>
      </c>
      <c r="E814" s="36" t="n">
        <v>0</v>
      </c>
      <c r="F814" s="36" t="n">
        <v>5.3</v>
      </c>
      <c r="G814" s="36" t="n">
        <v>3.95</v>
      </c>
      <c r="H814" s="37" t="n">
        <v>0.903114186851211</v>
      </c>
      <c r="I814" s="37" t="n">
        <v>0.875</v>
      </c>
      <c r="J814" s="37" t="n">
        <v>0.9087136929460581</v>
      </c>
      <c r="K814" s="37" t="n">
        <v>0.9523809523809523</v>
      </c>
      <c r="L814" s="37" t="n">
        <v>0.9523809523809523</v>
      </c>
      <c r="M814" s="37" t="n">
        <v>0.9653979238754326</v>
      </c>
      <c r="N814" s="37" t="n">
        <v>0.8546712802768166</v>
      </c>
      <c r="O814" s="36" t="n">
        <v>0</v>
      </c>
      <c r="P814" s="36" t="n">
        <v>120.02</v>
      </c>
      <c r="Q814" s="36" t="n">
        <v>21.14</v>
      </c>
      <c r="R814" s="36" t="n">
        <v>82.42</v>
      </c>
      <c r="S814" s="36" t="n">
        <v>0</v>
      </c>
      <c r="T814" s="37" t="n">
        <v>0.8649155722326454</v>
      </c>
      <c r="U814" s="37" t="n">
        <v>0.8512396694214877</v>
      </c>
      <c r="V814" s="37" t="n">
        <v>0.8689320388349514</v>
      </c>
      <c r="W814" s="37" t="n">
        <v>0.5533980582524272</v>
      </c>
    </row>
    <row r="815">
      <c r="A815" s="53" t="n">
        <v>45771</v>
      </c>
      <c r="B815" t="inlineStr">
        <is>
          <t>R07_Bali Nusra</t>
        </is>
      </c>
      <c r="C815" t="inlineStr">
        <is>
          <t>NOP FLORES</t>
        </is>
      </c>
      <c r="D815" s="36" t="n">
        <v>8.539999999999999</v>
      </c>
      <c r="E815" s="36" t="n">
        <v>5.18</v>
      </c>
      <c r="F815" s="36" t="n">
        <v>7.07</v>
      </c>
      <c r="G815" s="36" t="n">
        <v>9.869999999999999</v>
      </c>
      <c r="H815" s="37" t="n">
        <v>0.5248842592592593</v>
      </c>
      <c r="I815" s="37" t="n">
        <v>0.6564705882352941</v>
      </c>
      <c r="J815" s="37" t="n">
        <v>0.4819646968534152</v>
      </c>
      <c r="K815" s="37" t="n">
        <v>0.6057347670250897</v>
      </c>
      <c r="L815" s="37" t="n">
        <v>0.6153846153846154</v>
      </c>
      <c r="M815" s="37" t="n">
        <v>0.9930555555555556</v>
      </c>
      <c r="N815" s="37" t="n">
        <v>0.3240740740740741</v>
      </c>
      <c r="O815" s="36" t="n">
        <v>0.62</v>
      </c>
      <c r="P815" s="36" t="n">
        <v>10.57</v>
      </c>
      <c r="Q815" s="36" t="n">
        <v>8.15</v>
      </c>
      <c r="R815" s="36" t="n">
        <v>45.01</v>
      </c>
      <c r="S815" s="36" t="n">
        <v>0</v>
      </c>
      <c r="T815" s="37" t="n">
        <v>0.5159556600604636</v>
      </c>
      <c r="U815" s="37" t="n">
        <v>0.558197127290738</v>
      </c>
      <c r="V815" s="37" t="n">
        <v>0.4269311064718163</v>
      </c>
      <c r="W815" s="37" t="n">
        <v>0.6921029281277729</v>
      </c>
    </row>
    <row r="816">
      <c r="A816" s="53" t="n">
        <v>45771</v>
      </c>
      <c r="B816" t="inlineStr">
        <is>
          <t>R07_Bali Nusra</t>
        </is>
      </c>
      <c r="C816" t="inlineStr">
        <is>
          <t>NOP KUPANG</t>
        </is>
      </c>
      <c r="D816" s="36" t="n">
        <v>4.5</v>
      </c>
      <c r="E816" s="36" t="n">
        <v>6.19</v>
      </c>
      <c r="F816" s="36" t="n">
        <v>11.51</v>
      </c>
      <c r="G816" s="36" t="n">
        <v>10.19</v>
      </c>
      <c r="H816" s="37" t="n">
        <v>0.4941569282136895</v>
      </c>
      <c r="I816" s="37" t="n">
        <v>0.6265060240963856</v>
      </c>
      <c r="J816" s="37" t="n">
        <v>0.4728682170542636</v>
      </c>
      <c r="K816" s="37" t="n">
        <v>0.6153846153846154</v>
      </c>
      <c r="L816" s="37" t="n">
        <v>0.6153846153846154</v>
      </c>
      <c r="M816" s="37" t="n">
        <v>0.9774624373956594</v>
      </c>
      <c r="N816" s="37" t="n">
        <v>0.1894824707846411</v>
      </c>
      <c r="O816" s="36" t="n">
        <v>0.19</v>
      </c>
      <c r="P816" s="36" t="n">
        <v>8.42</v>
      </c>
      <c r="Q816" s="36" t="n">
        <v>20.45</v>
      </c>
      <c r="R816" s="36" t="n">
        <v>182.75</v>
      </c>
      <c r="S816" s="36" t="n">
        <v>0</v>
      </c>
      <c r="T816" s="37" t="n">
        <v>0.593881223755249</v>
      </c>
      <c r="U816" s="37" t="n">
        <v>0.5986460348162476</v>
      </c>
      <c r="V816" s="37" t="n">
        <v>0.5860979462875198</v>
      </c>
      <c r="W816" s="37" t="n">
        <v>0.6962843295638126</v>
      </c>
    </row>
    <row r="817">
      <c r="A817" s="53" t="n">
        <v>45771</v>
      </c>
      <c r="B817" t="inlineStr">
        <is>
          <t>R07_Bali Nusra</t>
        </is>
      </c>
      <c r="C817" t="inlineStr">
        <is>
          <t>NOP MATARAM</t>
        </is>
      </c>
      <c r="D817" s="36" t="n">
        <v>3.13</v>
      </c>
      <c r="E817" s="36" t="n">
        <v>5.16</v>
      </c>
      <c r="F817" s="36" t="n">
        <v>4.72</v>
      </c>
      <c r="G817" s="36" t="n">
        <v>5.99</v>
      </c>
      <c r="H817" s="37" t="n">
        <v>0.5396341463414634</v>
      </c>
      <c r="I817" s="37" t="n">
        <v>0.6428571428571429</v>
      </c>
      <c r="J817" s="37" t="n">
        <v>0.5244755244755245</v>
      </c>
      <c r="K817" s="37" t="n">
        <v>0.7407407407407407</v>
      </c>
      <c r="L817" s="37" t="n">
        <v>0.7407407407407407</v>
      </c>
      <c r="M817" s="37" t="n">
        <v>0.989329268292683</v>
      </c>
      <c r="N817" s="37" t="n">
        <v>0.3338414634146342</v>
      </c>
      <c r="O817" s="36" t="n">
        <v>1.09</v>
      </c>
      <c r="P817" s="36" t="n">
        <v>22.42</v>
      </c>
      <c r="Q817" s="36" t="n">
        <v>16.42</v>
      </c>
      <c r="R817" s="36" t="n">
        <v>62.38</v>
      </c>
      <c r="S817" s="36" t="n">
        <v>0</v>
      </c>
      <c r="T817" s="37" t="n">
        <v>0.387243735763098</v>
      </c>
      <c r="U817" s="37" t="n">
        <v>0.4064516129032258</v>
      </c>
      <c r="V817" s="37" t="n">
        <v>0.3597785977859779</v>
      </c>
      <c r="W817" s="37" t="n">
        <v>0.6158730158730159</v>
      </c>
    </row>
    <row r="818">
      <c r="A818" s="53" t="n">
        <v>45772</v>
      </c>
      <c r="B818" t="inlineStr">
        <is>
          <t>R01_Sumbagut</t>
        </is>
      </c>
      <c r="C818" t="inlineStr">
        <is>
          <t>NOP ACEH</t>
        </is>
      </c>
      <c r="D818" s="36" t="n">
        <v>3.68</v>
      </c>
      <c r="E818" s="36" t="n">
        <v>4.19</v>
      </c>
      <c r="F818" s="36" t="n">
        <v>9.67</v>
      </c>
      <c r="G818" s="36" t="n">
        <v>9.859999999999999</v>
      </c>
      <c r="H818" s="37" t="n">
        <v>0.8343034536282499</v>
      </c>
      <c r="I818" s="37" t="n">
        <v>0.823170731707317</v>
      </c>
      <c r="J818" s="37" t="n">
        <v>0.8381051535658511</v>
      </c>
      <c r="K818" s="37" t="n">
        <v>0.4185185185185185</v>
      </c>
      <c r="L818" s="37" t="n">
        <v>0.4197761194029851</v>
      </c>
      <c r="M818" s="37" t="n">
        <v>0.9996119518820333</v>
      </c>
      <c r="N818" s="37" t="n">
        <v>0.3108265424912689</v>
      </c>
      <c r="O818" s="36" t="n">
        <v>0.06</v>
      </c>
      <c r="P818" s="36" t="n">
        <v>4.45</v>
      </c>
      <c r="Q818" s="36" t="n">
        <v>66.79000000000001</v>
      </c>
      <c r="R818" s="36" t="n">
        <v>129.04</v>
      </c>
      <c r="S818" s="36" t="n">
        <v>0</v>
      </c>
      <c r="T818" s="37" t="n">
        <v>0.868552601681436</v>
      </c>
      <c r="U818" s="37" t="n">
        <v>0.7201017811704835</v>
      </c>
      <c r="V818" s="37" t="n">
        <v>0.8943186332936035</v>
      </c>
      <c r="W818" s="37" t="n">
        <v>0.193168433451119</v>
      </c>
    </row>
    <row r="819">
      <c r="A819" s="53" t="n">
        <v>45772</v>
      </c>
      <c r="B819" t="inlineStr">
        <is>
          <t>R01_Sumbagut</t>
        </is>
      </c>
      <c r="C819" t="inlineStr">
        <is>
          <t>NOP BINJAI</t>
        </is>
      </c>
      <c r="D819" s="36" t="n">
        <v>9.9</v>
      </c>
      <c r="E819" s="36" t="n">
        <v>4.29</v>
      </c>
      <c r="F819" s="36" t="n">
        <v>3.82</v>
      </c>
      <c r="G819" s="36" t="n">
        <v>4.27</v>
      </c>
      <c r="H819" s="37" t="n">
        <v>0.6352422907488987</v>
      </c>
      <c r="I819" s="37" t="n">
        <v>0.7604562737642585</v>
      </c>
      <c r="J819" s="37" t="n">
        <v>0.5974770642201835</v>
      </c>
      <c r="K819" s="37" t="n">
        <v>0.535</v>
      </c>
      <c r="L819" s="37" t="n">
        <v>0.5326633165829145</v>
      </c>
      <c r="M819" s="37" t="n">
        <v>1</v>
      </c>
      <c r="N819" s="37" t="n">
        <v>0.3497797356828194</v>
      </c>
      <c r="O819" s="36" t="n">
        <v>0.02</v>
      </c>
      <c r="P819" s="36" t="n">
        <v>2.74</v>
      </c>
      <c r="Q819" s="36" t="n">
        <v>34.41</v>
      </c>
      <c r="R819" s="36" t="n">
        <v>115.85</v>
      </c>
      <c r="S819" s="36" t="n">
        <v>0</v>
      </c>
      <c r="T819" s="37" t="n">
        <v>0.6676750216076058</v>
      </c>
      <c r="U819" s="37" t="n">
        <v>0.5553977272727273</v>
      </c>
      <c r="V819" s="37" t="n">
        <v>0.7401469605878424</v>
      </c>
      <c r="W819" s="37" t="n">
        <v>0.5524296675191815</v>
      </c>
    </row>
    <row r="820">
      <c r="A820" s="53" t="n">
        <v>45772</v>
      </c>
      <c r="B820" t="inlineStr">
        <is>
          <t>R01_Sumbagut</t>
        </is>
      </c>
      <c r="C820" t="inlineStr">
        <is>
          <t>NOP MEDAN</t>
        </is>
      </c>
      <c r="D820" s="36" t="n">
        <v>5.2</v>
      </c>
      <c r="E820" s="36" t="n">
        <v>4.24</v>
      </c>
      <c r="F820" s="36" t="n">
        <v>4.12</v>
      </c>
      <c r="G820" s="36" t="n">
        <v>5.1</v>
      </c>
      <c r="H820" s="37" t="n">
        <v>0.4095238095238095</v>
      </c>
      <c r="I820" s="37" t="n">
        <v>0.4729344729344729</v>
      </c>
      <c r="J820" s="37" t="n">
        <v>0.3818407960199005</v>
      </c>
      <c r="K820" s="37" t="n">
        <v>0.8132530120481928</v>
      </c>
      <c r="L820" s="37" t="n">
        <v>0.8170731707317073</v>
      </c>
      <c r="M820" s="37" t="n">
        <v>0.9974025974025974</v>
      </c>
      <c r="N820" s="37" t="n">
        <v>0.2562770562770563</v>
      </c>
      <c r="O820" s="36" t="n">
        <v>0</v>
      </c>
      <c r="P820" s="36" t="n">
        <v>4.94</v>
      </c>
      <c r="Q820" s="36" t="n">
        <v>17.61</v>
      </c>
      <c r="R820" s="36" t="n">
        <v>10.53</v>
      </c>
      <c r="S820" s="36" t="n">
        <v>0</v>
      </c>
      <c r="T820" s="37" t="n">
        <v>0.3251028806584362</v>
      </c>
      <c r="U820" s="37" t="n">
        <v>0.2106824925816024</v>
      </c>
      <c r="V820" s="37" t="n">
        <v>0.4012738853503185</v>
      </c>
      <c r="W820" s="37" t="n">
        <v>0.8732394366197183</v>
      </c>
    </row>
    <row r="821">
      <c r="A821" s="53" t="n">
        <v>45772</v>
      </c>
      <c r="B821" t="inlineStr">
        <is>
          <t>R01_Sumbagut</t>
        </is>
      </c>
      <c r="C821" t="inlineStr">
        <is>
          <t>NOP PADANG SIDEMPUAN</t>
        </is>
      </c>
      <c r="D821" s="36" t="n">
        <v>3.08</v>
      </c>
      <c r="E821" s="36" t="n">
        <v>3.58</v>
      </c>
      <c r="F821" s="36" t="n">
        <v>4.86</v>
      </c>
      <c r="G821" s="36" t="n">
        <v>6.34</v>
      </c>
      <c r="H821" s="37" t="n">
        <v>0.2972410203019261</v>
      </c>
      <c r="I821" s="37" t="n">
        <v>0.4509803921568628</v>
      </c>
      <c r="J821" s="37" t="n">
        <v>0.2737094837935174</v>
      </c>
      <c r="K821" s="37" t="n">
        <v>0.4782608695652174</v>
      </c>
      <c r="L821" s="37" t="n">
        <v>0.4782608695652174</v>
      </c>
      <c r="M821" s="37" t="n">
        <v>0.9942738157209786</v>
      </c>
      <c r="N821" s="37" t="n">
        <v>0.1238938053097345</v>
      </c>
      <c r="O821" s="36" t="n">
        <v>0.01</v>
      </c>
      <c r="P821" s="36" t="n">
        <v>2.41</v>
      </c>
      <c r="Q821" s="36" t="n">
        <v>13.8</v>
      </c>
      <c r="R821" s="36" t="n">
        <v>96.89</v>
      </c>
      <c r="S821" s="36" t="n">
        <v>0</v>
      </c>
      <c r="T821" s="37" t="n">
        <v>0.2916224814422057</v>
      </c>
      <c r="U821" s="37" t="n">
        <v>0.4158016147635525</v>
      </c>
      <c r="V821" s="37" t="n">
        <v>0.2488048222822698</v>
      </c>
      <c r="W821" s="37" t="n">
        <v>0.4798890429958391</v>
      </c>
    </row>
    <row r="822">
      <c r="A822" s="53" t="n">
        <v>45772</v>
      </c>
      <c r="B822" t="inlineStr">
        <is>
          <t>R01_Sumbagut</t>
        </is>
      </c>
      <c r="C822" t="inlineStr">
        <is>
          <t>NOP PEMATANG SIANTAR</t>
        </is>
      </c>
      <c r="D822" s="36" t="n">
        <v>3.66</v>
      </c>
      <c r="E822" s="36" t="n">
        <v>3.75</v>
      </c>
      <c r="F822" s="36" t="n">
        <v>5.16</v>
      </c>
      <c r="G822" s="36" t="n">
        <v>4.87</v>
      </c>
      <c r="H822" s="37" t="n">
        <v>0.3359030837004405</v>
      </c>
      <c r="I822" s="37" t="n">
        <v>0.3728395061728395</v>
      </c>
      <c r="J822" s="37" t="n">
        <v>0.3202716823406478</v>
      </c>
      <c r="K822" s="37" t="n">
        <v>0.6721854304635762</v>
      </c>
      <c r="L822" s="37" t="n">
        <v>0.678082191780822</v>
      </c>
      <c r="M822" s="37" t="n">
        <v>0.9974302496328928</v>
      </c>
      <c r="N822" s="37" t="n">
        <v>0.1879588839941263</v>
      </c>
      <c r="O822" s="36" t="n">
        <v>0.03</v>
      </c>
      <c r="P822" s="36" t="n">
        <v>4.36</v>
      </c>
      <c r="Q822" s="36" t="n">
        <v>72.81</v>
      </c>
      <c r="R822" s="36" t="n">
        <v>71.08</v>
      </c>
      <c r="S822" s="36" t="n">
        <v>0</v>
      </c>
      <c r="T822" s="37" t="n">
        <v>0.1144278606965174</v>
      </c>
      <c r="U822" s="37" t="n">
        <v>0.3370064279155188</v>
      </c>
      <c r="V822" s="37" t="n">
        <v>0.09017471350742062</v>
      </c>
      <c r="W822" s="37" t="n">
        <v>0.8446866485013624</v>
      </c>
    </row>
    <row r="823">
      <c r="A823" s="53" t="n">
        <v>45772</v>
      </c>
      <c r="B823" t="inlineStr">
        <is>
          <t>R01_Sumbagut</t>
        </is>
      </c>
      <c r="C823" t="inlineStr">
        <is>
          <t>NOP RANTAU PRAPAT</t>
        </is>
      </c>
      <c r="D823" s="36" t="n">
        <v>4.36</v>
      </c>
      <c r="E823" s="36" t="n">
        <v>6.21</v>
      </c>
      <c r="F823" s="36" t="n">
        <v>5.83</v>
      </c>
      <c r="G823" s="36" t="n">
        <v>6.1</v>
      </c>
      <c r="H823" s="37" t="n">
        <v>0.3112073112073112</v>
      </c>
      <c r="I823" s="37" t="n">
        <v>0.3118421052631579</v>
      </c>
      <c r="J823" s="37" t="n">
        <v>0.3110653325485579</v>
      </c>
      <c r="K823" s="37" t="n">
        <v>0.6118143459915611</v>
      </c>
      <c r="L823" s="37" t="n">
        <v>0.614406779661017</v>
      </c>
      <c r="M823" s="37" t="n">
        <v>0.9898989898989899</v>
      </c>
      <c r="N823" s="37" t="n">
        <v>0.176046176046176</v>
      </c>
      <c r="O823" s="36" t="n">
        <v>0.02</v>
      </c>
      <c r="P823" s="36" t="n">
        <v>4.29</v>
      </c>
      <c r="Q823" s="36" t="n">
        <v>38.42</v>
      </c>
      <c r="R823" s="36" t="n">
        <v>48.43</v>
      </c>
      <c r="S823" s="36" t="n">
        <v>0</v>
      </c>
      <c r="T823" s="37" t="n">
        <v>0.06998769987699877</v>
      </c>
      <c r="U823" s="37" t="n">
        <v>0.1612595419847328</v>
      </c>
      <c r="V823" s="37" t="n">
        <v>0.04886943836615609</v>
      </c>
      <c r="W823" s="37" t="n">
        <v>0.6272189349112426</v>
      </c>
    </row>
    <row r="824">
      <c r="A824" s="53" t="n">
        <v>45772</v>
      </c>
      <c r="B824" t="inlineStr">
        <is>
          <t>R10_Sumbagteng</t>
        </is>
      </c>
      <c r="C824" t="inlineStr">
        <is>
          <t>NOP BATAM</t>
        </is>
      </c>
      <c r="D824" s="36" t="n">
        <v>2.38</v>
      </c>
      <c r="E824" s="36" t="n">
        <v>8.07</v>
      </c>
      <c r="F824" s="36" t="n">
        <v>6.73</v>
      </c>
      <c r="G824" s="36" t="n">
        <v>10.5</v>
      </c>
      <c r="H824" s="37" t="n">
        <v>0.2913634925656438</v>
      </c>
      <c r="I824" s="37" t="n">
        <v>0.3241852487135506</v>
      </c>
      <c r="J824" s="37" t="n">
        <v>0.2839410395655547</v>
      </c>
      <c r="K824" s="37" t="n">
        <v>0.6031746031746031</v>
      </c>
      <c r="L824" s="37" t="n">
        <v>0.6195652173913043</v>
      </c>
      <c r="M824" s="37" t="n">
        <v>0.9936728883264789</v>
      </c>
      <c r="N824" s="37" t="n">
        <v>0.1841189496994622</v>
      </c>
      <c r="O824" s="36" t="n">
        <v>0.65</v>
      </c>
      <c r="P824" s="36" t="n">
        <v>5.27</v>
      </c>
      <c r="Q824" s="36" t="n">
        <v>31.78</v>
      </c>
      <c r="R824" s="36" t="n">
        <v>21.84</v>
      </c>
      <c r="S824" s="36" t="n">
        <v>0</v>
      </c>
      <c r="T824" s="37" t="n">
        <v>0.07967688635946392</v>
      </c>
      <c r="U824" s="37" t="n">
        <v>0.2402640264026403</v>
      </c>
      <c r="V824" s="37" t="n">
        <v>0.05298370562209993</v>
      </c>
      <c r="W824" s="37" t="n">
        <v>0.8076923076923077</v>
      </c>
    </row>
    <row r="825">
      <c r="A825" s="53" t="n">
        <v>45772</v>
      </c>
      <c r="B825" t="inlineStr">
        <is>
          <t>R10_Sumbagteng</t>
        </is>
      </c>
      <c r="C825" t="inlineStr">
        <is>
          <t>NOP BUKITTINGGI</t>
        </is>
      </c>
      <c r="D825" s="36" t="n">
        <v>2.57</v>
      </c>
      <c r="E825" s="36" t="n">
        <v>4.54</v>
      </c>
      <c r="F825" s="36" t="n">
        <v>5</v>
      </c>
      <c r="G825" s="36" t="n">
        <v>6.13</v>
      </c>
      <c r="H825" s="37" t="n">
        <v>0.7578397212543554</v>
      </c>
      <c r="I825" s="37" t="n">
        <v>0.8391608391608392</v>
      </c>
      <c r="J825" s="37" t="n">
        <v>0.7308584686774942</v>
      </c>
      <c r="K825" s="37" t="n">
        <v>0.6458333333333334</v>
      </c>
      <c r="L825" s="37" t="n">
        <v>0.6623931623931624</v>
      </c>
      <c r="M825" s="37" t="n">
        <v>0.9930313588850174</v>
      </c>
      <c r="N825" s="37" t="n">
        <v>0.4660278745644599</v>
      </c>
      <c r="O825" s="36" t="n">
        <v>0.06</v>
      </c>
      <c r="P825" s="36" t="n">
        <v>3.03</v>
      </c>
      <c r="Q825" s="36" t="n">
        <v>13.03</v>
      </c>
      <c r="R825" s="36" t="n">
        <v>100.37</v>
      </c>
      <c r="S825" s="36" t="n">
        <v>0</v>
      </c>
      <c r="T825" s="37" t="n">
        <v>0.2947761194029851</v>
      </c>
      <c r="U825" s="37" t="n">
        <v>0.7891566265060241</v>
      </c>
      <c r="V825" s="37" t="n">
        <v>0.2538736591179976</v>
      </c>
      <c r="W825" s="37" t="n">
        <v>0.5750636132315522</v>
      </c>
    </row>
    <row r="826">
      <c r="A826" s="53" t="n">
        <v>45772</v>
      </c>
      <c r="B826" t="inlineStr">
        <is>
          <t>R10_Sumbagteng</t>
        </is>
      </c>
      <c r="C826" t="inlineStr">
        <is>
          <t>NOP DUMAI</t>
        </is>
      </c>
      <c r="D826" s="36" t="n">
        <v>5.2</v>
      </c>
      <c r="E826" s="36" t="n">
        <v>5.7</v>
      </c>
      <c r="F826" s="36" t="n">
        <v>5.48</v>
      </c>
      <c r="G826" s="36" t="n">
        <v>6.89</v>
      </c>
      <c r="H826" s="37" t="n">
        <v>0.4095595126522962</v>
      </c>
      <c r="I826" s="37" t="n">
        <v>0.4969591659426585</v>
      </c>
      <c r="J826" s="37" t="n">
        <v>0.3772858517805582</v>
      </c>
      <c r="K826" s="37" t="n">
        <v>0.7290209790209791</v>
      </c>
      <c r="L826" s="37" t="n">
        <v>0.7381818181818182</v>
      </c>
      <c r="M826" s="37" t="n">
        <v>0.9777413308341143</v>
      </c>
      <c r="N826" s="37" t="n">
        <v>0.2441424554826617</v>
      </c>
      <c r="O826" s="36" t="n">
        <v>0.27</v>
      </c>
      <c r="P826" s="36" t="n">
        <v>4.65</v>
      </c>
      <c r="Q826" s="36" t="n">
        <v>56.92</v>
      </c>
      <c r="R826" s="36" t="n">
        <v>133.27</v>
      </c>
      <c r="S826" s="36" t="n">
        <v>0</v>
      </c>
      <c r="T826" s="37" t="n">
        <v>0.2964114832535885</v>
      </c>
      <c r="U826" s="37" t="n">
        <v>0.3401592718998863</v>
      </c>
      <c r="V826" s="37" t="n">
        <v>0.2969174253314167</v>
      </c>
      <c r="W826" s="37" t="n">
        <v>0.939799331103679</v>
      </c>
    </row>
    <row r="827">
      <c r="A827" s="53" t="n">
        <v>45772</v>
      </c>
      <c r="B827" t="inlineStr">
        <is>
          <t>R10_Sumbagteng</t>
        </is>
      </c>
      <c r="C827" t="inlineStr">
        <is>
          <t>NOP PADANG</t>
        </is>
      </c>
      <c r="D827" s="36" t="n">
        <v>3.66</v>
      </c>
      <c r="E827" s="36" t="n">
        <v>2.66</v>
      </c>
      <c r="F827" s="36" t="n">
        <v>6.56</v>
      </c>
      <c r="G827" s="36" t="n">
        <v>6.74</v>
      </c>
      <c r="H827" s="37" t="n">
        <v>0.7557811618725324</v>
      </c>
      <c r="I827" s="37" t="n">
        <v>0.7268518518518519</v>
      </c>
      <c r="J827" s="37" t="n">
        <v>0.7597944765574823</v>
      </c>
      <c r="K827" s="37" t="n">
        <v>0.4777070063694268</v>
      </c>
      <c r="L827" s="37" t="n">
        <v>0.4777070063694268</v>
      </c>
      <c r="M827" s="37" t="n">
        <v>0.9842075578116187</v>
      </c>
      <c r="N827" s="37" t="n">
        <v>0.2865200225606317</v>
      </c>
      <c r="O827" s="36" t="n">
        <v>0.06</v>
      </c>
      <c r="P827" s="36" t="n">
        <v>4.74</v>
      </c>
      <c r="Q827" s="36" t="n">
        <v>32.17</v>
      </c>
      <c r="R827" s="36" t="n">
        <v>64.14</v>
      </c>
      <c r="S827" s="36" t="n">
        <v>0</v>
      </c>
      <c r="T827" s="37" t="n">
        <v>0.7737052789592194</v>
      </c>
      <c r="U827" s="37" t="n">
        <v>0.6730337078651686</v>
      </c>
      <c r="V827" s="37" t="n">
        <v>0.7891291974957314</v>
      </c>
      <c r="W827" s="37" t="n">
        <v>0.5175292153589316</v>
      </c>
    </row>
    <row r="828">
      <c r="A828" s="53" t="n">
        <v>45772</v>
      </c>
      <c r="B828" t="inlineStr">
        <is>
          <t>R10_Sumbagteng</t>
        </is>
      </c>
      <c r="C828" t="inlineStr">
        <is>
          <t>NOP PEKANBARU</t>
        </is>
      </c>
      <c r="D828" s="36" t="n">
        <v>5.76</v>
      </c>
      <c r="E828" s="36" t="n">
        <v>5.96</v>
      </c>
      <c r="F828" s="36" t="n">
        <v>5.6</v>
      </c>
      <c r="G828" s="36" t="n">
        <v>6.71</v>
      </c>
      <c r="H828" s="37" t="n">
        <v>0.4072617946345976</v>
      </c>
      <c r="I828" s="37" t="n">
        <v>0.5140939597315436</v>
      </c>
      <c r="J828" s="37" t="n">
        <v>0.3850237496507404</v>
      </c>
      <c r="K828" s="37" t="n">
        <v>0.7441253263707572</v>
      </c>
      <c r="L828" s="37" t="n">
        <v>0.7493403693931399</v>
      </c>
      <c r="M828" s="37" t="n">
        <v>0.9888991674375578</v>
      </c>
      <c r="N828" s="37" t="n">
        <v>0.227104532839963</v>
      </c>
      <c r="O828" s="36" t="n">
        <v>0.02</v>
      </c>
      <c r="P828" s="36" t="n">
        <v>3.39</v>
      </c>
      <c r="Q828" s="36" t="n">
        <v>48.56</v>
      </c>
      <c r="R828" s="36" t="n">
        <v>100.51</v>
      </c>
      <c r="S828" s="36" t="n">
        <v>0</v>
      </c>
      <c r="T828" s="37" t="n">
        <v>0.3003597122302158</v>
      </c>
      <c r="U828" s="37" t="n">
        <v>0.3130885122410546</v>
      </c>
      <c r="V828" s="37" t="n">
        <v>0.3065632208010065</v>
      </c>
      <c r="W828" s="37" t="n">
        <v>0.8511278195488722</v>
      </c>
    </row>
    <row r="829">
      <c r="A829" s="53" t="n">
        <v>45772</v>
      </c>
      <c r="B829" t="inlineStr">
        <is>
          <t>R02_Sumbagsel</t>
        </is>
      </c>
      <c r="C829" t="inlineStr">
        <is>
          <t>NOP BENGKULU</t>
        </is>
      </c>
      <c r="D829" s="36" t="n">
        <v>2.51</v>
      </c>
      <c r="E829" s="36" t="n">
        <v>4.26</v>
      </c>
      <c r="F829" s="36" t="n">
        <v>4.39</v>
      </c>
      <c r="G829" s="36" t="n">
        <v>6.42</v>
      </c>
      <c r="H829" s="37" t="n">
        <v>0.35</v>
      </c>
      <c r="I829" s="37" t="n">
        <v>0.4077809798270893</v>
      </c>
      <c r="J829" s="37" t="n">
        <v>0.3293936279547791</v>
      </c>
      <c r="K829" s="37" t="n">
        <v>0.6713780918727915</v>
      </c>
      <c r="L829" s="37" t="n">
        <v>0.6713780918727915</v>
      </c>
      <c r="M829" s="37" t="n">
        <v>0.9920454545454546</v>
      </c>
      <c r="N829" s="37" t="n">
        <v>0.1840909090909091</v>
      </c>
      <c r="O829" s="36" t="n">
        <v>0</v>
      </c>
      <c r="P829" s="36" t="n">
        <v>6.33</v>
      </c>
      <c r="Q829" s="36" t="n">
        <v>6.78</v>
      </c>
      <c r="R829" s="36" t="n">
        <v>13.07</v>
      </c>
      <c r="S829" s="36" t="n">
        <v>0</v>
      </c>
      <c r="T829" s="37" t="n">
        <v>0.4651351900792844</v>
      </c>
      <c r="U829" s="37" t="n">
        <v>0.3938260056127222</v>
      </c>
      <c r="V829" s="37" t="n">
        <v>0.630451415455241</v>
      </c>
      <c r="W829" s="37" t="n">
        <v>0.880443388756928</v>
      </c>
    </row>
    <row r="830">
      <c r="A830" s="53" t="n">
        <v>45772</v>
      </c>
      <c r="B830" t="inlineStr">
        <is>
          <t>R02_Sumbagsel</t>
        </is>
      </c>
      <c r="C830" t="inlineStr">
        <is>
          <t>NOP JAMBI</t>
        </is>
      </c>
      <c r="D830" s="36" t="n">
        <v>3.71</v>
      </c>
      <c r="E830" s="36" t="n">
        <v>6.3</v>
      </c>
      <c r="F830" s="36" t="n">
        <v>6.25</v>
      </c>
      <c r="G830" s="36" t="n">
        <v>8.49</v>
      </c>
      <c r="H830" s="37" t="n">
        <v>0.5319969159599075</v>
      </c>
      <c r="I830" s="37" t="n">
        <v>0.5770212765957446</v>
      </c>
      <c r="J830" s="37" t="n">
        <v>0.5125184094256259</v>
      </c>
      <c r="K830" s="37" t="n">
        <v>0.6578171091445427</v>
      </c>
      <c r="L830" s="37" t="n">
        <v>0.6602373887240356</v>
      </c>
      <c r="M830" s="37" t="n">
        <v>1</v>
      </c>
      <c r="N830" s="37" t="n">
        <v>0.2775636083269082</v>
      </c>
      <c r="O830" s="36" t="n">
        <v>0</v>
      </c>
      <c r="P830" s="36" t="n">
        <v>7.93</v>
      </c>
      <c r="Q830" s="36" t="n">
        <v>20.1</v>
      </c>
      <c r="R830" s="36" t="n">
        <v>18</v>
      </c>
      <c r="S830" s="36" t="n">
        <v>0</v>
      </c>
      <c r="T830" s="37" t="n">
        <v>0.6330355578910493</v>
      </c>
      <c r="U830" s="37" t="n">
        <v>0.61689449702068</v>
      </c>
      <c r="V830" s="37" t="n">
        <v>0.6728130360205832</v>
      </c>
      <c r="W830" s="37" t="n">
        <v>0.7465909090909091</v>
      </c>
    </row>
    <row r="831">
      <c r="A831" s="53" t="n">
        <v>45772</v>
      </c>
      <c r="B831" t="inlineStr">
        <is>
          <t>R02_Sumbagsel</t>
        </is>
      </c>
      <c r="C831" t="inlineStr">
        <is>
          <t>NOP LAMPUNG</t>
        </is>
      </c>
      <c r="D831" s="36" t="n">
        <v>3.84</v>
      </c>
      <c r="E831" s="36" t="n">
        <v>4.73</v>
      </c>
      <c r="F831" s="36" t="n">
        <v>4.63</v>
      </c>
      <c r="G831" s="36" t="n">
        <v>5.3</v>
      </c>
      <c r="H831" s="37" t="n">
        <v>0.5291421087098886</v>
      </c>
      <c r="I831" s="37" t="n">
        <v>0.6939313984168866</v>
      </c>
      <c r="J831" s="37" t="n">
        <v>0.4747386759581881</v>
      </c>
      <c r="K831" s="37" t="n">
        <v>0.7224334600760456</v>
      </c>
      <c r="L831" s="37" t="n">
        <v>0.7203065134099617</v>
      </c>
      <c r="M831" s="37" t="n">
        <v>0.9980353634577603</v>
      </c>
      <c r="N831" s="37" t="n">
        <v>0.3405370006548789</v>
      </c>
      <c r="O831" s="36" t="n">
        <v>1.12</v>
      </c>
      <c r="P831" s="36" t="n">
        <v>5.53</v>
      </c>
      <c r="Q831" s="36" t="n">
        <v>5.94</v>
      </c>
      <c r="R831" s="36" t="n">
        <v>27.54</v>
      </c>
      <c r="S831" s="36" t="n">
        <v>0</v>
      </c>
      <c r="T831" s="37" t="n">
        <v>0.8976202280614775</v>
      </c>
      <c r="U831" s="37" t="n">
        <v>0.798810703666997</v>
      </c>
      <c r="V831" s="37" t="n">
        <v>0.9474973748687434</v>
      </c>
      <c r="W831" s="37" t="n">
        <v>0.8560794044665012</v>
      </c>
    </row>
    <row r="832">
      <c r="A832" s="53" t="n">
        <v>45772</v>
      </c>
      <c r="B832" t="inlineStr">
        <is>
          <t>R02_Sumbagsel</t>
        </is>
      </c>
      <c r="C832" t="inlineStr">
        <is>
          <t>NOP MUARA ENIM</t>
        </is>
      </c>
      <c r="D832" s="36" t="n">
        <v>3.09</v>
      </c>
      <c r="E832" s="36" t="n">
        <v>3.84</v>
      </c>
      <c r="F832" s="36" t="n">
        <v>5.26</v>
      </c>
      <c r="G832" s="36" t="n">
        <v>5.16</v>
      </c>
      <c r="H832" s="37" t="n">
        <v>0.3980908152734778</v>
      </c>
      <c r="I832" s="37" t="n">
        <v>0.3360544217687075</v>
      </c>
      <c r="J832" s="37" t="n">
        <v>0.4126074498567335</v>
      </c>
      <c r="K832" s="37" t="n">
        <v>0.5465587044534413</v>
      </c>
      <c r="L832" s="37" t="n">
        <v>0.5859030837004405</v>
      </c>
      <c r="M832" s="37" t="n">
        <v>0.9721362229102167</v>
      </c>
      <c r="N832" s="37" t="n">
        <v>0.1759545923632611</v>
      </c>
      <c r="O832" s="36" t="n">
        <v>0</v>
      </c>
      <c r="P832" s="36" t="n">
        <v>4.38</v>
      </c>
      <c r="Q832" s="36" t="n">
        <v>6.26</v>
      </c>
      <c r="R832" s="36" t="n">
        <v>8.699999999999999</v>
      </c>
      <c r="S832" s="36" t="n">
        <v>0</v>
      </c>
      <c r="T832" s="37" t="n">
        <v>0.4628571428571429</v>
      </c>
      <c r="U832" s="37" t="n">
        <v>0.4745995423340961</v>
      </c>
      <c r="V832" s="37" t="n">
        <v>0.5341497880357984</v>
      </c>
      <c r="W832" s="37" t="n">
        <v>0.7984570877531341</v>
      </c>
    </row>
    <row r="833">
      <c r="A833" s="53" t="n">
        <v>45772</v>
      </c>
      <c r="B833" t="inlineStr">
        <is>
          <t>R02_Sumbagsel</t>
        </is>
      </c>
      <c r="C833" t="inlineStr">
        <is>
          <t>NOP PALEMBANG</t>
        </is>
      </c>
      <c r="D833" s="36" t="n">
        <v>3.3</v>
      </c>
      <c r="E833" s="36" t="n">
        <v>4.99</v>
      </c>
      <c r="F833" s="36" t="n">
        <v>8.01</v>
      </c>
      <c r="G833" s="36" t="n">
        <v>8.81</v>
      </c>
      <c r="H833" s="37" t="n">
        <v>0.2828558435652569</v>
      </c>
      <c r="I833" s="37" t="n">
        <v>0.2860262008733624</v>
      </c>
      <c r="J833" s="37" t="n">
        <v>0.2824873096446701</v>
      </c>
      <c r="K833" s="37" t="n">
        <v>0.4580152671755725</v>
      </c>
      <c r="L833" s="37" t="n">
        <v>0.4580152671755725</v>
      </c>
      <c r="M833" s="37" t="n">
        <v>0.9995452478399273</v>
      </c>
      <c r="N833" s="37" t="n">
        <v>0.1211914506593906</v>
      </c>
      <c r="O833" s="36" t="n">
        <v>0</v>
      </c>
      <c r="P833" s="36" t="n">
        <v>6</v>
      </c>
      <c r="Q833" s="36" t="n">
        <v>12.79</v>
      </c>
      <c r="R833" s="36" t="n">
        <v>6</v>
      </c>
      <c r="S833" s="36" t="n">
        <v>0</v>
      </c>
      <c r="T833" s="37" t="n">
        <v>0.3008849557522124</v>
      </c>
      <c r="U833" s="37" t="n">
        <v>0.2418273260687343</v>
      </c>
      <c r="V833" s="37" t="n">
        <v>0.4258675078864353</v>
      </c>
      <c r="W833" s="37" t="n">
        <v>0.4506065857885615</v>
      </c>
    </row>
    <row r="834">
      <c r="A834" s="53" t="n">
        <v>45772</v>
      </c>
      <c r="B834" t="inlineStr">
        <is>
          <t>R02_Sumbagsel</t>
        </is>
      </c>
      <c r="C834" t="inlineStr">
        <is>
          <t>NOP PANGKAL PINANG</t>
        </is>
      </c>
      <c r="D834" s="36" t="n">
        <v>1.94</v>
      </c>
      <c r="E834" s="36" t="n">
        <v>3.01</v>
      </c>
      <c r="F834" s="36" t="n">
        <v>5.52</v>
      </c>
      <c r="G834" s="36" t="n">
        <v>6.49</v>
      </c>
      <c r="H834" s="37" t="n">
        <v>0.6368421052631579</v>
      </c>
      <c r="I834" s="37" t="n">
        <v>0.7096774193548387</v>
      </c>
      <c r="J834" s="37" t="n">
        <v>0.6326530612244898</v>
      </c>
      <c r="K834" s="37" t="n">
        <v>0.6818181818181818</v>
      </c>
      <c r="L834" s="37" t="n">
        <v>0.6818181818181818</v>
      </c>
      <c r="M834" s="37" t="n">
        <v>0.9982456140350877</v>
      </c>
      <c r="N834" s="37" t="n">
        <v>0.3631578947368421</v>
      </c>
      <c r="O834" s="36" t="n">
        <v>0</v>
      </c>
      <c r="P834" s="36" t="n">
        <v>5.86</v>
      </c>
      <c r="Q834" s="36" t="n">
        <v>6.69</v>
      </c>
      <c r="R834" s="36" t="n">
        <v>7.99</v>
      </c>
      <c r="S834" s="36" t="n">
        <v>0</v>
      </c>
      <c r="T834" s="37" t="n">
        <v>0.7881873727087576</v>
      </c>
      <c r="U834" s="37" t="n">
        <v>0.8405172413793104</v>
      </c>
      <c r="V834" s="37" t="n">
        <v>0.8364640883977901</v>
      </c>
      <c r="W834" s="37" t="n">
        <v>0.7128205128205128</v>
      </c>
    </row>
    <row r="835">
      <c r="A835" s="53" t="n">
        <v>45772</v>
      </c>
      <c r="B835" t="inlineStr">
        <is>
          <t>R05_Jawa Tengah DIY</t>
        </is>
      </c>
      <c r="C835" t="inlineStr">
        <is>
          <t>NOP MAGELANG</t>
        </is>
      </c>
      <c r="D835" s="36" t="n">
        <v>3.83</v>
      </c>
      <c r="E835" s="36" t="n">
        <v>0</v>
      </c>
      <c r="F835" s="36" t="n">
        <v>4.03</v>
      </c>
      <c r="G835" s="36" t="n">
        <v>5.24</v>
      </c>
      <c r="H835" s="37" t="n">
        <v>0.7822410147991543</v>
      </c>
      <c r="I835" s="37" t="n">
        <v>0.9642857142857143</v>
      </c>
      <c r="J835" s="37" t="n">
        <v>0.7577937649880095</v>
      </c>
      <c r="K835" s="37" t="n">
        <v>0.7962962962962963</v>
      </c>
      <c r="L835" s="37" t="n">
        <v>0.7962962962962963</v>
      </c>
      <c r="M835" s="37" t="n">
        <v>0.9978858350951374</v>
      </c>
      <c r="N835" s="37" t="n">
        <v>0.693446088794926</v>
      </c>
      <c r="O835" s="36" t="n">
        <v>0.17</v>
      </c>
      <c r="P835" s="36" t="n">
        <v>3.26</v>
      </c>
      <c r="Q835" s="36" t="n">
        <v>8.199999999999999</v>
      </c>
      <c r="R835" s="36" t="n">
        <v>16.99</v>
      </c>
      <c r="S835" s="36" t="n">
        <v>0</v>
      </c>
      <c r="T835" s="37" t="n">
        <v>0.9471544715447154</v>
      </c>
      <c r="U835" s="37" t="n">
        <v>0.9484536082474226</v>
      </c>
      <c r="V835" s="37" t="n">
        <v>0.9468354430379747</v>
      </c>
      <c r="W835" s="37" t="n">
        <v>0.8858695652173914</v>
      </c>
    </row>
    <row r="836">
      <c r="A836" s="53" t="n">
        <v>45772</v>
      </c>
      <c r="B836" t="inlineStr">
        <is>
          <t>R05_Jawa Tengah DIY</t>
        </is>
      </c>
      <c r="C836" t="inlineStr">
        <is>
          <t>NOP PEKALONGAN</t>
        </is>
      </c>
      <c r="D836" s="36" t="n">
        <v>3.04</v>
      </c>
      <c r="E836" s="36" t="n">
        <v>0</v>
      </c>
      <c r="F836" s="36" t="n">
        <v>3.37</v>
      </c>
      <c r="G836" s="36" t="n">
        <v>3.59</v>
      </c>
      <c r="H836" s="37" t="n">
        <v>0.6478149100257069</v>
      </c>
      <c r="I836" s="37" t="n">
        <v>0.75</v>
      </c>
      <c r="J836" s="37" t="n">
        <v>0.6373937677053825</v>
      </c>
      <c r="K836" s="37" t="n">
        <v>1</v>
      </c>
      <c r="L836" s="37" t="n">
        <v>1</v>
      </c>
      <c r="M836" s="37" t="n">
        <v>0.9691516709511568</v>
      </c>
      <c r="N836" s="37" t="n">
        <v>0.5706940874035989</v>
      </c>
      <c r="O836" s="36" t="n">
        <v>0.01</v>
      </c>
      <c r="P836" s="36" t="n">
        <v>3.38</v>
      </c>
      <c r="Q836" s="36" t="n">
        <v>5.99</v>
      </c>
      <c r="R836" s="36" t="n">
        <v>49.05</v>
      </c>
      <c r="S836" s="36" t="n">
        <v>0</v>
      </c>
      <c r="T836" s="37" t="n">
        <v>0.8069444444444445</v>
      </c>
      <c r="U836" s="37" t="n">
        <v>0.7796610169491526</v>
      </c>
      <c r="V836" s="37" t="n">
        <v>0.8158379373848987</v>
      </c>
      <c r="W836" s="37" t="n">
        <v>0.6521739130434783</v>
      </c>
    </row>
    <row r="837">
      <c r="A837" s="53" t="n">
        <v>45772</v>
      </c>
      <c r="B837" t="inlineStr">
        <is>
          <t>R05_Jawa Tengah DIY</t>
        </is>
      </c>
      <c r="C837" t="inlineStr">
        <is>
          <t>NOP PURWOKERTO</t>
        </is>
      </c>
      <c r="D837" s="36" t="n">
        <v>3.25</v>
      </c>
      <c r="E837" s="36" t="n">
        <v>0</v>
      </c>
      <c r="F837" s="36" t="n">
        <v>3.67</v>
      </c>
      <c r="G837" s="36" t="n">
        <v>4.85</v>
      </c>
      <c r="H837" s="37" t="n">
        <v>0.7852631578947369</v>
      </c>
      <c r="I837" s="37" t="n">
        <v>0.7906976744186046</v>
      </c>
      <c r="J837" s="37" t="n">
        <v>0.7847222222222222</v>
      </c>
      <c r="K837" s="37" t="n">
        <v>1</v>
      </c>
      <c r="L837" s="37" t="n">
        <v>1</v>
      </c>
      <c r="M837" s="37" t="n">
        <v>0.9747368421052631</v>
      </c>
      <c r="N837" s="37" t="n">
        <v>0.5242105263157895</v>
      </c>
      <c r="O837" s="36" t="n">
        <v>0.28</v>
      </c>
      <c r="P837" s="36" t="n">
        <v>3.7</v>
      </c>
      <c r="Q837" s="36" t="n">
        <v>8.94</v>
      </c>
      <c r="R837" s="36" t="n">
        <v>39.53</v>
      </c>
      <c r="S837" s="36" t="n">
        <v>0</v>
      </c>
      <c r="T837" s="37" t="n">
        <v>0.8075801749271136</v>
      </c>
      <c r="U837" s="37" t="n">
        <v>0.8</v>
      </c>
      <c r="V837" s="37" t="n">
        <v>0.809437386569873</v>
      </c>
      <c r="W837" s="37" t="n">
        <v>0.7685185185185185</v>
      </c>
    </row>
    <row r="838">
      <c r="A838" s="53" t="n">
        <v>45772</v>
      </c>
      <c r="B838" t="inlineStr">
        <is>
          <t>R05_Jawa Tengah DIY</t>
        </is>
      </c>
      <c r="C838" t="inlineStr">
        <is>
          <t>NOP SEMARANG</t>
        </is>
      </c>
      <c r="D838" s="36" t="n">
        <v>2.91</v>
      </c>
      <c r="E838" s="36" t="n">
        <v>1.69</v>
      </c>
      <c r="F838" s="36" t="n">
        <v>3.05</v>
      </c>
      <c r="G838" s="36" t="n">
        <v>4.2</v>
      </c>
      <c r="H838" s="37" t="n">
        <v>0.4106412005457026</v>
      </c>
      <c r="I838" s="37" t="n">
        <v>0.472972972972973</v>
      </c>
      <c r="J838" s="37" t="n">
        <v>0.4036418816388467</v>
      </c>
      <c r="K838" s="37" t="n">
        <v>1</v>
      </c>
      <c r="L838" s="37" t="n">
        <v>1</v>
      </c>
      <c r="M838" s="37" t="n">
        <v>0.9495225102319236</v>
      </c>
      <c r="N838" s="37" t="n">
        <v>0.2496589358799454</v>
      </c>
      <c r="O838" s="36" t="n">
        <v>0.6</v>
      </c>
      <c r="P838" s="36" t="n">
        <v>5.1</v>
      </c>
      <c r="Q838" s="36" t="n">
        <v>9.43</v>
      </c>
      <c r="R838" s="36" t="n">
        <v>70.01000000000001</v>
      </c>
      <c r="S838" s="36" t="n">
        <v>0</v>
      </c>
      <c r="T838" s="37" t="n">
        <v>0.7473884140550807</v>
      </c>
      <c r="U838" s="37" t="n">
        <v>0.4965277777777778</v>
      </c>
      <c r="V838" s="37" t="n">
        <v>0.8418300653594771</v>
      </c>
      <c r="W838" s="37" t="n">
        <v>0.8321678321678322</v>
      </c>
    </row>
    <row r="839">
      <c r="A839" s="53" t="n">
        <v>45772</v>
      </c>
      <c r="B839" t="inlineStr">
        <is>
          <t>R05_Jawa Tengah DIY</t>
        </is>
      </c>
      <c r="C839" t="inlineStr">
        <is>
          <t>NOP SURAKARTA</t>
        </is>
      </c>
      <c r="D839" s="36" t="n">
        <v>3.6</v>
      </c>
      <c r="E839" s="36" t="n">
        <v>2.15</v>
      </c>
      <c r="F839" s="36" t="n">
        <v>4.19</v>
      </c>
      <c r="G839" s="36" t="n">
        <v>4.49</v>
      </c>
      <c r="H839" s="37" t="n">
        <v>0.7304785894206549</v>
      </c>
      <c r="I839" s="37" t="n">
        <v>0.8636363636363636</v>
      </c>
      <c r="J839" s="37" t="n">
        <v>0.7138810198300283</v>
      </c>
      <c r="K839" s="37" t="n">
        <v>0.9473684210526315</v>
      </c>
      <c r="L839" s="37" t="n">
        <v>0.9473684210526315</v>
      </c>
      <c r="M839" s="37" t="n">
        <v>0.9710327455919395</v>
      </c>
      <c r="N839" s="37" t="n">
        <v>0.5151133501259446</v>
      </c>
      <c r="O839" s="36" t="n">
        <v>0.14</v>
      </c>
      <c r="P839" s="36" t="n">
        <v>3.76</v>
      </c>
      <c r="Q839" s="36" t="n">
        <v>7.99</v>
      </c>
      <c r="R839" s="36" t="n">
        <v>54.15</v>
      </c>
      <c r="S839" s="36" t="n">
        <v>0</v>
      </c>
      <c r="T839" s="37" t="n">
        <v>0.820040899795501</v>
      </c>
      <c r="U839" s="37" t="n">
        <v>0.7276264591439688</v>
      </c>
      <c r="V839" s="37" t="n">
        <v>0.8529819694868238</v>
      </c>
      <c r="W839" s="37" t="n">
        <v>0.7700534759358288</v>
      </c>
    </row>
    <row r="840">
      <c r="A840" s="53" t="n">
        <v>45772</v>
      </c>
      <c r="B840" t="inlineStr">
        <is>
          <t>R05_Jawa Tengah DIY</t>
        </is>
      </c>
      <c r="C840" t="inlineStr">
        <is>
          <t>NOP YOGYAKARTA</t>
        </is>
      </c>
      <c r="D840" s="36" t="n">
        <v>3.3</v>
      </c>
      <c r="E840" s="36" t="n">
        <v>0</v>
      </c>
      <c r="F840" s="36" t="n">
        <v>3.48</v>
      </c>
      <c r="G840" s="36" t="n">
        <v>3.45</v>
      </c>
      <c r="H840" s="37" t="n">
        <v>0.585820895522388</v>
      </c>
      <c r="I840" s="37" t="n">
        <v>0.8913043478260869</v>
      </c>
      <c r="J840" s="37" t="n">
        <v>0.5571428571428572</v>
      </c>
      <c r="K840" s="37" t="n">
        <v>0.9512195121951219</v>
      </c>
      <c r="L840" s="37" t="n">
        <v>0.9487179487179487</v>
      </c>
      <c r="M840" s="37" t="n">
        <v>0.9888059701492538</v>
      </c>
      <c r="N840" s="37" t="n">
        <v>0.4216417910447761</v>
      </c>
      <c r="O840" s="36" t="n">
        <v>0</v>
      </c>
      <c r="P840" s="36" t="n">
        <v>3.15</v>
      </c>
      <c r="Q840" s="36" t="n">
        <v>15.45</v>
      </c>
      <c r="R840" s="36" t="n">
        <v>42.57</v>
      </c>
      <c r="S840" s="36" t="n">
        <v>0</v>
      </c>
      <c r="T840" s="37" t="n">
        <v>0.9351944167497508</v>
      </c>
      <c r="U840" s="37" t="n">
        <v>0.8352941176470589</v>
      </c>
      <c r="V840" s="37" t="n">
        <v>0.9555822328931572</v>
      </c>
      <c r="W840" s="37" t="n">
        <v>0.9859154929577465</v>
      </c>
    </row>
    <row r="841">
      <c r="A841" s="53" t="n">
        <v>45772</v>
      </c>
      <c r="B841" t="inlineStr">
        <is>
          <t>R06_Jawa Timur</t>
        </is>
      </c>
      <c r="C841" t="inlineStr">
        <is>
          <t>NOP JEMBER</t>
        </is>
      </c>
      <c r="D841" s="36" t="n">
        <v>2.17</v>
      </c>
      <c r="E841" s="36" t="n">
        <v>2.29</v>
      </c>
      <c r="F841" s="36" t="n">
        <v>4.17</v>
      </c>
      <c r="G841" s="36" t="n">
        <v>3.61</v>
      </c>
      <c r="H841" s="37" t="n">
        <v>0.6763485477178424</v>
      </c>
      <c r="I841" s="37" t="n">
        <v>0.65</v>
      </c>
      <c r="J841" s="37" t="n">
        <v>0.6787330316742082</v>
      </c>
      <c r="K841" s="37" t="n">
        <v>0.8076923076923077</v>
      </c>
      <c r="L841" s="37" t="n">
        <v>0.8076923076923077</v>
      </c>
      <c r="M841" s="37" t="n">
        <v>0.979253112033195</v>
      </c>
      <c r="N841" s="37" t="n">
        <v>0.3796680497925311</v>
      </c>
      <c r="O841" s="36" t="n">
        <v>0</v>
      </c>
      <c r="P841" s="36" t="n">
        <v>3.76</v>
      </c>
      <c r="Q841" s="36" t="n">
        <v>5.01</v>
      </c>
      <c r="R841" s="36" t="n">
        <v>116.68</v>
      </c>
      <c r="S841" s="36" t="n">
        <v>0</v>
      </c>
      <c r="T841" s="37" t="n">
        <v>0.8009708737864077</v>
      </c>
      <c r="U841" s="37" t="n">
        <v>0.7922077922077922</v>
      </c>
      <c r="V841" s="37" t="n">
        <v>0.8038793103448276</v>
      </c>
      <c r="W841" s="37" t="n">
        <v>0.7704918032786885</v>
      </c>
    </row>
    <row r="842">
      <c r="A842" s="53" t="n">
        <v>45772</v>
      </c>
      <c r="B842" t="inlineStr">
        <is>
          <t>R06_Jawa Timur</t>
        </is>
      </c>
      <c r="C842" t="inlineStr">
        <is>
          <t>NOP KEDIRI</t>
        </is>
      </c>
      <c r="D842" s="36" t="n">
        <v>1.21</v>
      </c>
      <c r="E842" s="36" t="n">
        <v>0.7</v>
      </c>
      <c r="F842" s="36" t="n">
        <v>3.41</v>
      </c>
      <c r="G842" s="36" t="n">
        <v>1.99</v>
      </c>
      <c r="H842" s="37" t="n">
        <v>0.875</v>
      </c>
      <c r="I842" s="37" t="n">
        <v>0.8571428571428571</v>
      </c>
      <c r="J842" s="37" t="n">
        <v>0.8755980861244019</v>
      </c>
      <c r="K842" s="37" t="n">
        <v>0.6666666666666666</v>
      </c>
      <c r="L842" s="37" t="n">
        <v>0.6666666666666666</v>
      </c>
      <c r="M842" s="37" t="n">
        <v>1</v>
      </c>
      <c r="N842" s="37" t="n">
        <v>0.6342592592592593</v>
      </c>
      <c r="O842" s="36" t="n">
        <v>0</v>
      </c>
      <c r="P842" s="36" t="n">
        <v>1.99</v>
      </c>
      <c r="Q842" s="36" t="n">
        <v>3.58</v>
      </c>
      <c r="R842" s="36" t="n">
        <v>14.4</v>
      </c>
      <c r="S842" s="36" t="n">
        <v>0</v>
      </c>
      <c r="T842" s="37" t="n">
        <v>0.9511494252873564</v>
      </c>
      <c r="U842" s="37" t="n">
        <v>0.9220779220779221</v>
      </c>
      <c r="V842" s="37" t="n">
        <v>0.959409594095941</v>
      </c>
      <c r="W842" s="37" t="n">
        <v>0.9014084507042254</v>
      </c>
    </row>
    <row r="843">
      <c r="A843" s="53" t="n">
        <v>45772</v>
      </c>
      <c r="B843" t="inlineStr">
        <is>
          <t>R06_Jawa Timur</t>
        </is>
      </c>
      <c r="C843" t="inlineStr">
        <is>
          <t>NOP LAMONGAN</t>
        </is>
      </c>
      <c r="D843" s="36" t="n">
        <v>1.47</v>
      </c>
      <c r="E843" s="36" t="n">
        <v>1.55</v>
      </c>
      <c r="F843" s="36" t="n">
        <v>3.78</v>
      </c>
      <c r="G843" s="36" t="n">
        <v>3.7</v>
      </c>
      <c r="H843" s="37" t="n">
        <v>0.8438661710037175</v>
      </c>
      <c r="I843" s="37" t="n">
        <v>0.9523809523809523</v>
      </c>
      <c r="J843" s="37" t="n">
        <v>0.8346774193548387</v>
      </c>
      <c r="K843" s="37" t="n">
        <v>0.95</v>
      </c>
      <c r="L843" s="37" t="n">
        <v>0.95</v>
      </c>
      <c r="M843" s="37" t="n">
        <v>1</v>
      </c>
      <c r="N843" s="37" t="n">
        <v>0.7434944237918215</v>
      </c>
      <c r="O843" s="36" t="n">
        <v>0</v>
      </c>
      <c r="P843" s="36" t="n">
        <v>2.36</v>
      </c>
      <c r="Q843" s="36" t="n">
        <v>10.68</v>
      </c>
      <c r="R843" s="36" t="n">
        <v>37.35</v>
      </c>
      <c r="S843" s="36" t="n">
        <v>0</v>
      </c>
      <c r="T843" s="37" t="n">
        <v>0.7859424920127795</v>
      </c>
      <c r="U843" s="37" t="n">
        <v>0.7045454545454546</v>
      </c>
      <c r="V843" s="37" t="n">
        <v>0.8453038674033149</v>
      </c>
      <c r="W843" s="37" t="n">
        <v>0.8924731182795699</v>
      </c>
    </row>
    <row r="844">
      <c r="A844" s="53" t="n">
        <v>45772</v>
      </c>
      <c r="B844" t="inlineStr">
        <is>
          <t>R06_Jawa Timur</t>
        </is>
      </c>
      <c r="C844" t="inlineStr">
        <is>
          <t>NOP MADIUN</t>
        </is>
      </c>
      <c r="D844" s="36" t="n">
        <v>0.63</v>
      </c>
      <c r="E844" s="36" t="n">
        <v>0</v>
      </c>
      <c r="F844" s="36" t="n">
        <v>4.62</v>
      </c>
      <c r="G844" s="36" t="n">
        <v>3.34</v>
      </c>
      <c r="H844" s="37" t="n">
        <v>0.5988023952095808</v>
      </c>
      <c r="I844" s="37" t="n">
        <v>1</v>
      </c>
      <c r="J844" s="37" t="n">
        <v>0.5927051671732523</v>
      </c>
      <c r="K844" s="37" t="n">
        <v>0.8</v>
      </c>
      <c r="L844" s="37" t="n">
        <v>0.8</v>
      </c>
      <c r="M844" s="37" t="n">
        <v>0.9940119760479041</v>
      </c>
      <c r="N844" s="37" t="n">
        <v>0.344311377245509</v>
      </c>
      <c r="O844" s="36" t="n">
        <v>0</v>
      </c>
      <c r="P844" s="36" t="n">
        <v>2.7</v>
      </c>
      <c r="Q844" s="36" t="n">
        <v>6.22</v>
      </c>
      <c r="R844" s="36" t="n">
        <v>61.34</v>
      </c>
      <c r="S844" s="36" t="n">
        <v>0</v>
      </c>
      <c r="T844" s="37" t="n">
        <v>0.725050916496945</v>
      </c>
      <c r="U844" s="37" t="n">
        <v>0.7398843930635838</v>
      </c>
      <c r="V844" s="37" t="n">
        <v>0.7169811320754716</v>
      </c>
      <c r="W844" s="37" t="n">
        <v>0.8125</v>
      </c>
    </row>
    <row r="845">
      <c r="A845" s="53" t="n">
        <v>45772</v>
      </c>
      <c r="B845" t="inlineStr">
        <is>
          <t>R06_Jawa Timur</t>
        </is>
      </c>
      <c r="C845" t="inlineStr">
        <is>
          <t>NOP MALANG</t>
        </is>
      </c>
      <c r="D845" s="36" t="n">
        <v>1.3</v>
      </c>
      <c r="E845" s="36" t="n">
        <v>0</v>
      </c>
      <c r="F845" s="36" t="n">
        <v>2.88</v>
      </c>
      <c r="G845" s="36" t="n">
        <v>2.69</v>
      </c>
      <c r="H845" s="37" t="n">
        <v>0.7864583333333334</v>
      </c>
      <c r="I845" s="37" t="n">
        <v>0.7777777777777778</v>
      </c>
      <c r="J845" s="37" t="n">
        <v>0.7866666666666666</v>
      </c>
      <c r="K845" s="37" t="n">
        <v>1</v>
      </c>
      <c r="L845" s="37" t="n">
        <v>1</v>
      </c>
      <c r="M845" s="37" t="n">
        <v>0.9973958333333334</v>
      </c>
      <c r="N845" s="37" t="n">
        <v>0.7369791666666666</v>
      </c>
      <c r="O845" s="36" t="n">
        <v>0.02</v>
      </c>
      <c r="P845" s="36" t="n">
        <v>2.75</v>
      </c>
      <c r="Q845" s="36" t="n">
        <v>4.62</v>
      </c>
      <c r="R845" s="36" t="n">
        <v>39.99</v>
      </c>
      <c r="S845" s="36" t="n">
        <v>0</v>
      </c>
      <c r="T845" s="37" t="n">
        <v>0.8158730158730159</v>
      </c>
      <c r="U845" s="37" t="n">
        <v>0.7063492063492064</v>
      </c>
      <c r="V845" s="37" t="n">
        <v>0.8888888888888888</v>
      </c>
      <c r="W845" s="37" t="n">
        <v>0.6179775280898876</v>
      </c>
    </row>
    <row r="846">
      <c r="A846" s="53" t="n">
        <v>45772</v>
      </c>
      <c r="B846" t="inlineStr">
        <is>
          <t>R06_Jawa Timur</t>
        </is>
      </c>
      <c r="C846" t="inlineStr">
        <is>
          <t>NOP SIDOARJO</t>
        </is>
      </c>
      <c r="D846" s="36" t="n">
        <v>2.82</v>
      </c>
      <c r="E846" s="36" t="n">
        <v>5.94</v>
      </c>
      <c r="F846" s="36" t="n">
        <v>3.2</v>
      </c>
      <c r="G846" s="36" t="n">
        <v>5.11</v>
      </c>
      <c r="H846" s="37" t="n">
        <v>0.6107954545454546</v>
      </c>
      <c r="I846" s="37" t="n">
        <v>0.8947368421052632</v>
      </c>
      <c r="J846" s="37" t="n">
        <v>0.5764331210191083</v>
      </c>
      <c r="K846" s="37" t="n">
        <v>0.8529411764705882</v>
      </c>
      <c r="L846" s="37" t="n">
        <v>0.8529411764705882</v>
      </c>
      <c r="M846" s="37" t="n">
        <v>0.9801136363636364</v>
      </c>
      <c r="N846" s="37" t="n">
        <v>0.4318181818181818</v>
      </c>
      <c r="O846" s="36" t="n">
        <v>0.01</v>
      </c>
      <c r="P846" s="36" t="n">
        <v>4.49</v>
      </c>
      <c r="Q846" s="36" t="n">
        <v>11.53</v>
      </c>
      <c r="R846" s="36" t="n">
        <v>52.42</v>
      </c>
      <c r="S846" s="36" t="n">
        <v>0</v>
      </c>
      <c r="T846" s="37" t="n">
        <v>0.7986270022883295</v>
      </c>
      <c r="U846" s="37" t="n">
        <v>0.676923076923077</v>
      </c>
      <c r="V846" s="37" t="n">
        <v>0.8501628664495114</v>
      </c>
      <c r="W846" s="37" t="n">
        <v>0.7272727272727273</v>
      </c>
    </row>
    <row r="847">
      <c r="A847" s="53" t="n">
        <v>45772</v>
      </c>
      <c r="B847" t="inlineStr">
        <is>
          <t>R06_Jawa Timur</t>
        </is>
      </c>
      <c r="C847" t="inlineStr">
        <is>
          <t>NOP SURABAYA</t>
        </is>
      </c>
      <c r="D847" s="36" t="n">
        <v>2.15</v>
      </c>
      <c r="E847" s="36" t="n">
        <v>0</v>
      </c>
      <c r="F847" s="36" t="n">
        <v>4.34</v>
      </c>
      <c r="G847" s="36" t="n">
        <v>3.67</v>
      </c>
      <c r="H847" s="37" t="n">
        <v>0.596</v>
      </c>
      <c r="I847" s="37" t="n">
        <v>0.559322033898305</v>
      </c>
      <c r="J847" s="37" t="n">
        <v>0.6009070294784581</v>
      </c>
      <c r="K847" s="37" t="n">
        <v>0.9090909090909091</v>
      </c>
      <c r="L847" s="37" t="n">
        <v>0.9090909090909091</v>
      </c>
      <c r="M847" s="37" t="n">
        <v>0.964</v>
      </c>
      <c r="N847" s="37" t="n">
        <v>0.418</v>
      </c>
      <c r="O847" s="36" t="n">
        <v>1.22</v>
      </c>
      <c r="P847" s="36" t="n">
        <v>3.48</v>
      </c>
      <c r="Q847" s="36" t="n">
        <v>7.17</v>
      </c>
      <c r="R847" s="36" t="n">
        <v>30.09</v>
      </c>
      <c r="S847" s="36" t="n">
        <v>0</v>
      </c>
      <c r="T847" s="37" t="n">
        <v>0.6614481409001957</v>
      </c>
      <c r="U847" s="37" t="n">
        <v>0.6685714285714286</v>
      </c>
      <c r="V847" s="37" t="n">
        <v>0.6599763872491146</v>
      </c>
      <c r="W847" s="37" t="n">
        <v>0.8974358974358975</v>
      </c>
    </row>
    <row r="848">
      <c r="A848" s="53" t="n">
        <v>45772</v>
      </c>
      <c r="B848" t="inlineStr">
        <is>
          <t>R07_Bali Nusra</t>
        </is>
      </c>
      <c r="C848" t="inlineStr">
        <is>
          <t>NOP DENPASAR</t>
        </is>
      </c>
      <c r="D848" s="36" t="n">
        <v>2.97</v>
      </c>
      <c r="E848" s="36" t="n">
        <v>0</v>
      </c>
      <c r="F848" s="36" t="n">
        <v>4.97</v>
      </c>
      <c r="G848" s="36" t="n">
        <v>3.99</v>
      </c>
      <c r="H848" s="37" t="n">
        <v>0.9064516129032258</v>
      </c>
      <c r="I848" s="37" t="n">
        <v>0.8823529411764706</v>
      </c>
      <c r="J848" s="37" t="n">
        <v>0.9111969111969112</v>
      </c>
      <c r="K848" s="37" t="n">
        <v>0.9555555555555556</v>
      </c>
      <c r="L848" s="37" t="n">
        <v>0.9555555555555556</v>
      </c>
      <c r="M848" s="37" t="n">
        <v>0.967741935483871</v>
      </c>
      <c r="N848" s="37" t="n">
        <v>0.8645161290322581</v>
      </c>
      <c r="O848" s="36" t="n">
        <v>0</v>
      </c>
      <c r="P848" s="36" t="n">
        <v>84.84999999999999</v>
      </c>
      <c r="Q848" s="36" t="n">
        <v>20.57</v>
      </c>
      <c r="R848" s="36" t="n">
        <v>90.95999999999999</v>
      </c>
      <c r="S848" s="36" t="n">
        <v>0</v>
      </c>
      <c r="T848" s="37" t="n">
        <v>0.8673835125448028</v>
      </c>
      <c r="U848" s="37" t="n">
        <v>0.8560606060606061</v>
      </c>
      <c r="V848" s="37" t="n">
        <v>0.8708920187793427</v>
      </c>
      <c r="W848" s="37" t="n">
        <v>0.5752212389380531</v>
      </c>
    </row>
    <row r="849">
      <c r="A849" s="53" t="n">
        <v>45772</v>
      </c>
      <c r="B849" t="inlineStr">
        <is>
          <t>R07_Bali Nusra</t>
        </is>
      </c>
      <c r="C849" t="inlineStr">
        <is>
          <t>NOP FLORES</t>
        </is>
      </c>
      <c r="D849" s="36" t="n">
        <v>7.51</v>
      </c>
      <c r="E849" s="36" t="n">
        <v>5.31</v>
      </c>
      <c r="F849" s="36" t="n">
        <v>7.07</v>
      </c>
      <c r="G849" s="36" t="n">
        <v>9.779999999999999</v>
      </c>
      <c r="H849" s="37" t="n">
        <v>0.541890440386681</v>
      </c>
      <c r="I849" s="37" t="n">
        <v>0.6703539823008849</v>
      </c>
      <c r="J849" s="37" t="n">
        <v>0.500709219858156</v>
      </c>
      <c r="K849" s="37" t="n">
        <v>0.6171617161716172</v>
      </c>
      <c r="L849" s="37" t="n">
        <v>0.6262626262626263</v>
      </c>
      <c r="M849" s="37" t="n">
        <v>0.9935553168635876</v>
      </c>
      <c r="N849" s="37" t="n">
        <v>0.3431793770139635</v>
      </c>
      <c r="O849" s="36" t="n">
        <v>0.62</v>
      </c>
      <c r="P849" s="36" t="n">
        <v>10.39</v>
      </c>
      <c r="Q849" s="36" t="n">
        <v>7.99</v>
      </c>
      <c r="R849" s="36" t="n">
        <v>45.46</v>
      </c>
      <c r="S849" s="36" t="n">
        <v>0</v>
      </c>
      <c r="T849" s="37" t="n">
        <v>0.521259842519685</v>
      </c>
      <c r="U849" s="37" t="n">
        <v>0.5647977941176471</v>
      </c>
      <c r="V849" s="37" t="n">
        <v>0.4264264264264264</v>
      </c>
      <c r="W849" s="37" t="n">
        <v>0.6956875508543532</v>
      </c>
    </row>
    <row r="850">
      <c r="A850" s="53" t="n">
        <v>45772</v>
      </c>
      <c r="B850" t="inlineStr">
        <is>
          <t>R07_Bali Nusra</t>
        </is>
      </c>
      <c r="C850" t="inlineStr">
        <is>
          <t>NOP KUPANG</t>
        </is>
      </c>
      <c r="D850" s="36" t="n">
        <v>4.5</v>
      </c>
      <c r="E850" s="36" t="n">
        <v>6.18</v>
      </c>
      <c r="F850" s="36" t="n">
        <v>11.26</v>
      </c>
      <c r="G850" s="36" t="n">
        <v>9.630000000000001</v>
      </c>
      <c r="H850" s="37" t="n">
        <v>0.498804780876494</v>
      </c>
      <c r="I850" s="37" t="n">
        <v>0.6353591160220995</v>
      </c>
      <c r="J850" s="37" t="n">
        <v>0.4757914338919926</v>
      </c>
      <c r="K850" s="37" t="n">
        <v>0.6521739130434783</v>
      </c>
      <c r="L850" s="37" t="n">
        <v>0.6521739130434783</v>
      </c>
      <c r="M850" s="37" t="n">
        <v>0.9784860557768924</v>
      </c>
      <c r="N850" s="37" t="n">
        <v>0.1944223107569721</v>
      </c>
      <c r="O850" s="36" t="n">
        <v>0.19</v>
      </c>
      <c r="P850" s="36" t="n">
        <v>8.390000000000001</v>
      </c>
      <c r="Q850" s="36" t="n">
        <v>20.49</v>
      </c>
      <c r="R850" s="36" t="n">
        <v>173.17</v>
      </c>
      <c r="S850" s="36" t="n">
        <v>0</v>
      </c>
      <c r="T850" s="37" t="n">
        <v>0.5897583429228999</v>
      </c>
      <c r="U850" s="37" t="n">
        <v>0.5934579439252337</v>
      </c>
      <c r="V850" s="37" t="n">
        <v>0.5838323353293413</v>
      </c>
      <c r="W850" s="37" t="n">
        <v>0.6960629921259842</v>
      </c>
    </row>
    <row r="851">
      <c r="A851" s="53" t="n">
        <v>45772</v>
      </c>
      <c r="B851" t="inlineStr">
        <is>
          <t>R07_Bali Nusra</t>
        </is>
      </c>
      <c r="C851" t="inlineStr">
        <is>
          <t>NOP MATARAM</t>
        </is>
      </c>
      <c r="D851" s="36" t="n">
        <v>3.13</v>
      </c>
      <c r="E851" s="36" t="n">
        <v>5</v>
      </c>
      <c r="F851" s="36" t="n">
        <v>4.72</v>
      </c>
      <c r="G851" s="36" t="n">
        <v>5.82</v>
      </c>
      <c r="H851" s="37" t="n">
        <v>0.5377906976744186</v>
      </c>
      <c r="I851" s="37" t="n">
        <v>0.6436781609195402</v>
      </c>
      <c r="J851" s="37" t="n">
        <v>0.5224625623960066</v>
      </c>
      <c r="K851" s="37" t="n">
        <v>0.7142857142857143</v>
      </c>
      <c r="L851" s="37" t="n">
        <v>0.7142857142857143</v>
      </c>
      <c r="M851" s="37" t="n">
        <v>0.9898255813953488</v>
      </c>
      <c r="N851" s="37" t="n">
        <v>0.3299418604651163</v>
      </c>
      <c r="O851" s="36" t="n">
        <v>0.9399999999999999</v>
      </c>
      <c r="P851" s="36" t="n">
        <v>22.42</v>
      </c>
      <c r="Q851" s="36" t="n">
        <v>17.02</v>
      </c>
      <c r="R851" s="36" t="n">
        <v>71.87</v>
      </c>
      <c r="S851" s="36" t="n">
        <v>0</v>
      </c>
      <c r="T851" s="37" t="n">
        <v>0.3885257806826434</v>
      </c>
      <c r="U851" s="37" t="n">
        <v>0.4097560975609756</v>
      </c>
      <c r="V851" s="37" t="n">
        <v>0.3572710951526032</v>
      </c>
      <c r="W851" s="37" t="n">
        <v>0.6279761904761905</v>
      </c>
    </row>
    <row r="852">
      <c r="A852" s="53" t="n">
        <v>45773</v>
      </c>
      <c r="B852" t="inlineStr">
        <is>
          <t>R01_Sumbagut</t>
        </is>
      </c>
      <c r="C852" t="inlineStr">
        <is>
          <t>NOP ACEH</t>
        </is>
      </c>
      <c r="D852" s="36" t="n">
        <v>3.68</v>
      </c>
      <c r="E852" s="36" t="n">
        <v>4.29</v>
      </c>
      <c r="F852" s="36" t="n">
        <v>9.67</v>
      </c>
      <c r="G852" s="36" t="n">
        <v>9.779999999999999</v>
      </c>
      <c r="H852" s="37" t="n">
        <v>0.8359226979916635</v>
      </c>
      <c r="I852" s="37" t="n">
        <v>0.8264094955489614</v>
      </c>
      <c r="J852" s="37" t="n">
        <v>0.8391857506361323</v>
      </c>
      <c r="K852" s="37" t="n">
        <v>0.4272890484739677</v>
      </c>
      <c r="L852" s="37" t="n">
        <v>0.4293478260869565</v>
      </c>
      <c r="M852" s="37" t="n">
        <v>0.9996210685865858</v>
      </c>
      <c r="N852" s="37" t="n">
        <v>0.3145130731337628</v>
      </c>
      <c r="O852" s="36" t="n">
        <v>0.06</v>
      </c>
      <c r="P852" s="36" t="n">
        <v>4.41</v>
      </c>
      <c r="Q852" s="36" t="n">
        <v>67.40000000000001</v>
      </c>
      <c r="R852" s="36" t="n">
        <v>131.15</v>
      </c>
      <c r="S852" s="36" t="n">
        <v>0</v>
      </c>
      <c r="T852" s="37" t="n">
        <v>0.8700929469655549</v>
      </c>
      <c r="U852" s="37" t="n">
        <v>0.7171964140179299</v>
      </c>
      <c r="V852" s="37" t="n">
        <v>0.8964681881932934</v>
      </c>
      <c r="W852" s="37" t="n">
        <v>0.1988636363636364</v>
      </c>
    </row>
    <row r="853">
      <c r="A853" s="53" t="n">
        <v>45773</v>
      </c>
      <c r="B853" t="inlineStr">
        <is>
          <t>R01_Sumbagut</t>
        </is>
      </c>
      <c r="C853" t="inlineStr">
        <is>
          <t>NOP BINJAI</t>
        </is>
      </c>
      <c r="D853" s="36" t="n">
        <v>9.9</v>
      </c>
      <c r="E853" s="36" t="n">
        <v>4.2</v>
      </c>
      <c r="F853" s="36" t="n">
        <v>3.82</v>
      </c>
      <c r="G853" s="36" t="n">
        <v>4.28</v>
      </c>
      <c r="H853" s="37" t="n">
        <v>0.6389588581024349</v>
      </c>
      <c r="I853" s="37" t="n">
        <v>0.7697841726618705</v>
      </c>
      <c r="J853" s="37" t="n">
        <v>0.5991237677984665</v>
      </c>
      <c r="K853" s="37" t="n">
        <v>0.5467289719626168</v>
      </c>
      <c r="L853" s="37" t="n">
        <v>0.5446009389671361</v>
      </c>
      <c r="M853" s="37" t="n">
        <v>1</v>
      </c>
      <c r="N853" s="37" t="n">
        <v>0.3576826196473551</v>
      </c>
      <c r="O853" s="36" t="n">
        <v>0.02</v>
      </c>
      <c r="P853" s="36" t="n">
        <v>2.69</v>
      </c>
      <c r="Q853" s="36" t="n">
        <v>34.4</v>
      </c>
      <c r="R853" s="36" t="n">
        <v>116.34</v>
      </c>
      <c r="S853" s="36" t="n">
        <v>0</v>
      </c>
      <c r="T853" s="37" t="n">
        <v>0.6687578419071518</v>
      </c>
      <c r="U853" s="37" t="n">
        <v>0.554945054945055</v>
      </c>
      <c r="V853" s="37" t="n">
        <v>0.7407886231415644</v>
      </c>
      <c r="W853" s="37" t="n">
        <v>0.5594059405940595</v>
      </c>
    </row>
    <row r="854">
      <c r="A854" s="53" t="n">
        <v>45773</v>
      </c>
      <c r="B854" t="inlineStr">
        <is>
          <t>R01_Sumbagut</t>
        </is>
      </c>
      <c r="C854" t="inlineStr">
        <is>
          <t>NOP MEDAN</t>
        </is>
      </c>
      <c r="D854" s="36" t="n">
        <v>5.2</v>
      </c>
      <c r="E854" s="36" t="n">
        <v>4.26</v>
      </c>
      <c r="F854" s="36" t="n">
        <v>4.67</v>
      </c>
      <c r="G854" s="36" t="n">
        <v>5.18</v>
      </c>
      <c r="H854" s="37" t="n">
        <v>0.4033333333333333</v>
      </c>
      <c r="I854" s="37" t="n">
        <v>0.4615384615384616</v>
      </c>
      <c r="J854" s="37" t="n">
        <v>0.3779904306220095</v>
      </c>
      <c r="K854" s="37" t="n">
        <v>0.8154761904761905</v>
      </c>
      <c r="L854" s="37" t="n">
        <v>0.8192771084337349</v>
      </c>
      <c r="M854" s="37" t="n">
        <v>0.9975000000000001</v>
      </c>
      <c r="N854" s="37" t="n">
        <v>0.2508333333333334</v>
      </c>
      <c r="O854" s="36" t="n">
        <v>0</v>
      </c>
      <c r="P854" s="36" t="n">
        <v>5.17</v>
      </c>
      <c r="Q854" s="36" t="n">
        <v>17.67</v>
      </c>
      <c r="R854" s="36" t="n">
        <v>12.05</v>
      </c>
      <c r="S854" s="36" t="n">
        <v>0</v>
      </c>
      <c r="T854" s="37" t="n">
        <v>0.3242811501597444</v>
      </c>
      <c r="U854" s="37" t="n">
        <v>0.208092485549133</v>
      </c>
      <c r="V854" s="37" t="n">
        <v>0.4002463054187192</v>
      </c>
      <c r="W854" s="37" t="n">
        <v>0.875</v>
      </c>
    </row>
    <row r="855">
      <c r="A855" s="53" t="n">
        <v>45773</v>
      </c>
      <c r="B855" t="inlineStr">
        <is>
          <t>R01_Sumbagut</t>
        </is>
      </c>
      <c r="C855" t="inlineStr">
        <is>
          <t>NOP PADANG SIDEMPUAN</t>
        </is>
      </c>
      <c r="D855" s="36" t="n">
        <v>3.08</v>
      </c>
      <c r="E855" s="36" t="n">
        <v>4.23</v>
      </c>
      <c r="F855" s="36" t="n">
        <v>5</v>
      </c>
      <c r="G855" s="36" t="n">
        <v>6.45</v>
      </c>
      <c r="H855" s="37" t="n">
        <v>0.292836398838335</v>
      </c>
      <c r="I855" s="37" t="n">
        <v>0.4285714285714285</v>
      </c>
      <c r="J855" s="37" t="n">
        <v>0.2715565509518477</v>
      </c>
      <c r="K855" s="37" t="n">
        <v>0.4833333333333333</v>
      </c>
      <c r="L855" s="37" t="n">
        <v>0.4833333333333333</v>
      </c>
      <c r="M855" s="37" t="n">
        <v>0.994675701839303</v>
      </c>
      <c r="N855" s="37" t="n">
        <v>0.1200387221684414</v>
      </c>
      <c r="O855" s="36" t="n">
        <v>0.01</v>
      </c>
      <c r="P855" s="36" t="n">
        <v>2.67</v>
      </c>
      <c r="Q855" s="36" t="n">
        <v>13.2</v>
      </c>
      <c r="R855" s="36" t="n">
        <v>93.41</v>
      </c>
      <c r="S855" s="36" t="n">
        <v>0</v>
      </c>
      <c r="T855" s="37" t="n">
        <v>0.2913715854892325</v>
      </c>
      <c r="U855" s="37" t="n">
        <v>0.4149400218102508</v>
      </c>
      <c r="V855" s="37" t="n">
        <v>0.2480604734434056</v>
      </c>
      <c r="W855" s="37" t="n">
        <v>0.4783180026281209</v>
      </c>
    </row>
    <row r="856">
      <c r="A856" s="53" t="n">
        <v>45773</v>
      </c>
      <c r="B856" t="inlineStr">
        <is>
          <t>R01_Sumbagut</t>
        </is>
      </c>
      <c r="C856" t="inlineStr">
        <is>
          <t>NOP PEMATANG SIANTAR</t>
        </is>
      </c>
      <c r="D856" s="36" t="n">
        <v>3.39</v>
      </c>
      <c r="E856" s="36" t="n">
        <v>3.84</v>
      </c>
      <c r="F856" s="36" t="n">
        <v>5.12</v>
      </c>
      <c r="G856" s="36" t="n">
        <v>4.85</v>
      </c>
      <c r="H856" s="37" t="n">
        <v>0.335237415208854</v>
      </c>
      <c r="I856" s="37" t="n">
        <v>0.3715319662243667</v>
      </c>
      <c r="J856" s="37" t="n">
        <v>0.3199797160243408</v>
      </c>
      <c r="K856" s="37" t="n">
        <v>0.6753246753246753</v>
      </c>
      <c r="L856" s="37" t="n">
        <v>0.6812080536912751</v>
      </c>
      <c r="M856" s="37" t="n">
        <v>0.997143877186719</v>
      </c>
      <c r="N856" s="37" t="n">
        <v>0.1895751517315244</v>
      </c>
      <c r="O856" s="36" t="n">
        <v>0.03</v>
      </c>
      <c r="P856" s="36" t="n">
        <v>4.46</v>
      </c>
      <c r="Q856" s="36" t="n">
        <v>70.48</v>
      </c>
      <c r="R856" s="36" t="n">
        <v>70.73999999999999</v>
      </c>
      <c r="S856" s="36" t="n">
        <v>0</v>
      </c>
      <c r="T856" s="37" t="n">
        <v>0.1147902869757174</v>
      </c>
      <c r="U856" s="37" t="n">
        <v>0.3368888888888889</v>
      </c>
      <c r="V856" s="37" t="n">
        <v>0.09043715846994535</v>
      </c>
      <c r="W856" s="37" t="n">
        <v>0.841688654353562</v>
      </c>
    </row>
    <row r="857">
      <c r="A857" s="53" t="n">
        <v>45773</v>
      </c>
      <c r="B857" t="inlineStr">
        <is>
          <t>R01_Sumbagut</t>
        </is>
      </c>
      <c r="C857" t="inlineStr">
        <is>
          <t>NOP RANTAU PRAPAT</t>
        </is>
      </c>
      <c r="D857" s="36" t="n">
        <v>4.28</v>
      </c>
      <c r="E857" s="36" t="n">
        <v>6.21</v>
      </c>
      <c r="F857" s="36" t="n">
        <v>5.79</v>
      </c>
      <c r="G857" s="36" t="n">
        <v>5.89</v>
      </c>
      <c r="H857" s="37" t="n">
        <v>0.3076042143838754</v>
      </c>
      <c r="I857" s="37" t="n">
        <v>0.3117048346055979</v>
      </c>
      <c r="J857" s="37" t="n">
        <v>0.3067039106145251</v>
      </c>
      <c r="K857" s="37" t="n">
        <v>0.6204081632653061</v>
      </c>
      <c r="L857" s="37" t="n">
        <v>0.6229508196721312</v>
      </c>
      <c r="M857" s="37" t="n">
        <v>0.9899221255153459</v>
      </c>
      <c r="N857" s="37" t="n">
        <v>0.1752175904718277</v>
      </c>
      <c r="O857" s="36" t="n">
        <v>0.02</v>
      </c>
      <c r="P857" s="36" t="n">
        <v>4.44</v>
      </c>
      <c r="Q857" s="36" t="n">
        <v>39.68</v>
      </c>
      <c r="R857" s="36" t="n">
        <v>48.43</v>
      </c>
      <c r="S857" s="36" t="n">
        <v>0</v>
      </c>
      <c r="T857" s="37" t="n">
        <v>0.07035235496500178</v>
      </c>
      <c r="U857" s="37" t="n">
        <v>0.1595940959409594</v>
      </c>
      <c r="V857" s="37" t="n">
        <v>0.04952166572875633</v>
      </c>
      <c r="W857" s="37" t="n">
        <v>0.6358381502890174</v>
      </c>
    </row>
    <row r="858">
      <c r="A858" s="53" t="n">
        <v>45773</v>
      </c>
      <c r="B858" t="inlineStr">
        <is>
          <t>R10_Sumbagteng</t>
        </is>
      </c>
      <c r="C858" t="inlineStr">
        <is>
          <t>NOP BATAM</t>
        </is>
      </c>
      <c r="D858" s="36" t="n">
        <v>3.31</v>
      </c>
      <c r="E858" s="36" t="n">
        <v>10.12</v>
      </c>
      <c r="F858" s="36" t="n">
        <v>6.87</v>
      </c>
      <c r="G858" s="36" t="n">
        <v>10</v>
      </c>
      <c r="H858" s="37" t="n">
        <v>0.2858009708737864</v>
      </c>
      <c r="I858" s="37" t="n">
        <v>0.315702479338843</v>
      </c>
      <c r="J858" s="37" t="n">
        <v>0.2790784095131921</v>
      </c>
      <c r="K858" s="37" t="n">
        <v>0.6020942408376964</v>
      </c>
      <c r="L858" s="37" t="n">
        <v>0.6182795698924731</v>
      </c>
      <c r="M858" s="37" t="n">
        <v>0.9933252427184466</v>
      </c>
      <c r="N858" s="37" t="n">
        <v>0.1805218446601942</v>
      </c>
      <c r="O858" s="36" t="n">
        <v>0.65</v>
      </c>
      <c r="P858" s="36" t="n">
        <v>5.34</v>
      </c>
      <c r="Q858" s="36" t="n">
        <v>33.23</v>
      </c>
      <c r="R858" s="36" t="n">
        <v>22</v>
      </c>
      <c r="S858" s="36" t="n">
        <v>0</v>
      </c>
      <c r="T858" s="37" t="n">
        <v>0.07909301910373148</v>
      </c>
      <c r="U858" s="37" t="n">
        <v>0.2404092071611253</v>
      </c>
      <c r="V858" s="37" t="n">
        <v>0.05220039911773974</v>
      </c>
      <c r="W858" s="37" t="n">
        <v>0.8085106382978723</v>
      </c>
    </row>
    <row r="859">
      <c r="A859" s="53" t="n">
        <v>45773</v>
      </c>
      <c r="B859" t="inlineStr">
        <is>
          <t>R10_Sumbagteng</t>
        </is>
      </c>
      <c r="C859" t="inlineStr">
        <is>
          <t>NOP BUKITTINGGI</t>
        </is>
      </c>
      <c r="D859" s="36" t="n">
        <v>2.57</v>
      </c>
      <c r="E859" s="36" t="n">
        <v>4.47</v>
      </c>
      <c r="F859" s="36" t="n">
        <v>4.97</v>
      </c>
      <c r="G859" s="36" t="n">
        <v>6.18</v>
      </c>
      <c r="H859" s="37" t="n">
        <v>0.7534129692832765</v>
      </c>
      <c r="I859" s="37" t="n">
        <v>0.8379310344827586</v>
      </c>
      <c r="J859" s="37" t="n">
        <v>0.7256235827664399</v>
      </c>
      <c r="K859" s="37" t="n">
        <v>0.6502057613168725</v>
      </c>
      <c r="L859" s="37" t="n">
        <v>0.6666666666666666</v>
      </c>
      <c r="M859" s="37" t="n">
        <v>0.9931740614334471</v>
      </c>
      <c r="N859" s="37" t="n">
        <v>0.4650170648464164</v>
      </c>
      <c r="O859" s="36" t="n">
        <v>0.06</v>
      </c>
      <c r="P859" s="36" t="n">
        <v>3.01</v>
      </c>
      <c r="Q859" s="36" t="n">
        <v>13.03</v>
      </c>
      <c r="R859" s="36" t="n">
        <v>98.79000000000001</v>
      </c>
      <c r="S859" s="36" t="n">
        <v>0</v>
      </c>
      <c r="T859" s="37" t="n">
        <v>0.2969512195121951</v>
      </c>
      <c r="U859" s="37" t="n">
        <v>0.7937743190661478</v>
      </c>
      <c r="V859" s="37" t="n">
        <v>0.2550986292209963</v>
      </c>
      <c r="W859" s="37" t="n">
        <v>0.5735294117647058</v>
      </c>
    </row>
    <row r="860">
      <c r="A860" s="53" t="n">
        <v>45773</v>
      </c>
      <c r="B860" t="inlineStr">
        <is>
          <t>R10_Sumbagteng</t>
        </is>
      </c>
      <c r="C860" t="inlineStr">
        <is>
          <t>NOP DUMAI</t>
        </is>
      </c>
      <c r="D860" s="36" t="n">
        <v>5.42</v>
      </c>
      <c r="E860" s="36" t="n">
        <v>5.84</v>
      </c>
      <c r="F860" s="36" t="n">
        <v>5.55</v>
      </c>
      <c r="G860" s="36" t="n">
        <v>7.38</v>
      </c>
      <c r="H860" s="37" t="n">
        <v>0.4129700517901373</v>
      </c>
      <c r="I860" s="37" t="n">
        <v>0.4966996699669967</v>
      </c>
      <c r="J860" s="37" t="n">
        <v>0.3815422731495819</v>
      </c>
      <c r="K860" s="37" t="n">
        <v>0.7308970099667774</v>
      </c>
      <c r="L860" s="37" t="n">
        <v>0.7395833333333334</v>
      </c>
      <c r="M860" s="37" t="n">
        <v>0.9781580725061922</v>
      </c>
      <c r="N860" s="37" t="n">
        <v>0.2467912632290025</v>
      </c>
      <c r="O860" s="36" t="n">
        <v>0.26</v>
      </c>
      <c r="P860" s="36" t="n">
        <v>4.72</v>
      </c>
      <c r="Q860" s="36" t="n">
        <v>58.83</v>
      </c>
      <c r="R860" s="36" t="n">
        <v>132.44</v>
      </c>
      <c r="S860" s="36" t="n">
        <v>0</v>
      </c>
      <c r="T860" s="37" t="n">
        <v>0.2955829777418983</v>
      </c>
      <c r="U860" s="37" t="n">
        <v>0.3384700055035773</v>
      </c>
      <c r="V860" s="37" t="n">
        <v>0.2962336664104535</v>
      </c>
      <c r="W860" s="37" t="n">
        <v>0.9365853658536586</v>
      </c>
    </row>
    <row r="861">
      <c r="A861" s="53" t="n">
        <v>45773</v>
      </c>
      <c r="B861" t="inlineStr">
        <is>
          <t>R10_Sumbagteng</t>
        </is>
      </c>
      <c r="C861" t="inlineStr">
        <is>
          <t>NOP PADANG</t>
        </is>
      </c>
      <c r="D861" s="36" t="n">
        <v>3.66</v>
      </c>
      <c r="E861" s="36" t="n">
        <v>2.6</v>
      </c>
      <c r="F861" s="36" t="n">
        <v>6.56</v>
      </c>
      <c r="G861" s="36" t="n">
        <v>6.74</v>
      </c>
      <c r="H861" s="37" t="n">
        <v>0.7530386740331492</v>
      </c>
      <c r="I861" s="37" t="n">
        <v>0.7181818181818181</v>
      </c>
      <c r="J861" s="37" t="n">
        <v>0.7578616352201258</v>
      </c>
      <c r="K861" s="37" t="n">
        <v>0.4810126582278481</v>
      </c>
      <c r="L861" s="37" t="n">
        <v>0.4810126582278481</v>
      </c>
      <c r="M861" s="37" t="n">
        <v>0.9839779005524862</v>
      </c>
      <c r="N861" s="37" t="n">
        <v>0.2850828729281768</v>
      </c>
      <c r="O861" s="36" t="n">
        <v>0.06</v>
      </c>
      <c r="P861" s="36" t="n">
        <v>4.76</v>
      </c>
      <c r="Q861" s="36" t="n">
        <v>32.91</v>
      </c>
      <c r="R861" s="36" t="n">
        <v>60.11</v>
      </c>
      <c r="S861" s="36" t="n">
        <v>0</v>
      </c>
      <c r="T861" s="37" t="n">
        <v>0.7651991614255765</v>
      </c>
      <c r="U861" s="37" t="n">
        <v>0.6772428884026258</v>
      </c>
      <c r="V861" s="37" t="n">
        <v>0.778275181040158</v>
      </c>
      <c r="W861" s="37" t="n">
        <v>0.5169628432956381</v>
      </c>
    </row>
    <row r="862">
      <c r="A862" s="53" t="n">
        <v>45773</v>
      </c>
      <c r="B862" t="inlineStr">
        <is>
          <t>R10_Sumbagteng</t>
        </is>
      </c>
      <c r="C862" t="inlineStr">
        <is>
          <t>NOP PEKANBARU</t>
        </is>
      </c>
      <c r="D862" s="36" t="n">
        <v>5.68</v>
      </c>
      <c r="E862" s="36" t="n">
        <v>5.94</v>
      </c>
      <c r="F862" s="36" t="n">
        <v>5.57</v>
      </c>
      <c r="G862" s="36" t="n">
        <v>6.66</v>
      </c>
      <c r="H862" s="37" t="n">
        <v>0.4095638698251052</v>
      </c>
      <c r="I862" s="37" t="n">
        <v>0.5147625160462131</v>
      </c>
      <c r="J862" s="37" t="n">
        <v>0.3876404494382023</v>
      </c>
      <c r="K862" s="37" t="n">
        <v>0.7406483790523691</v>
      </c>
      <c r="L862" s="37" t="n">
        <v>0.7455919395465995</v>
      </c>
      <c r="M862" s="37" t="n">
        <v>0.9893734779721054</v>
      </c>
      <c r="N862" s="37" t="n">
        <v>0.2262563648439229</v>
      </c>
      <c r="O862" s="36" t="n">
        <v>0.02</v>
      </c>
      <c r="P862" s="36" t="n">
        <v>3.39</v>
      </c>
      <c r="Q862" s="36" t="n">
        <v>48.52</v>
      </c>
      <c r="R862" s="36" t="n">
        <v>100.78</v>
      </c>
      <c r="S862" s="36" t="n">
        <v>0</v>
      </c>
      <c r="T862" s="37" t="n">
        <v>0.2989281460897181</v>
      </c>
      <c r="U862" s="37" t="n">
        <v>0.3137078651685393</v>
      </c>
      <c r="V862" s="37" t="n">
        <v>0.3038076152304609</v>
      </c>
      <c r="W862" s="37" t="n">
        <v>0.8452722063037249</v>
      </c>
    </row>
    <row r="863">
      <c r="A863" s="53" t="n">
        <v>45773</v>
      </c>
      <c r="B863" t="inlineStr">
        <is>
          <t>R02_Sumbagsel</t>
        </is>
      </c>
      <c r="C863" t="inlineStr">
        <is>
          <t>NOP BENGKULU</t>
        </is>
      </c>
      <c r="D863" s="36" t="n">
        <v>2.35</v>
      </c>
      <c r="E863" s="36" t="n">
        <v>5.31</v>
      </c>
      <c r="F863" s="36" t="n">
        <v>4.79</v>
      </c>
      <c r="G863" s="36" t="n">
        <v>6.58</v>
      </c>
      <c r="H863" s="37" t="n">
        <v>0.3519837232960326</v>
      </c>
      <c r="I863" s="37" t="n">
        <v>0.4242053789731051</v>
      </c>
      <c r="J863" s="37" t="n">
        <v>0.324260910370718</v>
      </c>
      <c r="K863" s="37" t="n">
        <v>0.622478386167147</v>
      </c>
      <c r="L863" s="37" t="n">
        <v>0.6625766871165644</v>
      </c>
      <c r="M863" s="37" t="n">
        <v>0.9905052560189895</v>
      </c>
      <c r="N863" s="37" t="n">
        <v>0.1807392336385215</v>
      </c>
      <c r="O863" s="36" t="n">
        <v>0</v>
      </c>
      <c r="P863" s="36" t="n">
        <v>6.52</v>
      </c>
      <c r="Q863" s="36" t="n">
        <v>7.09</v>
      </c>
      <c r="R863" s="36" t="n">
        <v>12.33</v>
      </c>
      <c r="S863" s="36" t="n">
        <v>0</v>
      </c>
      <c r="T863" s="37" t="n">
        <v>0.4577085736255286</v>
      </c>
      <c r="U863" s="37" t="n">
        <v>0.3910500146241591</v>
      </c>
      <c r="V863" s="37" t="n">
        <v>0.6144842721287491</v>
      </c>
      <c r="W863" s="37" t="n">
        <v>0.8780852655198205</v>
      </c>
    </row>
    <row r="864">
      <c r="A864" s="53" t="n">
        <v>45773</v>
      </c>
      <c r="B864" t="inlineStr">
        <is>
          <t>R02_Sumbagsel</t>
        </is>
      </c>
      <c r="C864" t="inlineStr">
        <is>
          <t>NOP JAMBI</t>
        </is>
      </c>
      <c r="D864" s="36" t="n">
        <v>3.65</v>
      </c>
      <c r="E864" s="36" t="n">
        <v>6.22</v>
      </c>
      <c r="F864" s="36" t="n">
        <v>6.13</v>
      </c>
      <c r="G864" s="36" t="n">
        <v>8.4</v>
      </c>
      <c r="H864" s="37" t="n">
        <v>0.5367575462512172</v>
      </c>
      <c r="I864" s="37" t="n">
        <v>0.5839936608557845</v>
      </c>
      <c r="J864" s="37" t="n">
        <v>0.5158116654954322</v>
      </c>
      <c r="K864" s="37" t="n">
        <v>0.6404341926729986</v>
      </c>
      <c r="L864" s="37" t="n">
        <v>0.6578212290502793</v>
      </c>
      <c r="M864" s="37" t="n">
        <v>0.99634858812074</v>
      </c>
      <c r="N864" s="37" t="n">
        <v>0.2775073028237585</v>
      </c>
      <c r="O864" s="36" t="n">
        <v>0</v>
      </c>
      <c r="P864" s="36" t="n">
        <v>7.9</v>
      </c>
      <c r="Q864" s="36" t="n">
        <v>19.08</v>
      </c>
      <c r="R864" s="36" t="n">
        <v>18</v>
      </c>
      <c r="S864" s="36" t="n">
        <v>0</v>
      </c>
      <c r="T864" s="37" t="n">
        <v>0.6293670886075949</v>
      </c>
      <c r="U864" s="37" t="n">
        <v>0.6134823848238482</v>
      </c>
      <c r="V864" s="37" t="n">
        <v>0.6670776818742293</v>
      </c>
      <c r="W864" s="37" t="n">
        <v>0.74434014356709</v>
      </c>
    </row>
    <row r="865">
      <c r="A865" s="53" t="n">
        <v>45773</v>
      </c>
      <c r="B865" t="inlineStr">
        <is>
          <t>R02_Sumbagsel</t>
        </is>
      </c>
      <c r="C865" t="inlineStr">
        <is>
          <t>NOP LAMPUNG</t>
        </is>
      </c>
      <c r="D865" s="36" t="n">
        <v>3.84</v>
      </c>
      <c r="E865" s="36" t="n">
        <v>4.7</v>
      </c>
      <c r="F865" s="36" t="n">
        <v>4.7</v>
      </c>
      <c r="G865" s="36" t="n">
        <v>5.17</v>
      </c>
      <c r="H865" s="37" t="n">
        <v>0.5306254029658285</v>
      </c>
      <c r="I865" s="37" t="n">
        <v>0.6955380577427821</v>
      </c>
      <c r="J865" s="37" t="n">
        <v>0.4769230769230769</v>
      </c>
      <c r="K865" s="37" t="n">
        <v>0.720754716981132</v>
      </c>
      <c r="L865" s="37" t="n">
        <v>0.7186311787072244</v>
      </c>
      <c r="M865" s="37" t="n">
        <v>0.9980657640232108</v>
      </c>
      <c r="N865" s="37" t="n">
        <v>0.3430045132172791</v>
      </c>
      <c r="O865" s="36" t="n">
        <v>1.12</v>
      </c>
      <c r="P865" s="36" t="n">
        <v>5.56</v>
      </c>
      <c r="Q865" s="36" t="n">
        <v>5.86</v>
      </c>
      <c r="R865" s="36" t="n">
        <v>27.15</v>
      </c>
      <c r="S865" s="36" t="n">
        <v>0</v>
      </c>
      <c r="T865" s="37" t="n">
        <v>0.8974048023284017</v>
      </c>
      <c r="U865" s="37" t="n">
        <v>0.7972841901066925</v>
      </c>
      <c r="V865" s="37" t="n">
        <v>0.947584789311408</v>
      </c>
      <c r="W865" s="37" t="n">
        <v>0.8576642335766423</v>
      </c>
    </row>
    <row r="866">
      <c r="A866" s="53" t="n">
        <v>45773</v>
      </c>
      <c r="B866" t="inlineStr">
        <is>
          <t>R02_Sumbagsel</t>
        </is>
      </c>
      <c r="C866" t="inlineStr">
        <is>
          <t>NOP MUARA ENIM</t>
        </is>
      </c>
      <c r="D866" s="36" t="n">
        <v>3.09</v>
      </c>
      <c r="E866" s="36" t="n">
        <v>3.83</v>
      </c>
      <c r="F866" s="36" t="n">
        <v>5.35</v>
      </c>
      <c r="G866" s="36" t="n">
        <v>5.11</v>
      </c>
      <c r="H866" s="37" t="n">
        <v>0.3917351377477042</v>
      </c>
      <c r="I866" s="37" t="n">
        <v>0.3290322580645161</v>
      </c>
      <c r="J866" s="37" t="n">
        <v>0.4061849539101992</v>
      </c>
      <c r="K866" s="37" t="n">
        <v>0.5490196078431373</v>
      </c>
      <c r="L866" s="37" t="n">
        <v>0.5872340425531914</v>
      </c>
      <c r="M866" s="37" t="n">
        <v>0.9731754470758821</v>
      </c>
      <c r="N866" s="37" t="n">
        <v>0.1725471242145964</v>
      </c>
      <c r="O866" s="36" t="n">
        <v>0</v>
      </c>
      <c r="P866" s="36" t="n">
        <v>4.36</v>
      </c>
      <c r="Q866" s="36" t="n">
        <v>6.31</v>
      </c>
      <c r="R866" s="36" t="n">
        <v>8.789999999999999</v>
      </c>
      <c r="S866" s="36" t="n">
        <v>0</v>
      </c>
      <c r="T866" s="37" t="n">
        <v>0.4590450310559006</v>
      </c>
      <c r="U866" s="37" t="n">
        <v>0.468370883882149</v>
      </c>
      <c r="V866" s="37" t="n">
        <v>0.533273381294964</v>
      </c>
      <c r="W866" s="37" t="n">
        <v>0.7964847363552267</v>
      </c>
    </row>
    <row r="867">
      <c r="A867" s="53" t="n">
        <v>45773</v>
      </c>
      <c r="B867" t="inlineStr">
        <is>
          <t>R02_Sumbagsel</t>
        </is>
      </c>
      <c r="C867" t="inlineStr">
        <is>
          <t>NOP PALEMBANG</t>
        </is>
      </c>
      <c r="D867" s="36" t="n">
        <v>2.96</v>
      </c>
      <c r="E867" s="36" t="n">
        <v>4.74</v>
      </c>
      <c r="F867" s="36" t="n">
        <v>8.039999999999999</v>
      </c>
      <c r="G867" s="36" t="n">
        <v>8.52</v>
      </c>
      <c r="H867" s="37" t="n">
        <v>0.2808132147395171</v>
      </c>
      <c r="I867" s="37" t="n">
        <v>0.2865731462925852</v>
      </c>
      <c r="J867" s="37" t="n">
        <v>0.2801326071513142</v>
      </c>
      <c r="K867" s="37" t="n">
        <v>0.4755244755244755</v>
      </c>
      <c r="L867" s="37" t="n">
        <v>0.4755244755244755</v>
      </c>
      <c r="M867" s="37" t="n">
        <v>0.9995764506565015</v>
      </c>
      <c r="N867" s="37" t="n">
        <v>0.1209233375688268</v>
      </c>
      <c r="O867" s="36" t="n">
        <v>0</v>
      </c>
      <c r="P867" s="36" t="n">
        <v>5.92</v>
      </c>
      <c r="Q867" s="36" t="n">
        <v>12.99</v>
      </c>
      <c r="R867" s="36" t="n">
        <v>6</v>
      </c>
      <c r="S867" s="36" t="n">
        <v>0</v>
      </c>
      <c r="T867" s="37" t="n">
        <v>0.2982058874760495</v>
      </c>
      <c r="U867" s="37" t="n">
        <v>0.2391826923076923</v>
      </c>
      <c r="V867" s="37" t="n">
        <v>0.4234303215926493</v>
      </c>
      <c r="W867" s="37" t="n">
        <v>0.4589614740368509</v>
      </c>
    </row>
    <row r="868">
      <c r="A868" s="53" t="n">
        <v>45773</v>
      </c>
      <c r="B868" t="inlineStr">
        <is>
          <t>R02_Sumbagsel</t>
        </is>
      </c>
      <c r="C868" t="inlineStr">
        <is>
          <t>NOP PANGKAL PINANG</t>
        </is>
      </c>
      <c r="D868" s="36" t="n">
        <v>1.94</v>
      </c>
      <c r="E868" s="36" t="n">
        <v>3.48</v>
      </c>
      <c r="F868" s="36" t="n">
        <v>5.42</v>
      </c>
      <c r="G868" s="36" t="n">
        <v>6.49</v>
      </c>
      <c r="H868" s="37" t="n">
        <v>0.6413223140495867</v>
      </c>
      <c r="I868" s="37" t="n">
        <v>0.7352941176470589</v>
      </c>
      <c r="J868" s="37" t="n">
        <v>0.6357267950963222</v>
      </c>
      <c r="K868" s="37" t="n">
        <v>0.64</v>
      </c>
      <c r="L868" s="37" t="n">
        <v>0.64</v>
      </c>
      <c r="M868" s="37" t="n">
        <v>0.9983471074380166</v>
      </c>
      <c r="N868" s="37" t="n">
        <v>0.3537190082644628</v>
      </c>
      <c r="O868" s="36" t="n">
        <v>0</v>
      </c>
      <c r="P868" s="36" t="n">
        <v>5.81</v>
      </c>
      <c r="Q868" s="36" t="n">
        <v>6.38</v>
      </c>
      <c r="R868" s="36" t="n">
        <v>8.42</v>
      </c>
      <c r="S868" s="36" t="n">
        <v>0</v>
      </c>
      <c r="T868" s="37" t="n">
        <v>0.7893020221787345</v>
      </c>
      <c r="U868" s="37" t="n">
        <v>0.8410041841004184</v>
      </c>
      <c r="V868" s="37" t="n">
        <v>0.8373812038014784</v>
      </c>
      <c r="W868" s="37" t="n">
        <v>0.7139303482587065</v>
      </c>
    </row>
    <row r="869">
      <c r="A869" s="53" t="n">
        <v>45773</v>
      </c>
      <c r="B869" t="inlineStr">
        <is>
          <t>R05_Jawa Tengah DIY</t>
        </is>
      </c>
      <c r="C869" t="inlineStr">
        <is>
          <t>NOP MAGELANG</t>
        </is>
      </c>
      <c r="D869" s="36" t="n">
        <v>3.82</v>
      </c>
      <c r="E869" s="36" t="n">
        <v>0</v>
      </c>
      <c r="F869" s="36" t="n">
        <v>4.72</v>
      </c>
      <c r="G869" s="36" t="n">
        <v>7.62</v>
      </c>
      <c r="H869" s="37" t="n">
        <v>0.7875751503006012</v>
      </c>
      <c r="I869" s="37" t="n">
        <v>0.9649122807017544</v>
      </c>
      <c r="J869" s="37" t="n">
        <v>0.7647058823529411</v>
      </c>
      <c r="K869" s="37" t="n">
        <v>0.8</v>
      </c>
      <c r="L869" s="37" t="n">
        <v>0.8</v>
      </c>
      <c r="M869" s="37" t="n">
        <v>0.9979959919839679</v>
      </c>
      <c r="N869" s="37" t="n">
        <v>0.7034068136272545</v>
      </c>
      <c r="O869" s="36" t="n">
        <v>0.17</v>
      </c>
      <c r="P869" s="36" t="n">
        <v>3.36</v>
      </c>
      <c r="Q869" s="36" t="n">
        <v>8.210000000000001</v>
      </c>
      <c r="R869" s="36" t="n">
        <v>17.96</v>
      </c>
      <c r="S869" s="36" t="n">
        <v>0</v>
      </c>
      <c r="T869" s="37" t="n">
        <v>0.9479882237487733</v>
      </c>
      <c r="U869" s="37" t="n">
        <v>0.949748743718593</v>
      </c>
      <c r="V869" s="37" t="n">
        <v>0.9475609756097561</v>
      </c>
      <c r="W869" s="37" t="n">
        <v>0.8888888888888888</v>
      </c>
    </row>
    <row r="870">
      <c r="A870" s="53" t="n">
        <v>45773</v>
      </c>
      <c r="B870" t="inlineStr">
        <is>
          <t>R05_Jawa Tengah DIY</t>
        </is>
      </c>
      <c r="C870" t="inlineStr">
        <is>
          <t>NOP PEKALONGAN</t>
        </is>
      </c>
      <c r="D870" s="36" t="n">
        <v>3.02</v>
      </c>
      <c r="E870" s="36" t="n">
        <v>0</v>
      </c>
      <c r="F870" s="36" t="n">
        <v>3.41</v>
      </c>
      <c r="G870" s="36" t="n">
        <v>3.59</v>
      </c>
      <c r="H870" s="37" t="n">
        <v>0.6537530266343826</v>
      </c>
      <c r="I870" s="37" t="n">
        <v>0.7567567567567568</v>
      </c>
      <c r="J870" s="37" t="n">
        <v>0.6436170212765957</v>
      </c>
      <c r="K870" s="37" t="n">
        <v>1</v>
      </c>
      <c r="L870" s="37" t="n">
        <v>1</v>
      </c>
      <c r="M870" s="37" t="n">
        <v>0.9709443099273608</v>
      </c>
      <c r="N870" s="37" t="n">
        <v>0.5544794188861986</v>
      </c>
      <c r="O870" s="36" t="n">
        <v>0.01</v>
      </c>
      <c r="P870" s="36" t="n">
        <v>3.42</v>
      </c>
      <c r="Q870" s="36" t="n">
        <v>5.87</v>
      </c>
      <c r="R870" s="36" t="n">
        <v>50.1</v>
      </c>
      <c r="S870" s="36" t="n">
        <v>0</v>
      </c>
      <c r="T870" s="37" t="n">
        <v>0.81282722513089</v>
      </c>
      <c r="U870" s="37" t="n">
        <v>0.7872340425531915</v>
      </c>
      <c r="V870" s="37" t="n">
        <v>0.8211805555555556</v>
      </c>
      <c r="W870" s="37" t="n">
        <v>0.6418918918918919</v>
      </c>
    </row>
    <row r="871">
      <c r="A871" s="53" t="n">
        <v>45773</v>
      </c>
      <c r="B871" t="inlineStr">
        <is>
          <t>R05_Jawa Tengah DIY</t>
        </is>
      </c>
      <c r="C871" t="inlineStr">
        <is>
          <t>NOP PURWOKERTO</t>
        </is>
      </c>
      <c r="D871" s="36" t="n">
        <v>3.33</v>
      </c>
      <c r="E871" s="36" t="n">
        <v>0</v>
      </c>
      <c r="F871" s="36" t="n">
        <v>3.82</v>
      </c>
      <c r="G871" s="36" t="n">
        <v>4.91</v>
      </c>
      <c r="H871" s="37" t="n">
        <v>0.7877551020408163</v>
      </c>
      <c r="I871" s="37" t="n">
        <v>0.8043478260869565</v>
      </c>
      <c r="J871" s="37" t="n">
        <v>0.786036036036036</v>
      </c>
      <c r="K871" s="37" t="n">
        <v>1</v>
      </c>
      <c r="L871" s="37" t="n">
        <v>1</v>
      </c>
      <c r="M871" s="37" t="n">
        <v>0.9755102040816327</v>
      </c>
      <c r="N871" s="37" t="n">
        <v>0.5244897959183673</v>
      </c>
      <c r="O871" s="36" t="n">
        <v>0.28</v>
      </c>
      <c r="P871" s="36" t="n">
        <v>3.76</v>
      </c>
      <c r="Q871" s="36" t="n">
        <v>8.9</v>
      </c>
      <c r="R871" s="36" t="n">
        <v>39.35</v>
      </c>
      <c r="S871" s="36" t="n">
        <v>0</v>
      </c>
      <c r="T871" s="37" t="n">
        <v>0.8095909732016925</v>
      </c>
      <c r="U871" s="37" t="n">
        <v>0.8085106382978723</v>
      </c>
      <c r="V871" s="37" t="n">
        <v>0.8098591549295775</v>
      </c>
      <c r="W871" s="37" t="n">
        <v>0.7543859649122807</v>
      </c>
    </row>
    <row r="872">
      <c r="A872" s="53" t="n">
        <v>45773</v>
      </c>
      <c r="B872" t="inlineStr">
        <is>
          <t>R05_Jawa Tengah DIY</t>
        </is>
      </c>
      <c r="C872" t="inlineStr">
        <is>
          <t>NOP SEMARANG</t>
        </is>
      </c>
      <c r="D872" s="36" t="n">
        <v>2.6</v>
      </c>
      <c r="E872" s="36" t="n">
        <v>1.69</v>
      </c>
      <c r="F872" s="36" t="n">
        <v>3.05</v>
      </c>
      <c r="G872" s="36" t="n">
        <v>4.29</v>
      </c>
      <c r="H872" s="37" t="n">
        <v>0.4167741935483871</v>
      </c>
      <c r="I872" s="37" t="n">
        <v>0.475</v>
      </c>
      <c r="J872" s="37" t="n">
        <v>0.4100719424460432</v>
      </c>
      <c r="K872" s="37" t="n">
        <v>1</v>
      </c>
      <c r="L872" s="37" t="n">
        <v>1</v>
      </c>
      <c r="M872" s="37" t="n">
        <v>0.9483870967741935</v>
      </c>
      <c r="N872" s="37" t="n">
        <v>0.2554838709677419</v>
      </c>
      <c r="O872" s="36" t="n">
        <v>0.6</v>
      </c>
      <c r="P872" s="36" t="n">
        <v>5.13</v>
      </c>
      <c r="Q872" s="36" t="n">
        <v>9.41</v>
      </c>
      <c r="R872" s="36" t="n">
        <v>69.23999999999999</v>
      </c>
      <c r="S872" s="36" t="n">
        <v>0</v>
      </c>
      <c r="T872" s="37" t="n">
        <v>0.7525022747952684</v>
      </c>
      <c r="U872" s="37" t="n">
        <v>0.5115511551155115</v>
      </c>
      <c r="V872" s="37" t="n">
        <v>0.8442211055276382</v>
      </c>
      <c r="W872" s="37" t="n">
        <v>0.8387096774193549</v>
      </c>
    </row>
    <row r="873">
      <c r="A873" s="53" t="n">
        <v>45773</v>
      </c>
      <c r="B873" t="inlineStr">
        <is>
          <t>R05_Jawa Tengah DIY</t>
        </is>
      </c>
      <c r="C873" t="inlineStr">
        <is>
          <t>NOP SURAKARTA</t>
        </is>
      </c>
      <c r="D873" s="36" t="n">
        <v>3.49</v>
      </c>
      <c r="E873" s="36" t="n">
        <v>2.15</v>
      </c>
      <c r="F873" s="36" t="n">
        <v>4.19</v>
      </c>
      <c r="G873" s="36" t="n">
        <v>4.48</v>
      </c>
      <c r="H873" s="37" t="n">
        <v>0.7314702308626975</v>
      </c>
      <c r="I873" s="37" t="n">
        <v>0.8586956521739131</v>
      </c>
      <c r="J873" s="37" t="n">
        <v>0.7154582763337893</v>
      </c>
      <c r="K873" s="37" t="n">
        <v>0.9493670886075949</v>
      </c>
      <c r="L873" s="37" t="n">
        <v>0.9493670886075949</v>
      </c>
      <c r="M873" s="37" t="n">
        <v>0.9708383961117861</v>
      </c>
      <c r="N873" s="37" t="n">
        <v>0.5164034021871203</v>
      </c>
      <c r="O873" s="36" t="n">
        <v>0.14</v>
      </c>
      <c r="P873" s="36" t="n">
        <v>3.77</v>
      </c>
      <c r="Q873" s="36" t="n">
        <v>7.74</v>
      </c>
      <c r="R873" s="36" t="n">
        <v>53.78</v>
      </c>
      <c r="S873" s="36" t="n">
        <v>0</v>
      </c>
      <c r="T873" s="37" t="n">
        <v>0.8186323092170465</v>
      </c>
      <c r="U873" s="37" t="n">
        <v>0.7330827067669173</v>
      </c>
      <c r="V873" s="37" t="n">
        <v>0.8492597577388964</v>
      </c>
      <c r="W873" s="37" t="n">
        <v>0.7692307692307693</v>
      </c>
    </row>
    <row r="874">
      <c r="A874" s="53" t="n">
        <v>45773</v>
      </c>
      <c r="B874" t="inlineStr">
        <is>
          <t>R05_Jawa Tengah DIY</t>
        </is>
      </c>
      <c r="C874" t="inlineStr">
        <is>
          <t>NOP YOGYAKARTA</t>
        </is>
      </c>
      <c r="D874" s="36" t="n">
        <v>3.25</v>
      </c>
      <c r="E874" s="36" t="n">
        <v>0</v>
      </c>
      <c r="F874" s="36" t="n">
        <v>3.45</v>
      </c>
      <c r="G874" s="36" t="n">
        <v>3.44</v>
      </c>
      <c r="H874" s="37" t="n">
        <v>0.5860805860805861</v>
      </c>
      <c r="I874" s="37" t="n">
        <v>0.8775510204081632</v>
      </c>
      <c r="J874" s="37" t="n">
        <v>0.5573440643863179</v>
      </c>
      <c r="K874" s="37" t="n">
        <v>0.9534883720930233</v>
      </c>
      <c r="L874" s="37" t="n">
        <v>0.9512195121951219</v>
      </c>
      <c r="M874" s="37" t="n">
        <v>0.9871794871794872</v>
      </c>
      <c r="N874" s="37" t="n">
        <v>0.4212454212454212</v>
      </c>
      <c r="O874" s="36" t="n">
        <v>0</v>
      </c>
      <c r="P874" s="36" t="n">
        <v>3.11</v>
      </c>
      <c r="Q874" s="36" t="n">
        <v>15.43</v>
      </c>
      <c r="R874" s="36" t="n">
        <v>42.56</v>
      </c>
      <c r="S874" s="36" t="n">
        <v>0</v>
      </c>
      <c r="T874" s="37" t="n">
        <v>0.9363992172211351</v>
      </c>
      <c r="U874" s="37" t="n">
        <v>0.8390804597701149</v>
      </c>
      <c r="V874" s="37" t="n">
        <v>0.9563679245283019</v>
      </c>
      <c r="W874" s="37" t="n">
        <v>0.9863013698630136</v>
      </c>
    </row>
    <row r="875">
      <c r="A875" s="53" t="n">
        <v>45773</v>
      </c>
      <c r="B875" t="inlineStr">
        <is>
          <t>R06_Jawa Timur</t>
        </is>
      </c>
      <c r="C875" t="inlineStr">
        <is>
          <t>NOP JEMBER</t>
        </is>
      </c>
      <c r="D875" s="36" t="n">
        <v>2.17</v>
      </c>
      <c r="E875" s="36" t="n">
        <v>2.29</v>
      </c>
      <c r="F875" s="36" t="n">
        <v>3.78</v>
      </c>
      <c r="G875" s="36" t="n">
        <v>3.37</v>
      </c>
      <c r="H875" s="37" t="n">
        <v>0.6863905325443787</v>
      </c>
      <c r="I875" s="37" t="n">
        <v>0.65</v>
      </c>
      <c r="J875" s="37" t="n">
        <v>0.6895074946466809</v>
      </c>
      <c r="K875" s="37" t="n">
        <v>0.8076923076923077</v>
      </c>
      <c r="L875" s="37" t="n">
        <v>0.8076923076923077</v>
      </c>
      <c r="M875" s="37" t="n">
        <v>0.980276134122288</v>
      </c>
      <c r="N875" s="37" t="n">
        <v>0.3865877712031558</v>
      </c>
      <c r="O875" s="36" t="n">
        <v>0</v>
      </c>
      <c r="P875" s="36" t="n">
        <v>3.26</v>
      </c>
      <c r="Q875" s="36" t="n">
        <v>4.76</v>
      </c>
      <c r="R875" s="36" t="n">
        <v>115.21</v>
      </c>
      <c r="S875" s="36" t="n">
        <v>0</v>
      </c>
      <c r="T875" s="37" t="n">
        <v>0.8057663125948407</v>
      </c>
      <c r="U875" s="37" t="n">
        <v>0.8023952095808383</v>
      </c>
      <c r="V875" s="37" t="n">
        <v>0.806910569105691</v>
      </c>
      <c r="W875" s="37" t="n">
        <v>0.7835820895522388</v>
      </c>
    </row>
    <row r="876">
      <c r="A876" s="53" t="n">
        <v>45773</v>
      </c>
      <c r="B876" t="inlineStr">
        <is>
          <t>R06_Jawa Timur</t>
        </is>
      </c>
      <c r="C876" t="inlineStr">
        <is>
          <t>NOP KEDIRI</t>
        </is>
      </c>
      <c r="D876" s="36" t="n">
        <v>1.2</v>
      </c>
      <c r="E876" s="36" t="n">
        <v>1.25</v>
      </c>
      <c r="F876" s="36" t="n">
        <v>3.37</v>
      </c>
      <c r="G876" s="36" t="n">
        <v>1.97</v>
      </c>
      <c r="H876" s="37" t="n">
        <v>0.8810572687224669</v>
      </c>
      <c r="I876" s="37" t="n">
        <v>0.9</v>
      </c>
      <c r="J876" s="37" t="n">
        <v>0.880184331797235</v>
      </c>
      <c r="K876" s="37" t="n">
        <v>0.7777777777777778</v>
      </c>
      <c r="L876" s="37" t="n">
        <v>0.7777777777777778</v>
      </c>
      <c r="M876" s="37" t="n">
        <v>1</v>
      </c>
      <c r="N876" s="37" t="n">
        <v>0.6475770925110133</v>
      </c>
      <c r="O876" s="36" t="n">
        <v>0</v>
      </c>
      <c r="P876" s="36" t="n">
        <v>1.99</v>
      </c>
      <c r="Q876" s="36" t="n">
        <v>3.55</v>
      </c>
      <c r="R876" s="36" t="n">
        <v>14.4</v>
      </c>
      <c r="S876" s="36" t="n">
        <v>0</v>
      </c>
      <c r="T876" s="37" t="n">
        <v>0.9526462395543176</v>
      </c>
      <c r="U876" s="37" t="n">
        <v>0.927710843373494</v>
      </c>
      <c r="V876" s="37" t="n">
        <v>0.9601449275362319</v>
      </c>
      <c r="W876" s="37" t="n">
        <v>0.9090909090909091</v>
      </c>
    </row>
    <row r="877">
      <c r="A877" s="53" t="n">
        <v>45773</v>
      </c>
      <c r="B877" t="inlineStr">
        <is>
          <t>R06_Jawa Timur</t>
        </is>
      </c>
      <c r="C877" t="inlineStr">
        <is>
          <t>NOP LAMONGAN</t>
        </is>
      </c>
      <c r="D877" s="36" t="n">
        <v>1.6</v>
      </c>
      <c r="E877" s="36" t="n">
        <v>1.55</v>
      </c>
      <c r="F877" s="36" t="n">
        <v>3.78</v>
      </c>
      <c r="G877" s="36" t="n">
        <v>3.7</v>
      </c>
      <c r="H877" s="37" t="n">
        <v>0.8445229681978799</v>
      </c>
      <c r="I877" s="37" t="n">
        <v>0.9354838709677419</v>
      </c>
      <c r="J877" s="37" t="n">
        <v>0.8333333333333334</v>
      </c>
      <c r="K877" s="37" t="n">
        <v>0.9655172413793104</v>
      </c>
      <c r="L877" s="37" t="n">
        <v>0.9655172413793104</v>
      </c>
      <c r="M877" s="37" t="n">
        <v>1</v>
      </c>
      <c r="N877" s="37" t="n">
        <v>0.7455830388692579</v>
      </c>
      <c r="O877" s="36" t="n">
        <v>0</v>
      </c>
      <c r="P877" s="36" t="n">
        <v>2.34</v>
      </c>
      <c r="Q877" s="36" t="n">
        <v>10.58</v>
      </c>
      <c r="R877" s="36" t="n">
        <v>37.09</v>
      </c>
      <c r="S877" s="36" t="n">
        <v>0</v>
      </c>
      <c r="T877" s="37" t="n">
        <v>0.7883435582822086</v>
      </c>
      <c r="U877" s="37" t="n">
        <v>0.7028985507246377</v>
      </c>
      <c r="V877" s="37" t="n">
        <v>0.851063829787234</v>
      </c>
      <c r="W877" s="37" t="n">
        <v>0.8969072164948454</v>
      </c>
    </row>
    <row r="878">
      <c r="A878" s="53" t="n">
        <v>45773</v>
      </c>
      <c r="B878" t="inlineStr">
        <is>
          <t>R06_Jawa Timur</t>
        </is>
      </c>
      <c r="C878" t="inlineStr">
        <is>
          <t>NOP MADIUN</t>
        </is>
      </c>
      <c r="D878" s="36" t="n">
        <v>0.63</v>
      </c>
      <c r="E878" s="36" t="n">
        <v>0</v>
      </c>
      <c r="F878" s="36" t="n">
        <v>4.57</v>
      </c>
      <c r="G878" s="36" t="n">
        <v>3.32</v>
      </c>
      <c r="H878" s="37" t="n">
        <v>0.5877192982456141</v>
      </c>
      <c r="I878" s="37" t="n">
        <v>1</v>
      </c>
      <c r="J878" s="37" t="n">
        <v>0.5816023738872403</v>
      </c>
      <c r="K878" s="37" t="n">
        <v>0.8</v>
      </c>
      <c r="L878" s="37" t="n">
        <v>0.8</v>
      </c>
      <c r="M878" s="37" t="n">
        <v>0.9853801169590644</v>
      </c>
      <c r="N878" s="37" t="n">
        <v>0.3391812865497076</v>
      </c>
      <c r="O878" s="36" t="n">
        <v>0</v>
      </c>
      <c r="P878" s="36" t="n">
        <v>2.76</v>
      </c>
      <c r="Q878" s="36" t="n">
        <v>6.36</v>
      </c>
      <c r="R878" s="36" t="n">
        <v>60.34</v>
      </c>
      <c r="S878" s="36" t="n">
        <v>0</v>
      </c>
      <c r="T878" s="37" t="n">
        <v>0.7303149606299213</v>
      </c>
      <c r="U878" s="37" t="n">
        <v>0.7486033519553073</v>
      </c>
      <c r="V878" s="37" t="n">
        <v>0.7203647416413373</v>
      </c>
      <c r="W878" s="37" t="n">
        <v>0.8208955223880597</v>
      </c>
    </row>
    <row r="879">
      <c r="A879" s="53" t="n">
        <v>45773</v>
      </c>
      <c r="B879" t="inlineStr">
        <is>
          <t>R06_Jawa Timur</t>
        </is>
      </c>
      <c r="C879" t="inlineStr">
        <is>
          <t>NOP MALANG</t>
        </is>
      </c>
      <c r="D879" s="36" t="n">
        <v>1.3</v>
      </c>
      <c r="E879" s="36" t="n">
        <v>0</v>
      </c>
      <c r="F879" s="36" t="n">
        <v>2.91</v>
      </c>
      <c r="G879" s="36" t="n">
        <v>2.71</v>
      </c>
      <c r="H879" s="37" t="n">
        <v>0.7868020304568528</v>
      </c>
      <c r="I879" s="37" t="n">
        <v>0.7777777777777778</v>
      </c>
      <c r="J879" s="37" t="n">
        <v>0.7870129870129871</v>
      </c>
      <c r="K879" s="37" t="n">
        <v>1</v>
      </c>
      <c r="L879" s="37" t="n">
        <v>1</v>
      </c>
      <c r="M879" s="37" t="n">
        <v>0.9974619289340102</v>
      </c>
      <c r="N879" s="37" t="n">
        <v>0.733502538071066</v>
      </c>
      <c r="O879" s="36" t="n">
        <v>0.02</v>
      </c>
      <c r="P879" s="36" t="n">
        <v>2.94</v>
      </c>
      <c r="Q879" s="36" t="n">
        <v>4.49</v>
      </c>
      <c r="R879" s="36" t="n">
        <v>39.99</v>
      </c>
      <c r="S879" s="36" t="n">
        <v>0</v>
      </c>
      <c r="T879" s="37" t="n">
        <v>0.8179012345679012</v>
      </c>
      <c r="U879" s="37" t="n">
        <v>0.7175572519083969</v>
      </c>
      <c r="V879" s="37" t="n">
        <v>0.8860103626943006</v>
      </c>
      <c r="W879" s="37" t="n">
        <v>0.6170212765957447</v>
      </c>
    </row>
    <row r="880">
      <c r="A880" s="53" t="n">
        <v>45773</v>
      </c>
      <c r="B880" t="inlineStr">
        <is>
          <t>R06_Jawa Timur</t>
        </is>
      </c>
      <c r="C880" t="inlineStr">
        <is>
          <t>NOP SIDOARJO</t>
        </is>
      </c>
      <c r="D880" s="36" t="n">
        <v>2.8</v>
      </c>
      <c r="E880" s="36" t="n">
        <v>5.94</v>
      </c>
      <c r="F880" s="36" t="n">
        <v>3.16</v>
      </c>
      <c r="G880" s="36" t="n">
        <v>5.06</v>
      </c>
      <c r="H880" s="37" t="n">
        <v>0.6064690026954178</v>
      </c>
      <c r="I880" s="37" t="n">
        <v>0.8974358974358975</v>
      </c>
      <c r="J880" s="37" t="n">
        <v>0.572289156626506</v>
      </c>
      <c r="K880" s="37" t="n">
        <v>0.8285714285714286</v>
      </c>
      <c r="L880" s="37" t="n">
        <v>0.8285714285714286</v>
      </c>
      <c r="M880" s="37" t="n">
        <v>0.9811320754716981</v>
      </c>
      <c r="N880" s="37" t="n">
        <v>0.431266846361186</v>
      </c>
      <c r="O880" s="36" t="n">
        <v>0.01</v>
      </c>
      <c r="P880" s="36" t="n">
        <v>4.35</v>
      </c>
      <c r="Q880" s="36" t="n">
        <v>11.54</v>
      </c>
      <c r="R880" s="36" t="n">
        <v>51.93</v>
      </c>
      <c r="S880" s="36" t="n">
        <v>0</v>
      </c>
      <c r="T880" s="37" t="n">
        <v>0.7915742793791575</v>
      </c>
      <c r="U880" s="37" t="n">
        <v>0.6691729323308271</v>
      </c>
      <c r="V880" s="37" t="n">
        <v>0.8427672955974843</v>
      </c>
      <c r="W880" s="37" t="n">
        <v>0.7303370786516854</v>
      </c>
    </row>
    <row r="881">
      <c r="A881" s="53" t="n">
        <v>45773</v>
      </c>
      <c r="B881" t="inlineStr">
        <is>
          <t>R06_Jawa Timur</t>
        </is>
      </c>
      <c r="C881" t="inlineStr">
        <is>
          <t>NOP SURABAYA</t>
        </is>
      </c>
      <c r="D881" s="36" t="n">
        <v>2.3</v>
      </c>
      <c r="E881" s="36" t="n">
        <v>0</v>
      </c>
      <c r="F881" s="36" t="n">
        <v>4.24</v>
      </c>
      <c r="G881" s="36" t="n">
        <v>4.16</v>
      </c>
      <c r="H881" s="37" t="n">
        <v>0.5977011494252874</v>
      </c>
      <c r="I881" s="37" t="n">
        <v>0.5555555555555556</v>
      </c>
      <c r="J881" s="37" t="n">
        <v>0.6034858387799564</v>
      </c>
      <c r="K881" s="37" t="n">
        <v>0.9142857142857143</v>
      </c>
      <c r="L881" s="37" t="n">
        <v>0.9142857142857143</v>
      </c>
      <c r="M881" s="37" t="n">
        <v>0.9636015325670498</v>
      </c>
      <c r="N881" s="37" t="n">
        <v>0.4195402298850575</v>
      </c>
      <c r="O881" s="36" t="n">
        <v>1.22</v>
      </c>
      <c r="P881" s="36" t="n">
        <v>3.49</v>
      </c>
      <c r="Q881" s="36" t="n">
        <v>7.12</v>
      </c>
      <c r="R881" s="36" t="n">
        <v>29.98</v>
      </c>
      <c r="S881" s="36" t="n">
        <v>0</v>
      </c>
      <c r="T881" s="37" t="n">
        <v>0.6600938967136151</v>
      </c>
      <c r="U881" s="37" t="n">
        <v>0.6538461538461539</v>
      </c>
      <c r="V881" s="37" t="n">
        <v>0.6613816534541337</v>
      </c>
      <c r="W881" s="37" t="n">
        <v>0.8991596638655462</v>
      </c>
    </row>
    <row r="882">
      <c r="A882" s="53" t="n">
        <v>45773</v>
      </c>
      <c r="B882" t="inlineStr">
        <is>
          <t>R07_Bali Nusra</t>
        </is>
      </c>
      <c r="C882" t="inlineStr">
        <is>
          <t>NOP DENPASAR</t>
        </is>
      </c>
      <c r="D882" s="36" t="n">
        <v>2.95</v>
      </c>
      <c r="E882" s="36" t="n">
        <v>0</v>
      </c>
      <c r="F882" s="36" t="n">
        <v>4.87</v>
      </c>
      <c r="G882" s="36" t="n">
        <v>3.93</v>
      </c>
      <c r="H882" s="37" t="n">
        <v>0.9047619047619048</v>
      </c>
      <c r="I882" s="37" t="n">
        <v>0.8846153846153846</v>
      </c>
      <c r="J882" s="37" t="n">
        <v>0.908745247148289</v>
      </c>
      <c r="K882" s="37" t="n">
        <v>0.9565217391304348</v>
      </c>
      <c r="L882" s="37" t="n">
        <v>0.9565217391304348</v>
      </c>
      <c r="M882" s="37" t="n">
        <v>0.9682539682539683</v>
      </c>
      <c r="N882" s="37" t="n">
        <v>0.8634920634920635</v>
      </c>
      <c r="O882" s="36" t="n">
        <v>0</v>
      </c>
      <c r="P882" s="36" t="n">
        <v>77.61</v>
      </c>
      <c r="Q882" s="36" t="n">
        <v>20.14</v>
      </c>
      <c r="R882" s="36" t="n">
        <v>87.41</v>
      </c>
      <c r="S882" s="36" t="n">
        <v>0</v>
      </c>
      <c r="T882" s="37" t="n">
        <v>0.8670120898100173</v>
      </c>
      <c r="U882" s="37" t="n">
        <v>0.8642857142857143</v>
      </c>
      <c r="V882" s="37" t="n">
        <v>0.8678815489749431</v>
      </c>
      <c r="W882" s="37" t="n">
        <v>0.5950413223140496</v>
      </c>
    </row>
    <row r="883">
      <c r="A883" s="53" t="n">
        <v>45773</v>
      </c>
      <c r="B883" t="inlineStr">
        <is>
          <t>R07_Bali Nusra</t>
        </is>
      </c>
      <c r="C883" t="inlineStr">
        <is>
          <t>NOP FLORES</t>
        </is>
      </c>
      <c r="D883" s="36" t="n">
        <v>6.82</v>
      </c>
      <c r="E883" s="36" t="n">
        <v>5.32</v>
      </c>
      <c r="F883" s="36" t="n">
        <v>7.32</v>
      </c>
      <c r="G883" s="36" t="n">
        <v>9.970000000000001</v>
      </c>
      <c r="H883" s="37" t="n">
        <v>0.5441101478837328</v>
      </c>
      <c r="I883" s="37" t="n">
        <v>0.6778947368421052</v>
      </c>
      <c r="J883" s="37" t="n">
        <v>0.5013458950201884</v>
      </c>
      <c r="K883" s="37" t="n">
        <v>0.6273291925465838</v>
      </c>
      <c r="L883" s="37" t="n">
        <v>0.6360759493670886</v>
      </c>
      <c r="M883" s="37" t="n">
        <v>0.9938806731259562</v>
      </c>
      <c r="N883" s="37" t="n">
        <v>0.34931157572667</v>
      </c>
      <c r="O883" s="36" t="n">
        <v>0.62</v>
      </c>
      <c r="P883" s="36" t="n">
        <v>10.24</v>
      </c>
      <c r="Q883" s="36" t="n">
        <v>7.85</v>
      </c>
      <c r="R883" s="36" t="n">
        <v>45.31</v>
      </c>
      <c r="S883" s="36" t="n">
        <v>0</v>
      </c>
      <c r="T883" s="37" t="n">
        <v>0.5164008426120975</v>
      </c>
      <c r="U883" s="37" t="n">
        <v>0.5573985159319075</v>
      </c>
      <c r="V883" s="37" t="n">
        <v>0.4253875968992248</v>
      </c>
      <c r="W883" s="37" t="n">
        <v>0.6945967110415036</v>
      </c>
    </row>
    <row r="884">
      <c r="A884" s="53" t="n">
        <v>45773</v>
      </c>
      <c r="B884" t="inlineStr">
        <is>
          <t>R07_Bali Nusra</t>
        </is>
      </c>
      <c r="C884" t="inlineStr">
        <is>
          <t>NOP KUPANG</t>
        </is>
      </c>
      <c r="D884" s="36" t="n">
        <v>1.18</v>
      </c>
      <c r="E884" s="36" t="n">
        <v>6.01</v>
      </c>
      <c r="F884" s="36" t="n">
        <v>9.470000000000001</v>
      </c>
      <c r="G884" s="36" t="n">
        <v>10.18</v>
      </c>
      <c r="H884" s="37" t="n">
        <v>0.5084621044885945</v>
      </c>
      <c r="I884" s="37" t="n">
        <v>0.6602870813397129</v>
      </c>
      <c r="J884" s="37" t="n">
        <v>0.4808695652173913</v>
      </c>
      <c r="K884" s="37" t="n">
        <v>0.6884057971014492</v>
      </c>
      <c r="L884" s="37" t="n">
        <v>0.6865671641791045</v>
      </c>
      <c r="M884" s="37" t="n">
        <v>0.9793966151582045</v>
      </c>
      <c r="N884" s="37" t="n">
        <v>0.2045621780721119</v>
      </c>
      <c r="O884" s="36" t="n">
        <v>0.18</v>
      </c>
      <c r="P884" s="36" t="n">
        <v>8.33</v>
      </c>
      <c r="Q884" s="36" t="n">
        <v>18.15</v>
      </c>
      <c r="R884" s="36" t="n">
        <v>179.56</v>
      </c>
      <c r="S884" s="36" t="n">
        <v>0</v>
      </c>
      <c r="T884" s="37" t="n">
        <v>0.6061084781463928</v>
      </c>
      <c r="U884" s="37" t="n">
        <v>0.6063464837049742</v>
      </c>
      <c r="V884" s="37" t="n">
        <v>0.6057298772169167</v>
      </c>
      <c r="W884" s="37" t="n">
        <v>0.7001414427157001</v>
      </c>
    </row>
    <row r="885">
      <c r="A885" s="53" t="n">
        <v>45773</v>
      </c>
      <c r="B885" t="inlineStr">
        <is>
          <t>R07_Bali Nusra</t>
        </is>
      </c>
      <c r="C885" t="inlineStr">
        <is>
          <t>NOP MATARAM</t>
        </is>
      </c>
      <c r="D885" s="36" t="n">
        <v>3.13</v>
      </c>
      <c r="E885" s="36" t="n">
        <v>5</v>
      </c>
      <c r="F885" s="36" t="n">
        <v>4.72</v>
      </c>
      <c r="G885" s="36" t="n">
        <v>5.82</v>
      </c>
      <c r="H885" s="37" t="n">
        <v>0.5371669004207573</v>
      </c>
      <c r="I885" s="37" t="n">
        <v>0.6373626373626373</v>
      </c>
      <c r="J885" s="37" t="n">
        <v>0.522508038585209</v>
      </c>
      <c r="K885" s="37" t="n">
        <v>0.7241379310344828</v>
      </c>
      <c r="L885" s="37" t="n">
        <v>0.7241379310344828</v>
      </c>
      <c r="M885" s="37" t="n">
        <v>0.9901823281907434</v>
      </c>
      <c r="N885" s="37" t="n">
        <v>0.332398316970547</v>
      </c>
      <c r="O885" s="36" t="n">
        <v>0.9399999999999999</v>
      </c>
      <c r="P885" s="36" t="n">
        <v>22.53</v>
      </c>
      <c r="Q885" s="36" t="n">
        <v>19.28</v>
      </c>
      <c r="R885" s="36" t="n">
        <v>73.34</v>
      </c>
      <c r="S885" s="36" t="n">
        <v>0</v>
      </c>
      <c r="T885" s="37" t="n">
        <v>0.391845196959226</v>
      </c>
      <c r="U885" s="37" t="n">
        <v>0.4124559341950647</v>
      </c>
      <c r="V885" s="37" t="n">
        <v>0.3624161073825503</v>
      </c>
      <c r="W885" s="37" t="n">
        <v>0.6239316239316239</v>
      </c>
    </row>
    <row r="886">
      <c r="A886" s="53" t="n">
        <v>45774</v>
      </c>
      <c r="B886" t="inlineStr">
        <is>
          <t>R01_Sumbagut</t>
        </is>
      </c>
      <c r="C886" t="inlineStr">
        <is>
          <t>NOP ACEH</t>
        </is>
      </c>
      <c r="D886" s="36" t="n">
        <v>3.68</v>
      </c>
      <c r="E886" s="36" t="n">
        <v>4.22</v>
      </c>
      <c r="F886" s="36" t="n">
        <v>9.56</v>
      </c>
      <c r="G886" s="36" t="n">
        <v>10.03</v>
      </c>
      <c r="H886" s="37" t="n">
        <v>0.8325958702064897</v>
      </c>
      <c r="I886" s="37" t="n">
        <v>0.823021582733813</v>
      </c>
      <c r="J886" s="37" t="n">
        <v>0.8358948934060486</v>
      </c>
      <c r="K886" s="37" t="n">
        <v>0.4230769230769231</v>
      </c>
      <c r="L886" s="37" t="n">
        <v>0.4250440917107584</v>
      </c>
      <c r="M886" s="37" t="n">
        <v>0.9996312684365781</v>
      </c>
      <c r="N886" s="37" t="n">
        <v>0.3130530973451328</v>
      </c>
      <c r="O886" s="36" t="n">
        <v>0.06</v>
      </c>
      <c r="P886" s="36" t="n">
        <v>4.55</v>
      </c>
      <c r="Q886" s="36" t="n">
        <v>69.79000000000001</v>
      </c>
      <c r="R886" s="36" t="n">
        <v>129.88</v>
      </c>
      <c r="S886" s="36" t="n">
        <v>0</v>
      </c>
      <c r="T886" s="37" t="n">
        <v>0.8693821702978634</v>
      </c>
      <c r="U886" s="37" t="n">
        <v>0.7180892717306187</v>
      </c>
      <c r="V886" s="37" t="n">
        <v>0.8954087895899828</v>
      </c>
      <c r="W886" s="37" t="n">
        <v>0.2050163576881134</v>
      </c>
    </row>
    <row r="887">
      <c r="A887" s="53" t="n">
        <v>45774</v>
      </c>
      <c r="B887" t="inlineStr">
        <is>
          <t>R01_Sumbagut</t>
        </is>
      </c>
      <c r="C887" t="inlineStr">
        <is>
          <t>NOP BINJAI</t>
        </is>
      </c>
      <c r="D887" s="36" t="n">
        <v>9.9</v>
      </c>
      <c r="E887" s="36" t="n">
        <v>4.16</v>
      </c>
      <c r="F887" s="36" t="n">
        <v>3.82</v>
      </c>
      <c r="G887" s="36" t="n">
        <v>4.22</v>
      </c>
      <c r="H887" s="37" t="n">
        <v>0.6373268133659332</v>
      </c>
      <c r="I887" s="37" t="n">
        <v>0.7692307692307693</v>
      </c>
      <c r="J887" s="37" t="n">
        <v>0.5972369819341127</v>
      </c>
      <c r="K887" s="37" t="n">
        <v>0.55</v>
      </c>
      <c r="L887" s="37" t="n">
        <v>0.547945205479452</v>
      </c>
      <c r="M887" s="37" t="n">
        <v>1</v>
      </c>
      <c r="N887" s="37" t="n">
        <v>0.3569682151589242</v>
      </c>
      <c r="O887" s="36" t="n">
        <v>0.02</v>
      </c>
      <c r="P887" s="36" t="n">
        <v>2.69</v>
      </c>
      <c r="Q887" s="36" t="n">
        <v>34.4</v>
      </c>
      <c r="R887" s="36" t="n">
        <v>116.03</v>
      </c>
      <c r="S887" s="36" t="n">
        <v>0</v>
      </c>
      <c r="T887" s="37" t="n">
        <v>0.662786029706945</v>
      </c>
      <c r="U887" s="37" t="n">
        <v>0.5603217158176944</v>
      </c>
      <c r="V887" s="37" t="n">
        <v>0.7268262737875998</v>
      </c>
      <c r="W887" s="37" t="n">
        <v>0.5645933014354066</v>
      </c>
    </row>
    <row r="888">
      <c r="A888" s="53" t="n">
        <v>45774</v>
      </c>
      <c r="B888" t="inlineStr">
        <is>
          <t>R01_Sumbagut</t>
        </is>
      </c>
      <c r="C888" t="inlineStr">
        <is>
          <t>NOP MEDAN</t>
        </is>
      </c>
      <c r="D888" s="36" t="n">
        <v>5.2</v>
      </c>
      <c r="E888" s="36" t="n">
        <v>4.25</v>
      </c>
      <c r="F888" s="36" t="n">
        <v>4.64</v>
      </c>
      <c r="G888" s="36" t="n">
        <v>5.11</v>
      </c>
      <c r="H888" s="37" t="n">
        <v>0.3987034035656402</v>
      </c>
      <c r="I888" s="37" t="n">
        <v>0.4601063829787234</v>
      </c>
      <c r="J888" s="37" t="n">
        <v>0.3717948717948718</v>
      </c>
      <c r="K888" s="37" t="n">
        <v>0.8208092485549133</v>
      </c>
      <c r="L888" s="37" t="n">
        <v>0.8245614035087719</v>
      </c>
      <c r="M888" s="37" t="n">
        <v>0.9975688816855753</v>
      </c>
      <c r="N888" s="37" t="n">
        <v>0.2504051863857374</v>
      </c>
      <c r="O888" s="36" t="n">
        <v>0</v>
      </c>
      <c r="P888" s="36" t="n">
        <v>5.22</v>
      </c>
      <c r="Q888" s="36" t="n">
        <v>17.91</v>
      </c>
      <c r="R888" s="36" t="n">
        <v>13.1</v>
      </c>
      <c r="S888" s="36" t="n">
        <v>0</v>
      </c>
      <c r="T888" s="37" t="n">
        <v>0.3219284603421462</v>
      </c>
      <c r="U888" s="37" t="n">
        <v>0.2102272727272727</v>
      </c>
      <c r="V888" s="37" t="n">
        <v>0.394047619047619</v>
      </c>
      <c r="W888" s="37" t="n">
        <v>0.8783783783783784</v>
      </c>
    </row>
    <row r="889">
      <c r="A889" s="53" t="n">
        <v>45774</v>
      </c>
      <c r="B889" t="inlineStr">
        <is>
          <t>R01_Sumbagut</t>
        </is>
      </c>
      <c r="C889" t="inlineStr">
        <is>
          <t>NOP PADANG SIDEMPUAN</t>
        </is>
      </c>
      <c r="D889" s="36" t="n">
        <v>3.08</v>
      </c>
      <c r="E889" s="36" t="n">
        <v>4.28</v>
      </c>
      <c r="F889" s="36" t="n">
        <v>4.95</v>
      </c>
      <c r="G889" s="36" t="n">
        <v>6.45</v>
      </c>
      <c r="H889" s="37" t="n">
        <v>0.297536029753603</v>
      </c>
      <c r="I889" s="37" t="n">
        <v>0.4429530201342282</v>
      </c>
      <c r="J889" s="37" t="n">
        <v>0.2741500269832703</v>
      </c>
      <c r="K889" s="37" t="n">
        <v>0.4545454545454545</v>
      </c>
      <c r="L889" s="37" t="n">
        <v>0.4545454545454545</v>
      </c>
      <c r="M889" s="37" t="n">
        <v>0.9944211994421199</v>
      </c>
      <c r="N889" s="37" t="n">
        <v>0.1241283124128312</v>
      </c>
      <c r="O889" s="36" t="n">
        <v>0.01</v>
      </c>
      <c r="P889" s="36" t="n">
        <v>2.67</v>
      </c>
      <c r="Q889" s="36" t="n">
        <v>12.42</v>
      </c>
      <c r="R889" s="36" t="n">
        <v>100.17</v>
      </c>
      <c r="S889" s="36" t="n">
        <v>0</v>
      </c>
      <c r="T889" s="37" t="n">
        <v>0.2854877081681205</v>
      </c>
      <c r="U889" s="37" t="n">
        <v>0.4154411764705883</v>
      </c>
      <c r="V889" s="37" t="n">
        <v>0.2429005179496339</v>
      </c>
      <c r="W889" s="37" t="n">
        <v>0.472819216182048</v>
      </c>
    </row>
    <row r="890">
      <c r="A890" s="53" t="n">
        <v>45774</v>
      </c>
      <c r="B890" t="inlineStr">
        <is>
          <t>R01_Sumbagut</t>
        </is>
      </c>
      <c r="C890" t="inlineStr">
        <is>
          <t>NOP PEMATANG SIANTAR</t>
        </is>
      </c>
      <c r="D890" s="36" t="n">
        <v>3.39</v>
      </c>
      <c r="E890" s="36" t="n">
        <v>4.08</v>
      </c>
      <c r="F890" s="36" t="n">
        <v>5.16</v>
      </c>
      <c r="G890" s="36" t="n">
        <v>4.87</v>
      </c>
      <c r="H890" s="37" t="n">
        <v>0.3351705132621426</v>
      </c>
      <c r="I890" s="37" t="n">
        <v>0.3701067615658363</v>
      </c>
      <c r="J890" s="37" t="n">
        <v>0.320873786407767</v>
      </c>
      <c r="K890" s="37" t="n">
        <v>0.6762820512820513</v>
      </c>
      <c r="L890" s="37" t="n">
        <v>0.6821192052980133</v>
      </c>
      <c r="M890" s="37" t="n">
        <v>0.9972442301067861</v>
      </c>
      <c r="N890" s="37" t="n">
        <v>0.1887702376851533</v>
      </c>
      <c r="O890" s="36" t="n">
        <v>0.03</v>
      </c>
      <c r="P890" s="36" t="n">
        <v>4.53</v>
      </c>
      <c r="Q890" s="36" t="n">
        <v>66.08</v>
      </c>
      <c r="R890" s="36" t="n">
        <v>72.3</v>
      </c>
      <c r="S890" s="36" t="n">
        <v>0</v>
      </c>
      <c r="T890" s="37" t="n">
        <v>0.1135122484006865</v>
      </c>
      <c r="U890" s="37" t="n">
        <v>0.3387650085763294</v>
      </c>
      <c r="V890" s="37" t="n">
        <v>0.08918965816415061</v>
      </c>
      <c r="W890" s="37" t="n">
        <v>0.8430379746835444</v>
      </c>
    </row>
    <row r="891">
      <c r="A891" s="53" t="n">
        <v>45774</v>
      </c>
      <c r="B891" t="inlineStr">
        <is>
          <t>R01_Sumbagut</t>
        </is>
      </c>
      <c r="C891" t="inlineStr">
        <is>
          <t>NOP RANTAU PRAPAT</t>
        </is>
      </c>
      <c r="D891" s="36" t="n">
        <v>4.28</v>
      </c>
      <c r="E891" s="36" t="n">
        <v>6.21</v>
      </c>
      <c r="F891" s="36" t="n">
        <v>5.59</v>
      </c>
      <c r="G891" s="36" t="n">
        <v>5.24</v>
      </c>
      <c r="H891" s="37" t="n">
        <v>0.3026719229084538</v>
      </c>
      <c r="I891" s="37" t="n">
        <v>0.3106918238993711</v>
      </c>
      <c r="J891" s="37" t="n">
        <v>0.3009811721028905</v>
      </c>
      <c r="K891" s="37" t="n">
        <v>0.6234817813765182</v>
      </c>
      <c r="L891" s="37" t="n">
        <v>0.6260162601626016</v>
      </c>
      <c r="M891" s="37" t="n">
        <v>0.9903635567236093</v>
      </c>
      <c r="N891" s="37" t="n">
        <v>0.1736749890494963</v>
      </c>
      <c r="O891" s="36" t="n">
        <v>0.02</v>
      </c>
      <c r="P891" s="36" t="n">
        <v>4.33</v>
      </c>
      <c r="Q891" s="36" t="n">
        <v>36.26</v>
      </c>
      <c r="R891" s="36" t="n">
        <v>48.47</v>
      </c>
      <c r="S891" s="36" t="n">
        <v>0</v>
      </c>
      <c r="T891" s="37" t="n">
        <v>0.06865637766681798</v>
      </c>
      <c r="U891" s="37" t="n">
        <v>0.1573741007194245</v>
      </c>
      <c r="V891" s="37" t="n">
        <v>0.04844337090713902</v>
      </c>
      <c r="W891" s="37" t="n">
        <v>0.64</v>
      </c>
    </row>
    <row r="892">
      <c r="A892" s="53" t="n">
        <v>45774</v>
      </c>
      <c r="B892" t="inlineStr">
        <is>
          <t>R10_Sumbagteng</t>
        </is>
      </c>
      <c r="C892" t="inlineStr">
        <is>
          <t>NOP BATAM</t>
        </is>
      </c>
      <c r="D892" s="36" t="n">
        <v>3.31</v>
      </c>
      <c r="E892" s="36" t="n">
        <v>10.08</v>
      </c>
      <c r="F892" s="36" t="n">
        <v>6.78</v>
      </c>
      <c r="G892" s="36" t="n">
        <v>9.93</v>
      </c>
      <c r="H892" s="37" t="n">
        <v>0.280305253889052</v>
      </c>
      <c r="I892" s="37" t="n">
        <v>0.313915857605178</v>
      </c>
      <c r="J892" s="37" t="n">
        <v>0.2728576550735031</v>
      </c>
      <c r="K892" s="37" t="n">
        <v>0.6030927835051546</v>
      </c>
      <c r="L892" s="37" t="n">
        <v>0.6190476190476191</v>
      </c>
      <c r="M892" s="37" t="n">
        <v>0.9935427061931318</v>
      </c>
      <c r="N892" s="37" t="n">
        <v>0.1775755796888759</v>
      </c>
      <c r="O892" s="36" t="n">
        <v>0.65</v>
      </c>
      <c r="P892" s="36" t="n">
        <v>5.42</v>
      </c>
      <c r="Q892" s="36" t="n">
        <v>33.1</v>
      </c>
      <c r="R892" s="36" t="n">
        <v>22</v>
      </c>
      <c r="S892" s="36" t="n">
        <v>0</v>
      </c>
      <c r="T892" s="37" t="n">
        <v>0.07815491731940818</v>
      </c>
      <c r="U892" s="37" t="n">
        <v>0.2358783364369957</v>
      </c>
      <c r="V892" s="37" t="n">
        <v>0.05173650240754021</v>
      </c>
      <c r="W892" s="37" t="n">
        <v>0.8105263157894737</v>
      </c>
    </row>
    <row r="893">
      <c r="A893" s="53" t="n">
        <v>45774</v>
      </c>
      <c r="B893" t="inlineStr">
        <is>
          <t>R10_Sumbagteng</t>
        </is>
      </c>
      <c r="C893" t="inlineStr">
        <is>
          <t>NOP BUKITTINGGI</t>
        </is>
      </c>
      <c r="D893" s="36" t="n">
        <v>2.57</v>
      </c>
      <c r="E893" s="36" t="n">
        <v>4.29</v>
      </c>
      <c r="F893" s="36" t="n">
        <v>4.93</v>
      </c>
      <c r="G893" s="36" t="n">
        <v>6.18</v>
      </c>
      <c r="H893" s="37" t="n">
        <v>0.7563162184189079</v>
      </c>
      <c r="I893" s="37" t="n">
        <v>0.835016835016835</v>
      </c>
      <c r="J893" s="37" t="n">
        <v>0.7311827956989247</v>
      </c>
      <c r="K893" s="37" t="n">
        <v>0.6451612903225806</v>
      </c>
      <c r="L893" s="37" t="n">
        <v>0.6611570247933884</v>
      </c>
      <c r="M893" s="37" t="n">
        <v>0.9918500407497962</v>
      </c>
      <c r="N893" s="37" t="n">
        <v>0.4678076609616952</v>
      </c>
      <c r="O893" s="36" t="n">
        <v>0.06</v>
      </c>
      <c r="P893" s="36" t="n">
        <v>3.02</v>
      </c>
      <c r="Q893" s="36" t="n">
        <v>13.03</v>
      </c>
      <c r="R893" s="36" t="n">
        <v>96.26000000000001</v>
      </c>
      <c r="S893" s="36" t="n">
        <v>0</v>
      </c>
      <c r="T893" s="37" t="n">
        <v>0.2915171522893641</v>
      </c>
      <c r="U893" s="37" t="n">
        <v>0.7984934086629002</v>
      </c>
      <c r="V893" s="37" t="n">
        <v>0.2501963247997487</v>
      </c>
      <c r="W893" s="37" t="n">
        <v>0.5754716981132075</v>
      </c>
    </row>
    <row r="894">
      <c r="A894" s="53" t="n">
        <v>45774</v>
      </c>
      <c r="B894" t="inlineStr">
        <is>
          <t>R10_Sumbagteng</t>
        </is>
      </c>
      <c r="C894" t="inlineStr">
        <is>
          <t>NOP DUMAI</t>
        </is>
      </c>
      <c r="D894" s="36" t="n">
        <v>5.42</v>
      </c>
      <c r="E894" s="36" t="n">
        <v>5.84</v>
      </c>
      <c r="F894" s="36" t="n">
        <v>5.55</v>
      </c>
      <c r="G894" s="36" t="n">
        <v>7.48</v>
      </c>
      <c r="H894" s="37" t="n">
        <v>0.4126844307421273</v>
      </c>
      <c r="I894" s="37" t="n">
        <v>0.5036378334680679</v>
      </c>
      <c r="J894" s="37" t="n">
        <v>0.3786319612590799</v>
      </c>
      <c r="K894" s="37" t="n">
        <v>0.7335473515248796</v>
      </c>
      <c r="L894" s="37" t="n">
        <v>0.7420435510887772</v>
      </c>
      <c r="M894" s="37" t="n">
        <v>0.9786390662849592</v>
      </c>
      <c r="N894" s="37" t="n">
        <v>0.2477427879321735</v>
      </c>
      <c r="O894" s="36" t="n">
        <v>0.24</v>
      </c>
      <c r="P894" s="36" t="n">
        <v>4.82</v>
      </c>
      <c r="Q894" s="36" t="n">
        <v>57.3</v>
      </c>
      <c r="R894" s="36" t="n">
        <v>132.12</v>
      </c>
      <c r="S894" s="36" t="n">
        <v>0</v>
      </c>
      <c r="T894" s="37" t="n">
        <v>0.2951279748540638</v>
      </c>
      <c r="U894" s="37" t="n">
        <v>0.3396023643202579</v>
      </c>
      <c r="V894" s="37" t="n">
        <v>0.2951015531660693</v>
      </c>
      <c r="W894" s="37" t="n">
        <v>0.935126582278481</v>
      </c>
    </row>
    <row r="895">
      <c r="A895" s="53" t="n">
        <v>45774</v>
      </c>
      <c r="B895" t="inlineStr">
        <is>
          <t>R10_Sumbagteng</t>
        </is>
      </c>
      <c r="C895" t="inlineStr">
        <is>
          <t>NOP PADANG</t>
        </is>
      </c>
      <c r="D895" s="36" t="n">
        <v>3.66</v>
      </c>
      <c r="E895" s="36" t="n">
        <v>2.55</v>
      </c>
      <c r="F895" s="36" t="n">
        <v>6.55</v>
      </c>
      <c r="G895" s="36" t="n">
        <v>6.74</v>
      </c>
      <c r="H895" s="37" t="n">
        <v>0.7505387931034483</v>
      </c>
      <c r="I895" s="37" t="n">
        <v>0.7098214285714286</v>
      </c>
      <c r="J895" s="37" t="n">
        <v>0.7561274509803921</v>
      </c>
      <c r="K895" s="37" t="n">
        <v>0.4842767295597484</v>
      </c>
      <c r="L895" s="37" t="n">
        <v>0.4842767295597484</v>
      </c>
      <c r="M895" s="37" t="n">
        <v>0.984375</v>
      </c>
      <c r="N895" s="37" t="n">
        <v>0.2860991379310345</v>
      </c>
      <c r="O895" s="36" t="n">
        <v>0.06</v>
      </c>
      <c r="P895" s="36" t="n">
        <v>4.73</v>
      </c>
      <c r="Q895" s="36" t="n">
        <v>33.23</v>
      </c>
      <c r="R895" s="36" t="n">
        <v>59.6</v>
      </c>
      <c r="S895" s="36" t="n">
        <v>0</v>
      </c>
      <c r="T895" s="37" t="n">
        <v>0.7639344262295082</v>
      </c>
      <c r="U895" s="37" t="n">
        <v>0.6794462193823216</v>
      </c>
      <c r="V895" s="37" t="n">
        <v>0.7765712825753704</v>
      </c>
      <c r="W895" s="37" t="n">
        <v>0.5203761755485894</v>
      </c>
    </row>
    <row r="896">
      <c r="A896" s="53" t="n">
        <v>45774</v>
      </c>
      <c r="B896" t="inlineStr">
        <is>
          <t>R10_Sumbagteng</t>
        </is>
      </c>
      <c r="C896" t="inlineStr">
        <is>
          <t>NOP PEKANBARU</t>
        </is>
      </c>
      <c r="D896" s="36" t="n">
        <v>5.68</v>
      </c>
      <c r="E896" s="36" t="n">
        <v>5.94</v>
      </c>
      <c r="F896" s="36" t="n">
        <v>5.57</v>
      </c>
      <c r="G896" s="36" t="n">
        <v>6.64</v>
      </c>
      <c r="H896" s="37" t="n">
        <v>0.4086956521739131</v>
      </c>
      <c r="I896" s="37" t="n">
        <v>0.5145018915510718</v>
      </c>
      <c r="J896" s="37" t="n">
        <v>0.3866561597058051</v>
      </c>
      <c r="K896" s="37" t="n">
        <v>0.7401960784313726</v>
      </c>
      <c r="L896" s="37" t="n">
        <v>0.745049504950495</v>
      </c>
      <c r="M896" s="37" t="n">
        <v>0.9893478260869565</v>
      </c>
      <c r="N896" s="37" t="n">
        <v>0.2265217391304348</v>
      </c>
      <c r="O896" s="36" t="n">
        <v>0.02</v>
      </c>
      <c r="P896" s="36" t="n">
        <v>3.44</v>
      </c>
      <c r="Q896" s="36" t="n">
        <v>48.66</v>
      </c>
      <c r="R896" s="36" t="n">
        <v>100.24</v>
      </c>
      <c r="S896" s="36" t="n">
        <v>0</v>
      </c>
      <c r="T896" s="37" t="n">
        <v>0.2988298829882988</v>
      </c>
      <c r="U896" s="37" t="n">
        <v>0.3105102485826428</v>
      </c>
      <c r="V896" s="37" t="n">
        <v>0.3050253213868329</v>
      </c>
      <c r="W896" s="37" t="n">
        <v>0.8455056179775281</v>
      </c>
    </row>
    <row r="897">
      <c r="A897" s="53" t="n">
        <v>45774</v>
      </c>
      <c r="B897" t="inlineStr">
        <is>
          <t>R02_Sumbagsel</t>
        </is>
      </c>
      <c r="C897" t="inlineStr">
        <is>
          <t>NOP BENGKULU</t>
        </is>
      </c>
      <c r="D897" s="36" t="n">
        <v>2.28</v>
      </c>
      <c r="E897" s="36" t="n">
        <v>5.2</v>
      </c>
      <c r="F897" s="36" t="n">
        <v>4.87</v>
      </c>
      <c r="G897" s="36" t="n">
        <v>6.57</v>
      </c>
      <c r="H897" s="37" t="n">
        <v>0.3542763157894737</v>
      </c>
      <c r="I897" s="37" t="n">
        <v>0.4278903456495828</v>
      </c>
      <c r="J897" s="37" t="n">
        <v>0.3262153566560654</v>
      </c>
      <c r="K897" s="37" t="n">
        <v>0.6100278551532033</v>
      </c>
      <c r="L897" s="37" t="n">
        <v>0.6479289940828402</v>
      </c>
      <c r="M897" s="37" t="n">
        <v>0.9907894736842106</v>
      </c>
      <c r="N897" s="37" t="n">
        <v>0.1835526315789474</v>
      </c>
      <c r="O897" s="36" t="n">
        <v>0</v>
      </c>
      <c r="P897" s="36" t="n">
        <v>6.4</v>
      </c>
      <c r="Q897" s="36" t="n">
        <v>7.11</v>
      </c>
      <c r="R897" s="36" t="n">
        <v>12</v>
      </c>
      <c r="S897" s="36" t="n">
        <v>0</v>
      </c>
      <c r="T897" s="37" t="n">
        <v>0.450202131569276</v>
      </c>
      <c r="U897" s="37" t="n">
        <v>0.3844241922120961</v>
      </c>
      <c r="V897" s="37" t="n">
        <v>0.6082621082621082</v>
      </c>
      <c r="W897" s="37" t="n">
        <v>0.875</v>
      </c>
    </row>
    <row r="898">
      <c r="A898" s="53" t="n">
        <v>45774</v>
      </c>
      <c r="B898" t="inlineStr">
        <is>
          <t>R02_Sumbagsel</t>
        </is>
      </c>
      <c r="C898" t="inlineStr">
        <is>
          <t>NOP JAMBI</t>
        </is>
      </c>
      <c r="D898" s="36" t="n">
        <v>3.65</v>
      </c>
      <c r="E898" s="36" t="n">
        <v>6.25</v>
      </c>
      <c r="F898" s="36" t="n">
        <v>5.9</v>
      </c>
      <c r="G898" s="36" t="n">
        <v>8.380000000000001</v>
      </c>
      <c r="H898" s="37" t="n">
        <v>0.5407947331295556</v>
      </c>
      <c r="I898" s="37" t="n">
        <v>0.5865011636927852</v>
      </c>
      <c r="J898" s="37" t="n">
        <v>0.5209176788124157</v>
      </c>
      <c r="K898" s="37" t="n">
        <v>0.6428571428571429</v>
      </c>
      <c r="L898" s="37" t="n">
        <v>0.6598639455782312</v>
      </c>
      <c r="M898" s="37" t="n">
        <v>0.9964730778274159</v>
      </c>
      <c r="N898" s="37" t="n">
        <v>0.2790971079238185</v>
      </c>
      <c r="O898" s="36" t="n">
        <v>0</v>
      </c>
      <c r="P898" s="36" t="n">
        <v>7.94</v>
      </c>
      <c r="Q898" s="36" t="n">
        <v>19.15</v>
      </c>
      <c r="R898" s="36" t="n">
        <v>18</v>
      </c>
      <c r="S898" s="36" t="n">
        <v>0</v>
      </c>
      <c r="T898" s="37" t="n">
        <v>0.6296053708858687</v>
      </c>
      <c r="U898" s="37" t="n">
        <v>0.6130834976988823</v>
      </c>
      <c r="V898" s="37" t="n">
        <v>0.6669316375198728</v>
      </c>
      <c r="W898" s="37" t="n">
        <v>0.7474530831099195</v>
      </c>
    </row>
    <row r="899">
      <c r="A899" s="53" t="n">
        <v>45774</v>
      </c>
      <c r="B899" t="inlineStr">
        <is>
          <t>R02_Sumbagsel</t>
        </is>
      </c>
      <c r="C899" t="inlineStr">
        <is>
          <t>NOP LAMPUNG</t>
        </is>
      </c>
      <c r="D899" s="36" t="n">
        <v>3.84</v>
      </c>
      <c r="E899" s="36" t="n">
        <v>4.63</v>
      </c>
      <c r="F899" s="36" t="n">
        <v>4.63</v>
      </c>
      <c r="G899" s="36" t="n">
        <v>5.08</v>
      </c>
      <c r="H899" s="37" t="n">
        <v>0.5302267002518891</v>
      </c>
      <c r="I899" s="37" t="n">
        <v>0.6897435897435897</v>
      </c>
      <c r="J899" s="37" t="n">
        <v>0.4782971619365609</v>
      </c>
      <c r="K899" s="37" t="n">
        <v>0.7211895910780669</v>
      </c>
      <c r="L899" s="37" t="n">
        <v>0.7191011235955056</v>
      </c>
      <c r="M899" s="37" t="n">
        <v>0.9981108312342569</v>
      </c>
      <c r="N899" s="37" t="n">
        <v>0.3463476070528967</v>
      </c>
      <c r="O899" s="36" t="n">
        <v>1.12</v>
      </c>
      <c r="P899" s="36" t="n">
        <v>5.7</v>
      </c>
      <c r="Q899" s="36" t="n">
        <v>5.87</v>
      </c>
      <c r="R899" s="36" t="n">
        <v>27.02</v>
      </c>
      <c r="S899" s="36" t="n">
        <v>0</v>
      </c>
      <c r="T899" s="37" t="n">
        <v>0.897818871503082</v>
      </c>
      <c r="U899" s="37" t="n">
        <v>0.7979127134724858</v>
      </c>
      <c r="V899" s="37" t="n">
        <v>0.9474564926372155</v>
      </c>
      <c r="W899" s="37" t="n">
        <v>0.8573127229488704</v>
      </c>
    </row>
    <row r="900">
      <c r="A900" s="53" t="n">
        <v>45774</v>
      </c>
      <c r="B900" t="inlineStr">
        <is>
          <t>R02_Sumbagsel</t>
        </is>
      </c>
      <c r="C900" t="inlineStr">
        <is>
          <t>NOP MUARA ENIM</t>
        </is>
      </c>
      <c r="D900" s="36" t="n">
        <v>3.09</v>
      </c>
      <c r="E900" s="36" t="n">
        <v>3.79</v>
      </c>
      <c r="F900" s="36" t="n">
        <v>5.33</v>
      </c>
      <c r="G900" s="36" t="n">
        <v>5.15</v>
      </c>
      <c r="H900" s="37" t="n">
        <v>0.3917574609189957</v>
      </c>
      <c r="I900" s="37" t="n">
        <v>0.3375314861460957</v>
      </c>
      <c r="J900" s="37" t="n">
        <v>0.4043173862310385</v>
      </c>
      <c r="K900" s="37" t="n">
        <v>0.5447761194029851</v>
      </c>
      <c r="L900" s="37" t="n">
        <v>0.5806451612903226</v>
      </c>
      <c r="M900" s="37" t="n">
        <v>0.9737091425864519</v>
      </c>
      <c r="N900" s="37" t="n">
        <v>0.1738512553292278</v>
      </c>
      <c r="O900" s="36" t="n">
        <v>0</v>
      </c>
      <c r="P900" s="36" t="n">
        <v>4.31</v>
      </c>
      <c r="Q900" s="36" t="n">
        <v>6.32</v>
      </c>
      <c r="R900" s="36" t="n">
        <v>8.74</v>
      </c>
      <c r="S900" s="36" t="n">
        <v>0</v>
      </c>
      <c r="T900" s="37" t="n">
        <v>0.4589700056593096</v>
      </c>
      <c r="U900" s="37" t="n">
        <v>0.4704154427192614</v>
      </c>
      <c r="V900" s="37" t="n">
        <v>0.5285087719298246</v>
      </c>
      <c r="W900" s="37" t="n">
        <v>0.7957181088314005</v>
      </c>
    </row>
    <row r="901">
      <c r="A901" s="53" t="n">
        <v>45774</v>
      </c>
      <c r="B901" t="inlineStr">
        <is>
          <t>R02_Sumbagsel</t>
        </is>
      </c>
      <c r="C901" t="inlineStr">
        <is>
          <t>NOP PALEMBANG</t>
        </is>
      </c>
      <c r="D901" s="36" t="n">
        <v>2.96</v>
      </c>
      <c r="E901" s="36" t="n">
        <v>4.71</v>
      </c>
      <c r="F901" s="36" t="n">
        <v>8.01</v>
      </c>
      <c r="G901" s="36" t="n">
        <v>8.56</v>
      </c>
      <c r="H901" s="37" t="n">
        <v>0.2813278008298755</v>
      </c>
      <c r="I901" s="37" t="n">
        <v>0.28125</v>
      </c>
      <c r="J901" s="37" t="n">
        <v>0.2813370473537605</v>
      </c>
      <c r="K901" s="37" t="n">
        <v>0.4791666666666667</v>
      </c>
      <c r="L901" s="37" t="n">
        <v>0.4791666666666667</v>
      </c>
      <c r="M901" s="37" t="n">
        <v>0.9995850622406639</v>
      </c>
      <c r="N901" s="37" t="n">
        <v>0.1215767634854772</v>
      </c>
      <c r="O901" s="36" t="n">
        <v>0</v>
      </c>
      <c r="P901" s="36" t="n">
        <v>5.79</v>
      </c>
      <c r="Q901" s="36" t="n">
        <v>12.99</v>
      </c>
      <c r="R901" s="36" t="n">
        <v>6</v>
      </c>
      <c r="S901" s="36" t="n">
        <v>0</v>
      </c>
      <c r="T901" s="37" t="n">
        <v>0.2971100219705932</v>
      </c>
      <c r="U901" s="37" t="n">
        <v>0.2383177570093458</v>
      </c>
      <c r="V901" s="37" t="n">
        <v>0.4204881656804734</v>
      </c>
      <c r="W901" s="37" t="n">
        <v>0.4624183006535948</v>
      </c>
    </row>
    <row r="902">
      <c r="A902" s="53" t="n">
        <v>45774</v>
      </c>
      <c r="B902" t="inlineStr">
        <is>
          <t>R02_Sumbagsel</t>
        </is>
      </c>
      <c r="C902" t="inlineStr">
        <is>
          <t>NOP PANGKAL PINANG</t>
        </is>
      </c>
      <c r="D902" s="36" t="n">
        <v>1.94</v>
      </c>
      <c r="E902" s="36" t="n">
        <v>3.42</v>
      </c>
      <c r="F902" s="36" t="n">
        <v>5.42</v>
      </c>
      <c r="G902" s="36" t="n">
        <v>6.45</v>
      </c>
      <c r="H902" s="37" t="n">
        <v>0.6481774960380349</v>
      </c>
      <c r="I902" s="37" t="n">
        <v>0.7428571428571429</v>
      </c>
      <c r="J902" s="37" t="n">
        <v>0.6426174496644296</v>
      </c>
      <c r="K902" s="37" t="n">
        <v>0.6153846153846154</v>
      </c>
      <c r="L902" s="37" t="n">
        <v>0.6153846153846154</v>
      </c>
      <c r="M902" s="37" t="n">
        <v>0.9984152139461173</v>
      </c>
      <c r="N902" s="37" t="n">
        <v>0.3518225039619651</v>
      </c>
      <c r="O902" s="36" t="n">
        <v>0</v>
      </c>
      <c r="P902" s="36" t="n">
        <v>5.74</v>
      </c>
      <c r="Q902" s="36" t="n">
        <v>6.35</v>
      </c>
      <c r="R902" s="36" t="n">
        <v>8.4</v>
      </c>
      <c r="S902" s="36" t="n">
        <v>0</v>
      </c>
      <c r="T902" s="37" t="n">
        <v>0.7928211586901763</v>
      </c>
      <c r="U902" s="37" t="n">
        <v>0.8424242424242424</v>
      </c>
      <c r="V902" s="37" t="n">
        <v>0.8404471544715447</v>
      </c>
      <c r="W902" s="37" t="n">
        <v>0.7146282973621103</v>
      </c>
    </row>
    <row r="903">
      <c r="A903" s="53" t="n">
        <v>45774</v>
      </c>
      <c r="B903" t="inlineStr">
        <is>
          <t>R05_Jawa Tengah DIY</t>
        </is>
      </c>
      <c r="C903" t="inlineStr">
        <is>
          <t>NOP MAGELANG</t>
        </is>
      </c>
      <c r="D903" s="36" t="n">
        <v>3.82</v>
      </c>
      <c r="E903" s="36" t="n">
        <v>0</v>
      </c>
      <c r="F903" s="36" t="n">
        <v>4.72</v>
      </c>
      <c r="G903" s="36" t="n">
        <v>7.47</v>
      </c>
      <c r="H903" s="37" t="n">
        <v>0.7893700787401575</v>
      </c>
      <c r="I903" s="37" t="n">
        <v>0.9649122807017544</v>
      </c>
      <c r="J903" s="37" t="n">
        <v>0.7671840354767184</v>
      </c>
      <c r="K903" s="37" t="n">
        <v>0.8</v>
      </c>
      <c r="L903" s="37" t="n">
        <v>0.8</v>
      </c>
      <c r="M903" s="37" t="n">
        <v>0.9980314960629921</v>
      </c>
      <c r="N903" s="37" t="n">
        <v>0.702755905511811</v>
      </c>
      <c r="O903" s="36" t="n">
        <v>0.17</v>
      </c>
      <c r="P903" s="36" t="n">
        <v>3.26</v>
      </c>
      <c r="Q903" s="36" t="n">
        <v>8.199999999999999</v>
      </c>
      <c r="R903" s="36" t="n">
        <v>17.44</v>
      </c>
      <c r="S903" s="36" t="n">
        <v>0</v>
      </c>
      <c r="T903" s="37" t="n">
        <v>0.9488636363636364</v>
      </c>
      <c r="U903" s="37" t="n">
        <v>0.9509803921568627</v>
      </c>
      <c r="V903" s="37" t="n">
        <v>0.9483568075117371</v>
      </c>
      <c r="W903" s="37" t="n">
        <v>0.8814432989690721</v>
      </c>
    </row>
    <row r="904">
      <c r="A904" s="53" t="n">
        <v>45774</v>
      </c>
      <c r="B904" t="inlineStr">
        <is>
          <t>R05_Jawa Tengah DIY</t>
        </is>
      </c>
      <c r="C904" t="inlineStr">
        <is>
          <t>NOP PEKALONGAN</t>
        </is>
      </c>
      <c r="D904" s="36" t="n">
        <v>3.02</v>
      </c>
      <c r="E904" s="36" t="n">
        <v>0</v>
      </c>
      <c r="F904" s="36" t="n">
        <v>3.42</v>
      </c>
      <c r="G904" s="36" t="n">
        <v>3.4</v>
      </c>
      <c r="H904" s="37" t="n">
        <v>0.6556603773584906</v>
      </c>
      <c r="I904" s="37" t="n">
        <v>0.7567567567567568</v>
      </c>
      <c r="J904" s="37" t="n">
        <v>0.6459948320413437</v>
      </c>
      <c r="K904" s="37" t="n">
        <v>1</v>
      </c>
      <c r="L904" s="37" t="n">
        <v>1</v>
      </c>
      <c r="M904" s="37" t="n">
        <v>0.9716981132075472</v>
      </c>
      <c r="N904" s="37" t="n">
        <v>0.5542452830188679</v>
      </c>
      <c r="O904" s="36" t="n">
        <v>0.01</v>
      </c>
      <c r="P904" s="36" t="n">
        <v>3.42</v>
      </c>
      <c r="Q904" s="36" t="n">
        <v>5.94</v>
      </c>
      <c r="R904" s="36" t="n">
        <v>50.27</v>
      </c>
      <c r="S904" s="36" t="n">
        <v>0</v>
      </c>
      <c r="T904" s="37" t="n">
        <v>0.813953488372093</v>
      </c>
      <c r="U904" s="37" t="n">
        <v>0.7894736842105263</v>
      </c>
      <c r="V904" s="37" t="n">
        <v>0.821917808219178</v>
      </c>
      <c r="W904" s="37" t="n">
        <v>0.6466666666666666</v>
      </c>
    </row>
    <row r="905">
      <c r="A905" s="53" t="n">
        <v>45774</v>
      </c>
      <c r="B905" t="inlineStr">
        <is>
          <t>R05_Jawa Tengah DIY</t>
        </is>
      </c>
      <c r="C905" t="inlineStr">
        <is>
          <t>NOP PURWOKERTO</t>
        </is>
      </c>
      <c r="D905" s="36" t="n">
        <v>3.33</v>
      </c>
      <c r="E905" s="36" t="n">
        <v>0</v>
      </c>
      <c r="F905" s="36" t="n">
        <v>3.8</v>
      </c>
      <c r="G905" s="36" t="n">
        <v>4.9</v>
      </c>
      <c r="H905" s="37" t="n">
        <v>0.7870182555780934</v>
      </c>
      <c r="I905" s="37" t="n">
        <v>0.8043478260869565</v>
      </c>
      <c r="J905" s="37" t="n">
        <v>0.785234899328859</v>
      </c>
      <c r="K905" s="37" t="n">
        <v>1</v>
      </c>
      <c r="L905" s="37" t="n">
        <v>1</v>
      </c>
      <c r="M905" s="37" t="n">
        <v>0.9756592292089249</v>
      </c>
      <c r="N905" s="37" t="n">
        <v>0.5233265720081136</v>
      </c>
      <c r="O905" s="36" t="n">
        <v>0.59</v>
      </c>
      <c r="P905" s="36" t="n">
        <v>3.79</v>
      </c>
      <c r="Q905" s="36" t="n">
        <v>8.720000000000001</v>
      </c>
      <c r="R905" s="36" t="n">
        <v>40.58</v>
      </c>
      <c r="S905" s="36" t="n">
        <v>0</v>
      </c>
      <c r="T905" s="37" t="n">
        <v>0.8091286307053942</v>
      </c>
      <c r="U905" s="37" t="n">
        <v>0.8068965517241379</v>
      </c>
      <c r="V905" s="37" t="n">
        <v>0.8096885813148789</v>
      </c>
      <c r="W905" s="37" t="n">
        <v>0.7606837606837606</v>
      </c>
    </row>
    <row r="906">
      <c r="A906" s="53" t="n">
        <v>45774</v>
      </c>
      <c r="B906" t="inlineStr">
        <is>
          <t>R05_Jawa Tengah DIY</t>
        </is>
      </c>
      <c r="C906" t="inlineStr">
        <is>
          <t>NOP SEMARANG</t>
        </is>
      </c>
      <c r="D906" s="36" t="n">
        <v>2.45</v>
      </c>
      <c r="E906" s="36" t="n">
        <v>1.69</v>
      </c>
      <c r="F906" s="36" t="n">
        <v>3.14</v>
      </c>
      <c r="G906" s="36" t="n">
        <v>4.28</v>
      </c>
      <c r="H906" s="37" t="n">
        <v>0.4214463840399003</v>
      </c>
      <c r="I906" s="37" t="n">
        <v>0.4878048780487805</v>
      </c>
      <c r="J906" s="37" t="n">
        <v>0.4138888888888889</v>
      </c>
      <c r="K906" s="37" t="n">
        <v>1</v>
      </c>
      <c r="L906" s="37" t="n">
        <v>1</v>
      </c>
      <c r="M906" s="37" t="n">
        <v>0.9501246882793017</v>
      </c>
      <c r="N906" s="37" t="n">
        <v>0.2556109725685786</v>
      </c>
      <c r="O906" s="36" t="n">
        <v>0.6</v>
      </c>
      <c r="P906" s="36" t="n">
        <v>5.93</v>
      </c>
      <c r="Q906" s="36" t="n">
        <v>9.43</v>
      </c>
      <c r="R906" s="36" t="n">
        <v>68.94</v>
      </c>
      <c r="S906" s="36" t="n">
        <v>0</v>
      </c>
      <c r="T906" s="37" t="n">
        <v>0.7576020851433536</v>
      </c>
      <c r="U906" s="37" t="n">
        <v>0.5203761755485894</v>
      </c>
      <c r="V906" s="37" t="n">
        <v>0.8485576923076923</v>
      </c>
      <c r="W906" s="37" t="n">
        <v>0.8433734939759037</v>
      </c>
    </row>
    <row r="907">
      <c r="A907" s="53" t="n">
        <v>45774</v>
      </c>
      <c r="B907" t="inlineStr">
        <is>
          <t>R05_Jawa Tengah DIY</t>
        </is>
      </c>
      <c r="C907" t="inlineStr">
        <is>
          <t>NOP SURAKARTA</t>
        </is>
      </c>
      <c r="D907" s="36" t="n">
        <v>3.59</v>
      </c>
      <c r="E907" s="36" t="n">
        <v>2.15</v>
      </c>
      <c r="F907" s="36" t="n">
        <v>4.18</v>
      </c>
      <c r="G907" s="36" t="n">
        <v>4.49</v>
      </c>
      <c r="H907" s="37" t="n">
        <v>0.7272727272727273</v>
      </c>
      <c r="I907" s="37" t="n">
        <v>0.865979381443299</v>
      </c>
      <c r="J907" s="37" t="n">
        <v>0.7093333333333334</v>
      </c>
      <c r="K907" s="37" t="n">
        <v>0.9404761904761905</v>
      </c>
      <c r="L907" s="37" t="n">
        <v>0.9404761904761905</v>
      </c>
      <c r="M907" s="37" t="n">
        <v>0.9716646989374262</v>
      </c>
      <c r="N907" s="37" t="n">
        <v>0.51357733175915</v>
      </c>
      <c r="O907" s="36" t="n">
        <v>0.14</v>
      </c>
      <c r="P907" s="36" t="n">
        <v>3.76</v>
      </c>
      <c r="Q907" s="36" t="n">
        <v>7.66</v>
      </c>
      <c r="R907" s="36" t="n">
        <v>53.92</v>
      </c>
      <c r="S907" s="36" t="n">
        <v>0</v>
      </c>
      <c r="T907" s="37" t="n">
        <v>0.8119180633147114</v>
      </c>
      <c r="U907" s="37" t="n">
        <v>0.7188612099644128</v>
      </c>
      <c r="V907" s="37" t="n">
        <v>0.8448928121059268</v>
      </c>
      <c r="W907" s="37" t="n">
        <v>0.7673267326732673</v>
      </c>
    </row>
    <row r="908">
      <c r="A908" s="53" t="n">
        <v>45774</v>
      </c>
      <c r="B908" t="inlineStr">
        <is>
          <t>R05_Jawa Tengah DIY</t>
        </is>
      </c>
      <c r="C908" t="inlineStr">
        <is>
          <t>NOP YOGYAKARTA</t>
        </is>
      </c>
      <c r="D908" s="36" t="n">
        <v>3.25</v>
      </c>
      <c r="E908" s="36" t="n">
        <v>0</v>
      </c>
      <c r="F908" s="36" t="n">
        <v>3.42</v>
      </c>
      <c r="G908" s="36" t="n">
        <v>3.44</v>
      </c>
      <c r="H908" s="37" t="n">
        <v>0.5862068965517241</v>
      </c>
      <c r="I908" s="37" t="n">
        <v>0.8775510204081632</v>
      </c>
      <c r="J908" s="37" t="n">
        <v>0.5577689243027888</v>
      </c>
      <c r="K908" s="37" t="n">
        <v>0.9534883720930233</v>
      </c>
      <c r="L908" s="37" t="n">
        <v>0.9512195121951219</v>
      </c>
      <c r="M908" s="37" t="n">
        <v>0.9872958257713249</v>
      </c>
      <c r="N908" s="37" t="n">
        <v>0.4228675136116152</v>
      </c>
      <c r="O908" s="36" t="n">
        <v>0</v>
      </c>
      <c r="P908" s="36" t="n">
        <v>3.1</v>
      </c>
      <c r="Q908" s="36" t="n">
        <v>15.39</v>
      </c>
      <c r="R908" s="36" t="n">
        <v>42.44</v>
      </c>
      <c r="S908" s="36" t="n">
        <v>0</v>
      </c>
      <c r="T908" s="37" t="n">
        <v>0.9364161849710982</v>
      </c>
      <c r="U908" s="37" t="n">
        <v>0.8370786516853933</v>
      </c>
      <c r="V908" s="37" t="n">
        <v>0.9569767441860465</v>
      </c>
      <c r="W908" s="37" t="n">
        <v>0.9798657718120806</v>
      </c>
    </row>
    <row r="909">
      <c r="A909" s="53" t="n">
        <v>45774</v>
      </c>
      <c r="B909" t="inlineStr">
        <is>
          <t>R06_Jawa Timur</t>
        </is>
      </c>
      <c r="C909" t="inlineStr">
        <is>
          <t>NOP JEMBER</t>
        </is>
      </c>
      <c r="D909" s="36" t="n">
        <v>2.16</v>
      </c>
      <c r="E909" s="36" t="n">
        <v>2.29</v>
      </c>
      <c r="F909" s="36" t="n">
        <v>3.84</v>
      </c>
      <c r="G909" s="36" t="n">
        <v>3.37</v>
      </c>
      <c r="H909" s="37" t="n">
        <v>0.6944971537001897</v>
      </c>
      <c r="I909" s="37" t="n">
        <v>0.6666666666666666</v>
      </c>
      <c r="J909" s="37" t="n">
        <v>0.6969072164948453</v>
      </c>
      <c r="K909" s="37" t="n">
        <v>0.8214285714285714</v>
      </c>
      <c r="L909" s="37" t="n">
        <v>0.8214285714285714</v>
      </c>
      <c r="M909" s="37" t="n">
        <v>0.9810246679316889</v>
      </c>
      <c r="N909" s="37" t="n">
        <v>0.396584440227704</v>
      </c>
      <c r="O909" s="36" t="n">
        <v>0</v>
      </c>
      <c r="P909" s="36" t="n">
        <v>3.06</v>
      </c>
      <c r="Q909" s="36" t="n">
        <v>4.76</v>
      </c>
      <c r="R909" s="36" t="n">
        <v>114.34</v>
      </c>
      <c r="S909" s="36" t="n">
        <v>0</v>
      </c>
      <c r="T909" s="37" t="n">
        <v>0.8025568181818182</v>
      </c>
      <c r="U909" s="37" t="n">
        <v>0.7923497267759563</v>
      </c>
      <c r="V909" s="37" t="n">
        <v>0.8061420345489443</v>
      </c>
      <c r="W909" s="37" t="n">
        <v>0.7862068965517242</v>
      </c>
    </row>
    <row r="910">
      <c r="A910" s="53" t="n">
        <v>45774</v>
      </c>
      <c r="B910" t="inlineStr">
        <is>
          <t>R06_Jawa Timur</t>
        </is>
      </c>
      <c r="C910" t="inlineStr">
        <is>
          <t>NOP KEDIRI</t>
        </is>
      </c>
      <c r="D910" s="36" t="n">
        <v>1.21</v>
      </c>
      <c r="E910" s="36" t="n">
        <v>1.25</v>
      </c>
      <c r="F910" s="36" t="n">
        <v>3.18</v>
      </c>
      <c r="G910" s="36" t="n">
        <v>2.01</v>
      </c>
      <c r="H910" s="37" t="n">
        <v>0.8818565400843882</v>
      </c>
      <c r="I910" s="37" t="n">
        <v>0.9090909090909091</v>
      </c>
      <c r="J910" s="37" t="n">
        <v>0.8805309734513275</v>
      </c>
      <c r="K910" s="37" t="n">
        <v>0.8</v>
      </c>
      <c r="L910" s="37" t="n">
        <v>0.8</v>
      </c>
      <c r="M910" s="37" t="n">
        <v>1</v>
      </c>
      <c r="N910" s="37" t="n">
        <v>0.6582278481012658</v>
      </c>
      <c r="O910" s="36" t="n">
        <v>0</v>
      </c>
      <c r="P910" s="36" t="n">
        <v>1.99</v>
      </c>
      <c r="Q910" s="36" t="n">
        <v>3.53</v>
      </c>
      <c r="R910" s="36" t="n">
        <v>14.4</v>
      </c>
      <c r="S910" s="36" t="n">
        <v>0</v>
      </c>
      <c r="T910" s="37" t="n">
        <v>0.9543010752688172</v>
      </c>
      <c r="U910" s="37" t="n">
        <v>0.9318181818181818</v>
      </c>
      <c r="V910" s="37" t="n">
        <v>0.9612676056338029</v>
      </c>
      <c r="W910" s="37" t="n">
        <v>0.9146341463414634</v>
      </c>
    </row>
    <row r="911">
      <c r="A911" s="53" t="n">
        <v>45774</v>
      </c>
      <c r="B911" t="inlineStr">
        <is>
          <t>R06_Jawa Timur</t>
        </is>
      </c>
      <c r="C911" t="inlineStr">
        <is>
          <t>NOP LAMONGAN</t>
        </is>
      </c>
      <c r="D911" s="36" t="n">
        <v>1.81</v>
      </c>
      <c r="E911" s="36" t="n">
        <v>1.55</v>
      </c>
      <c r="F911" s="36" t="n">
        <v>3.75</v>
      </c>
      <c r="G911" s="36" t="n">
        <v>3.72</v>
      </c>
      <c r="H911" s="37" t="n">
        <v>0.845360824742268</v>
      </c>
      <c r="I911" s="37" t="n">
        <v>0.9375</v>
      </c>
      <c r="J911" s="37" t="n">
        <v>0.833976833976834</v>
      </c>
      <c r="K911" s="37" t="n">
        <v>0.9666666666666667</v>
      </c>
      <c r="L911" s="37" t="n">
        <v>0.9666666666666667</v>
      </c>
      <c r="M911" s="37" t="n">
        <v>1</v>
      </c>
      <c r="N911" s="37" t="n">
        <v>0.7457044673539519</v>
      </c>
      <c r="O911" s="36" t="n">
        <v>0</v>
      </c>
      <c r="P911" s="36" t="n">
        <v>2.38</v>
      </c>
      <c r="Q911" s="36" t="n">
        <v>10.68</v>
      </c>
      <c r="R911" s="36" t="n">
        <v>37.09</v>
      </c>
      <c r="S911" s="36" t="n">
        <v>0</v>
      </c>
      <c r="T911" s="37" t="n">
        <v>0.783625730994152</v>
      </c>
      <c r="U911" s="37" t="n">
        <v>0.6912751677852349</v>
      </c>
      <c r="V911" s="37" t="n">
        <v>0.8549222797927462</v>
      </c>
      <c r="W911" s="37" t="n">
        <v>0.9029126213592233</v>
      </c>
    </row>
    <row r="912">
      <c r="A912" s="53" t="n">
        <v>45774</v>
      </c>
      <c r="B912" t="inlineStr">
        <is>
          <t>R06_Jawa Timur</t>
        </is>
      </c>
      <c r="C912" t="inlineStr">
        <is>
          <t>NOP MADIUN</t>
        </is>
      </c>
      <c r="D912" s="36" t="n">
        <v>0.63</v>
      </c>
      <c r="E912" s="36" t="n">
        <v>0</v>
      </c>
      <c r="F912" s="36" t="n">
        <v>4.46</v>
      </c>
      <c r="G912" s="36" t="n">
        <v>3.3</v>
      </c>
      <c r="H912" s="37" t="n">
        <v>0.5885714285714285</v>
      </c>
      <c r="I912" s="37" t="n">
        <v>1</v>
      </c>
      <c r="J912" s="37" t="n">
        <v>0.5826086956521739</v>
      </c>
      <c r="K912" s="37" t="n">
        <v>0.8</v>
      </c>
      <c r="L912" s="37" t="n">
        <v>0.8</v>
      </c>
      <c r="M912" s="37" t="n">
        <v>0.98</v>
      </c>
      <c r="N912" s="37" t="n">
        <v>0.3428571428571429</v>
      </c>
      <c r="O912" s="36" t="n">
        <v>0</v>
      </c>
      <c r="P912" s="36" t="n">
        <v>2.8</v>
      </c>
      <c r="Q912" s="36" t="n">
        <v>6.49</v>
      </c>
      <c r="R912" s="36" t="n">
        <v>59.33</v>
      </c>
      <c r="S912" s="36" t="n">
        <v>0</v>
      </c>
      <c r="T912" s="37" t="n">
        <v>0.7312859884836852</v>
      </c>
      <c r="U912" s="37" t="n">
        <v>0.7486631016042781</v>
      </c>
      <c r="V912" s="37" t="n">
        <v>0.7215568862275449</v>
      </c>
      <c r="W912" s="37" t="n">
        <v>0.8285714285714286</v>
      </c>
    </row>
    <row r="913">
      <c r="A913" s="53" t="n">
        <v>45774</v>
      </c>
      <c r="B913" t="inlineStr">
        <is>
          <t>R06_Jawa Timur</t>
        </is>
      </c>
      <c r="C913" t="inlineStr">
        <is>
          <t>NOP MALANG</t>
        </is>
      </c>
      <c r="D913" s="36" t="n">
        <v>1.3</v>
      </c>
      <c r="E913" s="36" t="n">
        <v>0</v>
      </c>
      <c r="F913" s="36" t="n">
        <v>2.91</v>
      </c>
      <c r="G913" s="36" t="n">
        <v>2.7</v>
      </c>
      <c r="H913" s="37" t="n">
        <v>0.7873417721518987</v>
      </c>
      <c r="I913" s="37" t="n">
        <v>0.7777777777777778</v>
      </c>
      <c r="J913" s="37" t="n">
        <v>0.7875647668393783</v>
      </c>
      <c r="K913" s="37" t="n">
        <v>1</v>
      </c>
      <c r="L913" s="37" t="n">
        <v>1</v>
      </c>
      <c r="M913" s="37" t="n">
        <v>0.9974683544303797</v>
      </c>
      <c r="N913" s="37" t="n">
        <v>0.7316455696202532</v>
      </c>
      <c r="O913" s="36" t="n">
        <v>0.02</v>
      </c>
      <c r="P913" s="36" t="n">
        <v>2.94</v>
      </c>
      <c r="Q913" s="36" t="n">
        <v>4.49</v>
      </c>
      <c r="R913" s="36" t="n">
        <v>39.99</v>
      </c>
      <c r="S913" s="36" t="n">
        <v>0</v>
      </c>
      <c r="T913" s="37" t="n">
        <v>0.8184615384615385</v>
      </c>
      <c r="U913" s="37" t="n">
        <v>0.7196969696969697</v>
      </c>
      <c r="V913" s="37" t="n">
        <v>0.8860103626943006</v>
      </c>
      <c r="W913" s="37" t="n">
        <v>0.6105263157894737</v>
      </c>
    </row>
    <row r="914">
      <c r="A914" s="53" t="n">
        <v>45774</v>
      </c>
      <c r="B914" t="inlineStr">
        <is>
          <t>R06_Jawa Timur</t>
        </is>
      </c>
      <c r="C914" t="inlineStr">
        <is>
          <t>NOP SIDOARJO</t>
        </is>
      </c>
      <c r="D914" s="36" t="n">
        <v>2.79</v>
      </c>
      <c r="E914" s="36" t="n">
        <v>5.94</v>
      </c>
      <c r="F914" s="36" t="n">
        <v>3.23</v>
      </c>
      <c r="G914" s="36" t="n">
        <v>5.06</v>
      </c>
      <c r="H914" s="37" t="n">
        <v>0.6135770234986945</v>
      </c>
      <c r="I914" s="37" t="n">
        <v>0.9</v>
      </c>
      <c r="J914" s="37" t="n">
        <v>0.5801749271137027</v>
      </c>
      <c r="K914" s="37" t="n">
        <v>0.8333333333333334</v>
      </c>
      <c r="L914" s="37" t="n">
        <v>0.8333333333333334</v>
      </c>
      <c r="M914" s="37" t="n">
        <v>0.97911227154047</v>
      </c>
      <c r="N914" s="37" t="n">
        <v>0.4360313315926893</v>
      </c>
      <c r="O914" s="36" t="n">
        <v>0.01</v>
      </c>
      <c r="P914" s="36" t="n">
        <v>4.12</v>
      </c>
      <c r="Q914" s="36" t="n">
        <v>11.54</v>
      </c>
      <c r="R914" s="36" t="n">
        <v>51.19</v>
      </c>
      <c r="S914" s="36" t="n">
        <v>0</v>
      </c>
      <c r="T914" s="37" t="n">
        <v>0.7838983050847458</v>
      </c>
      <c r="U914" s="37" t="n">
        <v>0.6571428571428571</v>
      </c>
      <c r="V914" s="37" t="n">
        <v>0.8373493975903614</v>
      </c>
      <c r="W914" s="37" t="n">
        <v>0.7282608695652174</v>
      </c>
    </row>
    <row r="915">
      <c r="A915" s="53" t="n">
        <v>45774</v>
      </c>
      <c r="B915" t="inlineStr">
        <is>
          <t>R06_Jawa Timur</t>
        </is>
      </c>
      <c r="C915" t="inlineStr">
        <is>
          <t>NOP SURABAYA</t>
        </is>
      </c>
      <c r="D915" s="36" t="n">
        <v>2.28</v>
      </c>
      <c r="E915" s="36" t="n">
        <v>0</v>
      </c>
      <c r="F915" s="36" t="n">
        <v>4.24</v>
      </c>
      <c r="G915" s="36" t="n">
        <v>4.48</v>
      </c>
      <c r="H915" s="37" t="n">
        <v>0.5944444444444444</v>
      </c>
      <c r="I915" s="37" t="n">
        <v>0.546875</v>
      </c>
      <c r="J915" s="37" t="n">
        <v>0.6008403361344538</v>
      </c>
      <c r="K915" s="37" t="n">
        <v>0.9142857142857143</v>
      </c>
      <c r="L915" s="37" t="n">
        <v>0.9142857142857143</v>
      </c>
      <c r="M915" s="37" t="n">
        <v>0.9629629629629629</v>
      </c>
      <c r="N915" s="37" t="n">
        <v>0.4185185185185185</v>
      </c>
      <c r="O915" s="36" t="n">
        <v>1.22</v>
      </c>
      <c r="P915" s="36" t="n">
        <v>3.42</v>
      </c>
      <c r="Q915" s="36" t="n">
        <v>7.11</v>
      </c>
      <c r="R915" s="36" t="n">
        <v>29.57</v>
      </c>
      <c r="S915" s="36" t="n">
        <v>0</v>
      </c>
      <c r="T915" s="37" t="n">
        <v>0.6672645739910313</v>
      </c>
      <c r="U915" s="37" t="n">
        <v>0.6878048780487804</v>
      </c>
      <c r="V915" s="37" t="n">
        <v>0.6626373626373626</v>
      </c>
      <c r="W915" s="37" t="n">
        <v>0.9148936170212766</v>
      </c>
    </row>
    <row r="916">
      <c r="A916" s="53" t="n">
        <v>45774</v>
      </c>
      <c r="B916" t="inlineStr">
        <is>
          <t>R07_Bali Nusra</t>
        </is>
      </c>
      <c r="C916" t="inlineStr">
        <is>
          <t>NOP DENPASAR</t>
        </is>
      </c>
      <c r="D916" s="36" t="n">
        <v>3.08</v>
      </c>
      <c r="E916" s="36" t="n">
        <v>0</v>
      </c>
      <c r="F916" s="36" t="n">
        <v>4.78</v>
      </c>
      <c r="G916" s="36" t="n">
        <v>4.05</v>
      </c>
      <c r="H916" s="37" t="n">
        <v>0.9009287925696594</v>
      </c>
      <c r="I916" s="37" t="n">
        <v>0.8909090909090909</v>
      </c>
      <c r="J916" s="37" t="n">
        <v>0.9029850746268657</v>
      </c>
      <c r="K916" s="37" t="n">
        <v>0.9591836734693877</v>
      </c>
      <c r="L916" s="37" t="n">
        <v>0.9591836734693877</v>
      </c>
      <c r="M916" s="37" t="n">
        <v>0.9690402476780186</v>
      </c>
      <c r="N916" s="37" t="n">
        <v>0.8606811145510835</v>
      </c>
      <c r="O916" s="36" t="n">
        <v>0</v>
      </c>
      <c r="P916" s="36" t="n">
        <v>37.43</v>
      </c>
      <c r="Q916" s="36" t="n">
        <v>20.81</v>
      </c>
      <c r="R916" s="36" t="n">
        <v>82.69</v>
      </c>
      <c r="S916" s="36" t="n">
        <v>0</v>
      </c>
      <c r="T916" s="37" t="n">
        <v>0.8723747980613893</v>
      </c>
      <c r="U916" s="37" t="n">
        <v>0.8819875776397516</v>
      </c>
      <c r="V916" s="37" t="n">
        <v>0.868995633187773</v>
      </c>
      <c r="W916" s="37" t="n">
        <v>0.647887323943662</v>
      </c>
    </row>
    <row r="917">
      <c r="A917" s="53" t="n">
        <v>45774</v>
      </c>
      <c r="B917" t="inlineStr">
        <is>
          <t>R07_Bali Nusra</t>
        </is>
      </c>
      <c r="C917" t="inlineStr">
        <is>
          <t>NOP FLORES</t>
        </is>
      </c>
      <c r="D917" s="36" t="n">
        <v>6.82</v>
      </c>
      <c r="E917" s="36" t="n">
        <v>5.32</v>
      </c>
      <c r="F917" s="36" t="n">
        <v>7.91</v>
      </c>
      <c r="G917" s="36" t="n">
        <v>9.970000000000001</v>
      </c>
      <c r="H917" s="37" t="n">
        <v>0.5474308300395256</v>
      </c>
      <c r="I917" s="37" t="n">
        <v>0.6782786885245902</v>
      </c>
      <c r="J917" s="37" t="n">
        <v>0.505859375</v>
      </c>
      <c r="K917" s="37" t="n">
        <v>0.6314199395770392</v>
      </c>
      <c r="L917" s="37" t="n">
        <v>0.64</v>
      </c>
      <c r="M917" s="37" t="n">
        <v>0.9940711462450593</v>
      </c>
      <c r="N917" s="37" t="n">
        <v>0.3483201581027668</v>
      </c>
      <c r="O917" s="36" t="n">
        <v>0.62</v>
      </c>
      <c r="P917" s="36" t="n">
        <v>10.38</v>
      </c>
      <c r="Q917" s="36" t="n">
        <v>7.88</v>
      </c>
      <c r="R917" s="36" t="n">
        <v>45.95</v>
      </c>
      <c r="S917" s="36" t="n">
        <v>0</v>
      </c>
      <c r="T917" s="37" t="n">
        <v>0.5196365767878077</v>
      </c>
      <c r="U917" s="37" t="n">
        <v>0.5593723494486853</v>
      </c>
      <c r="V917" s="37" t="n">
        <v>0.4307400379506641</v>
      </c>
      <c r="W917" s="37" t="n">
        <v>0.6952236542835482</v>
      </c>
    </row>
    <row r="918">
      <c r="A918" s="53" t="n">
        <v>45774</v>
      </c>
      <c r="B918" t="inlineStr">
        <is>
          <t>R07_Bali Nusra</t>
        </is>
      </c>
      <c r="C918" t="inlineStr">
        <is>
          <t>NOP KUPANG</t>
        </is>
      </c>
      <c r="D918" s="36" t="n">
        <v>1.18</v>
      </c>
      <c r="E918" s="36" t="n">
        <v>5.65</v>
      </c>
      <c r="F918" s="36" t="n">
        <v>11.26</v>
      </c>
      <c r="G918" s="36" t="n">
        <v>11.28</v>
      </c>
      <c r="H918" s="37" t="n">
        <v>0.4996400287976962</v>
      </c>
      <c r="I918" s="37" t="n">
        <v>0.6451612903225806</v>
      </c>
      <c r="J918" s="37" t="n">
        <v>0.4726962457337884</v>
      </c>
      <c r="K918" s="37" t="n">
        <v>0.6928571428571428</v>
      </c>
      <c r="L918" s="37" t="n">
        <v>0.6911764705882353</v>
      </c>
      <c r="M918" s="37" t="n">
        <v>0.9798416126709864</v>
      </c>
      <c r="N918" s="37" t="n">
        <v>0.2015838732901368</v>
      </c>
      <c r="O918" s="36" t="n">
        <v>0.18</v>
      </c>
      <c r="P918" s="36" t="n">
        <v>8.34</v>
      </c>
      <c r="Q918" s="36" t="n">
        <v>17.84</v>
      </c>
      <c r="R918" s="36" t="n">
        <v>177.96</v>
      </c>
      <c r="S918" s="36" t="n">
        <v>0</v>
      </c>
      <c r="T918" s="37" t="n">
        <v>0.6038223140495868</v>
      </c>
      <c r="U918" s="37" t="n">
        <v>0.6016806722689075</v>
      </c>
      <c r="V918" s="37" t="n">
        <v>0.6072386058981233</v>
      </c>
      <c r="W918" s="37" t="n">
        <v>0.7025139664804469</v>
      </c>
    </row>
    <row r="919">
      <c r="A919" s="53" t="n">
        <v>45774</v>
      </c>
      <c r="B919" t="inlineStr">
        <is>
          <t>R07_Bali Nusra</t>
        </is>
      </c>
      <c r="C919" t="inlineStr">
        <is>
          <t>NOP MATARAM</t>
        </is>
      </c>
      <c r="D919" s="36" t="n">
        <v>3.13</v>
      </c>
      <c r="E919" s="36" t="n">
        <v>4.99</v>
      </c>
      <c r="F919" s="36" t="n">
        <v>4.72</v>
      </c>
      <c r="G919" s="36" t="n">
        <v>5.93</v>
      </c>
      <c r="H919" s="37" t="n">
        <v>0.5373961218836565</v>
      </c>
      <c r="I919" s="37" t="n">
        <v>0.6413043478260869</v>
      </c>
      <c r="J919" s="37" t="n">
        <v>0.5222222222222223</v>
      </c>
      <c r="K919" s="37" t="n">
        <v>0.7288135593220338</v>
      </c>
      <c r="L919" s="37" t="n">
        <v>0.7288135593220338</v>
      </c>
      <c r="M919" s="37" t="n">
        <v>0.9903047091412742</v>
      </c>
      <c r="N919" s="37" t="n">
        <v>0.3337950138504155</v>
      </c>
      <c r="O919" s="36" t="n">
        <v>0.9399999999999999</v>
      </c>
      <c r="P919" s="36" t="n">
        <v>22.56</v>
      </c>
      <c r="Q919" s="36" t="n">
        <v>19.28</v>
      </c>
      <c r="R919" s="36" t="n">
        <v>69.59999999999999</v>
      </c>
      <c r="S919" s="36" t="n">
        <v>0</v>
      </c>
      <c r="T919" s="37" t="n">
        <v>0.388739946380697</v>
      </c>
      <c r="U919" s="37" t="n">
        <v>0.4093500570125427</v>
      </c>
      <c r="V919" s="37" t="n">
        <v>0.359349593495935</v>
      </c>
      <c r="W919" s="37" t="n">
        <v>0.6267409470752089</v>
      </c>
    </row>
    <row r="920">
      <c r="A920" s="53" t="n">
        <v>45775</v>
      </c>
      <c r="B920" t="inlineStr">
        <is>
          <t>R01_Sumbagut</t>
        </is>
      </c>
      <c r="C920" t="inlineStr">
        <is>
          <t>NOP ACEH</t>
        </is>
      </c>
      <c r="D920" s="36" t="n">
        <v>3.68</v>
      </c>
      <c r="E920" s="36" t="n">
        <v>4.22</v>
      </c>
      <c r="F920" s="36" t="n">
        <v>9.19</v>
      </c>
      <c r="G920" s="36" t="n">
        <v>10.27</v>
      </c>
      <c r="H920" s="37" t="n">
        <v>0.8377612469004605</v>
      </c>
      <c r="I920" s="37" t="n">
        <v>0.8248587570621468</v>
      </c>
      <c r="J920" s="37" t="n">
        <v>0.842080378250591</v>
      </c>
      <c r="K920" s="37" t="n">
        <v>0.4195205479452055</v>
      </c>
      <c r="L920" s="37" t="n">
        <v>0.4214162348877375</v>
      </c>
      <c r="M920" s="37" t="n">
        <v>0.9996457669146298</v>
      </c>
      <c r="N920" s="37" t="n">
        <v>0.3159759121501948</v>
      </c>
      <c r="O920" s="36" t="n">
        <v>0.06</v>
      </c>
      <c r="P920" s="36" t="n">
        <v>4.52</v>
      </c>
      <c r="Q920" s="36" t="n">
        <v>70.59</v>
      </c>
      <c r="R920" s="36" t="n">
        <v>129.56</v>
      </c>
      <c r="S920" s="36" t="n">
        <v>0</v>
      </c>
      <c r="T920" s="37" t="n">
        <v>0.8695563279492946</v>
      </c>
      <c r="U920" s="37" t="n">
        <v>0.7146034099332839</v>
      </c>
      <c r="V920" s="37" t="n">
        <v>0.8967541022876991</v>
      </c>
      <c r="W920" s="37" t="n">
        <v>0.2105809128630705</v>
      </c>
    </row>
    <row r="921">
      <c r="A921" s="53" t="n">
        <v>45775</v>
      </c>
      <c r="B921" t="inlineStr">
        <is>
          <t>R01_Sumbagut</t>
        </is>
      </c>
      <c r="C921" t="inlineStr">
        <is>
          <t>NOP BINJAI</t>
        </is>
      </c>
      <c r="D921" s="36" t="n">
        <v>9.9</v>
      </c>
      <c r="E921" s="36" t="n">
        <v>4.09</v>
      </c>
      <c r="F921" s="36" t="n">
        <v>4.39</v>
      </c>
      <c r="G921" s="36" t="n">
        <v>4.3</v>
      </c>
      <c r="H921" s="37" t="n">
        <v>0.645412130637636</v>
      </c>
      <c r="I921" s="37" t="n">
        <v>0.7636986301369864</v>
      </c>
      <c r="J921" s="37" t="n">
        <v>0.6106639839034205</v>
      </c>
      <c r="K921" s="37" t="n">
        <v>0.5426008968609866</v>
      </c>
      <c r="L921" s="37" t="n">
        <v>0.5405405405405406</v>
      </c>
      <c r="M921" s="37" t="n">
        <v>1</v>
      </c>
      <c r="N921" s="37" t="n">
        <v>0.3584758942457232</v>
      </c>
      <c r="O921" s="36" t="n">
        <v>0.02</v>
      </c>
      <c r="P921" s="36" t="n">
        <v>2.7</v>
      </c>
      <c r="Q921" s="36" t="n">
        <v>34.46</v>
      </c>
      <c r="R921" s="36" t="n">
        <v>117.92</v>
      </c>
      <c r="S921" s="36" t="n">
        <v>0</v>
      </c>
      <c r="T921" s="37" t="n">
        <v>0.6675686122922304</v>
      </c>
      <c r="U921" s="37" t="n">
        <v>0.5655526992287918</v>
      </c>
      <c r="V921" s="37" t="n">
        <v>0.7316784869976359</v>
      </c>
      <c r="W921" s="37" t="n">
        <v>0.5636363636363636</v>
      </c>
    </row>
    <row r="922">
      <c r="A922" s="53" t="n">
        <v>45775</v>
      </c>
      <c r="B922" t="inlineStr">
        <is>
          <t>R01_Sumbagut</t>
        </is>
      </c>
      <c r="C922" t="inlineStr">
        <is>
          <t>NOP MEDAN</t>
        </is>
      </c>
      <c r="D922" s="36" t="n">
        <v>5.2</v>
      </c>
      <c r="E922" s="36" t="n">
        <v>4.24</v>
      </c>
      <c r="F922" s="36" t="n">
        <v>4.69</v>
      </c>
      <c r="G922" s="36" t="n">
        <v>5.11</v>
      </c>
      <c r="H922" s="37" t="n">
        <v>0.4042073628850488</v>
      </c>
      <c r="I922" s="37" t="n">
        <v>0.4736842105263158</v>
      </c>
      <c r="J922" s="37" t="n">
        <v>0.3723986856516977</v>
      </c>
      <c r="K922" s="37" t="n">
        <v>0.8131313131313131</v>
      </c>
      <c r="L922" s="37" t="n">
        <v>0.8163265306122449</v>
      </c>
      <c r="M922" s="37" t="n">
        <v>0.9977460555972952</v>
      </c>
      <c r="N922" s="37" t="n">
        <v>0.2531930879038317</v>
      </c>
      <c r="O922" s="36" t="n">
        <v>0</v>
      </c>
      <c r="P922" s="36" t="n">
        <v>5.57</v>
      </c>
      <c r="Q922" s="36" t="n">
        <v>19.11</v>
      </c>
      <c r="R922" s="36" t="n">
        <v>10.87</v>
      </c>
      <c r="S922" s="36" t="n">
        <v>0</v>
      </c>
      <c r="T922" s="37" t="n">
        <v>0.3235294117647059</v>
      </c>
      <c r="U922" s="37" t="n">
        <v>0.2108108108108108</v>
      </c>
      <c r="V922" s="37" t="n">
        <v>0.3957158962795941</v>
      </c>
      <c r="W922" s="37" t="n">
        <v>0.8461538461538461</v>
      </c>
    </row>
    <row r="923">
      <c r="A923" s="53" t="n">
        <v>45775</v>
      </c>
      <c r="B923" t="inlineStr">
        <is>
          <t>R01_Sumbagut</t>
        </is>
      </c>
      <c r="C923" t="inlineStr">
        <is>
          <t>NOP PADANG SIDEMPUAN</t>
        </is>
      </c>
      <c r="D923" s="36" t="n">
        <v>3.08</v>
      </c>
      <c r="E923" s="36" t="n">
        <v>4.25</v>
      </c>
      <c r="F923" s="36" t="n">
        <v>4.97</v>
      </c>
      <c r="G923" s="36" t="n">
        <v>6.48</v>
      </c>
      <c r="H923" s="37" t="n">
        <v>0.2949932341001353</v>
      </c>
      <c r="I923" s="37" t="n">
        <v>0.4397394136807817</v>
      </c>
      <c r="J923" s="37" t="n">
        <v>0.2717277486910995</v>
      </c>
      <c r="K923" s="37" t="n">
        <v>0.4666666666666667</v>
      </c>
      <c r="L923" s="37" t="n">
        <v>0.4666666666666667</v>
      </c>
      <c r="M923" s="37" t="n">
        <v>0.9941362201172756</v>
      </c>
      <c r="N923" s="37" t="n">
        <v>0.1244925575101488</v>
      </c>
      <c r="O923" s="36" t="n">
        <v>0.01</v>
      </c>
      <c r="P923" s="36" t="n">
        <v>2.69</v>
      </c>
      <c r="Q923" s="36" t="n">
        <v>12.4</v>
      </c>
      <c r="R923" s="36" t="n">
        <v>100.19</v>
      </c>
      <c r="S923" s="36" t="n">
        <v>0</v>
      </c>
      <c r="T923" s="37" t="n">
        <v>0.287057030356916</v>
      </c>
      <c r="U923" s="37" t="n">
        <v>0.4154078549848942</v>
      </c>
      <c r="V923" s="37" t="n">
        <v>0.2448489010989011</v>
      </c>
      <c r="W923" s="37" t="n">
        <v>0.4703030303030303</v>
      </c>
    </row>
    <row r="924">
      <c r="A924" s="53" t="n">
        <v>45775</v>
      </c>
      <c r="B924" t="inlineStr">
        <is>
          <t>R01_Sumbagut</t>
        </is>
      </c>
      <c r="C924" t="inlineStr">
        <is>
          <t>NOP PEMATANG SIANTAR</t>
        </is>
      </c>
      <c r="D924" s="36" t="n">
        <v>3.66</v>
      </c>
      <c r="E924" s="36" t="n">
        <v>4.09</v>
      </c>
      <c r="F924" s="36" t="n">
        <v>5.19</v>
      </c>
      <c r="G924" s="36" t="n">
        <v>4.89</v>
      </c>
      <c r="H924" s="37" t="n">
        <v>0.3332227016262861</v>
      </c>
      <c r="I924" s="37" t="n">
        <v>0.3747099767981438</v>
      </c>
      <c r="J924" s="37" t="n">
        <v>0.3165969316596932</v>
      </c>
      <c r="K924" s="37" t="n">
        <v>0.6718266253869969</v>
      </c>
      <c r="L924" s="37" t="n">
        <v>0.6773162939297125</v>
      </c>
      <c r="M924" s="37" t="n">
        <v>0.9966810487885828</v>
      </c>
      <c r="N924" s="37" t="n">
        <v>0.1881845336873548</v>
      </c>
      <c r="O924" s="36" t="n">
        <v>0.03</v>
      </c>
      <c r="P924" s="36" t="n">
        <v>4.46</v>
      </c>
      <c r="Q924" s="36" t="n">
        <v>67.87</v>
      </c>
      <c r="R924" s="36" t="n">
        <v>72.98</v>
      </c>
      <c r="S924" s="36" t="n">
        <v>0</v>
      </c>
      <c r="T924" s="37" t="n">
        <v>0.1137634083698444</v>
      </c>
      <c r="U924" s="37" t="n">
        <v>0.3347039473684211</v>
      </c>
      <c r="V924" s="37" t="n">
        <v>0.08954847389220549</v>
      </c>
      <c r="W924" s="37" t="n">
        <v>0.8476658476658476</v>
      </c>
    </row>
    <row r="925">
      <c r="A925" s="53" t="n">
        <v>45775</v>
      </c>
      <c r="B925" t="inlineStr">
        <is>
          <t>R01_Sumbagut</t>
        </is>
      </c>
      <c r="C925" t="inlineStr">
        <is>
          <t>NOP RANTAU PRAPAT</t>
        </is>
      </c>
      <c r="D925" s="36" t="n">
        <v>4.28</v>
      </c>
      <c r="E925" s="36" t="n">
        <v>6.21</v>
      </c>
      <c r="F925" s="36" t="n">
        <v>5.6</v>
      </c>
      <c r="G925" s="36" t="n">
        <v>5.3</v>
      </c>
      <c r="H925" s="37" t="n">
        <v>0.3018389346861129</v>
      </c>
      <c r="I925" s="37" t="n">
        <v>0.3137973137973138</v>
      </c>
      <c r="J925" s="37" t="n">
        <v>0.2993353783231084</v>
      </c>
      <c r="K925" s="37" t="n">
        <v>0.6264591439688716</v>
      </c>
      <c r="L925" s="37" t="n">
        <v>0.62890625</v>
      </c>
      <c r="M925" s="37" t="n">
        <v>0.9904882688649335</v>
      </c>
      <c r="N925" s="37" t="n">
        <v>0.1737476220672162</v>
      </c>
      <c r="O925" s="36" t="n">
        <v>0.03</v>
      </c>
      <c r="P925" s="36" t="n">
        <v>4.43</v>
      </c>
      <c r="Q925" s="36" t="n">
        <v>35.92</v>
      </c>
      <c r="R925" s="36" t="n">
        <v>49.88</v>
      </c>
      <c r="S925" s="36" t="n">
        <v>0</v>
      </c>
      <c r="T925" s="37" t="n">
        <v>0.06983883346124328</v>
      </c>
      <c r="U925" s="37" t="n">
        <v>0.1665236051502146</v>
      </c>
      <c r="V925" s="37" t="n">
        <v>0.04837451235370611</v>
      </c>
      <c r="W925" s="37" t="n">
        <v>0.6237113402061856</v>
      </c>
    </row>
    <row r="926">
      <c r="A926" s="53" t="n">
        <v>45775</v>
      </c>
      <c r="B926" t="inlineStr">
        <is>
          <t>R10_Sumbagteng</t>
        </is>
      </c>
      <c r="C926" t="inlineStr">
        <is>
          <t>NOP BATAM</t>
        </is>
      </c>
      <c r="D926" s="36" t="n">
        <v>3.7</v>
      </c>
      <c r="E926" s="36" t="n">
        <v>10.13</v>
      </c>
      <c r="F926" s="36" t="n">
        <v>6.81</v>
      </c>
      <c r="G926" s="36" t="n">
        <v>9.779999999999999</v>
      </c>
      <c r="H926" s="37" t="n">
        <v>0.2791878172588833</v>
      </c>
      <c r="I926" s="37" t="n">
        <v>0.3069767441860465</v>
      </c>
      <c r="J926" s="37" t="n">
        <v>0.2730093071354705</v>
      </c>
      <c r="K926" s="37" t="n">
        <v>0.6060606060606061</v>
      </c>
      <c r="L926" s="37" t="n">
        <v>0.6217616580310881</v>
      </c>
      <c r="M926" s="37" t="n">
        <v>0.9935138183869149</v>
      </c>
      <c r="N926" s="37" t="n">
        <v>0.1756909193457417</v>
      </c>
      <c r="O926" s="36" t="n">
        <v>0.38</v>
      </c>
      <c r="P926" s="36" t="n">
        <v>5.32</v>
      </c>
      <c r="Q926" s="36" t="n">
        <v>34.33</v>
      </c>
      <c r="R926" s="36" t="n">
        <v>22.58</v>
      </c>
      <c r="S926" s="36" t="n">
        <v>0</v>
      </c>
      <c r="T926" s="37" t="n">
        <v>0.0796272765777213</v>
      </c>
      <c r="U926" s="37" t="n">
        <v>0.2312722948870392</v>
      </c>
      <c r="V926" s="37" t="n">
        <v>0.05378924215156969</v>
      </c>
      <c r="W926" s="37" t="n">
        <v>0.8020565552699229</v>
      </c>
    </row>
    <row r="927">
      <c r="A927" s="53" t="n">
        <v>45775</v>
      </c>
      <c r="B927" t="inlineStr">
        <is>
          <t>R10_Sumbagteng</t>
        </is>
      </c>
      <c r="C927" t="inlineStr">
        <is>
          <t>NOP BUKITTINGGI</t>
        </is>
      </c>
      <c r="D927" s="36" t="n">
        <v>2.57</v>
      </c>
      <c r="E927" s="36" t="n">
        <v>4.21</v>
      </c>
      <c r="F927" s="36" t="n">
        <v>4.94</v>
      </c>
      <c r="G927" s="36" t="n">
        <v>6.02</v>
      </c>
      <c r="H927" s="37" t="n">
        <v>0.7559429477020603</v>
      </c>
      <c r="I927" s="37" t="n">
        <v>0.8372093023255814</v>
      </c>
      <c r="J927" s="37" t="n">
        <v>0.7304890738813735</v>
      </c>
      <c r="K927" s="37" t="n">
        <v>0.6468253968253969</v>
      </c>
      <c r="L927" s="37" t="n">
        <v>0.6626016260162602</v>
      </c>
      <c r="M927" s="37" t="n">
        <v>0.991283676703645</v>
      </c>
      <c r="N927" s="37" t="n">
        <v>0.4667194928684628</v>
      </c>
      <c r="O927" s="36" t="n">
        <v>0.06</v>
      </c>
      <c r="P927" s="36" t="n">
        <v>3.11</v>
      </c>
      <c r="Q927" s="36" t="n">
        <v>13.03</v>
      </c>
      <c r="R927" s="36" t="n">
        <v>95.45999999999999</v>
      </c>
      <c r="S927" s="36" t="n">
        <v>0</v>
      </c>
      <c r="T927" s="37" t="n">
        <v>0.2921081985499163</v>
      </c>
      <c r="U927" s="37" t="n">
        <v>0.7996323529411765</v>
      </c>
      <c r="V927" s="37" t="n">
        <v>0.250838670326319</v>
      </c>
      <c r="W927" s="37" t="n">
        <v>0.5724137931034483</v>
      </c>
    </row>
    <row r="928">
      <c r="A928" s="53" t="n">
        <v>45775</v>
      </c>
      <c r="B928" t="inlineStr">
        <is>
          <t>R10_Sumbagteng</t>
        </is>
      </c>
      <c r="C928" t="inlineStr">
        <is>
          <t>NOP DUMAI</t>
        </is>
      </c>
      <c r="D928" s="36" t="n">
        <v>5.09</v>
      </c>
      <c r="E928" s="36" t="n">
        <v>5.86</v>
      </c>
      <c r="F928" s="36" t="n">
        <v>5.78</v>
      </c>
      <c r="G928" s="36" t="n">
        <v>7.61</v>
      </c>
      <c r="H928" s="37" t="n">
        <v>0.432065775950668</v>
      </c>
      <c r="I928" s="37" t="n">
        <v>0.5329341317365269</v>
      </c>
      <c r="J928" s="37" t="n">
        <v>0.3938792859166903</v>
      </c>
      <c r="K928" s="37" t="n">
        <v>0.7373595505617978</v>
      </c>
      <c r="L928" s="37" t="n">
        <v>0.7466666666666667</v>
      </c>
      <c r="M928" s="37" t="n">
        <v>0.9780061664953751</v>
      </c>
      <c r="N928" s="37" t="n">
        <v>0.2546762589928058</v>
      </c>
      <c r="O928" s="36" t="n">
        <v>0.2</v>
      </c>
      <c r="P928" s="36" t="n">
        <v>4.65</v>
      </c>
      <c r="Q928" s="36" t="n">
        <v>57.7</v>
      </c>
      <c r="R928" s="36" t="n">
        <v>130.38</v>
      </c>
      <c r="S928" s="36" t="n">
        <v>0</v>
      </c>
      <c r="T928" s="37" t="n">
        <v>0.2982211744534933</v>
      </c>
      <c r="U928" s="37" t="n">
        <v>0.3483375959079284</v>
      </c>
      <c r="V928" s="37" t="n">
        <v>0.2968192839823135</v>
      </c>
      <c r="W928" s="37" t="n">
        <v>0.9353891336270191</v>
      </c>
    </row>
    <row r="929">
      <c r="A929" s="53" t="n">
        <v>45775</v>
      </c>
      <c r="B929" t="inlineStr">
        <is>
          <t>R10_Sumbagteng</t>
        </is>
      </c>
      <c r="C929" t="inlineStr">
        <is>
          <t>NOP PADANG</t>
        </is>
      </c>
      <c r="D929" s="36" t="n">
        <v>3.66</v>
      </c>
      <c r="E929" s="36" t="n">
        <v>2.6</v>
      </c>
      <c r="F929" s="36" t="n">
        <v>6.53</v>
      </c>
      <c r="G929" s="36" t="n">
        <v>6.74</v>
      </c>
      <c r="H929" s="37" t="n">
        <v>0.7494780793319415</v>
      </c>
      <c r="I929" s="37" t="n">
        <v>0.7117903930131004</v>
      </c>
      <c r="J929" s="37" t="n">
        <v>0.7545939537640782</v>
      </c>
      <c r="K929" s="37" t="n">
        <v>0.4907975460122699</v>
      </c>
      <c r="L929" s="37" t="n">
        <v>0.4907975460122699</v>
      </c>
      <c r="M929" s="37" t="n">
        <v>0.9848643006263048</v>
      </c>
      <c r="N929" s="37" t="n">
        <v>0.2849686847599165</v>
      </c>
      <c r="O929" s="36" t="n">
        <v>0.06</v>
      </c>
      <c r="P929" s="36" t="n">
        <v>4.68</v>
      </c>
      <c r="Q929" s="36" t="n">
        <v>33.73</v>
      </c>
      <c r="R929" s="36" t="n">
        <v>60.36</v>
      </c>
      <c r="S929" s="36" t="n">
        <v>0</v>
      </c>
      <c r="T929" s="37" t="n">
        <v>0.7633899052237161</v>
      </c>
      <c r="U929" s="37" t="n">
        <v>0.6743027888446215</v>
      </c>
      <c r="V929" s="37" t="n">
        <v>0.7771242647978976</v>
      </c>
      <c r="W929" s="37" t="n">
        <v>0.5243722304283605</v>
      </c>
    </row>
    <row r="930">
      <c r="A930" s="53" t="n">
        <v>45775</v>
      </c>
      <c r="B930" t="inlineStr">
        <is>
          <t>R10_Sumbagteng</t>
        </is>
      </c>
      <c r="C930" t="inlineStr">
        <is>
          <t>NOP PEKANBARU</t>
        </is>
      </c>
      <c r="D930" s="36" t="n">
        <v>5.52</v>
      </c>
      <c r="E930" s="36" t="n">
        <v>5.93</v>
      </c>
      <c r="F930" s="36" t="n">
        <v>5.54</v>
      </c>
      <c r="G930" s="36" t="n">
        <v>7.51</v>
      </c>
      <c r="H930" s="37" t="n">
        <v>0.4196667352396626</v>
      </c>
      <c r="I930" s="37" t="n">
        <v>0.5275779376498801</v>
      </c>
      <c r="J930" s="37" t="n">
        <v>0.3973181028060591</v>
      </c>
      <c r="K930" s="37" t="n">
        <v>0.740909090909091</v>
      </c>
      <c r="L930" s="37" t="n">
        <v>0.7454128440366973</v>
      </c>
      <c r="M930" s="37" t="n">
        <v>0.9888911746554206</v>
      </c>
      <c r="N930" s="37" t="n">
        <v>0.2289652334910512</v>
      </c>
      <c r="O930" s="36" t="n">
        <v>0.02</v>
      </c>
      <c r="P930" s="36" t="n">
        <v>3.38</v>
      </c>
      <c r="Q930" s="36" t="n">
        <v>48.59</v>
      </c>
      <c r="R930" s="36" t="n">
        <v>100.62</v>
      </c>
      <c r="S930" s="36" t="n">
        <v>0</v>
      </c>
      <c r="T930" s="37" t="n">
        <v>0.3040138751238851</v>
      </c>
      <c r="U930" s="37" t="n">
        <v>0.3140116763969975</v>
      </c>
      <c r="V930" s="37" t="n">
        <v>0.310935441370224</v>
      </c>
      <c r="W930" s="37" t="n">
        <v>0.8406374501992032</v>
      </c>
    </row>
    <row r="931">
      <c r="A931" s="53" t="n">
        <v>45775</v>
      </c>
      <c r="B931" t="inlineStr">
        <is>
          <t>R02_Sumbagsel</t>
        </is>
      </c>
      <c r="C931" t="inlineStr">
        <is>
          <t>NOP BENGKULU</t>
        </is>
      </c>
      <c r="D931" s="36" t="n">
        <v>2.28</v>
      </c>
      <c r="E931" s="36" t="n">
        <v>5.18</v>
      </c>
      <c r="F931" s="36" t="n">
        <v>4.94</v>
      </c>
      <c r="G931" s="36" t="n">
        <v>6.57</v>
      </c>
      <c r="H931" s="37" t="n">
        <v>0.3482309124767226</v>
      </c>
      <c r="I931" s="37" t="n">
        <v>0.4202733485193622</v>
      </c>
      <c r="J931" s="37" t="n">
        <v>0.3212457337883959</v>
      </c>
      <c r="K931" s="37" t="n">
        <v>0.6097560975609756</v>
      </c>
      <c r="L931" s="37" t="n">
        <v>0.646551724137931</v>
      </c>
      <c r="M931" s="37" t="n">
        <v>0.9900682805710739</v>
      </c>
      <c r="N931" s="37" t="n">
        <v>0.1800124146492862</v>
      </c>
      <c r="O931" s="36" t="n">
        <v>0</v>
      </c>
      <c r="P931" s="36" t="n">
        <v>6.45</v>
      </c>
      <c r="Q931" s="36" t="n">
        <v>7.1</v>
      </c>
      <c r="R931" s="36" t="n">
        <v>10.99</v>
      </c>
      <c r="S931" s="36" t="n">
        <v>0</v>
      </c>
      <c r="T931" s="37" t="n">
        <v>0.4495590828924163</v>
      </c>
      <c r="U931" s="37" t="n">
        <v>0.383470635131544</v>
      </c>
      <c r="V931" s="37" t="n">
        <v>0.6024423337856174</v>
      </c>
      <c r="W931" s="37" t="n">
        <v>0.8745668745668745</v>
      </c>
    </row>
    <row r="932">
      <c r="A932" s="53" t="n">
        <v>45775</v>
      </c>
      <c r="B932" t="inlineStr">
        <is>
          <t>R02_Sumbagsel</t>
        </is>
      </c>
      <c r="C932" t="inlineStr">
        <is>
          <t>NOP JAMBI</t>
        </is>
      </c>
      <c r="D932" s="36" t="n">
        <v>3.72</v>
      </c>
      <c r="E932" s="36" t="n">
        <v>6.41</v>
      </c>
      <c r="F932" s="36" t="n">
        <v>5.84</v>
      </c>
      <c r="G932" s="36" t="n">
        <v>8.210000000000001</v>
      </c>
      <c r="H932" s="37" t="n">
        <v>0.5438981562774363</v>
      </c>
      <c r="I932" s="37" t="n">
        <v>0.5865800865800865</v>
      </c>
      <c r="J932" s="37" t="n">
        <v>0.5252365930599369</v>
      </c>
      <c r="K932" s="37" t="n">
        <v>0.6420664206642066</v>
      </c>
      <c r="L932" s="37" t="n">
        <v>0.6573957016434893</v>
      </c>
      <c r="M932" s="37" t="n">
        <v>0.9967076382791923</v>
      </c>
      <c r="N932" s="37" t="n">
        <v>0.278972783143108</v>
      </c>
      <c r="O932" s="36" t="n">
        <v>0</v>
      </c>
      <c r="P932" s="36" t="n">
        <v>8</v>
      </c>
      <c r="Q932" s="36" t="n">
        <v>19.04</v>
      </c>
      <c r="R932" s="36" t="n">
        <v>18</v>
      </c>
      <c r="S932" s="36" t="n">
        <v>0</v>
      </c>
      <c r="T932" s="37" t="n">
        <v>0.6296066893775163</v>
      </c>
      <c r="U932" s="37" t="n">
        <v>0.6136858475894246</v>
      </c>
      <c r="V932" s="37" t="n">
        <v>0.6630393996247654</v>
      </c>
      <c r="W932" s="37" t="n">
        <v>0.7516472377090725</v>
      </c>
    </row>
    <row r="933">
      <c r="A933" s="53" t="n">
        <v>45775</v>
      </c>
      <c r="B933" t="inlineStr">
        <is>
          <t>R02_Sumbagsel</t>
        </is>
      </c>
      <c r="C933" t="inlineStr">
        <is>
          <t>NOP LAMPUNG</t>
        </is>
      </c>
      <c r="D933" s="36" t="n">
        <v>3.84</v>
      </c>
      <c r="E933" s="36" t="n">
        <v>4.61</v>
      </c>
      <c r="F933" s="36" t="n">
        <v>4.62</v>
      </c>
      <c r="G933" s="36" t="n">
        <v>5.04</v>
      </c>
      <c r="H933" s="37" t="n">
        <v>0.5346413243408952</v>
      </c>
      <c r="I933" s="37" t="n">
        <v>0.6955445544554455</v>
      </c>
      <c r="J933" s="37" t="n">
        <v>0.4816625916870416</v>
      </c>
      <c r="K933" s="37" t="n">
        <v>0.708185053380783</v>
      </c>
      <c r="L933" s="37" t="n">
        <v>0.7060931899641577</v>
      </c>
      <c r="M933" s="37" t="n">
        <v>0.9981606376456161</v>
      </c>
      <c r="N933" s="37" t="n">
        <v>0.3445738810545678</v>
      </c>
      <c r="O933" s="36" t="n">
        <v>1.12</v>
      </c>
      <c r="P933" s="36" t="n">
        <v>5.97</v>
      </c>
      <c r="Q933" s="36" t="n">
        <v>5.86</v>
      </c>
      <c r="R933" s="36" t="n">
        <v>26.79</v>
      </c>
      <c r="S933" s="36" t="n">
        <v>0</v>
      </c>
      <c r="T933" s="37" t="n">
        <v>0.8969378427787934</v>
      </c>
      <c r="U933" s="37" t="n">
        <v>0.7961075069508804</v>
      </c>
      <c r="V933" s="37" t="n">
        <v>0.9463712267180475</v>
      </c>
      <c r="W933" s="37" t="n">
        <v>0.8509895227008148</v>
      </c>
    </row>
    <row r="934">
      <c r="A934" s="53" t="n">
        <v>45775</v>
      </c>
      <c r="B934" t="inlineStr">
        <is>
          <t>R02_Sumbagsel</t>
        </is>
      </c>
      <c r="C934" t="inlineStr">
        <is>
          <t>NOP MUARA ENIM</t>
        </is>
      </c>
      <c r="D934" s="36" t="n">
        <v>3.31</v>
      </c>
      <c r="E934" s="36" t="n">
        <v>3.75</v>
      </c>
      <c r="F934" s="36" t="n">
        <v>5.28</v>
      </c>
      <c r="G934" s="36" t="n">
        <v>5.17</v>
      </c>
      <c r="H934" s="37" t="n">
        <v>0.3895401262398557</v>
      </c>
      <c r="I934" s="37" t="n">
        <v>0.3473557692307692</v>
      </c>
      <c r="J934" s="37" t="n">
        <v>0.3992785793562708</v>
      </c>
      <c r="K934" s="37" t="n">
        <v>0.5397923875432526</v>
      </c>
      <c r="L934" s="37" t="n">
        <v>0.5724907063197026</v>
      </c>
      <c r="M934" s="37" t="n">
        <v>0.9749774571686204</v>
      </c>
      <c r="N934" s="37" t="n">
        <v>0.1738052299368801</v>
      </c>
      <c r="O934" s="36" t="n">
        <v>0</v>
      </c>
      <c r="P934" s="36" t="n">
        <v>4.39</v>
      </c>
      <c r="Q934" s="36" t="n">
        <v>6.35</v>
      </c>
      <c r="R934" s="36" t="n">
        <v>8.6</v>
      </c>
      <c r="S934" s="36" t="n">
        <v>0</v>
      </c>
      <c r="T934" s="37" t="n">
        <v>0.4523170513508677</v>
      </c>
      <c r="U934" s="37" t="n">
        <v>0.4606205250596659</v>
      </c>
      <c r="V934" s="37" t="n">
        <v>0.5211970074812967</v>
      </c>
      <c r="W934" s="37" t="n">
        <v>0.7962003454231433</v>
      </c>
    </row>
    <row r="935">
      <c r="A935" s="53" t="n">
        <v>45775</v>
      </c>
      <c r="B935" t="inlineStr">
        <is>
          <t>R02_Sumbagsel</t>
        </is>
      </c>
      <c r="C935" t="inlineStr">
        <is>
          <t>NOP PALEMBANG</t>
        </is>
      </c>
      <c r="D935" s="36" t="n">
        <v>2.96</v>
      </c>
      <c r="E935" s="36" t="n">
        <v>4.62</v>
      </c>
      <c r="F935" s="36" t="n">
        <v>7.89</v>
      </c>
      <c r="G935" s="36" t="n">
        <v>8.49</v>
      </c>
      <c r="H935" s="37" t="n">
        <v>0.2818145323163388</v>
      </c>
      <c r="I935" s="37" t="n">
        <v>0.2777777777777778</v>
      </c>
      <c r="J935" s="37" t="n">
        <v>0.2822869955156951</v>
      </c>
      <c r="K935" s="37" t="n">
        <v>0.4827586206896552</v>
      </c>
      <c r="L935" s="37" t="n">
        <v>0.4827586206896552</v>
      </c>
      <c r="M935" s="37" t="n">
        <v>0.9995985547972702</v>
      </c>
      <c r="N935" s="37" t="n">
        <v>0.1216378964271377</v>
      </c>
      <c r="O935" s="36" t="n">
        <v>0</v>
      </c>
      <c r="P935" s="36" t="n">
        <v>5.82</v>
      </c>
      <c r="Q935" s="36" t="n">
        <v>12.79</v>
      </c>
      <c r="R935" s="36" t="n">
        <v>6.05</v>
      </c>
      <c r="S935" s="36" t="n">
        <v>0</v>
      </c>
      <c r="T935" s="37" t="n">
        <v>0.2988375847594446</v>
      </c>
      <c r="U935" s="37" t="n">
        <v>0.2421407185628743</v>
      </c>
      <c r="V935" s="37" t="n">
        <v>0.4197400772743238</v>
      </c>
      <c r="W935" s="37" t="n">
        <v>0.4574961360123648</v>
      </c>
    </row>
    <row r="936">
      <c r="A936" s="53" t="n">
        <v>45775</v>
      </c>
      <c r="B936" t="inlineStr">
        <is>
          <t>R02_Sumbagsel</t>
        </is>
      </c>
      <c r="C936" t="inlineStr">
        <is>
          <t>NOP PANGKAL PINANG</t>
        </is>
      </c>
      <c r="D936" s="36" t="n">
        <v>1.94</v>
      </c>
      <c r="E936" s="36" t="n">
        <v>3.35</v>
      </c>
      <c r="F936" s="36" t="n">
        <v>5.42</v>
      </c>
      <c r="G936" s="36" t="n">
        <v>6.9</v>
      </c>
      <c r="H936" s="37" t="n">
        <v>0.6352765321375187</v>
      </c>
      <c r="I936" s="37" t="n">
        <v>0.75</v>
      </c>
      <c r="J936" s="37" t="n">
        <v>0.6287519747235387</v>
      </c>
      <c r="K936" s="37" t="n">
        <v>0.6296296296296297</v>
      </c>
      <c r="L936" s="37" t="n">
        <v>0.6296296296296297</v>
      </c>
      <c r="M936" s="37" t="n">
        <v>0.9985052316890882</v>
      </c>
      <c r="N936" s="37" t="n">
        <v>0.3482810164424514</v>
      </c>
      <c r="O936" s="36" t="n">
        <v>0</v>
      </c>
      <c r="P936" s="36" t="n">
        <v>5.86</v>
      </c>
      <c r="Q936" s="36" t="n">
        <v>5.91</v>
      </c>
      <c r="R936" s="36" t="n">
        <v>8.449999999999999</v>
      </c>
      <c r="S936" s="36" t="n">
        <v>0</v>
      </c>
      <c r="T936" s="37" t="n">
        <v>0.7965081276339554</v>
      </c>
      <c r="U936" s="37" t="n">
        <v>0.8454198473282443</v>
      </c>
      <c r="V936" s="37" t="n">
        <v>0.8412852969814996</v>
      </c>
      <c r="W936" s="37" t="n">
        <v>0.6884875846501128</v>
      </c>
    </row>
    <row r="937">
      <c r="A937" s="53" t="n">
        <v>45775</v>
      </c>
      <c r="B937" t="inlineStr">
        <is>
          <t>R05_Jawa Tengah DIY</t>
        </is>
      </c>
      <c r="C937" t="inlineStr">
        <is>
          <t>NOP MAGELANG</t>
        </is>
      </c>
      <c r="D937" s="36" t="n">
        <v>3.81</v>
      </c>
      <c r="E937" s="36" t="n">
        <v>0</v>
      </c>
      <c r="F937" s="36" t="n">
        <v>4.72</v>
      </c>
      <c r="G937" s="36" t="n">
        <v>7.12</v>
      </c>
      <c r="H937" s="37" t="n">
        <v>0.7915057915057915</v>
      </c>
      <c r="I937" s="37" t="n">
        <v>0.9661016949152542</v>
      </c>
      <c r="J937" s="37" t="n">
        <v>0.7690631808278867</v>
      </c>
      <c r="K937" s="37" t="n">
        <v>0.8070175438596491</v>
      </c>
      <c r="L937" s="37" t="n">
        <v>0.8070175438596491</v>
      </c>
      <c r="M937" s="37" t="n">
        <v>0.9980694980694981</v>
      </c>
      <c r="N937" s="37" t="n">
        <v>0.7027027027027027</v>
      </c>
      <c r="O937" s="36" t="n">
        <v>0.17</v>
      </c>
      <c r="P937" s="36" t="n">
        <v>3.12</v>
      </c>
      <c r="Q937" s="36" t="n">
        <v>8.16</v>
      </c>
      <c r="R937" s="36" t="n">
        <v>16.82</v>
      </c>
      <c r="S937" s="36" t="n">
        <v>0</v>
      </c>
      <c r="T937" s="37" t="n">
        <v>0.948905109489051</v>
      </c>
      <c r="U937" s="37" t="n">
        <v>0.9523809523809523</v>
      </c>
      <c r="V937" s="37" t="n">
        <v>0.9480812641083521</v>
      </c>
      <c r="W937" s="37" t="n">
        <v>0.88</v>
      </c>
    </row>
    <row r="938">
      <c r="A938" s="53" t="n">
        <v>45775</v>
      </c>
      <c r="B938" t="inlineStr">
        <is>
          <t>R05_Jawa Tengah DIY</t>
        </is>
      </c>
      <c r="C938" t="inlineStr">
        <is>
          <t>NOP PEKALONGAN</t>
        </is>
      </c>
      <c r="D938" s="36" t="n">
        <v>3</v>
      </c>
      <c r="E938" s="36" t="n">
        <v>0</v>
      </c>
      <c r="F938" s="36" t="n">
        <v>3.72</v>
      </c>
      <c r="G938" s="36" t="n">
        <v>3.3</v>
      </c>
      <c r="H938" s="37" t="n">
        <v>0.6473214285714286</v>
      </c>
      <c r="I938" s="37" t="n">
        <v>0.7368421052631579</v>
      </c>
      <c r="J938" s="37" t="n">
        <v>0.6390243902439025</v>
      </c>
      <c r="K938" s="37" t="n">
        <v>1</v>
      </c>
      <c r="L938" s="37" t="n">
        <v>1</v>
      </c>
      <c r="M938" s="37" t="n">
        <v>0.9709821428571429</v>
      </c>
      <c r="N938" s="37" t="n">
        <v>0.5334821428571429</v>
      </c>
      <c r="O938" s="36" t="n">
        <v>0.01</v>
      </c>
      <c r="P938" s="36" t="n">
        <v>3.72</v>
      </c>
      <c r="Q938" s="36" t="n">
        <v>5.94</v>
      </c>
      <c r="R938" s="36" t="n">
        <v>50.25</v>
      </c>
      <c r="S938" s="36" t="n">
        <v>0</v>
      </c>
      <c r="T938" s="37" t="n">
        <v>0.8067331670822943</v>
      </c>
      <c r="U938" s="37" t="n">
        <v>0.7843137254901961</v>
      </c>
      <c r="V938" s="37" t="n">
        <v>0.81438127090301</v>
      </c>
      <c r="W938" s="37" t="n">
        <v>0.65625</v>
      </c>
    </row>
    <row r="939">
      <c r="A939" s="53" t="n">
        <v>45775</v>
      </c>
      <c r="B939" t="inlineStr">
        <is>
          <t>R05_Jawa Tengah DIY</t>
        </is>
      </c>
      <c r="C939" t="inlineStr">
        <is>
          <t>NOP PURWOKERTO</t>
        </is>
      </c>
      <c r="D939" s="36" t="n">
        <v>3.32</v>
      </c>
      <c r="E939" s="36" t="n">
        <v>0</v>
      </c>
      <c r="F939" s="36" t="n">
        <v>3.84</v>
      </c>
      <c r="G939" s="36" t="n">
        <v>4.85</v>
      </c>
      <c r="H939" s="37" t="n">
        <v>0.7833001988071571</v>
      </c>
      <c r="I939" s="37" t="n">
        <v>0.8085106382978723</v>
      </c>
      <c r="J939" s="37" t="n">
        <v>0.7807017543859649</v>
      </c>
      <c r="K939" s="37" t="n">
        <v>1</v>
      </c>
      <c r="L939" s="37" t="n">
        <v>1</v>
      </c>
      <c r="M939" s="37" t="n">
        <v>0.9761431411530815</v>
      </c>
      <c r="N939" s="37" t="n">
        <v>0.5228628230616302</v>
      </c>
      <c r="O939" s="36" t="n">
        <v>0.54</v>
      </c>
      <c r="P939" s="36" t="n">
        <v>3.81</v>
      </c>
      <c r="Q939" s="36" t="n">
        <v>8.68</v>
      </c>
      <c r="R939" s="36" t="n">
        <v>40.07</v>
      </c>
      <c r="S939" s="36" t="n">
        <v>0</v>
      </c>
      <c r="T939" s="37" t="n">
        <v>0.8074866310160428</v>
      </c>
      <c r="U939" s="37" t="n">
        <v>0.8092105263157895</v>
      </c>
      <c r="V939" s="37" t="n">
        <v>0.8070469798657718</v>
      </c>
      <c r="W939" s="37" t="n">
        <v>0.7723577235772358</v>
      </c>
    </row>
    <row r="940">
      <c r="A940" s="53" t="n">
        <v>45775</v>
      </c>
      <c r="B940" t="inlineStr">
        <is>
          <t>R05_Jawa Tengah DIY</t>
        </is>
      </c>
      <c r="C940" t="inlineStr">
        <is>
          <t>NOP SEMARANG</t>
        </is>
      </c>
      <c r="D940" s="36" t="n">
        <v>2.3</v>
      </c>
      <c r="E940" s="36" t="n">
        <v>1.69</v>
      </c>
      <c r="F940" s="36" t="n">
        <v>3.1</v>
      </c>
      <c r="G940" s="36" t="n">
        <v>4.25</v>
      </c>
      <c r="H940" s="37" t="n">
        <v>0.4193154034229829</v>
      </c>
      <c r="I940" s="37" t="n">
        <v>0.4761904761904762</v>
      </c>
      <c r="J940" s="37" t="n">
        <v>0.4128065395095368</v>
      </c>
      <c r="K940" s="37" t="n">
        <v>1</v>
      </c>
      <c r="L940" s="37" t="n">
        <v>1</v>
      </c>
      <c r="M940" s="37" t="n">
        <v>0.9486552567237164</v>
      </c>
      <c r="N940" s="37" t="n">
        <v>0.2555012224938875</v>
      </c>
      <c r="O940" s="36" t="n">
        <v>0.6</v>
      </c>
      <c r="P940" s="36" t="n">
        <v>6</v>
      </c>
      <c r="Q940" s="36" t="n">
        <v>9.42</v>
      </c>
      <c r="R940" s="36" t="n">
        <v>68.56999999999999</v>
      </c>
      <c r="S940" s="36" t="n">
        <v>0</v>
      </c>
      <c r="T940" s="37" t="n">
        <v>0.7567340067340067</v>
      </c>
      <c r="U940" s="37" t="n">
        <v>0.5229357798165137</v>
      </c>
      <c r="V940" s="37" t="n">
        <v>0.8455284552845529</v>
      </c>
      <c r="W940" s="37" t="n">
        <v>0.8421052631578947</v>
      </c>
    </row>
    <row r="941">
      <c r="A941" s="53" t="n">
        <v>45775</v>
      </c>
      <c r="B941" t="inlineStr">
        <is>
          <t>R05_Jawa Tengah DIY</t>
        </is>
      </c>
      <c r="C941" t="inlineStr">
        <is>
          <t>NOP SURAKARTA</t>
        </is>
      </c>
      <c r="D941" s="36" t="n">
        <v>3.58</v>
      </c>
      <c r="E941" s="36" t="n">
        <v>2.15</v>
      </c>
      <c r="F941" s="36" t="n">
        <v>4.05</v>
      </c>
      <c r="G941" s="36" t="n">
        <v>4.48</v>
      </c>
      <c r="H941" s="37" t="n">
        <v>0.7262313860252004</v>
      </c>
      <c r="I941" s="37" t="n">
        <v>0.8571428571428571</v>
      </c>
      <c r="J941" s="37" t="n">
        <v>0.7096774193548387</v>
      </c>
      <c r="K941" s="37" t="n">
        <v>0.9404761904761905</v>
      </c>
      <c r="L941" s="37" t="n">
        <v>0.9404761904761905</v>
      </c>
      <c r="M941" s="37" t="n">
        <v>0.9702176403207331</v>
      </c>
      <c r="N941" s="37" t="n">
        <v>0.5085910652920962</v>
      </c>
      <c r="O941" s="36" t="n">
        <v>0.13</v>
      </c>
      <c r="P941" s="36" t="n">
        <v>3.76</v>
      </c>
      <c r="Q941" s="36" t="n">
        <v>7.73</v>
      </c>
      <c r="R941" s="36" t="n">
        <v>53.98</v>
      </c>
      <c r="S941" s="36" t="n">
        <v>0</v>
      </c>
      <c r="T941" s="37" t="n">
        <v>0.8138111888111889</v>
      </c>
      <c r="U941" s="37" t="n">
        <v>0.7205387205387206</v>
      </c>
      <c r="V941" s="37" t="n">
        <v>0.846517119244392</v>
      </c>
      <c r="W941" s="37" t="n">
        <v>0.7570093457943925</v>
      </c>
    </row>
    <row r="942">
      <c r="A942" s="53" t="n">
        <v>45775</v>
      </c>
      <c r="B942" t="inlineStr">
        <is>
          <t>R05_Jawa Tengah DIY</t>
        </is>
      </c>
      <c r="C942" t="inlineStr">
        <is>
          <t>NOP YOGYAKARTA</t>
        </is>
      </c>
      <c r="D942" s="36" t="n">
        <v>3.25</v>
      </c>
      <c r="E942" s="36" t="n">
        <v>0.7</v>
      </c>
      <c r="F942" s="36" t="n">
        <v>3.4</v>
      </c>
      <c r="G942" s="36" t="n">
        <v>3.91</v>
      </c>
      <c r="H942" s="37" t="n">
        <v>0.5851063829787234</v>
      </c>
      <c r="I942" s="37" t="n">
        <v>0.8846153846153846</v>
      </c>
      <c r="J942" s="37" t="n">
        <v>0.5546875</v>
      </c>
      <c r="K942" s="37" t="n">
        <v>0.9565217391304348</v>
      </c>
      <c r="L942" s="37" t="n">
        <v>0.9545454545454546</v>
      </c>
      <c r="M942" s="37" t="n">
        <v>0.9875886524822695</v>
      </c>
      <c r="N942" s="37" t="n">
        <v>0.4237588652482269</v>
      </c>
      <c r="O942" s="36" t="n">
        <v>0</v>
      </c>
      <c r="P942" s="36" t="n">
        <v>3.1</v>
      </c>
      <c r="Q942" s="36" t="n">
        <v>15.1</v>
      </c>
      <c r="R942" s="36" t="n">
        <v>42.34</v>
      </c>
      <c r="S942" s="36" t="n">
        <v>0</v>
      </c>
      <c r="T942" s="37" t="n">
        <v>0.9326568265682657</v>
      </c>
      <c r="U942" s="37" t="n">
        <v>0.8359788359788359</v>
      </c>
      <c r="V942" s="37" t="n">
        <v>0.9530726256983241</v>
      </c>
      <c r="W942" s="37" t="n">
        <v>0.9810126582278481</v>
      </c>
    </row>
    <row r="943">
      <c r="A943" s="53" t="n">
        <v>45775</v>
      </c>
      <c r="B943" t="inlineStr">
        <is>
          <t>R06_Jawa Timur</t>
        </is>
      </c>
      <c r="C943" t="inlineStr">
        <is>
          <t>NOP JEMBER</t>
        </is>
      </c>
      <c r="D943" s="36" t="n">
        <v>2.16</v>
      </c>
      <c r="E943" s="36" t="n">
        <v>2.29</v>
      </c>
      <c r="F943" s="36" t="n">
        <v>4.17</v>
      </c>
      <c r="G943" s="36" t="n">
        <v>3.52</v>
      </c>
      <c r="H943" s="37" t="n">
        <v>0.6962962962962963</v>
      </c>
      <c r="I943" s="37" t="n">
        <v>0.6666666666666666</v>
      </c>
      <c r="J943" s="37" t="n">
        <v>0.6987951807228916</v>
      </c>
      <c r="K943" s="37" t="n">
        <v>0.8214285714285714</v>
      </c>
      <c r="L943" s="37" t="n">
        <v>0.8214285714285714</v>
      </c>
      <c r="M943" s="37" t="n">
        <v>0.9814814814814815</v>
      </c>
      <c r="N943" s="37" t="n">
        <v>0.4</v>
      </c>
      <c r="O943" s="36" t="n">
        <v>0</v>
      </c>
      <c r="P943" s="36" t="n">
        <v>3.1</v>
      </c>
      <c r="Q943" s="36" t="n">
        <v>4.92</v>
      </c>
      <c r="R943" s="36" t="n">
        <v>114.28</v>
      </c>
      <c r="S943" s="36" t="n">
        <v>0</v>
      </c>
      <c r="T943" s="37" t="n">
        <v>0.7986206896551724</v>
      </c>
      <c r="U943" s="37" t="n">
        <v>0.7789473684210526</v>
      </c>
      <c r="V943" s="37" t="n">
        <v>0.805607476635514</v>
      </c>
      <c r="W943" s="37" t="n">
        <v>0.7837837837837838</v>
      </c>
    </row>
    <row r="944">
      <c r="A944" s="53" t="n">
        <v>45775</v>
      </c>
      <c r="B944" t="inlineStr">
        <is>
          <t>R06_Jawa Timur</t>
        </is>
      </c>
      <c r="C944" t="inlineStr">
        <is>
          <t>NOP KEDIRI</t>
        </is>
      </c>
      <c r="D944" s="36" t="n">
        <v>1.21</v>
      </c>
      <c r="E944" s="36" t="n">
        <v>1.25</v>
      </c>
      <c r="F944" s="36" t="n">
        <v>3.07</v>
      </c>
      <c r="G944" s="36" t="n">
        <v>2.24</v>
      </c>
      <c r="H944" s="37" t="n">
        <v>0.8821138211382114</v>
      </c>
      <c r="I944" s="37" t="n">
        <v>0.9090909090909091</v>
      </c>
      <c r="J944" s="37" t="n">
        <v>0.8808510638297873</v>
      </c>
      <c r="K944" s="37" t="n">
        <v>0.8</v>
      </c>
      <c r="L944" s="37" t="n">
        <v>0.8</v>
      </c>
      <c r="M944" s="37" t="n">
        <v>1</v>
      </c>
      <c r="N944" s="37" t="n">
        <v>0.6626016260162602</v>
      </c>
      <c r="O944" s="36" t="n">
        <v>0</v>
      </c>
      <c r="P944" s="36" t="n">
        <v>1.99</v>
      </c>
      <c r="Q944" s="36" t="n">
        <v>3.61</v>
      </c>
      <c r="R944" s="36" t="n">
        <v>14.4</v>
      </c>
      <c r="S944" s="36" t="n">
        <v>0</v>
      </c>
      <c r="T944" s="37" t="n">
        <v>0.9560723514211886</v>
      </c>
      <c r="U944" s="37" t="n">
        <v>0.9333333333333333</v>
      </c>
      <c r="V944" s="37" t="n">
        <v>0.9629629629629629</v>
      </c>
      <c r="W944" s="37" t="n">
        <v>0.9047619047619048</v>
      </c>
    </row>
    <row r="945">
      <c r="A945" s="53" t="n">
        <v>45775</v>
      </c>
      <c r="B945" t="inlineStr">
        <is>
          <t>R06_Jawa Timur</t>
        </is>
      </c>
      <c r="C945" t="inlineStr">
        <is>
          <t>NOP LAMONGAN</t>
        </is>
      </c>
      <c r="D945" s="36" t="n">
        <v>1.77</v>
      </c>
      <c r="E945" s="36" t="n">
        <v>1.55</v>
      </c>
      <c r="F945" s="36" t="n">
        <v>3.74</v>
      </c>
      <c r="G945" s="36" t="n">
        <v>3.71</v>
      </c>
      <c r="H945" s="37" t="n">
        <v>0.8484848484848485</v>
      </c>
      <c r="I945" s="37" t="n">
        <v>0.9393939393939394</v>
      </c>
      <c r="J945" s="37" t="n">
        <v>0.8371212121212122</v>
      </c>
      <c r="K945" s="37" t="n">
        <v>0.967741935483871</v>
      </c>
      <c r="L945" s="37" t="n">
        <v>0.967741935483871</v>
      </c>
      <c r="M945" s="37" t="n">
        <v>1</v>
      </c>
      <c r="N945" s="37" t="n">
        <v>0.7474747474747475</v>
      </c>
      <c r="O945" s="36" t="n">
        <v>0</v>
      </c>
      <c r="P945" s="36" t="n">
        <v>2.36</v>
      </c>
      <c r="Q945" s="36" t="n">
        <v>10.58</v>
      </c>
      <c r="R945" s="36" t="n">
        <v>36.83</v>
      </c>
      <c r="S945" s="36" t="n">
        <v>0</v>
      </c>
      <c r="T945" s="37" t="n">
        <v>0.7784090909090909</v>
      </c>
      <c r="U945" s="37" t="n">
        <v>0.6907894736842105</v>
      </c>
      <c r="V945" s="37" t="n">
        <v>0.845</v>
      </c>
      <c r="W945" s="37" t="n">
        <v>0.9047619047619048</v>
      </c>
    </row>
    <row r="946">
      <c r="A946" s="53" t="n">
        <v>45775</v>
      </c>
      <c r="B946" t="inlineStr">
        <is>
          <t>R06_Jawa Timur</t>
        </is>
      </c>
      <c r="C946" t="inlineStr">
        <is>
          <t>NOP MADIUN</t>
        </is>
      </c>
      <c r="D946" s="36" t="n">
        <v>0.63</v>
      </c>
      <c r="E946" s="36" t="n">
        <v>0</v>
      </c>
      <c r="F946" s="36" t="n">
        <v>4.42</v>
      </c>
      <c r="G946" s="36" t="n">
        <v>3.22</v>
      </c>
      <c r="H946" s="37" t="n">
        <v>0.5837988826815642</v>
      </c>
      <c r="I946" s="37" t="n">
        <v>1</v>
      </c>
      <c r="J946" s="37" t="n">
        <v>0.5779036827195467</v>
      </c>
      <c r="K946" s="37" t="n">
        <v>0.8</v>
      </c>
      <c r="L946" s="37" t="n">
        <v>0.8</v>
      </c>
      <c r="M946" s="37" t="n">
        <v>0.9804469273743017</v>
      </c>
      <c r="N946" s="37" t="n">
        <v>0.3435754189944134</v>
      </c>
      <c r="O946" s="36" t="n">
        <v>0</v>
      </c>
      <c r="P946" s="36" t="n">
        <v>2.78</v>
      </c>
      <c r="Q946" s="36" t="n">
        <v>6.33</v>
      </c>
      <c r="R946" s="36" t="n">
        <v>56.6</v>
      </c>
      <c r="S946" s="36" t="n">
        <v>0</v>
      </c>
      <c r="T946" s="37" t="n">
        <v>0.7354596622889306</v>
      </c>
      <c r="U946" s="37" t="n">
        <v>0.7513227513227513</v>
      </c>
      <c r="V946" s="37" t="n">
        <v>0.7267441860465116</v>
      </c>
      <c r="W946" s="37" t="n">
        <v>0.8309859154929577</v>
      </c>
    </row>
    <row r="947">
      <c r="A947" s="53" t="n">
        <v>45775</v>
      </c>
      <c r="B947" t="inlineStr">
        <is>
          <t>R06_Jawa Timur</t>
        </is>
      </c>
      <c r="C947" t="inlineStr">
        <is>
          <t>NOP MALANG</t>
        </is>
      </c>
      <c r="D947" s="36" t="n">
        <v>1.3</v>
      </c>
      <c r="E947" s="36" t="n">
        <v>0</v>
      </c>
      <c r="F947" s="36" t="n">
        <v>2.91</v>
      </c>
      <c r="G947" s="36" t="n">
        <v>2.69</v>
      </c>
      <c r="H947" s="37" t="n">
        <v>0.7869674185463659</v>
      </c>
      <c r="I947" s="37" t="n">
        <v>0.7777777777777778</v>
      </c>
      <c r="J947" s="37" t="n">
        <v>0.7871794871794872</v>
      </c>
      <c r="K947" s="37" t="n">
        <v>1</v>
      </c>
      <c r="L947" s="37" t="n">
        <v>1</v>
      </c>
      <c r="M947" s="37" t="n">
        <v>0.9974937343358395</v>
      </c>
      <c r="N947" s="37" t="n">
        <v>0.7318295739348371</v>
      </c>
      <c r="O947" s="36" t="n">
        <v>0.02</v>
      </c>
      <c r="P947" s="36" t="n">
        <v>2.92</v>
      </c>
      <c r="Q947" s="36" t="n">
        <v>4.33</v>
      </c>
      <c r="R947" s="36" t="n">
        <v>39.64</v>
      </c>
      <c r="S947" s="36" t="n">
        <v>0</v>
      </c>
      <c r="T947" s="37" t="n">
        <v>0.8143712574850299</v>
      </c>
      <c r="U947" s="37" t="n">
        <v>0.7089552238805971</v>
      </c>
      <c r="V947" s="37" t="n">
        <v>0.885</v>
      </c>
      <c r="W947" s="37" t="n">
        <v>0.6105263157894737</v>
      </c>
    </row>
    <row r="948">
      <c r="A948" s="53" t="n">
        <v>45775</v>
      </c>
      <c r="B948" t="inlineStr">
        <is>
          <t>R06_Jawa Timur</t>
        </is>
      </c>
      <c r="C948" t="inlineStr">
        <is>
          <t>NOP SIDOARJO</t>
        </is>
      </c>
      <c r="D948" s="36" t="n">
        <v>2.77</v>
      </c>
      <c r="E948" s="36" t="n">
        <v>5.94</v>
      </c>
      <c r="F948" s="36" t="n">
        <v>3.21</v>
      </c>
      <c r="G948" s="36" t="n">
        <v>5.05</v>
      </c>
      <c r="H948" s="37" t="n">
        <v>0.6143958868894601</v>
      </c>
      <c r="I948" s="37" t="n">
        <v>0.9047619047619048</v>
      </c>
      <c r="J948" s="37" t="n">
        <v>0.579250720461095</v>
      </c>
      <c r="K948" s="37" t="n">
        <v>0.8421052631578947</v>
      </c>
      <c r="L948" s="37" t="n">
        <v>0.8421052631578947</v>
      </c>
      <c r="M948" s="37" t="n">
        <v>0.974293059125964</v>
      </c>
      <c r="N948" s="37" t="n">
        <v>0.4344473007712082</v>
      </c>
      <c r="O948" s="36" t="n">
        <v>0.01</v>
      </c>
      <c r="P948" s="36" t="n">
        <v>3.88</v>
      </c>
      <c r="Q948" s="36" t="n">
        <v>11.46</v>
      </c>
      <c r="R948" s="36" t="n">
        <v>52.66</v>
      </c>
      <c r="S948" s="36" t="n">
        <v>0</v>
      </c>
      <c r="T948" s="37" t="n">
        <v>0.7804878048780488</v>
      </c>
      <c r="U948" s="37" t="n">
        <v>0.66</v>
      </c>
      <c r="V948" s="37" t="n">
        <v>0.8333333333333334</v>
      </c>
      <c r="W948" s="37" t="n">
        <v>0.696969696969697</v>
      </c>
    </row>
    <row r="949">
      <c r="A949" s="53" t="n">
        <v>45775</v>
      </c>
      <c r="B949" t="inlineStr">
        <is>
          <t>R06_Jawa Timur</t>
        </is>
      </c>
      <c r="C949" t="inlineStr">
        <is>
          <t>NOP SURABAYA</t>
        </is>
      </c>
      <c r="D949" s="36" t="n">
        <v>2.25</v>
      </c>
      <c r="E949" s="36" t="n">
        <v>0</v>
      </c>
      <c r="F949" s="36" t="n">
        <v>4.24</v>
      </c>
      <c r="G949" s="36" t="n">
        <v>4.54</v>
      </c>
      <c r="H949" s="37" t="n">
        <v>0.5981818181818181</v>
      </c>
      <c r="I949" s="37" t="n">
        <v>0.5538461538461539</v>
      </c>
      <c r="J949" s="37" t="n">
        <v>0.6041237113402061</v>
      </c>
      <c r="K949" s="37" t="n">
        <v>0.9166666666666666</v>
      </c>
      <c r="L949" s="37" t="n">
        <v>0.9166666666666666</v>
      </c>
      <c r="M949" s="37" t="n">
        <v>0.9636363636363636</v>
      </c>
      <c r="N949" s="37" t="n">
        <v>0.4218181818181818</v>
      </c>
      <c r="O949" s="36" t="n">
        <v>1.22</v>
      </c>
      <c r="P949" s="36" t="n">
        <v>3.37</v>
      </c>
      <c r="Q949" s="36" t="n">
        <v>7.08</v>
      </c>
      <c r="R949" s="36" t="n">
        <v>29.01</v>
      </c>
      <c r="S949" s="36" t="n">
        <v>0</v>
      </c>
      <c r="T949" s="37" t="n">
        <v>0.6626609442060086</v>
      </c>
      <c r="U949" s="37" t="n">
        <v>0.684931506849315</v>
      </c>
      <c r="V949" s="37" t="n">
        <v>0.6575052854122622</v>
      </c>
      <c r="W949" s="37" t="n">
        <v>0.9133333333333333</v>
      </c>
    </row>
    <row r="950">
      <c r="A950" s="53" t="n">
        <v>45775</v>
      </c>
      <c r="B950" t="inlineStr">
        <is>
          <t>R07_Bali Nusra</t>
        </is>
      </c>
      <c r="C950" t="inlineStr">
        <is>
          <t>NOP DENPASAR</t>
        </is>
      </c>
      <c r="D950" s="36" t="n">
        <v>3.05</v>
      </c>
      <c r="E950" s="36" t="n">
        <v>0</v>
      </c>
      <c r="F950" s="36" t="n">
        <v>4.6</v>
      </c>
      <c r="G950" s="36" t="n">
        <v>4.15</v>
      </c>
      <c r="H950" s="37" t="n">
        <v>0.9033232628398792</v>
      </c>
      <c r="I950" s="37" t="n">
        <v>0.8947368421052632</v>
      </c>
      <c r="J950" s="37" t="n">
        <v>0.9051094890510949</v>
      </c>
      <c r="K950" s="37" t="n">
        <v>0.9607843137254902</v>
      </c>
      <c r="L950" s="37" t="n">
        <v>0.9607843137254902</v>
      </c>
      <c r="M950" s="37" t="n">
        <v>0.9697885196374623</v>
      </c>
      <c r="N950" s="37" t="n">
        <v>0.8640483383685801</v>
      </c>
      <c r="O950" s="36" t="n">
        <v>0</v>
      </c>
      <c r="P950" s="36" t="n">
        <v>24.21</v>
      </c>
      <c r="Q950" s="36" t="n">
        <v>20.39</v>
      </c>
      <c r="R950" s="36" t="n">
        <v>82.15000000000001</v>
      </c>
      <c r="S950" s="36" t="n">
        <v>0</v>
      </c>
      <c r="T950" s="37" t="n">
        <v>0.8790199081163859</v>
      </c>
      <c r="U950" s="37" t="n">
        <v>0.8961748633879781</v>
      </c>
      <c r="V950" s="37" t="n">
        <v>0.8723404255319149</v>
      </c>
      <c r="W950" s="37" t="n">
        <v>0.6951219512195121</v>
      </c>
    </row>
    <row r="951">
      <c r="A951" s="53" t="n">
        <v>45775</v>
      </c>
      <c r="B951" t="inlineStr">
        <is>
          <t>R07_Bali Nusra</t>
        </is>
      </c>
      <c r="C951" t="inlineStr">
        <is>
          <t>NOP FLORES</t>
        </is>
      </c>
      <c r="D951" s="36" t="n">
        <v>6.76</v>
      </c>
      <c r="E951" s="36" t="n">
        <v>5.31</v>
      </c>
      <c r="F951" s="36" t="n">
        <v>7.07</v>
      </c>
      <c r="G951" s="36" t="n">
        <v>9.970000000000001</v>
      </c>
      <c r="H951" s="37" t="n">
        <v>0.5512265512265512</v>
      </c>
      <c r="I951" s="37" t="n">
        <v>0.6758893280632411</v>
      </c>
      <c r="J951" s="37" t="n">
        <v>0.5111252383979656</v>
      </c>
      <c r="K951" s="37" t="n">
        <v>0.6345029239766082</v>
      </c>
      <c r="L951" s="37" t="n">
        <v>0.6428571428571429</v>
      </c>
      <c r="M951" s="37" t="n">
        <v>0.9942279942279942</v>
      </c>
      <c r="N951" s="37" t="n">
        <v>0.3496873496873497</v>
      </c>
      <c r="O951" s="36" t="n">
        <v>0.49</v>
      </c>
      <c r="P951" s="36" t="n">
        <v>10.2</v>
      </c>
      <c r="Q951" s="36" t="n">
        <v>7.81</v>
      </c>
      <c r="R951" s="36" t="n">
        <v>46.86</v>
      </c>
      <c r="S951" s="36" t="n">
        <v>0</v>
      </c>
      <c r="T951" s="37" t="n">
        <v>0.5236051502145923</v>
      </c>
      <c r="U951" s="37" t="n">
        <v>0.5639751552795031</v>
      </c>
      <c r="V951" s="37" t="n">
        <v>0.4333333333333333</v>
      </c>
      <c r="W951" s="37" t="n">
        <v>0.6997063142437592</v>
      </c>
    </row>
    <row r="952">
      <c r="A952" s="53" t="n">
        <v>45775</v>
      </c>
      <c r="B952" t="inlineStr">
        <is>
          <t>R07_Bali Nusra</t>
        </is>
      </c>
      <c r="C952" t="inlineStr">
        <is>
          <t>NOP KUPANG</t>
        </is>
      </c>
      <c r="D952" s="36" t="n">
        <v>1.18</v>
      </c>
      <c r="E952" s="36" t="n">
        <v>5.72</v>
      </c>
      <c r="F952" s="36" t="n">
        <v>9.529999999999999</v>
      </c>
      <c r="G952" s="36" t="n">
        <v>12.39</v>
      </c>
      <c r="H952" s="37" t="n">
        <v>0.4993084370677732</v>
      </c>
      <c r="I952" s="37" t="n">
        <v>0.6441441441441441</v>
      </c>
      <c r="J952" s="37" t="n">
        <v>0.4730392156862745</v>
      </c>
      <c r="K952" s="37" t="n">
        <v>0.6993006993006993</v>
      </c>
      <c r="L952" s="37" t="n">
        <v>0.697841726618705</v>
      </c>
      <c r="M952" s="37" t="n">
        <v>0.9806362378976486</v>
      </c>
      <c r="N952" s="37" t="n">
        <v>0.2067773167358229</v>
      </c>
      <c r="O952" s="36" t="n">
        <v>0.18</v>
      </c>
      <c r="P952" s="36" t="n">
        <v>8.289999999999999</v>
      </c>
      <c r="Q952" s="36" t="n">
        <v>18.45</v>
      </c>
      <c r="R952" s="36" t="n">
        <v>171.57</v>
      </c>
      <c r="S952" s="36" t="n">
        <v>0</v>
      </c>
      <c r="T952" s="37" t="n">
        <v>0.602589641434263</v>
      </c>
      <c r="U952" s="37" t="n">
        <v>0.6006441223832528</v>
      </c>
      <c r="V952" s="37" t="n">
        <v>0.6057441253263708</v>
      </c>
      <c r="W952" s="37" t="n">
        <v>0.7104557640750671</v>
      </c>
    </row>
    <row r="953">
      <c r="A953" s="53" t="n">
        <v>45775</v>
      </c>
      <c r="B953" t="inlineStr">
        <is>
          <t>R07_Bali Nusra</t>
        </is>
      </c>
      <c r="C953" t="inlineStr">
        <is>
          <t>NOP MATARAM</t>
        </is>
      </c>
      <c r="D953" s="36" t="n">
        <v>3.13</v>
      </c>
      <c r="E953" s="36" t="n">
        <v>4.99</v>
      </c>
      <c r="F953" s="36" t="n">
        <v>4.72</v>
      </c>
      <c r="G953" s="36" t="n">
        <v>5.9</v>
      </c>
      <c r="H953" s="37" t="n">
        <v>0.541095890410959</v>
      </c>
      <c r="I953" s="37" t="n">
        <v>0.6526315789473685</v>
      </c>
      <c r="J953" s="37" t="n">
        <v>0.5244094488188976</v>
      </c>
      <c r="K953" s="37" t="n">
        <v>0.7258064516129032</v>
      </c>
      <c r="L953" s="37" t="n">
        <v>0.7258064516129032</v>
      </c>
      <c r="M953" s="37" t="n">
        <v>0.9904109589041096</v>
      </c>
      <c r="N953" s="37" t="n">
        <v>0.3356164383561644</v>
      </c>
      <c r="O953" s="36" t="n">
        <v>0.9399999999999999</v>
      </c>
      <c r="P953" s="36" t="n">
        <v>23.82</v>
      </c>
      <c r="Q953" s="36" t="n">
        <v>19.29</v>
      </c>
      <c r="R953" s="36" t="n">
        <v>73.73999999999999</v>
      </c>
      <c r="S953" s="36" t="n">
        <v>0</v>
      </c>
      <c r="T953" s="37" t="n">
        <v>0.3911052975801178</v>
      </c>
      <c r="U953" s="37" t="n">
        <v>0.411504424778761</v>
      </c>
      <c r="V953" s="37" t="n">
        <v>0.3616</v>
      </c>
      <c r="W953" s="37" t="n">
        <v>0.6317204301075269</v>
      </c>
    </row>
    <row r="954">
      <c r="A954" s="53" t="n">
        <v>45776</v>
      </c>
      <c r="B954" t="inlineStr">
        <is>
          <t>R01_Sumbagut</t>
        </is>
      </c>
      <c r="C954" t="inlineStr">
        <is>
          <t>NOP ACEH</t>
        </is>
      </c>
      <c r="D954" s="36" t="n">
        <v>3.68</v>
      </c>
      <c r="E954" s="36" t="n">
        <v>4.26</v>
      </c>
      <c r="F954" s="36" t="n">
        <v>8.67</v>
      </c>
      <c r="G954" s="36" t="n">
        <v>10.02</v>
      </c>
      <c r="H954" s="37" t="n">
        <v>0.8401093269559275</v>
      </c>
      <c r="I954" s="37" t="n">
        <v>0.8263888888888888</v>
      </c>
      <c r="J954" s="37" t="n">
        <v>0.8445854100589035</v>
      </c>
      <c r="K954" s="37" t="n">
        <v>0.4218487394957983</v>
      </c>
      <c r="L954" s="37" t="n">
        <v>0.423728813559322</v>
      </c>
      <c r="M954" s="37" t="n">
        <v>0.9996583532627263</v>
      </c>
      <c r="N954" s="37" t="n">
        <v>0.3194396993508712</v>
      </c>
      <c r="O954" s="36" t="n">
        <v>0.06</v>
      </c>
      <c r="P954" s="36" t="n">
        <v>4.87</v>
      </c>
      <c r="Q954" s="36" t="n">
        <v>67.95999999999999</v>
      </c>
      <c r="R954" s="36" t="n">
        <v>128.63</v>
      </c>
      <c r="S954" s="36" t="n">
        <v>0</v>
      </c>
      <c r="T954" s="37" t="n">
        <v>0.8728312302839116</v>
      </c>
      <c r="U954" s="37" t="n">
        <v>0.7207465900933238</v>
      </c>
      <c r="V954" s="37" t="n">
        <v>0.899342029320097</v>
      </c>
      <c r="W954" s="37" t="n">
        <v>0.2181274900398406</v>
      </c>
    </row>
    <row r="955">
      <c r="A955" s="53" t="n">
        <v>45776</v>
      </c>
      <c r="B955" t="inlineStr">
        <is>
          <t>R01_Sumbagut</t>
        </is>
      </c>
      <c r="C955" t="inlineStr">
        <is>
          <t>NOP BINJAI</t>
        </is>
      </c>
      <c r="D955" s="36" t="n">
        <v>9.9</v>
      </c>
      <c r="E955" s="36" t="n">
        <v>4.06</v>
      </c>
      <c r="F955" s="36" t="n">
        <v>4.35</v>
      </c>
      <c r="G955" s="36" t="n">
        <v>4.27</v>
      </c>
      <c r="H955" s="37" t="n">
        <v>0.6456752655538694</v>
      </c>
      <c r="I955" s="37" t="n">
        <v>0.7627118644067796</v>
      </c>
      <c r="J955" s="37" t="n">
        <v>0.6119257086999023</v>
      </c>
      <c r="K955" s="37" t="n">
        <v>0.5422222222222223</v>
      </c>
      <c r="L955" s="37" t="n">
        <v>0.5401785714285714</v>
      </c>
      <c r="M955" s="37" t="n">
        <v>1</v>
      </c>
      <c r="N955" s="37" t="n">
        <v>0.3573596358118361</v>
      </c>
      <c r="O955" s="36" t="n">
        <v>0.02</v>
      </c>
      <c r="P955" s="36" t="n">
        <v>2.69</v>
      </c>
      <c r="Q955" s="36" t="n">
        <v>34.4</v>
      </c>
      <c r="R955" s="36" t="n">
        <v>117.56</v>
      </c>
      <c r="S955" s="36" t="n">
        <v>0</v>
      </c>
      <c r="T955" s="37" t="n">
        <v>0.6675461741424802</v>
      </c>
      <c r="U955" s="37" t="n">
        <v>0.5593434343434344</v>
      </c>
      <c r="V955" s="37" t="n">
        <v>0.7339080459770115</v>
      </c>
      <c r="W955" s="37" t="n">
        <v>0.5643340857787811</v>
      </c>
    </row>
    <row r="956">
      <c r="A956" s="53" t="n">
        <v>45776</v>
      </c>
      <c r="B956" t="inlineStr">
        <is>
          <t>R01_Sumbagut</t>
        </is>
      </c>
      <c r="C956" t="inlineStr">
        <is>
          <t>NOP MEDAN</t>
        </is>
      </c>
      <c r="D956" s="36" t="n">
        <v>5.2</v>
      </c>
      <c r="E956" s="36" t="n">
        <v>4.09</v>
      </c>
      <c r="F956" s="36" t="n">
        <v>4.68</v>
      </c>
      <c r="G956" s="36" t="n">
        <v>5.06</v>
      </c>
      <c r="H956" s="37" t="n">
        <v>0.4008683068017366</v>
      </c>
      <c r="I956" s="37" t="n">
        <v>0.4748858447488584</v>
      </c>
      <c r="J956" s="37" t="n">
        <v>0.3665254237288136</v>
      </c>
      <c r="K956" s="37" t="n">
        <v>0.7932692307692307</v>
      </c>
      <c r="L956" s="37" t="n">
        <v>0.7961165048543689</v>
      </c>
      <c r="M956" s="37" t="n">
        <v>0.9978292329956585</v>
      </c>
      <c r="N956" s="37" t="n">
        <v>0.2496382054992764</v>
      </c>
      <c r="O956" s="36" t="n">
        <v>0</v>
      </c>
      <c r="P956" s="36" t="n">
        <v>5.32</v>
      </c>
      <c r="Q956" s="36" t="n">
        <v>19.39</v>
      </c>
      <c r="R956" s="36" t="n">
        <v>8.83</v>
      </c>
      <c r="S956" s="36" t="n">
        <v>0</v>
      </c>
      <c r="T956" s="37" t="n">
        <v>0.3267882187938289</v>
      </c>
      <c r="U956" s="37" t="n">
        <v>0.2063492063492063</v>
      </c>
      <c r="V956" s="37" t="n">
        <v>0.4004259850905219</v>
      </c>
      <c r="W956" s="37" t="n">
        <v>0.8461538461538461</v>
      </c>
    </row>
    <row r="957">
      <c r="A957" s="53" t="n">
        <v>45776</v>
      </c>
      <c r="B957" t="inlineStr">
        <is>
          <t>R01_Sumbagut</t>
        </is>
      </c>
      <c r="C957" t="inlineStr">
        <is>
          <t>NOP PADANG SIDEMPUAN</t>
        </is>
      </c>
      <c r="D957" s="36" t="n">
        <v>3.08</v>
      </c>
      <c r="E957" s="36" t="n">
        <v>4.21</v>
      </c>
      <c r="F957" s="36" t="n">
        <v>4.93</v>
      </c>
      <c r="G957" s="36" t="n">
        <v>6.49</v>
      </c>
      <c r="H957" s="37" t="n">
        <v>0.2956252761820592</v>
      </c>
      <c r="I957" s="37" t="n">
        <v>0.4426751592356688</v>
      </c>
      <c r="J957" s="37" t="n">
        <v>0.2719343252950231</v>
      </c>
      <c r="K957" s="37" t="n">
        <v>0.4532374100719425</v>
      </c>
      <c r="L957" s="37" t="n">
        <v>0.4532374100719425</v>
      </c>
      <c r="M957" s="37" t="n">
        <v>0.9942554131683606</v>
      </c>
      <c r="N957" s="37" t="n">
        <v>0.1246133451171012</v>
      </c>
      <c r="O957" s="36" t="n">
        <v>0.01</v>
      </c>
      <c r="P957" s="36" t="n">
        <v>2.65</v>
      </c>
      <c r="Q957" s="36" t="n">
        <v>12.34</v>
      </c>
      <c r="R957" s="36" t="n">
        <v>98.81999999999999</v>
      </c>
      <c r="S957" s="36" t="n">
        <v>0</v>
      </c>
      <c r="T957" s="37" t="n">
        <v>0.2917888563049854</v>
      </c>
      <c r="U957" s="37" t="n">
        <v>0.4169491525423729</v>
      </c>
      <c r="V957" s="37" t="n">
        <v>0.2507433102081268</v>
      </c>
      <c r="W957" s="37" t="n">
        <v>0.4692218350754936</v>
      </c>
    </row>
    <row r="958">
      <c r="A958" s="53" t="n">
        <v>45776</v>
      </c>
      <c r="B958" t="inlineStr">
        <is>
          <t>R01_Sumbagut</t>
        </is>
      </c>
      <c r="C958" t="inlineStr">
        <is>
          <t>NOP PEMATANG SIANTAR</t>
        </is>
      </c>
      <c r="D958" s="36" t="n">
        <v>3.66</v>
      </c>
      <c r="E958" s="36" t="n">
        <v>4.13</v>
      </c>
      <c r="F958" s="36" t="n">
        <v>5.51</v>
      </c>
      <c r="G958" s="36" t="n">
        <v>5.25</v>
      </c>
      <c r="H958" s="37" t="n">
        <v>0.3335417317911847</v>
      </c>
      <c r="I958" s="37" t="n">
        <v>0.3776070252469814</v>
      </c>
      <c r="J958" s="37" t="n">
        <v>0.3159965034965035</v>
      </c>
      <c r="K958" s="37" t="n">
        <v>0.6744186046511628</v>
      </c>
      <c r="L958" s="37" t="n">
        <v>0.6796407185628742</v>
      </c>
      <c r="M958" s="37" t="n">
        <v>0.9959362300718975</v>
      </c>
      <c r="N958" s="37" t="n">
        <v>0.1888090028133792</v>
      </c>
      <c r="O958" s="36" t="n">
        <v>0.03</v>
      </c>
      <c r="P958" s="36" t="n">
        <v>4.45</v>
      </c>
      <c r="Q958" s="36" t="n">
        <v>68.31999999999999</v>
      </c>
      <c r="R958" s="36" t="n">
        <v>72.84999999999999</v>
      </c>
      <c r="S958" s="36" t="n">
        <v>0</v>
      </c>
      <c r="T958" s="37" t="n">
        <v>0.1134705195563339</v>
      </c>
      <c r="U958" s="37" t="n">
        <v>0.3278560250391236</v>
      </c>
      <c r="V958" s="37" t="n">
        <v>0.08950366151342555</v>
      </c>
      <c r="W958" s="37" t="n">
        <v>0.8496420047732697</v>
      </c>
    </row>
    <row r="959">
      <c r="A959" s="53" t="n">
        <v>45776</v>
      </c>
      <c r="B959" t="inlineStr">
        <is>
          <t>R01_Sumbagut</t>
        </is>
      </c>
      <c r="C959" t="inlineStr">
        <is>
          <t>NOP RANTAU PRAPAT</t>
        </is>
      </c>
      <c r="D959" s="36" t="n">
        <v>4.28</v>
      </c>
      <c r="E959" s="36" t="n">
        <v>6.19</v>
      </c>
      <c r="F959" s="36" t="n">
        <v>5.64</v>
      </c>
      <c r="G959" s="36" t="n">
        <v>5.26</v>
      </c>
      <c r="H959" s="37" t="n">
        <v>0.3013754875795525</v>
      </c>
      <c r="I959" s="37" t="n">
        <v>0.318562874251497</v>
      </c>
      <c r="J959" s="37" t="n">
        <v>0.2978196233894945</v>
      </c>
      <c r="K959" s="37" t="n">
        <v>0.6390977443609023</v>
      </c>
      <c r="L959" s="37" t="n">
        <v>0.6415094339622641</v>
      </c>
      <c r="M959" s="37" t="n">
        <v>0.9907616505850955</v>
      </c>
      <c r="N959" s="37" t="n">
        <v>0.174707452268528</v>
      </c>
      <c r="O959" s="36" t="n">
        <v>0.03</v>
      </c>
      <c r="P959" s="36" t="n">
        <v>4.39</v>
      </c>
      <c r="Q959" s="36" t="n">
        <v>36.43</v>
      </c>
      <c r="R959" s="36" t="n">
        <v>50.67</v>
      </c>
      <c r="S959" s="36" t="n">
        <v>0</v>
      </c>
      <c r="T959" s="37" t="n">
        <v>0.06955505999787619</v>
      </c>
      <c r="U959" s="37" t="n">
        <v>0.1683501683501684</v>
      </c>
      <c r="V959" s="37" t="n">
        <v>0.04793658782083543</v>
      </c>
      <c r="W959" s="37" t="n">
        <v>0.625</v>
      </c>
    </row>
    <row r="960">
      <c r="A960" s="53" t="n">
        <v>45776</v>
      </c>
      <c r="B960" t="inlineStr">
        <is>
          <t>R10_Sumbagteng</t>
        </is>
      </c>
      <c r="C960" t="inlineStr">
        <is>
          <t>NOP BATAM</t>
        </is>
      </c>
      <c r="D960" s="36" t="n">
        <v>3.7</v>
      </c>
      <c r="E960" s="36" t="n">
        <v>10.35</v>
      </c>
      <c r="F960" s="36" t="n">
        <v>6.88</v>
      </c>
      <c r="G960" s="36" t="n">
        <v>9.77</v>
      </c>
      <c r="H960" s="37" t="n">
        <v>0.2795373175433765</v>
      </c>
      <c r="I960" s="37" t="n">
        <v>0.3085106382978723</v>
      </c>
      <c r="J960" s="37" t="n">
        <v>0.2731247897746384</v>
      </c>
      <c r="K960" s="37" t="n">
        <v>0.6108374384236454</v>
      </c>
      <c r="L960" s="37" t="n">
        <v>0.6262626262626263</v>
      </c>
      <c r="M960" s="37" t="n">
        <v>0.9936656568438447</v>
      </c>
      <c r="N960" s="37" t="n">
        <v>0.1757091710272652</v>
      </c>
      <c r="O960" s="36" t="n">
        <v>0.13</v>
      </c>
      <c r="P960" s="36" t="n">
        <v>5.42</v>
      </c>
      <c r="Q960" s="36" t="n">
        <v>35.12</v>
      </c>
      <c r="R960" s="36" t="n">
        <v>22.71</v>
      </c>
      <c r="S960" s="36" t="n">
        <v>0</v>
      </c>
      <c r="T960" s="37" t="n">
        <v>0.08080059303187546</v>
      </c>
      <c r="U960" s="37" t="n">
        <v>0.229706390328152</v>
      </c>
      <c r="V960" s="37" t="n">
        <v>0.05525829360832766</v>
      </c>
      <c r="W960" s="37" t="n">
        <v>0.8045112781954887</v>
      </c>
    </row>
    <row r="961">
      <c r="A961" s="53" t="n">
        <v>45776</v>
      </c>
      <c r="B961" t="inlineStr">
        <is>
          <t>R10_Sumbagteng</t>
        </is>
      </c>
      <c r="C961" t="inlineStr">
        <is>
          <t>NOP BUKITTINGGI</t>
        </is>
      </c>
      <c r="D961" s="36" t="n">
        <v>2.55</v>
      </c>
      <c r="E961" s="36" t="n">
        <v>4.39</v>
      </c>
      <c r="F961" s="36" t="n">
        <v>5.02</v>
      </c>
      <c r="G961" s="36" t="n">
        <v>5.88</v>
      </c>
      <c r="H961" s="37" t="n">
        <v>0.7552395209580839</v>
      </c>
      <c r="I961" s="37" t="n">
        <v>0.8364779874213837</v>
      </c>
      <c r="J961" s="37" t="n">
        <v>0.7298624754420432</v>
      </c>
      <c r="K961" s="37" t="n">
        <v>0.6578947368421053</v>
      </c>
      <c r="L961" s="37" t="n">
        <v>0.6730769230769231</v>
      </c>
      <c r="M961" s="37" t="n">
        <v>0.9902694610778443</v>
      </c>
      <c r="N961" s="37" t="n">
        <v>0.4663173652694611</v>
      </c>
      <c r="O961" s="36" t="n">
        <v>0.06</v>
      </c>
      <c r="P961" s="36" t="n">
        <v>3.39</v>
      </c>
      <c r="Q961" s="36" t="n">
        <v>13.03</v>
      </c>
      <c r="R961" s="36" t="n">
        <v>99.53</v>
      </c>
      <c r="S961" s="36" t="n">
        <v>0</v>
      </c>
      <c r="T961" s="37" t="n">
        <v>0.2857142857142857</v>
      </c>
      <c r="U961" s="37" t="n">
        <v>0.7960992907801419</v>
      </c>
      <c r="V961" s="37" t="n">
        <v>0.2443729903536977</v>
      </c>
      <c r="W961" s="37" t="n">
        <v>0.579064587973274</v>
      </c>
    </row>
    <row r="962">
      <c r="A962" s="53" t="n">
        <v>45776</v>
      </c>
      <c r="B962" t="inlineStr">
        <is>
          <t>R10_Sumbagteng</t>
        </is>
      </c>
      <c r="C962" t="inlineStr">
        <is>
          <t>NOP DUMAI</t>
        </is>
      </c>
      <c r="D962" s="36" t="n">
        <v>5.04</v>
      </c>
      <c r="E962" s="36" t="n">
        <v>5.58</v>
      </c>
      <c r="F962" s="36" t="n">
        <v>5.76</v>
      </c>
      <c r="G962" s="36" t="n">
        <v>7.48</v>
      </c>
      <c r="H962" s="37" t="n">
        <v>0.4286279944565433</v>
      </c>
      <c r="I962" s="37" t="n">
        <v>0.5291997116077866</v>
      </c>
      <c r="J962" s="37" t="n">
        <v>0.3905567685589519</v>
      </c>
      <c r="K962" s="37" t="n">
        <v>0.7370572207084468</v>
      </c>
      <c r="L962" s="37" t="n">
        <v>0.7460545193687231</v>
      </c>
      <c r="M962" s="37" t="n">
        <v>0.9784201148287468</v>
      </c>
      <c r="N962" s="37" t="n">
        <v>0.2536131459117006</v>
      </c>
      <c r="O962" s="36" t="n">
        <v>0.17</v>
      </c>
      <c r="P962" s="36" t="n">
        <v>4.65</v>
      </c>
      <c r="Q962" s="36" t="n">
        <v>57.83</v>
      </c>
      <c r="R962" s="36" t="n">
        <v>129.13</v>
      </c>
      <c r="S962" s="36" t="n">
        <v>0</v>
      </c>
      <c r="T962" s="37" t="n">
        <v>0.2989817957420549</v>
      </c>
      <c r="U962" s="37" t="n">
        <v>0.3522782949534542</v>
      </c>
      <c r="V962" s="37" t="n">
        <v>0.2962202136400986</v>
      </c>
      <c r="W962" s="37" t="n">
        <v>0.9346314325452016</v>
      </c>
    </row>
    <row r="963">
      <c r="A963" s="53" t="n">
        <v>45776</v>
      </c>
      <c r="B963" t="inlineStr">
        <is>
          <t>R10_Sumbagteng</t>
        </is>
      </c>
      <c r="C963" t="inlineStr">
        <is>
          <t>NOP PADANG</t>
        </is>
      </c>
      <c r="D963" s="36" t="n">
        <v>3.66</v>
      </c>
      <c r="E963" s="36" t="n">
        <v>2.75</v>
      </c>
      <c r="F963" s="36" t="n">
        <v>6.32</v>
      </c>
      <c r="G963" s="36" t="n">
        <v>6.74</v>
      </c>
      <c r="H963" s="37" t="n">
        <v>0.7443381982888777</v>
      </c>
      <c r="I963" s="37" t="n">
        <v>0.7112970711297071</v>
      </c>
      <c r="J963" s="37" t="n">
        <v>0.7488558352402745</v>
      </c>
      <c r="K963" s="37" t="n">
        <v>0.5058823529411764</v>
      </c>
      <c r="L963" s="37" t="n">
        <v>0.5058823529411764</v>
      </c>
      <c r="M963" s="37" t="n">
        <v>0.9854051333668847</v>
      </c>
      <c r="N963" s="37" t="n">
        <v>0.2873678912934072</v>
      </c>
      <c r="O963" s="36" t="n">
        <v>0.06</v>
      </c>
      <c r="P963" s="36" t="n">
        <v>4.74</v>
      </c>
      <c r="Q963" s="36" t="n">
        <v>35.41</v>
      </c>
      <c r="R963" s="36" t="n">
        <v>61.25</v>
      </c>
      <c r="S963" s="36" t="n">
        <v>0</v>
      </c>
      <c r="T963" s="37" t="n">
        <v>0.7651318633808906</v>
      </c>
      <c r="U963" s="37" t="n">
        <v>0.6798839458413927</v>
      </c>
      <c r="V963" s="37" t="n">
        <v>0.7784195649502273</v>
      </c>
      <c r="W963" s="37" t="n">
        <v>0.5263157894736842</v>
      </c>
    </row>
    <row r="964">
      <c r="A964" s="53" t="n">
        <v>45776</v>
      </c>
      <c r="B964" t="inlineStr">
        <is>
          <t>R10_Sumbagteng</t>
        </is>
      </c>
      <c r="C964" t="inlineStr">
        <is>
          <t>NOP PEKANBARU</t>
        </is>
      </c>
      <c r="D964" s="36" t="n">
        <v>5.5</v>
      </c>
      <c r="E964" s="36" t="n">
        <v>5.91</v>
      </c>
      <c r="F964" s="36" t="n">
        <v>5.52</v>
      </c>
      <c r="G964" s="36" t="n">
        <v>7.52</v>
      </c>
      <c r="H964" s="37" t="n">
        <v>0.4202840568113623</v>
      </c>
      <c r="I964" s="37" t="n">
        <v>0.530373831775701</v>
      </c>
      <c r="J964" s="37" t="n">
        <v>0.3975380159304852</v>
      </c>
      <c r="K964" s="37" t="n">
        <v>0.7444933920704846</v>
      </c>
      <c r="L964" s="37" t="n">
        <v>0.7488888888888889</v>
      </c>
      <c r="M964" s="37" t="n">
        <v>0.988997799559912</v>
      </c>
      <c r="N964" s="37" t="n">
        <v>0.2316463292658532</v>
      </c>
      <c r="O964" s="36" t="n">
        <v>0.02</v>
      </c>
      <c r="P964" s="36" t="n">
        <v>3.4</v>
      </c>
      <c r="Q964" s="36" t="n">
        <v>47.98</v>
      </c>
      <c r="R964" s="36" t="n">
        <v>99.7</v>
      </c>
      <c r="S964" s="36" t="n">
        <v>0</v>
      </c>
      <c r="T964" s="37" t="n">
        <v>0.3045956537228358</v>
      </c>
      <c r="U964" s="37" t="n">
        <v>0.3188347964884278</v>
      </c>
      <c r="V964" s="37" t="n">
        <v>0.3090941898231686</v>
      </c>
      <c r="W964" s="37" t="n">
        <v>0.8285356695869838</v>
      </c>
    </row>
    <row r="965">
      <c r="A965" s="53" t="n">
        <v>45776</v>
      </c>
      <c r="B965" t="inlineStr">
        <is>
          <t>R02_Sumbagsel</t>
        </is>
      </c>
      <c r="C965" t="inlineStr">
        <is>
          <t>NOP BENGKULU</t>
        </is>
      </c>
      <c r="D965" s="36" t="n">
        <v>2.44</v>
      </c>
      <c r="E965" s="36" t="n">
        <v>5.01</v>
      </c>
      <c r="F965" s="36" t="n">
        <v>5.21</v>
      </c>
      <c r="G965" s="36" t="n">
        <v>6.58</v>
      </c>
      <c r="H965" s="37" t="n">
        <v>0.3444476659901421</v>
      </c>
      <c r="I965" s="37" t="n">
        <v>0.4243070362473347</v>
      </c>
      <c r="J965" s="37" t="n">
        <v>0.314615690959777</v>
      </c>
      <c r="K965" s="37" t="n">
        <v>0.5879396984924623</v>
      </c>
      <c r="L965" s="37" t="n">
        <v>0.6223404255319149</v>
      </c>
      <c r="M965" s="37" t="n">
        <v>0.9875326181501884</v>
      </c>
      <c r="N965" s="37" t="n">
        <v>0.1739634676717889</v>
      </c>
      <c r="O965" s="36" t="n">
        <v>0</v>
      </c>
      <c r="P965" s="36" t="n">
        <v>6.57</v>
      </c>
      <c r="Q965" s="36" t="n">
        <v>7.17</v>
      </c>
      <c r="R965" s="36" t="n">
        <v>10.99</v>
      </c>
      <c r="S965" s="36" t="n">
        <v>0</v>
      </c>
      <c r="T965" s="37" t="n">
        <v>0.4453809844908969</v>
      </c>
      <c r="U965" s="37" t="n">
        <v>0.3793191056910569</v>
      </c>
      <c r="V965" s="37" t="n">
        <v>0.5967320261437908</v>
      </c>
      <c r="W965" s="37" t="n">
        <v>0.8727394507702613</v>
      </c>
    </row>
    <row r="966">
      <c r="A966" s="53" t="n">
        <v>45776</v>
      </c>
      <c r="B966" t="inlineStr">
        <is>
          <t>R02_Sumbagsel</t>
        </is>
      </c>
      <c r="C966" t="inlineStr">
        <is>
          <t>NOP JAMBI</t>
        </is>
      </c>
      <c r="D966" s="36" t="n">
        <v>3.68</v>
      </c>
      <c r="E966" s="36" t="n">
        <v>6.29</v>
      </c>
      <c r="F966" s="36" t="n">
        <v>5.83</v>
      </c>
      <c r="G966" s="36" t="n">
        <v>8.06</v>
      </c>
      <c r="H966" s="37" t="n">
        <v>0.5430336599914785</v>
      </c>
      <c r="I966" s="37" t="n">
        <v>0.5884401114206128</v>
      </c>
      <c r="J966" s="37" t="n">
        <v>0.5230202578268877</v>
      </c>
      <c r="K966" s="37" t="n">
        <v>0.6319526627218935</v>
      </c>
      <c r="L966" s="37" t="n">
        <v>0.6479902557856273</v>
      </c>
      <c r="M966" s="37" t="n">
        <v>0.9968044311887516</v>
      </c>
      <c r="N966" s="37" t="n">
        <v>0.2778014486578611</v>
      </c>
      <c r="O966" s="36" t="n">
        <v>0</v>
      </c>
      <c r="P966" s="36" t="n">
        <v>8.029999999999999</v>
      </c>
      <c r="Q966" s="36" t="n">
        <v>18.91</v>
      </c>
      <c r="R966" s="36" t="n">
        <v>18</v>
      </c>
      <c r="S966" s="36" t="n">
        <v>0</v>
      </c>
      <c r="T966" s="37" t="n">
        <v>0.6271161048689139</v>
      </c>
      <c r="U966" s="37" t="n">
        <v>0.6104441776710684</v>
      </c>
      <c r="V966" s="37" t="n">
        <v>0.6591405680990532</v>
      </c>
      <c r="W966" s="37" t="n">
        <v>0.7502458210422812</v>
      </c>
    </row>
    <row r="967">
      <c r="A967" s="53" t="n">
        <v>45776</v>
      </c>
      <c r="B967" t="inlineStr">
        <is>
          <t>R02_Sumbagsel</t>
        </is>
      </c>
      <c r="C967" t="inlineStr">
        <is>
          <t>NOP LAMPUNG</t>
        </is>
      </c>
      <c r="D967" s="36" t="n">
        <v>3.84</v>
      </c>
      <c r="E967" s="36" t="n">
        <v>4.59</v>
      </c>
      <c r="F967" s="36" t="n">
        <v>4.58</v>
      </c>
      <c r="G967" s="36" t="n">
        <v>4.98</v>
      </c>
      <c r="H967" s="37" t="n">
        <v>0.5319784817692768</v>
      </c>
      <c r="I967" s="37" t="n">
        <v>0.6951219512195121</v>
      </c>
      <c r="J967" s="37" t="n">
        <v>0.4790182106096595</v>
      </c>
      <c r="K967" s="37" t="n">
        <v>0.7087719298245614</v>
      </c>
      <c r="L967" s="37" t="n">
        <v>0.7067137809187279</v>
      </c>
      <c r="M967" s="37" t="n">
        <v>0.9982068141063957</v>
      </c>
      <c r="N967" s="37" t="n">
        <v>0.3442916915720263</v>
      </c>
      <c r="O967" s="36" t="n">
        <v>1.12</v>
      </c>
      <c r="P967" s="36" t="n">
        <v>5.99</v>
      </c>
      <c r="Q967" s="36" t="n">
        <v>5.86</v>
      </c>
      <c r="R967" s="36" t="n">
        <v>26.5</v>
      </c>
      <c r="S967" s="36" t="n">
        <v>0</v>
      </c>
      <c r="T967" s="37" t="n">
        <v>0.8969026548672566</v>
      </c>
      <c r="U967" s="37" t="n">
        <v>0.7933212996389891</v>
      </c>
      <c r="V967" s="37" t="n">
        <v>0.947221359826141</v>
      </c>
      <c r="W967" s="37" t="n">
        <v>0.8543799772468714</v>
      </c>
    </row>
    <row r="968">
      <c r="A968" s="53" t="n">
        <v>45776</v>
      </c>
      <c r="B968" t="inlineStr">
        <is>
          <t>R02_Sumbagsel</t>
        </is>
      </c>
      <c r="C968" t="inlineStr">
        <is>
          <t>NOP MUARA ENIM</t>
        </is>
      </c>
      <c r="D968" s="36" t="n">
        <v>3.31</v>
      </c>
      <c r="E968" s="36" t="n">
        <v>3.72</v>
      </c>
      <c r="F968" s="36" t="n">
        <v>5.3</v>
      </c>
      <c r="G968" s="36" t="n">
        <v>5.28</v>
      </c>
      <c r="H968" s="37" t="n">
        <v>0.3919652551574376</v>
      </c>
      <c r="I968" s="37" t="n">
        <v>0.3447058823529412</v>
      </c>
      <c r="J968" s="37" t="n">
        <v>0.4026631158455393</v>
      </c>
      <c r="K968" s="37" t="n">
        <v>0.5426621160409556</v>
      </c>
      <c r="L968" s="37" t="n">
        <v>0.575091575091575</v>
      </c>
      <c r="M968" s="37" t="n">
        <v>0.9758957654723127</v>
      </c>
      <c r="N968" s="37" t="n">
        <v>0.1735070575461455</v>
      </c>
      <c r="O968" s="36" t="n">
        <v>0</v>
      </c>
      <c r="P968" s="36" t="n">
        <v>4.61</v>
      </c>
      <c r="Q968" s="36" t="n">
        <v>6.54</v>
      </c>
      <c r="R968" s="36" t="n">
        <v>8.93</v>
      </c>
      <c r="S968" s="36" t="n">
        <v>0</v>
      </c>
      <c r="T968" s="37" t="n">
        <v>0.4497061873487729</v>
      </c>
      <c r="U968" s="37" t="n">
        <v>0.457516339869281</v>
      </c>
      <c r="V968" s="37" t="n">
        <v>0.5171862509992007</v>
      </c>
      <c r="W968" s="37" t="n">
        <v>0.7983193277310925</v>
      </c>
    </row>
    <row r="969">
      <c r="A969" s="53" t="n">
        <v>45776</v>
      </c>
      <c r="B969" t="inlineStr">
        <is>
          <t>R02_Sumbagsel</t>
        </is>
      </c>
      <c r="C969" t="inlineStr">
        <is>
          <t>NOP PALEMBANG</t>
        </is>
      </c>
      <c r="D969" s="36" t="n">
        <v>2.96</v>
      </c>
      <c r="E969" s="36" t="n">
        <v>4.74</v>
      </c>
      <c r="F969" s="36" t="n">
        <v>7.75</v>
      </c>
      <c r="G969" s="36" t="n">
        <v>8.42</v>
      </c>
      <c r="H969" s="37" t="n">
        <v>0.2820362785254535</v>
      </c>
      <c r="I969" s="37" t="n">
        <v>0.2803738317757009</v>
      </c>
      <c r="J969" s="37" t="n">
        <v>0.2822299651567944</v>
      </c>
      <c r="K969" s="37" t="n">
        <v>0.4933333333333333</v>
      </c>
      <c r="L969" s="37" t="n">
        <v>0.4933333333333333</v>
      </c>
      <c r="M969" s="37" t="n">
        <v>0.9996099083284572</v>
      </c>
      <c r="N969" s="37" t="n">
        <v>0.122878876535986</v>
      </c>
      <c r="O969" s="36" t="n">
        <v>0</v>
      </c>
      <c r="P969" s="36" t="n">
        <v>5.88</v>
      </c>
      <c r="Q969" s="36" t="n">
        <v>12.99</v>
      </c>
      <c r="R969" s="36" t="n">
        <v>6</v>
      </c>
      <c r="S969" s="36" t="n">
        <v>0</v>
      </c>
      <c r="T969" s="37" t="n">
        <v>0.2991847408091063</v>
      </c>
      <c r="U969" s="37" t="n">
        <v>0.244060475161987</v>
      </c>
      <c r="V969" s="37" t="n">
        <v>0.4165562913907285</v>
      </c>
      <c r="W969" s="37" t="n">
        <v>0.4469026548672566</v>
      </c>
    </row>
    <row r="970">
      <c r="A970" s="53" t="n">
        <v>45776</v>
      </c>
      <c r="B970" t="inlineStr">
        <is>
          <t>R02_Sumbagsel</t>
        </is>
      </c>
      <c r="C970" t="inlineStr">
        <is>
          <t>NOP PANGKAL PINANG</t>
        </is>
      </c>
      <c r="D970" s="36" t="n">
        <v>1.94</v>
      </c>
      <c r="E970" s="36" t="n">
        <v>3.93</v>
      </c>
      <c r="F970" s="36" t="n">
        <v>5.42</v>
      </c>
      <c r="G970" s="36" t="n">
        <v>6.86</v>
      </c>
      <c r="H970" s="37" t="n">
        <v>0.6404011461318052</v>
      </c>
      <c r="I970" s="37" t="n">
        <v>0.7631578947368421</v>
      </c>
      <c r="J970" s="37" t="n">
        <v>0.6333333333333333</v>
      </c>
      <c r="K970" s="37" t="n">
        <v>0.6206896551724138</v>
      </c>
      <c r="L970" s="37" t="n">
        <v>0.6206896551724138</v>
      </c>
      <c r="M970" s="37" t="n">
        <v>0.998567335243553</v>
      </c>
      <c r="N970" s="37" t="n">
        <v>0.3481375358166189</v>
      </c>
      <c r="O970" s="36" t="n">
        <v>0</v>
      </c>
      <c r="P970" s="36" t="n">
        <v>5.79</v>
      </c>
      <c r="Q970" s="36" t="n">
        <v>5.79</v>
      </c>
      <c r="R970" s="36" t="n">
        <v>8.48</v>
      </c>
      <c r="S970" s="36" t="n">
        <v>0</v>
      </c>
      <c r="T970" s="37" t="n">
        <v>0.7991921523369879</v>
      </c>
      <c r="U970" s="37" t="n">
        <v>0.8478664192949907</v>
      </c>
      <c r="V970" s="37" t="n">
        <v>0.8443002780352178</v>
      </c>
      <c r="W970" s="37" t="n">
        <v>0.6849015317286652</v>
      </c>
    </row>
    <row r="971">
      <c r="A971" s="53" t="n">
        <v>45776</v>
      </c>
      <c r="B971" t="inlineStr">
        <is>
          <t>R05_Jawa Tengah DIY</t>
        </is>
      </c>
      <c r="C971" t="inlineStr">
        <is>
          <t>NOP MAGELANG</t>
        </is>
      </c>
      <c r="D971" s="36" t="n">
        <v>3.78</v>
      </c>
      <c r="E971" s="36" t="n">
        <v>0</v>
      </c>
      <c r="F971" s="36" t="n">
        <v>4.55</v>
      </c>
      <c r="G971" s="36" t="n">
        <v>6.64</v>
      </c>
      <c r="H971" s="37" t="n">
        <v>0.8032786885245902</v>
      </c>
      <c r="I971" s="37" t="n">
        <v>0.967741935483871</v>
      </c>
      <c r="J971" s="37" t="n">
        <v>0.7823408624229979</v>
      </c>
      <c r="K971" s="37" t="n">
        <v>0.8</v>
      </c>
      <c r="L971" s="37" t="n">
        <v>0.8</v>
      </c>
      <c r="M971" s="37" t="n">
        <v>0.9981785063752276</v>
      </c>
      <c r="N971" s="37" t="n">
        <v>0.7085610200364298</v>
      </c>
      <c r="O971" s="36" t="n">
        <v>0.17</v>
      </c>
      <c r="P971" s="36" t="n">
        <v>3.05</v>
      </c>
      <c r="Q971" s="36" t="n">
        <v>7.99</v>
      </c>
      <c r="R971" s="36" t="n">
        <v>16.53</v>
      </c>
      <c r="S971" s="36" t="n">
        <v>0</v>
      </c>
      <c r="T971" s="37" t="n">
        <v>0.9502999143101971</v>
      </c>
      <c r="U971" s="37" t="n">
        <v>0.9504504504504504</v>
      </c>
      <c r="V971" s="37" t="n">
        <v>0.9502645502645503</v>
      </c>
      <c r="W971" s="37" t="n">
        <v>0.8815165876777251</v>
      </c>
    </row>
    <row r="972">
      <c r="A972" s="53" t="n">
        <v>45776</v>
      </c>
      <c r="B972" t="inlineStr">
        <is>
          <t>R05_Jawa Tengah DIY</t>
        </is>
      </c>
      <c r="C972" t="inlineStr">
        <is>
          <t>NOP PEKALONGAN</t>
        </is>
      </c>
      <c r="D972" s="36" t="n">
        <v>2.98</v>
      </c>
      <c r="E972" s="36" t="n">
        <v>0</v>
      </c>
      <c r="F972" s="36" t="n">
        <v>3.79</v>
      </c>
      <c r="G972" s="36" t="n">
        <v>3.29</v>
      </c>
      <c r="H972" s="37" t="n">
        <v>0.6505494505494506</v>
      </c>
      <c r="I972" s="37" t="n">
        <v>0.7435897435897436</v>
      </c>
      <c r="J972" s="37" t="n">
        <v>0.6418269230769231</v>
      </c>
      <c r="K972" s="37" t="n">
        <v>1</v>
      </c>
      <c r="L972" s="37" t="n">
        <v>1</v>
      </c>
      <c r="M972" s="37" t="n">
        <v>0.9714285714285714</v>
      </c>
      <c r="N972" s="37" t="n">
        <v>0.5362637362637362</v>
      </c>
      <c r="O972" s="36" t="n">
        <v>0.01</v>
      </c>
      <c r="P972" s="36" t="n">
        <v>3.72</v>
      </c>
      <c r="Q972" s="36" t="n">
        <v>5.85</v>
      </c>
      <c r="R972" s="36" t="n">
        <v>50.04</v>
      </c>
      <c r="S972" s="36" t="n">
        <v>0</v>
      </c>
      <c r="T972" s="37" t="n">
        <v>0.8053204353083434</v>
      </c>
      <c r="U972" s="37" t="n">
        <v>0.7751196172248804</v>
      </c>
      <c r="V972" s="37" t="n">
        <v>0.8155339805825242</v>
      </c>
      <c r="W972" s="37" t="n">
        <v>0.6604938271604939</v>
      </c>
    </row>
    <row r="973">
      <c r="A973" s="53" t="n">
        <v>45776</v>
      </c>
      <c r="B973" t="inlineStr">
        <is>
          <t>R05_Jawa Tengah DIY</t>
        </is>
      </c>
      <c r="C973" t="inlineStr">
        <is>
          <t>NOP PURWOKERTO</t>
        </is>
      </c>
      <c r="D973" s="36" t="n">
        <v>3.32</v>
      </c>
      <c r="E973" s="36" t="n">
        <v>0</v>
      </c>
      <c r="F973" s="36" t="n">
        <v>3.75</v>
      </c>
      <c r="G973" s="36" t="n">
        <v>4.77</v>
      </c>
      <c r="H973" s="37" t="n">
        <v>0.7805825242718447</v>
      </c>
      <c r="I973" s="37" t="n">
        <v>0.8085106382978723</v>
      </c>
      <c r="J973" s="37" t="n">
        <v>0.7777777777777778</v>
      </c>
      <c r="K973" s="37" t="n">
        <v>1</v>
      </c>
      <c r="L973" s="37" t="n">
        <v>1</v>
      </c>
      <c r="M973" s="37" t="n">
        <v>0.9766990291262136</v>
      </c>
      <c r="N973" s="37" t="n">
        <v>0.5184466019417475</v>
      </c>
      <c r="O973" s="36" t="n">
        <v>0.54</v>
      </c>
      <c r="P973" s="36" t="n">
        <v>3.86</v>
      </c>
      <c r="Q973" s="36" t="n">
        <v>8.59</v>
      </c>
      <c r="R973" s="36" t="n">
        <v>39.46</v>
      </c>
      <c r="S973" s="36" t="n">
        <v>0</v>
      </c>
      <c r="T973" s="37" t="n">
        <v>0.809462915601023</v>
      </c>
      <c r="U973" s="37" t="n">
        <v>0.8113207547169812</v>
      </c>
      <c r="V973" s="37" t="n">
        <v>0.8089887640449438</v>
      </c>
      <c r="W973" s="37" t="n">
        <v>0.7596899224806202</v>
      </c>
    </row>
    <row r="974">
      <c r="A974" s="53" t="n">
        <v>45776</v>
      </c>
      <c r="B974" t="inlineStr">
        <is>
          <t>R05_Jawa Tengah DIY</t>
        </is>
      </c>
      <c r="C974" t="inlineStr">
        <is>
          <t>NOP SEMARANG</t>
        </is>
      </c>
      <c r="D974" s="36" t="n">
        <v>2.15</v>
      </c>
      <c r="E974" s="36" t="n">
        <v>1.69</v>
      </c>
      <c r="F974" s="36" t="n">
        <v>3.16</v>
      </c>
      <c r="G974" s="36" t="n">
        <v>4.22</v>
      </c>
      <c r="H974" s="37" t="n">
        <v>0.4170616113744076</v>
      </c>
      <c r="I974" s="37" t="n">
        <v>0.4767441860465116</v>
      </c>
      <c r="J974" s="37" t="n">
        <v>0.4102902374670185</v>
      </c>
      <c r="K974" s="37" t="n">
        <v>1</v>
      </c>
      <c r="L974" s="37" t="n">
        <v>1</v>
      </c>
      <c r="M974" s="37" t="n">
        <v>0.9490521327014217</v>
      </c>
      <c r="N974" s="37" t="n">
        <v>0.2559241706161137</v>
      </c>
      <c r="O974" s="36" t="n">
        <v>0.46</v>
      </c>
      <c r="P974" s="36" t="n">
        <v>6.11</v>
      </c>
      <c r="Q974" s="36" t="n">
        <v>9.41</v>
      </c>
      <c r="R974" s="36" t="n">
        <v>68.88</v>
      </c>
      <c r="S974" s="36" t="n">
        <v>0</v>
      </c>
      <c r="T974" s="37" t="n">
        <v>0.7599029911075182</v>
      </c>
      <c r="U974" s="37" t="n">
        <v>0.5346820809248555</v>
      </c>
      <c r="V974" s="37" t="n">
        <v>0.8473625140291807</v>
      </c>
      <c r="W974" s="37" t="n">
        <v>0.8486486486486486</v>
      </c>
    </row>
    <row r="975">
      <c r="A975" s="53" t="n">
        <v>45776</v>
      </c>
      <c r="B975" t="inlineStr">
        <is>
          <t>R05_Jawa Tengah DIY</t>
        </is>
      </c>
      <c r="C975" t="inlineStr">
        <is>
          <t>NOP SURAKARTA</t>
        </is>
      </c>
      <c r="D975" s="36" t="n">
        <v>3.57</v>
      </c>
      <c r="E975" s="36" t="n">
        <v>2.15</v>
      </c>
      <c r="F975" s="36" t="n">
        <v>4.14</v>
      </c>
      <c r="G975" s="36" t="n">
        <v>4.46</v>
      </c>
      <c r="H975" s="37" t="n">
        <v>0.73224043715847</v>
      </c>
      <c r="I975" s="37" t="n">
        <v>0.8514851485148515</v>
      </c>
      <c r="J975" s="37" t="n">
        <v>0.7174447174447175</v>
      </c>
      <c r="K975" s="37" t="n">
        <v>0.9302325581395349</v>
      </c>
      <c r="L975" s="37" t="n">
        <v>0.9302325581395349</v>
      </c>
      <c r="M975" s="37" t="n">
        <v>0.9704918032786886</v>
      </c>
      <c r="N975" s="37" t="n">
        <v>0.5081967213114754</v>
      </c>
      <c r="O975" s="36" t="n">
        <v>0.13</v>
      </c>
      <c r="P975" s="36" t="n">
        <v>3.93</v>
      </c>
      <c r="Q975" s="36" t="n">
        <v>8.01</v>
      </c>
      <c r="R975" s="36" t="n">
        <v>53.04</v>
      </c>
      <c r="S975" s="36" t="n">
        <v>0</v>
      </c>
      <c r="T975" s="37" t="n">
        <v>0.8121869782971619</v>
      </c>
      <c r="U975" s="37" t="n">
        <v>0.7254901960784313</v>
      </c>
      <c r="V975" s="37" t="n">
        <v>0.8419282511210763</v>
      </c>
      <c r="W975" s="37" t="n">
        <v>0.7432432432432432</v>
      </c>
    </row>
    <row r="976">
      <c r="A976" s="53" t="n">
        <v>45776</v>
      </c>
      <c r="B976" t="inlineStr">
        <is>
          <t>R05_Jawa Tengah DIY</t>
        </is>
      </c>
      <c r="C976" t="inlineStr">
        <is>
          <t>NOP YOGYAKARTA</t>
        </is>
      </c>
      <c r="D976" s="36" t="n">
        <v>3.25</v>
      </c>
      <c r="E976" s="36" t="n">
        <v>0.7</v>
      </c>
      <c r="F976" s="36" t="n">
        <v>3.4</v>
      </c>
      <c r="G976" s="36" t="n">
        <v>3.92</v>
      </c>
      <c r="H976" s="37" t="n">
        <v>0.5924006908462867</v>
      </c>
      <c r="I976" s="37" t="n">
        <v>0.8846153846153846</v>
      </c>
      <c r="J976" s="37" t="n">
        <v>0.5635673624288425</v>
      </c>
      <c r="K976" s="37" t="n">
        <v>0.9565217391304348</v>
      </c>
      <c r="L976" s="37" t="n">
        <v>0.9545454545454546</v>
      </c>
      <c r="M976" s="37" t="n">
        <v>0.9879101899827288</v>
      </c>
      <c r="N976" s="37" t="n">
        <v>0.4335060449050087</v>
      </c>
      <c r="O976" s="36" t="n">
        <v>0</v>
      </c>
      <c r="P976" s="36" t="n">
        <v>3.08</v>
      </c>
      <c r="Q976" s="36" t="n">
        <v>14.97</v>
      </c>
      <c r="R976" s="36" t="n">
        <v>42.28</v>
      </c>
      <c r="S976" s="36" t="n">
        <v>0</v>
      </c>
      <c r="T976" s="37" t="n">
        <v>0.9323843416370107</v>
      </c>
      <c r="U976" s="37" t="n">
        <v>0.845</v>
      </c>
      <c r="V976" s="37" t="n">
        <v>0.9512987012987013</v>
      </c>
      <c r="W976" s="37" t="n">
        <v>0.9763313609467456</v>
      </c>
    </row>
    <row r="977">
      <c r="A977" s="53" t="n">
        <v>45776</v>
      </c>
      <c r="B977" t="inlineStr">
        <is>
          <t>R06_Jawa Timur</t>
        </is>
      </c>
      <c r="C977" t="inlineStr">
        <is>
          <t>NOP JEMBER</t>
        </is>
      </c>
      <c r="D977" s="36" t="n">
        <v>2.14</v>
      </c>
      <c r="E977" s="36" t="n">
        <v>2.29</v>
      </c>
      <c r="F977" s="36" t="n">
        <v>4.44</v>
      </c>
      <c r="G977" s="36" t="n">
        <v>3.73</v>
      </c>
      <c r="H977" s="37" t="n">
        <v>0.6724137931034483</v>
      </c>
      <c r="I977" s="37" t="n">
        <v>0.6818181818181818</v>
      </c>
      <c r="J977" s="37" t="n">
        <v>0.6716417910447762</v>
      </c>
      <c r="K977" s="37" t="n">
        <v>0.8333333333333334</v>
      </c>
      <c r="L977" s="37" t="n">
        <v>0.8333333333333334</v>
      </c>
      <c r="M977" s="37" t="n">
        <v>0.9810344827586207</v>
      </c>
      <c r="N977" s="37" t="n">
        <v>0.3879310344827586</v>
      </c>
      <c r="O977" s="36" t="n">
        <v>0</v>
      </c>
      <c r="P977" s="36" t="n">
        <v>3.27</v>
      </c>
      <c r="Q977" s="36" t="n">
        <v>4.95</v>
      </c>
      <c r="R977" s="36" t="n">
        <v>118.14</v>
      </c>
      <c r="S977" s="36" t="n">
        <v>0</v>
      </c>
      <c r="T977" s="37" t="n">
        <v>0.7936085219707057</v>
      </c>
      <c r="U977" s="37" t="n">
        <v>0.7623762376237624</v>
      </c>
      <c r="V977" s="37" t="n">
        <v>0.8051001821493625</v>
      </c>
      <c r="W977" s="37" t="n">
        <v>0.7792207792207793</v>
      </c>
    </row>
    <row r="978">
      <c r="A978" s="53" t="n">
        <v>45776</v>
      </c>
      <c r="B978" t="inlineStr">
        <is>
          <t>R06_Jawa Timur</t>
        </is>
      </c>
      <c r="C978" t="inlineStr">
        <is>
          <t>NOP KEDIRI</t>
        </is>
      </c>
      <c r="D978" s="36" t="n">
        <v>1.21</v>
      </c>
      <c r="E978" s="36" t="n">
        <v>1.25</v>
      </c>
      <c r="F978" s="36" t="n">
        <v>3.03</v>
      </c>
      <c r="G978" s="36" t="n">
        <v>2.37</v>
      </c>
      <c r="H978" s="37" t="n">
        <v>0.8837209302325582</v>
      </c>
      <c r="I978" s="37" t="n">
        <v>0.9230769230769231</v>
      </c>
      <c r="J978" s="37" t="n">
        <v>0.8816326530612245</v>
      </c>
      <c r="K978" s="37" t="n">
        <v>0.8333333333333334</v>
      </c>
      <c r="L978" s="37" t="n">
        <v>0.8333333333333334</v>
      </c>
      <c r="M978" s="37" t="n">
        <v>1</v>
      </c>
      <c r="N978" s="37" t="n">
        <v>0.6627906976744186</v>
      </c>
      <c r="O978" s="36" t="n">
        <v>0</v>
      </c>
      <c r="P978" s="36" t="n">
        <v>1.98</v>
      </c>
      <c r="Q978" s="36" t="n">
        <v>3.64</v>
      </c>
      <c r="R978" s="36" t="n">
        <v>14.4</v>
      </c>
      <c r="S978" s="36" t="n">
        <v>0</v>
      </c>
      <c r="T978" s="37" t="n">
        <v>0.9573934837092731</v>
      </c>
      <c r="U978" s="37" t="n">
        <v>0.9354838709677419</v>
      </c>
      <c r="V978" s="37" t="n">
        <v>0.9640522875816994</v>
      </c>
      <c r="W978" s="37" t="n">
        <v>0.9080459770114943</v>
      </c>
    </row>
    <row r="979">
      <c r="A979" s="53" t="n">
        <v>45776</v>
      </c>
      <c r="B979" t="inlineStr">
        <is>
          <t>R06_Jawa Timur</t>
        </is>
      </c>
      <c r="C979" t="inlineStr">
        <is>
          <t>NOP LAMONGAN</t>
        </is>
      </c>
      <c r="D979" s="36" t="n">
        <v>1.68</v>
      </c>
      <c r="E979" s="36" t="n">
        <v>1.55</v>
      </c>
      <c r="F979" s="36" t="n">
        <v>3.74</v>
      </c>
      <c r="G979" s="36" t="n">
        <v>3.72</v>
      </c>
      <c r="H979" s="37" t="n">
        <v>0.8441558441558441</v>
      </c>
      <c r="I979" s="37" t="n">
        <v>0.9142857142857143</v>
      </c>
      <c r="J979" s="37" t="n">
        <v>0.8351648351648352</v>
      </c>
      <c r="K979" s="37" t="n">
        <v>0.96875</v>
      </c>
      <c r="L979" s="37" t="n">
        <v>0.96875</v>
      </c>
      <c r="M979" s="37" t="n">
        <v>1</v>
      </c>
      <c r="N979" s="37" t="n">
        <v>0.7435064935064936</v>
      </c>
      <c r="O979" s="36" t="n">
        <v>0</v>
      </c>
      <c r="P979" s="36" t="n">
        <v>2.36</v>
      </c>
      <c r="Q979" s="36" t="n">
        <v>10.38</v>
      </c>
      <c r="R979" s="36" t="n">
        <v>36.31</v>
      </c>
      <c r="S979" s="36" t="n">
        <v>0</v>
      </c>
      <c r="T979" s="37" t="n">
        <v>0.7808219178082192</v>
      </c>
      <c r="U979" s="37" t="n">
        <v>0.6928104575163399</v>
      </c>
      <c r="V979" s="37" t="n">
        <v>0.8443396226415094</v>
      </c>
      <c r="W979" s="37" t="n">
        <v>0.9056603773584906</v>
      </c>
    </row>
    <row r="980">
      <c r="A980" s="53" t="n">
        <v>45776</v>
      </c>
      <c r="B980" t="inlineStr">
        <is>
          <t>R06_Jawa Timur</t>
        </is>
      </c>
      <c r="C980" t="inlineStr">
        <is>
          <t>NOP MADIUN</t>
        </is>
      </c>
      <c r="D980" s="36" t="n">
        <v>0.63</v>
      </c>
      <c r="E980" s="36" t="n">
        <v>0</v>
      </c>
      <c r="F980" s="36" t="n">
        <v>4.37</v>
      </c>
      <c r="G980" s="36" t="n">
        <v>3.1</v>
      </c>
      <c r="H980" s="37" t="n">
        <v>0.5880758807588076</v>
      </c>
      <c r="I980" s="37" t="n">
        <v>1</v>
      </c>
      <c r="J980" s="37" t="n">
        <v>0.5824175824175825</v>
      </c>
      <c r="K980" s="37" t="n">
        <v>0.8</v>
      </c>
      <c r="L980" s="37" t="n">
        <v>0.8</v>
      </c>
      <c r="M980" s="37" t="n">
        <v>0.981029810298103</v>
      </c>
      <c r="N980" s="37" t="n">
        <v>0.3495934959349594</v>
      </c>
      <c r="O980" s="36" t="n">
        <v>0</v>
      </c>
      <c r="P980" s="36" t="n">
        <v>2.74</v>
      </c>
      <c r="Q980" s="36" t="n">
        <v>6.26</v>
      </c>
      <c r="R980" s="36" t="n">
        <v>56.6</v>
      </c>
      <c r="S980" s="36" t="n">
        <v>0</v>
      </c>
      <c r="T980" s="37" t="n">
        <v>0.7324955116696589</v>
      </c>
      <c r="U980" s="37" t="n">
        <v>0.7474747474747475</v>
      </c>
      <c r="V980" s="37" t="n">
        <v>0.724233983286908</v>
      </c>
      <c r="W980" s="37" t="n">
        <v>0.8378378378378378</v>
      </c>
    </row>
    <row r="981">
      <c r="A981" s="53" t="n">
        <v>45776</v>
      </c>
      <c r="B981" t="inlineStr">
        <is>
          <t>R06_Jawa Timur</t>
        </is>
      </c>
      <c r="C981" t="inlineStr">
        <is>
          <t>NOP MALANG</t>
        </is>
      </c>
      <c r="D981" s="36" t="n">
        <v>1.3</v>
      </c>
      <c r="E981" s="36" t="n">
        <v>0</v>
      </c>
      <c r="F981" s="36" t="n">
        <v>2.91</v>
      </c>
      <c r="G981" s="36" t="n">
        <v>2.73</v>
      </c>
      <c r="H981" s="37" t="n">
        <v>0.7853658536585366</v>
      </c>
      <c r="I981" s="37" t="n">
        <v>0.7777777777777778</v>
      </c>
      <c r="J981" s="37" t="n">
        <v>0.7855361596009975</v>
      </c>
      <c r="K981" s="37" t="n">
        <v>1</v>
      </c>
      <c r="L981" s="37" t="n">
        <v>1</v>
      </c>
      <c r="M981" s="37" t="n">
        <v>0.9975609756097561</v>
      </c>
      <c r="N981" s="37" t="n">
        <v>0.7292682926829268</v>
      </c>
      <c r="O981" s="36" t="n">
        <v>0.02</v>
      </c>
      <c r="P981" s="36" t="n">
        <v>2.97</v>
      </c>
      <c r="Q981" s="36" t="n">
        <v>4.35</v>
      </c>
      <c r="R981" s="36" t="n">
        <v>39.47</v>
      </c>
      <c r="S981" s="36" t="n">
        <v>0</v>
      </c>
      <c r="T981" s="37" t="n">
        <v>0.811965811965812</v>
      </c>
      <c r="U981" s="37" t="n">
        <v>0.7054794520547946</v>
      </c>
      <c r="V981" s="37" t="n">
        <v>0.8878048780487805</v>
      </c>
      <c r="W981" s="37" t="n">
        <v>0.6213592233009708</v>
      </c>
    </row>
    <row r="982">
      <c r="A982" s="53" t="n">
        <v>45776</v>
      </c>
      <c r="B982" t="inlineStr">
        <is>
          <t>R06_Jawa Timur</t>
        </is>
      </c>
      <c r="C982" t="inlineStr">
        <is>
          <t>NOP SIDOARJO</t>
        </is>
      </c>
      <c r="D982" s="36" t="n">
        <v>2.71</v>
      </c>
      <c r="E982" s="36" t="n">
        <v>5.94</v>
      </c>
      <c r="F982" s="36" t="n">
        <v>3.2</v>
      </c>
      <c r="G982" s="36" t="n">
        <v>5.01</v>
      </c>
      <c r="H982" s="37" t="n">
        <v>0.6019417475728155</v>
      </c>
      <c r="I982" s="37" t="n">
        <v>0.9111111111111111</v>
      </c>
      <c r="J982" s="37" t="n">
        <v>0.5640326975476839</v>
      </c>
      <c r="K982" s="37" t="n">
        <v>0.8292682926829268</v>
      </c>
      <c r="L982" s="37" t="n">
        <v>0.8292682926829268</v>
      </c>
      <c r="M982" s="37" t="n">
        <v>0.970873786407767</v>
      </c>
      <c r="N982" s="37" t="n">
        <v>0.4271844660194175</v>
      </c>
      <c r="O982" s="36" t="n">
        <v>0.01</v>
      </c>
      <c r="P982" s="36" t="n">
        <v>3.8</v>
      </c>
      <c r="Q982" s="36" t="n">
        <v>11.41</v>
      </c>
      <c r="R982" s="36" t="n">
        <v>52.54</v>
      </c>
      <c r="S982" s="36" t="n">
        <v>0</v>
      </c>
      <c r="T982" s="37" t="n">
        <v>0.7790697674418605</v>
      </c>
      <c r="U982" s="37" t="n">
        <v>0.6625</v>
      </c>
      <c r="V982" s="37" t="n">
        <v>0.8314606741573034</v>
      </c>
      <c r="W982" s="37" t="n">
        <v>0.7075471698113207</v>
      </c>
    </row>
    <row r="983">
      <c r="A983" s="53" t="n">
        <v>45776</v>
      </c>
      <c r="B983" t="inlineStr">
        <is>
          <t>R06_Jawa Timur</t>
        </is>
      </c>
      <c r="C983" t="inlineStr">
        <is>
          <t>NOP SURABAYA</t>
        </is>
      </c>
      <c r="D983" s="36" t="n">
        <v>2.2</v>
      </c>
      <c r="E983" s="36" t="n">
        <v>0</v>
      </c>
      <c r="F983" s="36" t="n">
        <v>4.2</v>
      </c>
      <c r="G983" s="36" t="n">
        <v>4.51</v>
      </c>
      <c r="H983" s="37" t="n">
        <v>0.5901926444833625</v>
      </c>
      <c r="I983" s="37" t="n">
        <v>0.5373134328358209</v>
      </c>
      <c r="J983" s="37" t="n">
        <v>0.5972222222222222</v>
      </c>
      <c r="K983" s="37" t="n">
        <v>0.9166666666666666</v>
      </c>
      <c r="L983" s="37" t="n">
        <v>0.9166666666666666</v>
      </c>
      <c r="M983" s="37" t="n">
        <v>0.9614711033274956</v>
      </c>
      <c r="N983" s="37" t="n">
        <v>0.4185639229422067</v>
      </c>
      <c r="O983" s="36" t="n">
        <v>1.22</v>
      </c>
      <c r="P983" s="36" t="n">
        <v>3.27</v>
      </c>
      <c r="Q983" s="36" t="n">
        <v>7.01</v>
      </c>
      <c r="R983" s="36" t="n">
        <v>29.79</v>
      </c>
      <c r="S983" s="36" t="n">
        <v>0</v>
      </c>
      <c r="T983" s="37" t="n">
        <v>0.6597682119205298</v>
      </c>
      <c r="U983" s="37" t="n">
        <v>0.6769911504424779</v>
      </c>
      <c r="V983" s="37" t="n">
        <v>0.6558044806517311</v>
      </c>
      <c r="W983" s="37" t="n">
        <v>0.9084967320261438</v>
      </c>
    </row>
    <row r="984">
      <c r="A984" s="53" t="n">
        <v>45776</v>
      </c>
      <c r="B984" t="inlineStr">
        <is>
          <t>R07_Bali Nusra</t>
        </is>
      </c>
      <c r="C984" t="inlineStr">
        <is>
          <t>NOP DENPASAR</t>
        </is>
      </c>
      <c r="D984" s="36" t="n">
        <v>3.2</v>
      </c>
      <c r="E984" s="36" t="n">
        <v>0</v>
      </c>
      <c r="F984" s="36" t="n">
        <v>4.6</v>
      </c>
      <c r="G984" s="36" t="n">
        <v>4.09</v>
      </c>
      <c r="H984" s="37" t="n">
        <v>0.9053254437869822</v>
      </c>
      <c r="I984" s="37" t="n">
        <v>0.9</v>
      </c>
      <c r="J984" s="37" t="n">
        <v>0.9064748201438849</v>
      </c>
      <c r="K984" s="37" t="n">
        <v>0.9629629629629629</v>
      </c>
      <c r="L984" s="37" t="n">
        <v>0.9629629629629629</v>
      </c>
      <c r="M984" s="37" t="n">
        <v>0.9704142011834319</v>
      </c>
      <c r="N984" s="37" t="n">
        <v>0.8668639053254438</v>
      </c>
      <c r="O984" s="36" t="n">
        <v>0</v>
      </c>
      <c r="P984" s="36" t="n">
        <v>22.91</v>
      </c>
      <c r="Q984" s="36" t="n">
        <v>20.35</v>
      </c>
      <c r="R984" s="36" t="n">
        <v>81.34</v>
      </c>
      <c r="S984" s="36" t="n">
        <v>0</v>
      </c>
      <c r="T984" s="37" t="n">
        <v>0.8809869375907112</v>
      </c>
      <c r="U984" s="37" t="n">
        <v>0.9073170731707317</v>
      </c>
      <c r="V984" s="37" t="n">
        <v>0.8698347107438017</v>
      </c>
      <c r="W984" s="37" t="n">
        <v>0.7150537634408602</v>
      </c>
    </row>
    <row r="985">
      <c r="A985" s="53" t="n">
        <v>45776</v>
      </c>
      <c r="B985" t="inlineStr">
        <is>
          <t>R07_Bali Nusra</t>
        </is>
      </c>
      <c r="C985" t="inlineStr">
        <is>
          <t>NOP FLORES</t>
        </is>
      </c>
      <c r="D985" s="36" t="n">
        <v>6.76</v>
      </c>
      <c r="E985" s="36" t="n">
        <v>5.28</v>
      </c>
      <c r="F985" s="36" t="n">
        <v>7.07</v>
      </c>
      <c r="G985" s="36" t="n">
        <v>9.74</v>
      </c>
      <c r="H985" s="37" t="n">
        <v>0.562097516099356</v>
      </c>
      <c r="I985" s="37" t="n">
        <v>0.6860902255639098</v>
      </c>
      <c r="J985" s="37" t="n">
        <v>0.5219244823386114</v>
      </c>
      <c r="K985" s="37" t="n">
        <v>0.6493150684931507</v>
      </c>
      <c r="L985" s="37" t="n">
        <v>0.6573816155988857</v>
      </c>
      <c r="M985" s="37" t="n">
        <v>0.9944802207911684</v>
      </c>
      <c r="N985" s="37" t="n">
        <v>0.3638454461821527</v>
      </c>
      <c r="O985" s="36" t="n">
        <v>0.3</v>
      </c>
      <c r="P985" s="36" t="n">
        <v>10.16</v>
      </c>
      <c r="Q985" s="36" t="n">
        <v>8.07</v>
      </c>
      <c r="R985" s="36" t="n">
        <v>46.6</v>
      </c>
      <c r="S985" s="36" t="n">
        <v>0</v>
      </c>
      <c r="T985" s="37" t="n">
        <v>0.5284485151262837</v>
      </c>
      <c r="U985" s="37" t="n">
        <v>0.5688550840672538</v>
      </c>
      <c r="V985" s="37" t="n">
        <v>0.43710407239819</v>
      </c>
      <c r="W985" s="37" t="n">
        <v>0.7044334975369458</v>
      </c>
    </row>
    <row r="986">
      <c r="A986" s="53" t="n">
        <v>45776</v>
      </c>
      <c r="B986" t="inlineStr">
        <is>
          <t>R07_Bali Nusra</t>
        </is>
      </c>
      <c r="C986" t="inlineStr">
        <is>
          <t>NOP KUPANG</t>
        </is>
      </c>
      <c r="D986" s="36" t="n">
        <v>1.18</v>
      </c>
      <c r="E986" s="36" t="n">
        <v>5.4</v>
      </c>
      <c r="F986" s="36" t="n">
        <v>9.09</v>
      </c>
      <c r="G986" s="36" t="n">
        <v>12.5</v>
      </c>
      <c r="H986" s="37" t="n">
        <v>0.4993377483443708</v>
      </c>
      <c r="I986" s="37" t="n">
        <v>0.6336206896551724</v>
      </c>
      <c r="J986" s="37" t="n">
        <v>0.4749608763693271</v>
      </c>
      <c r="K986" s="37" t="n">
        <v>0.7006802721088435</v>
      </c>
      <c r="L986" s="37" t="n">
        <v>0.6993006993006993</v>
      </c>
      <c r="M986" s="37" t="n">
        <v>0.9801324503311258</v>
      </c>
      <c r="N986" s="37" t="n">
        <v>0.2086092715231788</v>
      </c>
      <c r="O986" s="36" t="n">
        <v>0.17</v>
      </c>
      <c r="P986" s="36" t="n">
        <v>8.31</v>
      </c>
      <c r="Q986" s="36" t="n">
        <v>17.47</v>
      </c>
      <c r="R986" s="36" t="n">
        <v>182.75</v>
      </c>
      <c r="S986" s="36" t="n">
        <v>0</v>
      </c>
      <c r="T986" s="37" t="n">
        <v>0.6062075654704171</v>
      </c>
      <c r="U986" s="37" t="n">
        <v>0.6042486231313926</v>
      </c>
      <c r="V986" s="37" t="n">
        <v>0.6093552465233881</v>
      </c>
      <c r="W986" s="37" t="n">
        <v>0.7005208333333334</v>
      </c>
    </row>
    <row r="987">
      <c r="A987" s="53" t="n">
        <v>45776</v>
      </c>
      <c r="B987" t="inlineStr">
        <is>
          <t>R07_Bali Nusra</t>
        </is>
      </c>
      <c r="C987" t="inlineStr">
        <is>
          <t>NOP MATARAM</t>
        </is>
      </c>
      <c r="D987" s="36" t="n">
        <v>3.13</v>
      </c>
      <c r="E987" s="36" t="n">
        <v>5</v>
      </c>
      <c r="F987" s="36" t="n">
        <v>4.88</v>
      </c>
      <c r="G987" s="36" t="n">
        <v>5.82</v>
      </c>
      <c r="H987" s="37" t="n">
        <v>0.5463786531130876</v>
      </c>
      <c r="I987" s="37" t="n">
        <v>0.6372549019607843</v>
      </c>
      <c r="J987" s="37" t="n">
        <v>0.5328467153284672</v>
      </c>
      <c r="K987" s="37" t="n">
        <v>0.7384615384615385</v>
      </c>
      <c r="L987" s="37" t="n">
        <v>0.7384615384615385</v>
      </c>
      <c r="M987" s="37" t="n">
        <v>0.9898348157560356</v>
      </c>
      <c r="N987" s="37" t="n">
        <v>0.3303684879288437</v>
      </c>
      <c r="O987" s="36" t="n">
        <v>0.93</v>
      </c>
      <c r="P987" s="36" t="n">
        <v>24.01</v>
      </c>
      <c r="Q987" s="36" t="n">
        <v>19.47</v>
      </c>
      <c r="R987" s="36" t="n">
        <v>72.45999999999999</v>
      </c>
      <c r="S987" s="36" t="n">
        <v>0</v>
      </c>
      <c r="T987" s="37" t="n">
        <v>0.3911111111111111</v>
      </c>
      <c r="U987" s="37" t="n">
        <v>0.4127659574468085</v>
      </c>
      <c r="V987" s="37" t="n">
        <v>0.3590551181102362</v>
      </c>
      <c r="W987" s="37" t="n">
        <v>0.6211340206185567</v>
      </c>
    </row>
    <row r="988">
      <c r="A988" s="53" t="n">
        <v>45777</v>
      </c>
      <c r="B988" t="inlineStr">
        <is>
          <t>R01_Sumbagut</t>
        </is>
      </c>
      <c r="C988" t="inlineStr">
        <is>
          <t>NOP ACEH</t>
        </is>
      </c>
      <c r="D988" s="36" t="n">
        <v>3.68</v>
      </c>
      <c r="E988" s="36" t="n">
        <v>4.83</v>
      </c>
      <c r="F988" s="36" t="n">
        <v>9.4</v>
      </c>
      <c r="G988" s="36" t="n">
        <v>10</v>
      </c>
      <c r="H988" s="37" t="n">
        <v>0.8469288267793306</v>
      </c>
      <c r="I988" s="37" t="n">
        <v>0.8315649867374005</v>
      </c>
      <c r="J988" s="37" t="n">
        <v>0.8519156263452432</v>
      </c>
      <c r="K988" s="37" t="n">
        <v>0.4290271132376395</v>
      </c>
      <c r="L988" s="37" t="n">
        <v>0.4308681672025724</v>
      </c>
      <c r="M988" s="37" t="n">
        <v>0.9996750081247969</v>
      </c>
      <c r="N988" s="37" t="n">
        <v>0.327916802079948</v>
      </c>
      <c r="O988" s="36" t="n">
        <v>0.06</v>
      </c>
      <c r="P988" s="36" t="n">
        <v>4.8</v>
      </c>
      <c r="Q988" s="36" t="n">
        <v>69.11</v>
      </c>
      <c r="R988" s="36" t="n">
        <v>128.15</v>
      </c>
      <c r="S988" s="36" t="n">
        <v>0</v>
      </c>
      <c r="T988" s="37" t="n">
        <v>0.8755563973861161</v>
      </c>
      <c r="U988" s="37" t="n">
        <v>0.7259810554803789</v>
      </c>
      <c r="V988" s="37" t="n">
        <v>0.9021134593993326</v>
      </c>
      <c r="W988" s="37" t="n">
        <v>0.217148182665424</v>
      </c>
    </row>
    <row r="989">
      <c r="A989" s="53" t="n">
        <v>45777</v>
      </c>
      <c r="B989" t="inlineStr">
        <is>
          <t>R01_Sumbagut</t>
        </is>
      </c>
      <c r="C989" t="inlineStr">
        <is>
          <t>NOP BINJAI</t>
        </is>
      </c>
      <c r="D989" s="36" t="n">
        <v>9.9</v>
      </c>
      <c r="E989" s="36" t="n">
        <v>4.06</v>
      </c>
      <c r="F989" s="36" t="n">
        <v>4.28</v>
      </c>
      <c r="G989" s="36" t="n">
        <v>4.28</v>
      </c>
      <c r="H989" s="37" t="n">
        <v>0.652971386647102</v>
      </c>
      <c r="I989" s="37" t="n">
        <v>0.7677419354838709</v>
      </c>
      <c r="J989" s="37" t="n">
        <v>0.6191832858499525</v>
      </c>
      <c r="K989" s="37" t="n">
        <v>0.5462184873949579</v>
      </c>
      <c r="L989" s="37" t="n">
        <v>0.5443037974683544</v>
      </c>
      <c r="M989" s="37" t="n">
        <v>1</v>
      </c>
      <c r="N989" s="37" t="n">
        <v>0.3580337490829054</v>
      </c>
      <c r="O989" s="36" t="n">
        <v>0.02</v>
      </c>
      <c r="P989" s="36" t="n">
        <v>2.73</v>
      </c>
      <c r="Q989" s="36" t="n">
        <v>35.37</v>
      </c>
      <c r="R989" s="36" t="n">
        <v>117.42</v>
      </c>
      <c r="S989" s="36" t="n">
        <v>0</v>
      </c>
      <c r="T989" s="37" t="n">
        <v>0.6705796038151137</v>
      </c>
      <c r="U989" s="37" t="n">
        <v>0.5627283800243605</v>
      </c>
      <c r="V989" s="37" t="n">
        <v>0.7369601794727987</v>
      </c>
      <c r="W989" s="37" t="n">
        <v>0.5606060606060606</v>
      </c>
    </row>
    <row r="990">
      <c r="A990" s="53" t="n">
        <v>45777</v>
      </c>
      <c r="B990" t="inlineStr">
        <is>
          <t>R01_Sumbagut</t>
        </is>
      </c>
      <c r="C990" t="inlineStr">
        <is>
          <t>NOP MEDAN</t>
        </is>
      </c>
      <c r="D990" s="36" t="n">
        <v>4.65</v>
      </c>
      <c r="E990" s="36" t="n">
        <v>4.1</v>
      </c>
      <c r="F990" s="36" t="n">
        <v>4.61</v>
      </c>
      <c r="G990" s="36" t="n">
        <v>5.03</v>
      </c>
      <c r="H990" s="37" t="n">
        <v>0.3834095362508165</v>
      </c>
      <c r="I990" s="37" t="n">
        <v>0.437007874015748</v>
      </c>
      <c r="J990" s="37" t="n">
        <v>0.3567937438905181</v>
      </c>
      <c r="K990" s="37" t="n">
        <v>0.7792792792792793</v>
      </c>
      <c r="L990" s="37" t="n">
        <v>0.7889908256880734</v>
      </c>
      <c r="M990" s="37" t="n">
        <v>0.9980404964075767</v>
      </c>
      <c r="N990" s="37" t="n">
        <v>0.2370999346832136</v>
      </c>
      <c r="O990" s="36" t="n">
        <v>0</v>
      </c>
      <c r="P990" s="36" t="n">
        <v>5.38</v>
      </c>
      <c r="Q990" s="36" t="n">
        <v>19.41</v>
      </c>
      <c r="R990" s="36" t="n">
        <v>8.65</v>
      </c>
      <c r="S990" s="36" t="n">
        <v>0</v>
      </c>
      <c r="T990" s="37" t="n">
        <v>0.3210526315789474</v>
      </c>
      <c r="U990" s="37" t="n">
        <v>0.1923076923076923</v>
      </c>
      <c r="V990" s="37" t="n">
        <v>0.3983822042467138</v>
      </c>
      <c r="W990" s="37" t="n">
        <v>0.85</v>
      </c>
    </row>
    <row r="991">
      <c r="A991" s="53" t="n">
        <v>45777</v>
      </c>
      <c r="B991" t="inlineStr">
        <is>
          <t>R01_Sumbagut</t>
        </is>
      </c>
      <c r="C991" t="inlineStr">
        <is>
          <t>NOP PADANG SIDEMPUAN</t>
        </is>
      </c>
      <c r="D991" s="36" t="n">
        <v>3.08</v>
      </c>
      <c r="E991" s="36" t="n">
        <v>4.15</v>
      </c>
      <c r="F991" s="36" t="n">
        <v>4.86</v>
      </c>
      <c r="G991" s="36" t="n">
        <v>6.39</v>
      </c>
      <c r="H991" s="37" t="n">
        <v>0.3079831932773109</v>
      </c>
      <c r="I991" s="37" t="n">
        <v>0.4503105590062112</v>
      </c>
      <c r="J991" s="37" t="n">
        <v>0.2857142857142857</v>
      </c>
      <c r="K991" s="37" t="n">
        <v>0.4413793103448276</v>
      </c>
      <c r="L991" s="37" t="n">
        <v>0.4413793103448276</v>
      </c>
      <c r="M991" s="37" t="n">
        <v>0.9945378151260504</v>
      </c>
      <c r="N991" s="37" t="n">
        <v>0.126890756302521</v>
      </c>
      <c r="O991" s="36" t="n">
        <v>0.01</v>
      </c>
      <c r="P991" s="36" t="n">
        <v>2.65</v>
      </c>
      <c r="Q991" s="36" t="n">
        <v>12.46</v>
      </c>
      <c r="R991" s="36" t="n">
        <v>98.81</v>
      </c>
      <c r="S991" s="36" t="n">
        <v>0</v>
      </c>
      <c r="T991" s="37" t="n">
        <v>0.2945036915504512</v>
      </c>
      <c r="U991" s="37" t="n">
        <v>0.4138090824837813</v>
      </c>
      <c r="V991" s="37" t="n">
        <v>0.2553090332805071</v>
      </c>
      <c r="W991" s="37" t="n">
        <v>0.4725643896976484</v>
      </c>
    </row>
    <row r="992">
      <c r="A992" s="53" t="n">
        <v>45777</v>
      </c>
      <c r="B992" t="inlineStr">
        <is>
          <t>R01_Sumbagut</t>
        </is>
      </c>
      <c r="C992" t="inlineStr">
        <is>
          <t>NOP PEMATANG SIANTAR</t>
        </is>
      </c>
      <c r="D992" s="36" t="n">
        <v>3.66</v>
      </c>
      <c r="E992" s="36" t="n">
        <v>4.13</v>
      </c>
      <c r="F992" s="36" t="n">
        <v>5.34</v>
      </c>
      <c r="G992" s="36" t="n">
        <v>5.2</v>
      </c>
      <c r="H992" s="37" t="n">
        <v>0.3269916765755054</v>
      </c>
      <c r="I992" s="37" t="n">
        <v>0.3771367521367521</v>
      </c>
      <c r="J992" s="37" t="n">
        <v>0.307660626029654</v>
      </c>
      <c r="K992" s="37" t="n">
        <v>0.6742209631728046</v>
      </c>
      <c r="L992" s="37" t="n">
        <v>0.6793002915451894</v>
      </c>
      <c r="M992" s="37" t="n">
        <v>0.9949464922711059</v>
      </c>
      <c r="N992" s="37" t="n">
        <v>0.1866825208085612</v>
      </c>
      <c r="O992" s="36" t="n">
        <v>0.03</v>
      </c>
      <c r="P992" s="36" t="n">
        <v>4.43</v>
      </c>
      <c r="Q992" s="36" t="n">
        <v>71.42</v>
      </c>
      <c r="R992" s="36" t="n">
        <v>74.16</v>
      </c>
      <c r="S992" s="36" t="n">
        <v>0</v>
      </c>
      <c r="T992" s="37" t="n">
        <v>0.1136379737867517</v>
      </c>
      <c r="U992" s="37" t="n">
        <v>0.3270817704426107</v>
      </c>
      <c r="V992" s="37" t="n">
        <v>0.0893266872379144</v>
      </c>
      <c r="W992" s="37" t="n">
        <v>0.8486238532110092</v>
      </c>
    </row>
    <row r="993">
      <c r="A993" s="53" t="n">
        <v>45777</v>
      </c>
      <c r="B993" t="inlineStr">
        <is>
          <t>R01_Sumbagut</t>
        </is>
      </c>
      <c r="C993" t="inlineStr">
        <is>
          <t>NOP RANTAU PRAPAT</t>
        </is>
      </c>
      <c r="D993" s="36" t="n">
        <v>5.12</v>
      </c>
      <c r="E993" s="36" t="n">
        <v>6.22</v>
      </c>
      <c r="F993" s="36" t="n">
        <v>5.59</v>
      </c>
      <c r="G993" s="36" t="n">
        <v>5.29</v>
      </c>
      <c r="H993" s="37" t="n">
        <v>0.3012</v>
      </c>
      <c r="I993" s="37" t="n">
        <v>0.3213038416763679</v>
      </c>
      <c r="J993" s="37" t="n">
        <v>0.297029702970297</v>
      </c>
      <c r="K993" s="37" t="n">
        <v>0.6376811594202898</v>
      </c>
      <c r="L993" s="37" t="n">
        <v>0.64</v>
      </c>
      <c r="M993" s="37" t="n">
        <v>0.9902</v>
      </c>
      <c r="N993" s="37" t="n">
        <v>0.176</v>
      </c>
      <c r="O993" s="36" t="n">
        <v>0.03</v>
      </c>
      <c r="P993" s="36" t="n">
        <v>4.29</v>
      </c>
      <c r="Q993" s="36" t="n">
        <v>36.68</v>
      </c>
      <c r="R993" s="36" t="n">
        <v>50.25</v>
      </c>
      <c r="S993" s="36" t="n">
        <v>0</v>
      </c>
      <c r="T993" s="37" t="n">
        <v>0.06961108812577575</v>
      </c>
      <c r="U993" s="37" t="n">
        <v>0.1650406504065041</v>
      </c>
      <c r="V993" s="37" t="n">
        <v>0.04812768569674647</v>
      </c>
      <c r="W993" s="37" t="n">
        <v>0.6305418719211823</v>
      </c>
    </row>
    <row r="994">
      <c r="A994" s="53" t="n">
        <v>45777</v>
      </c>
      <c r="B994" t="inlineStr">
        <is>
          <t>R10_Sumbagteng</t>
        </is>
      </c>
      <c r="C994" t="inlineStr">
        <is>
          <t>NOP BATAM</t>
        </is>
      </c>
      <c r="D994" s="36" t="n">
        <v>3.08</v>
      </c>
      <c r="E994" s="36" t="n">
        <v>10.46</v>
      </c>
      <c r="F994" s="36" t="n">
        <v>6.88</v>
      </c>
      <c r="G994" s="36" t="n">
        <v>9.69</v>
      </c>
      <c r="H994" s="37" t="n">
        <v>0.2811839323467231</v>
      </c>
      <c r="I994" s="37" t="n">
        <v>0.3083573487031701</v>
      </c>
      <c r="J994" s="37" t="n">
        <v>0.2750809061488673</v>
      </c>
      <c r="K994" s="37" t="n">
        <v>0.602803738317757</v>
      </c>
      <c r="L994" s="37" t="n">
        <v>0.6172248803827751</v>
      </c>
      <c r="M994" s="37" t="n">
        <v>0.9933932346723044</v>
      </c>
      <c r="N994" s="37" t="n">
        <v>0.1757399577167019</v>
      </c>
      <c r="O994" s="36" t="n">
        <v>0.13</v>
      </c>
      <c r="P994" s="36" t="n">
        <v>5.61</v>
      </c>
      <c r="Q994" s="36" t="n">
        <v>37.13</v>
      </c>
      <c r="R994" s="36" t="n">
        <v>23.56</v>
      </c>
      <c r="S994" s="36" t="n">
        <v>0</v>
      </c>
      <c r="T994" s="37" t="n">
        <v>0.08048370305117322</v>
      </c>
      <c r="U994" s="37" t="n">
        <v>0.2253206915783603</v>
      </c>
      <c r="V994" s="37" t="n">
        <v>0.05554504163512491</v>
      </c>
      <c r="W994" s="37" t="n">
        <v>0.806930693069307</v>
      </c>
    </row>
    <row r="995">
      <c r="A995" s="53" t="n">
        <v>45777</v>
      </c>
      <c r="B995" t="inlineStr">
        <is>
          <t>R10_Sumbagteng</t>
        </is>
      </c>
      <c r="C995" t="inlineStr">
        <is>
          <t>NOP BUKITTINGGI</t>
        </is>
      </c>
      <c r="D995" s="36" t="n">
        <v>2.46</v>
      </c>
      <c r="E995" s="36" t="n">
        <v>4.24</v>
      </c>
      <c r="F995" s="36" t="n">
        <v>4.92</v>
      </c>
      <c r="G995" s="36" t="n">
        <v>5.88</v>
      </c>
      <c r="H995" s="37" t="n">
        <v>0.7559607293127629</v>
      </c>
      <c r="I995" s="37" t="n">
        <v>0.8382352941176471</v>
      </c>
      <c r="J995" s="37" t="n">
        <v>0.7302025782688766</v>
      </c>
      <c r="K995" s="37" t="n">
        <v>0.6701754385964912</v>
      </c>
      <c r="L995" s="37" t="n">
        <v>0.6813186813186813</v>
      </c>
      <c r="M995" s="37" t="n">
        <v>0.9831697054698457</v>
      </c>
      <c r="N995" s="37" t="n">
        <v>0.455820476858345</v>
      </c>
      <c r="O995" s="36" t="n">
        <v>0.06</v>
      </c>
      <c r="P995" s="36" t="n">
        <v>3.75</v>
      </c>
      <c r="Q995" s="36" t="n">
        <v>13.04</v>
      </c>
      <c r="R995" s="36" t="n">
        <v>102.09</v>
      </c>
      <c r="S995" s="36" t="n">
        <v>0</v>
      </c>
      <c r="T995" s="37" t="n">
        <v>0.285974025974026</v>
      </c>
      <c r="U995" s="37" t="n">
        <v>0.797962648556876</v>
      </c>
      <c r="V995" s="37" t="n">
        <v>0.2437846284983662</v>
      </c>
      <c r="W995" s="37" t="n">
        <v>0.5765957446808511</v>
      </c>
    </row>
    <row r="996">
      <c r="A996" s="53" t="n">
        <v>45777</v>
      </c>
      <c r="B996" t="inlineStr">
        <is>
          <t>R10_Sumbagteng</t>
        </is>
      </c>
      <c r="C996" t="inlineStr">
        <is>
          <t>NOP DUMAI</t>
        </is>
      </c>
      <c r="D996" s="36" t="n">
        <v>4.66</v>
      </c>
      <c r="E996" s="36" t="n">
        <v>5.6</v>
      </c>
      <c r="F996" s="36" t="n">
        <v>5.69</v>
      </c>
      <c r="G996" s="36" t="n">
        <v>7.45</v>
      </c>
      <c r="H996" s="37" t="n">
        <v>0.424949102350546</v>
      </c>
      <c r="I996" s="37" t="n">
        <v>0.5266030013642565</v>
      </c>
      <c r="J996" s="37" t="n">
        <v>0.3870967741935484</v>
      </c>
      <c r="K996" s="37" t="n">
        <v>0.7305699481865285</v>
      </c>
      <c r="L996" s="37" t="n">
        <v>0.7387755102040816</v>
      </c>
      <c r="M996" s="37" t="n">
        <v>0.9768647047936332</v>
      </c>
      <c r="N996" s="37" t="n">
        <v>0.2480103646122525</v>
      </c>
      <c r="O996" s="36" t="n">
        <v>0.17</v>
      </c>
      <c r="P996" s="36" t="n">
        <v>4.65</v>
      </c>
      <c r="Q996" s="36" t="n">
        <v>57.66</v>
      </c>
      <c r="R996" s="36" t="n">
        <v>133.94</v>
      </c>
      <c r="S996" s="36" t="n">
        <v>0</v>
      </c>
      <c r="T996" s="37" t="n">
        <v>0.2970150724066594</v>
      </c>
      <c r="U996" s="37" t="n">
        <v>0.3488481429243065</v>
      </c>
      <c r="V996" s="37" t="n">
        <v>0.2943411055802987</v>
      </c>
      <c r="W996" s="37" t="n">
        <v>0.9366576819407008</v>
      </c>
    </row>
    <row r="997">
      <c r="A997" s="53" t="n">
        <v>45777</v>
      </c>
      <c r="B997" t="inlineStr">
        <is>
          <t>R10_Sumbagteng</t>
        </is>
      </c>
      <c r="C997" t="inlineStr">
        <is>
          <t>NOP PADANG</t>
        </is>
      </c>
      <c r="D997" s="36" t="n">
        <v>3.66</v>
      </c>
      <c r="E997" s="36" t="n">
        <v>2.77</v>
      </c>
      <c r="F997" s="36" t="n">
        <v>6.21</v>
      </c>
      <c r="G997" s="36" t="n">
        <v>6.74</v>
      </c>
      <c r="H997" s="37" t="n">
        <v>0.7305475504322767</v>
      </c>
      <c r="I997" s="37" t="n">
        <v>0.7061224489795919</v>
      </c>
      <c r="J997" s="37" t="n">
        <v>0.7338051170386499</v>
      </c>
      <c r="K997" s="37" t="n">
        <v>0.5086705202312138</v>
      </c>
      <c r="L997" s="37" t="n">
        <v>0.5086705202312138</v>
      </c>
      <c r="M997" s="37" t="n">
        <v>0.9851104707012488</v>
      </c>
      <c r="N997" s="37" t="n">
        <v>0.2853025936599424</v>
      </c>
      <c r="O997" s="36" t="n">
        <v>0.06</v>
      </c>
      <c r="P997" s="36" t="n">
        <v>4.68</v>
      </c>
      <c r="Q997" s="36" t="n">
        <v>37.19</v>
      </c>
      <c r="R997" s="36" t="n">
        <v>60.47</v>
      </c>
      <c r="S997" s="36" t="n">
        <v>0</v>
      </c>
      <c r="T997" s="37" t="n">
        <v>0.7578288100208769</v>
      </c>
      <c r="U997" s="37" t="n">
        <v>0.6672879776328052</v>
      </c>
      <c r="V997" s="37" t="n">
        <v>0.7716049382716049</v>
      </c>
      <c r="W997" s="37" t="n">
        <v>0.5223463687150838</v>
      </c>
    </row>
    <row r="998">
      <c r="A998" s="53" t="n">
        <v>45777</v>
      </c>
      <c r="B998" t="inlineStr">
        <is>
          <t>R10_Sumbagteng</t>
        </is>
      </c>
      <c r="C998" t="inlineStr">
        <is>
          <t>NOP PEKANBARU</t>
        </is>
      </c>
      <c r="D998" s="36" t="n">
        <v>5.89</v>
      </c>
      <c r="E998" s="36" t="n">
        <v>5.84</v>
      </c>
      <c r="F998" s="36" t="n">
        <v>5.99</v>
      </c>
      <c r="G998" s="36" t="n">
        <v>7.74</v>
      </c>
      <c r="H998" s="37" t="n">
        <v>0.4324577861163227</v>
      </c>
      <c r="I998" s="37" t="n">
        <v>0.5348837209302325</v>
      </c>
      <c r="J998" s="37" t="n">
        <v>0.4115653941721256</v>
      </c>
      <c r="K998" s="37" t="n">
        <v>0.7536231884057971</v>
      </c>
      <c r="L998" s="37" t="n">
        <v>0.7578288100208769</v>
      </c>
      <c r="M998" s="37" t="n">
        <v>0.9879924953095685</v>
      </c>
      <c r="N998" s="37" t="n">
        <v>0.2347091932457786</v>
      </c>
      <c r="O998" s="36" t="n">
        <v>0.03</v>
      </c>
      <c r="P998" s="36" t="n">
        <v>3.38</v>
      </c>
      <c r="Q998" s="36" t="n">
        <v>49.13</v>
      </c>
      <c r="R998" s="36" t="n">
        <v>100.26</v>
      </c>
      <c r="S998" s="36" t="n">
        <v>0</v>
      </c>
      <c r="T998" s="37" t="n">
        <v>0.3038378316820408</v>
      </c>
      <c r="U998" s="37" t="n">
        <v>0.314361100640784</v>
      </c>
      <c r="V998" s="37" t="n">
        <v>0.3100626740947075</v>
      </c>
      <c r="W998" s="37" t="n">
        <v>0.8213429256594724</v>
      </c>
    </row>
    <row r="999">
      <c r="A999" s="53" t="n">
        <v>45777</v>
      </c>
      <c r="B999" t="inlineStr">
        <is>
          <t>R02_Sumbagsel</t>
        </is>
      </c>
      <c r="C999" t="inlineStr">
        <is>
          <t>NOP BENGKULU</t>
        </is>
      </c>
      <c r="D999" s="36" t="n">
        <v>2.71</v>
      </c>
      <c r="E999" s="36" t="n">
        <v>5.34</v>
      </c>
      <c r="F999" s="36" t="n">
        <v>5.3</v>
      </c>
      <c r="G999" s="36" t="n">
        <v>6.82</v>
      </c>
      <c r="H999" s="37" t="n">
        <v>0.3424504605079542</v>
      </c>
      <c r="I999" s="37" t="n">
        <v>0.4243951612903226</v>
      </c>
      <c r="J999" s="37" t="n">
        <v>0.3110768043226553</v>
      </c>
      <c r="K999" s="37" t="n">
        <v>0.5914489311163895</v>
      </c>
      <c r="L999" s="37" t="n">
        <v>0.6240601503759399</v>
      </c>
      <c r="M999" s="37" t="n">
        <v>0.9879988836170807</v>
      </c>
      <c r="N999" s="37" t="n">
        <v>0.1741557354172481</v>
      </c>
      <c r="O999" s="36" t="n">
        <v>0</v>
      </c>
      <c r="P999" s="36" t="n">
        <v>6.57</v>
      </c>
      <c r="Q999" s="36" t="n">
        <v>7.57</v>
      </c>
      <c r="R999" s="36" t="n">
        <v>10.98</v>
      </c>
      <c r="S999" s="36" t="n">
        <v>0</v>
      </c>
      <c r="T999" s="37" t="n">
        <v>0.4411051866214251</v>
      </c>
      <c r="U999" s="37" t="n">
        <v>0.3764563106796117</v>
      </c>
      <c r="V999" s="37" t="n">
        <v>0.5925692695214105</v>
      </c>
      <c r="W999" s="37" t="n">
        <v>0.8723404255319149</v>
      </c>
    </row>
    <row r="1000">
      <c r="A1000" s="53" t="n">
        <v>45777</v>
      </c>
      <c r="B1000" t="inlineStr">
        <is>
          <t>R02_Sumbagsel</t>
        </is>
      </c>
      <c r="C1000" t="inlineStr">
        <is>
          <t>NOP JAMBI</t>
        </is>
      </c>
      <c r="D1000" s="36" t="n">
        <v>3.66</v>
      </c>
      <c r="E1000" s="36" t="n">
        <v>6.29</v>
      </c>
      <c r="F1000" s="36" t="n">
        <v>5.92</v>
      </c>
      <c r="G1000" s="36" t="n">
        <v>8.220000000000001</v>
      </c>
      <c r="H1000" s="37" t="n">
        <v>0.5426975259377494</v>
      </c>
      <c r="I1000" s="37" t="n">
        <v>0.5796052631578947</v>
      </c>
      <c r="J1000" s="37" t="n">
        <v>0.5266323024054983</v>
      </c>
      <c r="K1000" s="37" t="n">
        <v>0.6311010215664018</v>
      </c>
      <c r="L1000" s="37" t="n">
        <v>0.646441073512252</v>
      </c>
      <c r="M1000" s="37" t="n">
        <v>0.9970071827613727</v>
      </c>
      <c r="N1000" s="37" t="n">
        <v>0.2751396648044693</v>
      </c>
      <c r="O1000" s="36" t="n">
        <v>0</v>
      </c>
      <c r="P1000" s="36" t="n">
        <v>7.97</v>
      </c>
      <c r="Q1000" s="36" t="n">
        <v>18.24</v>
      </c>
      <c r="R1000" s="36" t="n">
        <v>18</v>
      </c>
      <c r="S1000" s="36" t="n">
        <v>0</v>
      </c>
      <c r="T1000" s="37" t="n">
        <v>0.6185742686736723</v>
      </c>
      <c r="U1000" s="37" t="n">
        <v>0.5983466362599772</v>
      </c>
      <c r="V1000" s="37" t="n">
        <v>0.6505486968449932</v>
      </c>
      <c r="W1000" s="37" t="n">
        <v>0.7513101476893759</v>
      </c>
    </row>
    <row r="1001">
      <c r="A1001" s="53" t="n">
        <v>45777</v>
      </c>
      <c r="B1001" t="inlineStr">
        <is>
          <t>R02_Sumbagsel</t>
        </is>
      </c>
      <c r="C1001" t="inlineStr">
        <is>
          <t>NOP LAMPUNG</t>
        </is>
      </c>
      <c r="D1001" s="36" t="n">
        <v>3.84</v>
      </c>
      <c r="E1001" s="36" t="n">
        <v>4.63</v>
      </c>
      <c r="F1001" s="36" t="n">
        <v>4.56</v>
      </c>
      <c r="G1001" s="36" t="n">
        <v>4.94</v>
      </c>
      <c r="H1001" s="37" t="n">
        <v>0.535318155283129</v>
      </c>
      <c r="I1001" s="37" t="n">
        <v>0.7030878859857482</v>
      </c>
      <c r="J1001" s="37" t="n">
        <v>0.4806501547987616</v>
      </c>
      <c r="K1001" s="37" t="n">
        <v>0.7195945945945946</v>
      </c>
      <c r="L1001" s="37" t="n">
        <v>0.717687074829932</v>
      </c>
      <c r="M1001" s="37" t="n">
        <v>0.9982486865148862</v>
      </c>
      <c r="N1001" s="37" t="n">
        <v>0.3496789258610625</v>
      </c>
      <c r="O1001" s="36" t="n">
        <v>1.12</v>
      </c>
      <c r="P1001" s="36" t="n">
        <v>5.76</v>
      </c>
      <c r="Q1001" s="36" t="n">
        <v>5.86</v>
      </c>
      <c r="R1001" s="36" t="n">
        <v>27.06</v>
      </c>
      <c r="S1001" s="36" t="n">
        <v>0</v>
      </c>
      <c r="T1001" s="37" t="n">
        <v>0.8976833976833977</v>
      </c>
      <c r="U1001" s="37" t="n">
        <v>0.7934973637961336</v>
      </c>
      <c r="V1001" s="37" t="n">
        <v>0.9476691729323308</v>
      </c>
      <c r="W1001" s="37" t="n">
        <v>0.8582502768549281</v>
      </c>
    </row>
    <row r="1002">
      <c r="A1002" s="53" t="n">
        <v>45777</v>
      </c>
      <c r="B1002" t="inlineStr">
        <is>
          <t>R02_Sumbagsel</t>
        </is>
      </c>
      <c r="C1002" t="inlineStr">
        <is>
          <t>NOP MUARA ENIM</t>
        </is>
      </c>
      <c r="D1002" s="36" t="n">
        <v>3.31</v>
      </c>
      <c r="E1002" s="36" t="n">
        <v>3.76</v>
      </c>
      <c r="F1002" s="36" t="n">
        <v>5.27</v>
      </c>
      <c r="G1002" s="36" t="n">
        <v>5.26</v>
      </c>
      <c r="H1002" s="37" t="n">
        <v>0.3927434754933163</v>
      </c>
      <c r="I1002" s="37" t="n">
        <v>0.3385650224215246</v>
      </c>
      <c r="J1002" s="37" t="n">
        <v>0.4053912588327663</v>
      </c>
      <c r="K1002" s="37" t="n">
        <v>0.543046357615894</v>
      </c>
      <c r="L1002" s="37" t="n">
        <v>0.574468085106383</v>
      </c>
      <c r="M1002" s="37" t="n">
        <v>0.9762359431360068</v>
      </c>
      <c r="N1002" s="37" t="n">
        <v>0.1737746658179503</v>
      </c>
      <c r="O1002" s="36" t="n">
        <v>0</v>
      </c>
      <c r="P1002" s="36" t="n">
        <v>4.94</v>
      </c>
      <c r="Q1002" s="36" t="n">
        <v>6.54</v>
      </c>
      <c r="R1002" s="36" t="n">
        <v>8.94</v>
      </c>
      <c r="S1002" s="36" t="n">
        <v>0</v>
      </c>
      <c r="T1002" s="37" t="n">
        <v>0.4483163008879209</v>
      </c>
      <c r="U1002" s="37" t="n">
        <v>0.4549532710280374</v>
      </c>
      <c r="V1002" s="37" t="n">
        <v>0.5171881035148707</v>
      </c>
      <c r="W1002" s="37" t="n">
        <v>0.8027937551355793</v>
      </c>
    </row>
    <row r="1003">
      <c r="A1003" s="53" t="n">
        <v>45777</v>
      </c>
      <c r="B1003" t="inlineStr">
        <is>
          <t>R02_Sumbagsel</t>
        </is>
      </c>
      <c r="C1003" t="inlineStr">
        <is>
          <t>NOP PALEMBANG</t>
        </is>
      </c>
      <c r="D1003" s="36" t="n">
        <v>2.94</v>
      </c>
      <c r="E1003" s="36" t="n">
        <v>4.72</v>
      </c>
      <c r="F1003" s="36" t="n">
        <v>7.61</v>
      </c>
      <c r="G1003" s="36" t="n">
        <v>8.32</v>
      </c>
      <c r="H1003" s="37" t="n">
        <v>0.2800530906332954</v>
      </c>
      <c r="I1003" s="37" t="n">
        <v>0.2779783393501805</v>
      </c>
      <c r="J1003" s="37" t="n">
        <v>0.2802966101694915</v>
      </c>
      <c r="K1003" s="37" t="n">
        <v>0.4935064935064935</v>
      </c>
      <c r="L1003" s="37" t="n">
        <v>0.4935064935064935</v>
      </c>
      <c r="M1003" s="37" t="n">
        <v>0.999620781190747</v>
      </c>
      <c r="N1003" s="37" t="n">
        <v>0.1221084565794463</v>
      </c>
      <c r="O1003" s="36" t="n">
        <v>0</v>
      </c>
      <c r="P1003" s="36" t="n">
        <v>5.8</v>
      </c>
      <c r="Q1003" s="36" t="n">
        <v>13.03</v>
      </c>
      <c r="R1003" s="36" t="n">
        <v>6</v>
      </c>
      <c r="S1003" s="36" t="n">
        <v>0</v>
      </c>
      <c r="T1003" s="37" t="n">
        <v>0.3010023584905661</v>
      </c>
      <c r="U1003" s="37" t="n">
        <v>0.2410683315990288</v>
      </c>
      <c r="V1003" s="37" t="n">
        <v>0.4208870714061025</v>
      </c>
      <c r="W1003" s="37" t="n">
        <v>0.4517985611510791</v>
      </c>
    </row>
    <row r="1004">
      <c r="A1004" s="53" t="n">
        <v>45777</v>
      </c>
      <c r="B1004" t="inlineStr">
        <is>
          <t>R02_Sumbagsel</t>
        </is>
      </c>
      <c r="C1004" t="inlineStr">
        <is>
          <t>NOP PANGKAL PINANG</t>
        </is>
      </c>
      <c r="D1004" s="36" t="n">
        <v>1.94</v>
      </c>
      <c r="E1004" s="36" t="n">
        <v>3.85</v>
      </c>
      <c r="F1004" s="36" t="n">
        <v>5.42</v>
      </c>
      <c r="G1004" s="36" t="n">
        <v>6.91</v>
      </c>
      <c r="H1004" s="37" t="n">
        <v>0.6462585034013606</v>
      </c>
      <c r="I1004" s="37" t="n">
        <v>0.7435897435897436</v>
      </c>
      <c r="J1004" s="37" t="n">
        <v>0.6408045977011494</v>
      </c>
      <c r="K1004" s="37" t="n">
        <v>0.6206896551724138</v>
      </c>
      <c r="L1004" s="37" t="n">
        <v>0.6206896551724138</v>
      </c>
      <c r="M1004" s="37" t="n">
        <v>0.9986394557823129</v>
      </c>
      <c r="N1004" s="37" t="n">
        <v>0.3442176870748299</v>
      </c>
      <c r="O1004" s="36" t="n">
        <v>0</v>
      </c>
      <c r="P1004" s="36" t="n">
        <v>5.63</v>
      </c>
      <c r="Q1004" s="36" t="n">
        <v>5.87</v>
      </c>
      <c r="R1004" s="36" t="n">
        <v>8.4</v>
      </c>
      <c r="S1004" s="36" t="n">
        <v>0</v>
      </c>
      <c r="T1004" s="37" t="n">
        <v>0.7962657880285557</v>
      </c>
      <c r="U1004" s="37" t="n">
        <v>0.8401420959147424</v>
      </c>
      <c r="V1004" s="37" t="n">
        <v>0.8396143733567046</v>
      </c>
      <c r="W1004" s="37" t="n">
        <v>0.6723044397463002</v>
      </c>
    </row>
    <row r="1005">
      <c r="A1005" s="53" t="n">
        <v>45777</v>
      </c>
      <c r="B1005" t="inlineStr">
        <is>
          <t>R05_Jawa Tengah DIY</t>
        </is>
      </c>
      <c r="C1005" t="inlineStr">
        <is>
          <t>NOP MAGELANG</t>
        </is>
      </c>
      <c r="D1005" s="36" t="n">
        <v>3.74</v>
      </c>
      <c r="E1005" s="36" t="n">
        <v>0</v>
      </c>
      <c r="F1005" s="36" t="n">
        <v>4.53</v>
      </c>
      <c r="G1005" s="36" t="n">
        <v>6.2</v>
      </c>
      <c r="H1005" s="37" t="n">
        <v>0.8070175438596491</v>
      </c>
      <c r="I1005" s="37" t="n">
        <v>0.96875</v>
      </c>
      <c r="J1005" s="37" t="n">
        <v>0.7865612648221344</v>
      </c>
      <c r="K1005" s="37" t="n">
        <v>0.7903225806451613</v>
      </c>
      <c r="L1005" s="37" t="n">
        <v>0.7903225806451613</v>
      </c>
      <c r="M1005" s="37" t="n">
        <v>0.9982456140350877</v>
      </c>
      <c r="N1005" s="37" t="n">
        <v>0.7105263157894737</v>
      </c>
      <c r="O1005" s="36" t="n">
        <v>0.17</v>
      </c>
      <c r="P1005" s="36" t="n">
        <v>2.83</v>
      </c>
      <c r="Q1005" s="36" t="n">
        <v>7.81</v>
      </c>
      <c r="R1005" s="36" t="n">
        <v>16.29</v>
      </c>
      <c r="S1005" s="36" t="n">
        <v>0</v>
      </c>
      <c r="T1005" s="37" t="n">
        <v>0.9529505582137161</v>
      </c>
      <c r="U1005" s="37" t="n">
        <v>0.9552845528455285</v>
      </c>
      <c r="V1005" s="37" t="n">
        <v>0.9523809523809523</v>
      </c>
      <c r="W1005" s="37" t="n">
        <v>0.8893617021276595</v>
      </c>
    </row>
    <row r="1006">
      <c r="A1006" s="53" t="n">
        <v>45777</v>
      </c>
      <c r="B1006" t="inlineStr">
        <is>
          <t>R05_Jawa Tengah DIY</t>
        </is>
      </c>
      <c r="C1006" t="inlineStr">
        <is>
          <t>NOP PEKALONGAN</t>
        </is>
      </c>
      <c r="D1006" s="36" t="n">
        <v>2.92</v>
      </c>
      <c r="E1006" s="36" t="n">
        <v>0</v>
      </c>
      <c r="F1006" s="36" t="n">
        <v>3.79</v>
      </c>
      <c r="G1006" s="36" t="n">
        <v>3.3</v>
      </c>
      <c r="H1006" s="37" t="n">
        <v>0.6556701030927835</v>
      </c>
      <c r="I1006" s="37" t="n">
        <v>0.7380952380952381</v>
      </c>
      <c r="J1006" s="37" t="n">
        <v>0.6478555304740407</v>
      </c>
      <c r="K1006" s="37" t="n">
        <v>1</v>
      </c>
      <c r="L1006" s="37" t="n">
        <v>1</v>
      </c>
      <c r="M1006" s="37" t="n">
        <v>0.9711340206185567</v>
      </c>
      <c r="N1006" s="37" t="n">
        <v>0.534020618556701</v>
      </c>
      <c r="O1006" s="36" t="n">
        <v>0.01</v>
      </c>
      <c r="P1006" s="36" t="n">
        <v>3.7</v>
      </c>
      <c r="Q1006" s="36" t="n">
        <v>5.88</v>
      </c>
      <c r="R1006" s="36" t="n">
        <v>49.47</v>
      </c>
      <c r="S1006" s="36" t="n">
        <v>0</v>
      </c>
      <c r="T1006" s="37" t="n">
        <v>0.8042203985932005</v>
      </c>
      <c r="U1006" s="37" t="n">
        <v>0.7649769585253456</v>
      </c>
      <c r="V1006" s="37" t="n">
        <v>0.8176100628930818</v>
      </c>
      <c r="W1006" s="37" t="n">
        <v>0.6626506024096386</v>
      </c>
    </row>
    <row r="1007">
      <c r="A1007" s="53" t="n">
        <v>45777</v>
      </c>
      <c r="B1007" t="inlineStr">
        <is>
          <t>R05_Jawa Tengah DIY</t>
        </is>
      </c>
      <c r="C1007" t="inlineStr">
        <is>
          <t>NOP PURWOKERTO</t>
        </is>
      </c>
      <c r="D1007" s="36" t="n">
        <v>3.32</v>
      </c>
      <c r="E1007" s="36" t="n">
        <v>0</v>
      </c>
      <c r="F1007" s="36" t="n">
        <v>3.65</v>
      </c>
      <c r="G1007" s="36" t="n">
        <v>4.61</v>
      </c>
      <c r="H1007" s="37" t="n">
        <v>0.7853107344632768</v>
      </c>
      <c r="I1007" s="37" t="n">
        <v>0.8085106382978723</v>
      </c>
      <c r="J1007" s="37" t="n">
        <v>0.7830578512396694</v>
      </c>
      <c r="K1007" s="37" t="n">
        <v>1</v>
      </c>
      <c r="L1007" s="37" t="n">
        <v>1</v>
      </c>
      <c r="M1007" s="37" t="n">
        <v>0.9774011299435028</v>
      </c>
      <c r="N1007" s="37" t="n">
        <v>0.5141242937853108</v>
      </c>
      <c r="O1007" s="36" t="n">
        <v>0.5</v>
      </c>
      <c r="P1007" s="36" t="n">
        <v>3.86</v>
      </c>
      <c r="Q1007" s="36" t="n">
        <v>8.720000000000001</v>
      </c>
      <c r="R1007" s="36" t="n">
        <v>39.61</v>
      </c>
      <c r="S1007" s="36" t="n">
        <v>0</v>
      </c>
      <c r="T1007" s="37" t="n">
        <v>0.8138957816377171</v>
      </c>
      <c r="U1007" s="37" t="n">
        <v>0.8197674418604651</v>
      </c>
      <c r="V1007" s="37" t="n">
        <v>0.8123028391167192</v>
      </c>
      <c r="W1007" s="37" t="n">
        <v>0.7375886524822695</v>
      </c>
    </row>
    <row r="1008">
      <c r="A1008" s="53" t="n">
        <v>45777</v>
      </c>
      <c r="B1008" t="inlineStr">
        <is>
          <t>R05_Jawa Tengah DIY</t>
        </is>
      </c>
      <c r="C1008" t="inlineStr">
        <is>
          <t>NOP SEMARANG</t>
        </is>
      </c>
      <c r="D1008" s="36" t="n">
        <v>2.11</v>
      </c>
      <c r="E1008" s="36" t="n">
        <v>1.69</v>
      </c>
      <c r="F1008" s="36" t="n">
        <v>3.24</v>
      </c>
      <c r="G1008" s="36" t="n">
        <v>4.18</v>
      </c>
      <c r="H1008" s="37" t="n">
        <v>0.4122310305775764</v>
      </c>
      <c r="I1008" s="37" t="n">
        <v>0.4666666666666667</v>
      </c>
      <c r="J1008" s="37" t="n">
        <v>0.4060529634300126</v>
      </c>
      <c r="K1008" s="37" t="n">
        <v>1</v>
      </c>
      <c r="L1008" s="37" t="n">
        <v>1</v>
      </c>
      <c r="M1008" s="37" t="n">
        <v>0.9479048697621744</v>
      </c>
      <c r="N1008" s="37" t="n">
        <v>0.2559456398640997</v>
      </c>
      <c r="O1008" s="36" t="n">
        <v>0.06</v>
      </c>
      <c r="P1008" s="36" t="n">
        <v>6.59</v>
      </c>
      <c r="Q1008" s="36" t="n">
        <v>9.41</v>
      </c>
      <c r="R1008" s="36" t="n">
        <v>68.88</v>
      </c>
      <c r="S1008" s="36" t="n">
        <v>0</v>
      </c>
      <c r="T1008" s="37" t="n">
        <v>0.7582677165354331</v>
      </c>
      <c r="U1008" s="37" t="n">
        <v>0.5376044568245125</v>
      </c>
      <c r="V1008" s="37" t="n">
        <v>0.845225027442371</v>
      </c>
      <c r="W1008" s="37" t="n">
        <v>0.8393782383419689</v>
      </c>
    </row>
    <row r="1009">
      <c r="A1009" s="53" t="n">
        <v>45777</v>
      </c>
      <c r="B1009" t="inlineStr">
        <is>
          <t>R05_Jawa Tengah DIY</t>
        </is>
      </c>
      <c r="C1009" t="inlineStr">
        <is>
          <t>NOP SURAKARTA</t>
        </is>
      </c>
      <c r="D1009" s="36" t="n">
        <v>3.55</v>
      </c>
      <c r="E1009" s="36" t="n">
        <v>2.15</v>
      </c>
      <c r="F1009" s="36" t="n">
        <v>4.19</v>
      </c>
      <c r="G1009" s="36" t="n">
        <v>4.44</v>
      </c>
      <c r="H1009" s="37" t="n">
        <v>0.7386243386243386</v>
      </c>
      <c r="I1009" s="37" t="n">
        <v>0.8584905660377359</v>
      </c>
      <c r="J1009" s="37" t="n">
        <v>0.7234803337306317</v>
      </c>
      <c r="K1009" s="37" t="n">
        <v>0.9340659340659341</v>
      </c>
      <c r="L1009" s="37" t="n">
        <v>0.9340659340659341</v>
      </c>
      <c r="M1009" s="37" t="n">
        <v>0.9703703703703703</v>
      </c>
      <c r="N1009" s="37" t="n">
        <v>0.5142857142857142</v>
      </c>
      <c r="O1009" s="36" t="n">
        <v>0.13</v>
      </c>
      <c r="P1009" s="36" t="n">
        <v>4.29</v>
      </c>
      <c r="Q1009" s="36" t="n">
        <v>7.95</v>
      </c>
      <c r="R1009" s="36" t="n">
        <v>52.15</v>
      </c>
      <c r="S1009" s="36" t="n">
        <v>0</v>
      </c>
      <c r="T1009" s="37" t="n">
        <v>0.812150279776179</v>
      </c>
      <c r="U1009" s="37" t="n">
        <v>0.7267080745341615</v>
      </c>
      <c r="V1009" s="37" t="n">
        <v>0.8417653390742734</v>
      </c>
      <c r="W1009" s="37" t="n">
        <v>0.7435897435897436</v>
      </c>
    </row>
    <row r="1010">
      <c r="A1010" s="53" t="n">
        <v>45777</v>
      </c>
      <c r="B1010" t="inlineStr">
        <is>
          <t>R05_Jawa Tengah DIY</t>
        </is>
      </c>
      <c r="C1010" t="inlineStr">
        <is>
          <t>NOP YOGYAKARTA</t>
        </is>
      </c>
      <c r="D1010" s="36" t="n">
        <v>3.25</v>
      </c>
      <c r="E1010" s="36" t="n">
        <v>0.7</v>
      </c>
      <c r="F1010" s="36" t="n">
        <v>3.4</v>
      </c>
      <c r="G1010" s="36" t="n">
        <v>3.92</v>
      </c>
      <c r="H1010" s="37" t="n">
        <v>0.5941780821917808</v>
      </c>
      <c r="I1010" s="37" t="n">
        <v>0.8846153846153846</v>
      </c>
      <c r="J1010" s="37" t="n">
        <v>0.5657894736842105</v>
      </c>
      <c r="K1010" s="37" t="n">
        <v>0.9565217391304348</v>
      </c>
      <c r="L1010" s="37" t="n">
        <v>0.9545454545454546</v>
      </c>
      <c r="M1010" s="37" t="n">
        <v>0.988013698630137</v>
      </c>
      <c r="N1010" s="37" t="n">
        <v>0.4366438356164384</v>
      </c>
      <c r="O1010" s="36" t="n">
        <v>0</v>
      </c>
      <c r="P1010" s="36" t="n">
        <v>3.08</v>
      </c>
      <c r="Q1010" s="36" t="n">
        <v>14.82</v>
      </c>
      <c r="R1010" s="36" t="n">
        <v>42.2</v>
      </c>
      <c r="S1010" s="36" t="n">
        <v>0</v>
      </c>
      <c r="T1010" s="37" t="n">
        <v>0.9337401918047079</v>
      </c>
      <c r="U1010" s="37" t="n">
        <v>0.8495145631067961</v>
      </c>
      <c r="V1010" s="37" t="n">
        <v>0.9521785334750266</v>
      </c>
      <c r="W1010" s="37" t="n">
        <v>0.9771428571428571</v>
      </c>
    </row>
    <row r="1011">
      <c r="A1011" s="53" t="n">
        <v>45777</v>
      </c>
      <c r="B1011" t="inlineStr">
        <is>
          <t>R06_Jawa Timur</t>
        </is>
      </c>
      <c r="C1011" t="inlineStr">
        <is>
          <t>NOP JEMBER</t>
        </is>
      </c>
      <c r="D1011" s="36" t="n">
        <v>2.23</v>
      </c>
      <c r="E1011" s="36" t="n">
        <v>1.77</v>
      </c>
      <c r="F1011" s="36" t="n">
        <v>4.44</v>
      </c>
      <c r="G1011" s="36" t="n">
        <v>3.71</v>
      </c>
      <c r="H1011" s="37" t="n">
        <v>0.6757215619694398</v>
      </c>
      <c r="I1011" s="37" t="n">
        <v>0.7083333333333334</v>
      </c>
      <c r="J1011" s="37" t="n">
        <v>0.6728280961182994</v>
      </c>
      <c r="K1011" s="37" t="n">
        <v>0.8235294117647058</v>
      </c>
      <c r="L1011" s="37" t="n">
        <v>0.8235294117647058</v>
      </c>
      <c r="M1011" s="37" t="n">
        <v>0.9796264855687606</v>
      </c>
      <c r="N1011" s="37" t="n">
        <v>0.3921901528013582</v>
      </c>
      <c r="O1011" s="36" t="n">
        <v>0</v>
      </c>
      <c r="P1011" s="36" t="n">
        <v>3.48</v>
      </c>
      <c r="Q1011" s="36" t="n">
        <v>4.98</v>
      </c>
      <c r="R1011" s="36" t="n">
        <v>117.41</v>
      </c>
      <c r="S1011" s="36" t="n">
        <v>0</v>
      </c>
      <c r="T1011" s="37" t="n">
        <v>0.7953964194373402</v>
      </c>
      <c r="U1011" s="37" t="n">
        <v>0.7557603686635944</v>
      </c>
      <c r="V1011" s="37" t="n">
        <v>0.8106194690265487</v>
      </c>
      <c r="W1011" s="37" t="n">
        <v>0.7926829268292683</v>
      </c>
    </row>
    <row r="1012">
      <c r="A1012" s="53" t="n">
        <v>45777</v>
      </c>
      <c r="B1012" t="inlineStr">
        <is>
          <t>R06_Jawa Timur</t>
        </is>
      </c>
      <c r="C1012" t="inlineStr">
        <is>
          <t>NOP KEDIRI</t>
        </is>
      </c>
      <c r="D1012" s="36" t="n">
        <v>1.21</v>
      </c>
      <c r="E1012" s="36" t="n">
        <v>1.25</v>
      </c>
      <c r="F1012" s="36" t="n">
        <v>3.03</v>
      </c>
      <c r="G1012" s="36" t="n">
        <v>2.34</v>
      </c>
      <c r="H1012" s="37" t="n">
        <v>0.8810408921933085</v>
      </c>
      <c r="I1012" s="37" t="n">
        <v>0.9230769230769231</v>
      </c>
      <c r="J1012" s="37" t="n">
        <v>0.87890625</v>
      </c>
      <c r="K1012" s="37" t="n">
        <v>0.8333333333333334</v>
      </c>
      <c r="L1012" s="37" t="n">
        <v>0.8333333333333334</v>
      </c>
      <c r="M1012" s="37" t="n">
        <v>1</v>
      </c>
      <c r="N1012" s="37" t="n">
        <v>0.6617100371747212</v>
      </c>
      <c r="O1012" s="36" t="n">
        <v>0</v>
      </c>
      <c r="P1012" s="36" t="n">
        <v>1.98</v>
      </c>
      <c r="Q1012" s="36" t="n">
        <v>3.67</v>
      </c>
      <c r="R1012" s="36" t="n">
        <v>14.4</v>
      </c>
      <c r="S1012" s="36" t="n">
        <v>0</v>
      </c>
      <c r="T1012" s="37" t="n">
        <v>0.9562043795620438</v>
      </c>
      <c r="U1012" s="37" t="n">
        <v>0.9368421052631579</v>
      </c>
      <c r="V1012" s="37" t="n">
        <v>0.9620253164556962</v>
      </c>
      <c r="W1012" s="37" t="n">
        <v>0.9101123595505618</v>
      </c>
    </row>
    <row r="1013">
      <c r="A1013" s="53" t="n">
        <v>45777</v>
      </c>
      <c r="B1013" t="inlineStr">
        <is>
          <t>R06_Jawa Timur</t>
        </is>
      </c>
      <c r="C1013" t="inlineStr">
        <is>
          <t>NOP LAMONGAN</t>
        </is>
      </c>
      <c r="D1013" s="36" t="n">
        <v>1.68</v>
      </c>
      <c r="E1013" s="36" t="n">
        <v>1.55</v>
      </c>
      <c r="F1013" s="36" t="n">
        <v>3.7</v>
      </c>
      <c r="G1013" s="36" t="n">
        <v>3.68</v>
      </c>
      <c r="H1013" s="37" t="n">
        <v>0.846875</v>
      </c>
      <c r="I1013" s="37" t="n">
        <v>0.9142857142857143</v>
      </c>
      <c r="J1013" s="37" t="n">
        <v>0.8385964912280702</v>
      </c>
      <c r="K1013" s="37" t="n">
        <v>0.96875</v>
      </c>
      <c r="L1013" s="37" t="n">
        <v>0.96875</v>
      </c>
      <c r="M1013" s="37" t="n">
        <v>1</v>
      </c>
      <c r="N1013" s="37" t="n">
        <v>0.746875</v>
      </c>
      <c r="O1013" s="36" t="n">
        <v>0</v>
      </c>
      <c r="P1013" s="36" t="n">
        <v>2.35</v>
      </c>
      <c r="Q1013" s="36" t="n">
        <v>10.31</v>
      </c>
      <c r="R1013" s="36" t="n">
        <v>35.49</v>
      </c>
      <c r="S1013" s="36" t="n">
        <v>0</v>
      </c>
      <c r="T1013" s="37" t="n">
        <v>0.7810810810810811</v>
      </c>
      <c r="U1013" s="37" t="n">
        <v>0.6948051948051948</v>
      </c>
      <c r="V1013" s="37" t="n">
        <v>0.8425925925925926</v>
      </c>
      <c r="W1013" s="37" t="n">
        <v>0.9065420560747663</v>
      </c>
    </row>
    <row r="1014">
      <c r="A1014" s="53" t="n">
        <v>45777</v>
      </c>
      <c r="B1014" t="inlineStr">
        <is>
          <t>R06_Jawa Timur</t>
        </is>
      </c>
      <c r="C1014" t="inlineStr">
        <is>
          <t>NOP MADIUN</t>
        </is>
      </c>
      <c r="D1014" s="36" t="n">
        <v>0.63</v>
      </c>
      <c r="E1014" s="36" t="n">
        <v>0</v>
      </c>
      <c r="F1014" s="36" t="n">
        <v>4.36</v>
      </c>
      <c r="G1014" s="36" t="n">
        <v>3.05</v>
      </c>
      <c r="H1014" s="37" t="n">
        <v>0.5916230366492147</v>
      </c>
      <c r="I1014" s="37" t="n">
        <v>1</v>
      </c>
      <c r="J1014" s="37" t="n">
        <v>0.5862068965517241</v>
      </c>
      <c r="K1014" s="37" t="n">
        <v>0.8</v>
      </c>
      <c r="L1014" s="37" t="n">
        <v>0.8</v>
      </c>
      <c r="M1014" s="37" t="n">
        <v>0.981675392670157</v>
      </c>
      <c r="N1014" s="37" t="n">
        <v>0.3534031413612566</v>
      </c>
      <c r="O1014" s="36" t="n">
        <v>0</v>
      </c>
      <c r="P1014" s="36" t="n">
        <v>2.59</v>
      </c>
      <c r="Q1014" s="36" t="n">
        <v>6.24</v>
      </c>
      <c r="R1014" s="36" t="n">
        <v>56.6</v>
      </c>
      <c r="S1014" s="36" t="n">
        <v>0</v>
      </c>
      <c r="T1014" s="37" t="n">
        <v>0.7409948542024014</v>
      </c>
      <c r="U1014" s="37" t="n">
        <v>0.7594339622641509</v>
      </c>
      <c r="V1014" s="37" t="n">
        <v>0.7304582210242587</v>
      </c>
      <c r="W1014" s="37" t="n">
        <v>0.8509316770186336</v>
      </c>
    </row>
    <row r="1015">
      <c r="A1015" s="53" t="n">
        <v>45777</v>
      </c>
      <c r="B1015" t="inlineStr">
        <is>
          <t>R06_Jawa Timur</t>
        </is>
      </c>
      <c r="C1015" t="inlineStr">
        <is>
          <t>NOP MALANG</t>
        </is>
      </c>
      <c r="D1015" s="36" t="n">
        <v>1.34</v>
      </c>
      <c r="E1015" s="36" t="n">
        <v>0</v>
      </c>
      <c r="F1015" s="36" t="n">
        <v>3.03</v>
      </c>
      <c r="G1015" s="36" t="n">
        <v>2.69</v>
      </c>
      <c r="H1015" s="37" t="n">
        <v>0.7662037037037037</v>
      </c>
      <c r="I1015" s="37" t="n">
        <v>0.7272727272727273</v>
      </c>
      <c r="J1015" s="37" t="n">
        <v>0.7672209026128266</v>
      </c>
      <c r="K1015" s="37" t="n">
        <v>1</v>
      </c>
      <c r="L1015" s="37" t="n">
        <v>1</v>
      </c>
      <c r="M1015" s="37" t="n">
        <v>0.9976851851851852</v>
      </c>
      <c r="N1015" s="37" t="n">
        <v>0.7106481481481481</v>
      </c>
      <c r="O1015" s="36" t="n">
        <v>0.02</v>
      </c>
      <c r="P1015" s="36" t="n">
        <v>2.96</v>
      </c>
      <c r="Q1015" s="36" t="n">
        <v>4.36</v>
      </c>
      <c r="R1015" s="36" t="n">
        <v>39.3</v>
      </c>
      <c r="S1015" s="36" t="n">
        <v>0</v>
      </c>
      <c r="T1015" s="37" t="n">
        <v>0.8116343490304709</v>
      </c>
      <c r="U1015" s="37" t="n">
        <v>0.7027027027027027</v>
      </c>
      <c r="V1015" s="37" t="n">
        <v>0.8873239436619719</v>
      </c>
      <c r="W1015" s="37" t="n">
        <v>0.625</v>
      </c>
    </row>
    <row r="1016">
      <c r="A1016" s="53" t="n">
        <v>45777</v>
      </c>
      <c r="B1016" t="inlineStr">
        <is>
          <t>R06_Jawa Timur</t>
        </is>
      </c>
      <c r="C1016" t="inlineStr">
        <is>
          <t>NOP SIDOARJO</t>
        </is>
      </c>
      <c r="D1016" s="36" t="n">
        <v>2.66</v>
      </c>
      <c r="E1016" s="36" t="n">
        <v>5.94</v>
      </c>
      <c r="F1016" s="36" t="n">
        <v>3.22</v>
      </c>
      <c r="G1016" s="36" t="n">
        <v>5</v>
      </c>
      <c r="H1016" s="37" t="n">
        <v>0.6047619047619047</v>
      </c>
      <c r="I1016" s="37" t="n">
        <v>0.8936170212765957</v>
      </c>
      <c r="J1016" s="37" t="n">
        <v>0.5683646112600537</v>
      </c>
      <c r="K1016" s="37" t="n">
        <v>0.8333333333333334</v>
      </c>
      <c r="L1016" s="37" t="n">
        <v>0.8333333333333334</v>
      </c>
      <c r="M1016" s="37" t="n">
        <v>0.969047619047619</v>
      </c>
      <c r="N1016" s="37" t="n">
        <v>0.430952380952381</v>
      </c>
      <c r="O1016" s="36" t="n">
        <v>0.13</v>
      </c>
      <c r="P1016" s="36" t="n">
        <v>3.88</v>
      </c>
      <c r="Q1016" s="36" t="n">
        <v>11.4</v>
      </c>
      <c r="R1016" s="36" t="n">
        <v>52.54</v>
      </c>
      <c r="S1016" s="36" t="n">
        <v>0</v>
      </c>
      <c r="T1016" s="37" t="n">
        <v>0.7796934865900383</v>
      </c>
      <c r="U1016" s="37" t="n">
        <v>0.6646341463414634</v>
      </c>
      <c r="V1016" s="37" t="n">
        <v>0.8324022346368715</v>
      </c>
      <c r="W1016" s="37" t="n">
        <v>0.7155963302752294</v>
      </c>
    </row>
    <row r="1017">
      <c r="A1017" s="53" t="n">
        <v>45777</v>
      </c>
      <c r="B1017" t="inlineStr">
        <is>
          <t>R06_Jawa Timur</t>
        </is>
      </c>
      <c r="C1017" t="inlineStr">
        <is>
          <t>NOP SURABAYA</t>
        </is>
      </c>
      <c r="D1017" s="36" t="n">
        <v>2.54</v>
      </c>
      <c r="E1017" s="36" t="n">
        <v>0</v>
      </c>
      <c r="F1017" s="36" t="n">
        <v>4</v>
      </c>
      <c r="G1017" s="36" t="n">
        <v>4.54</v>
      </c>
      <c r="H1017" s="37" t="n">
        <v>0.5929054054054054</v>
      </c>
      <c r="I1017" s="37" t="n">
        <v>0.5285714285714286</v>
      </c>
      <c r="J1017" s="37" t="n">
        <v>0.6015325670498084</v>
      </c>
      <c r="K1017" s="37" t="n">
        <v>0.918918918918919</v>
      </c>
      <c r="L1017" s="37" t="n">
        <v>0.918918918918919</v>
      </c>
      <c r="M1017" s="37" t="n">
        <v>0.9594594594594594</v>
      </c>
      <c r="N1017" s="37" t="n">
        <v>0.4239864864864865</v>
      </c>
      <c r="O1017" s="36" t="n">
        <v>1.22</v>
      </c>
      <c r="P1017" s="36" t="n">
        <v>3.12</v>
      </c>
      <c r="Q1017" s="36" t="n">
        <v>7.01</v>
      </c>
      <c r="R1017" s="36" t="n">
        <v>30.06</v>
      </c>
      <c r="S1017" s="36" t="n">
        <v>0</v>
      </c>
      <c r="T1017" s="37" t="n">
        <v>0.6578525641025641</v>
      </c>
      <c r="U1017" s="37" t="n">
        <v>0.6738197424892703</v>
      </c>
      <c r="V1017" s="37" t="n">
        <v>0.6541871921182266</v>
      </c>
      <c r="W1017" s="37" t="n">
        <v>0.9044585987261147</v>
      </c>
    </row>
    <row r="1018">
      <c r="A1018" s="53" t="n">
        <v>45777</v>
      </c>
      <c r="B1018" t="inlineStr">
        <is>
          <t>R07_Bali Nusra</t>
        </is>
      </c>
      <c r="C1018" t="inlineStr">
        <is>
          <t>NOP DENPASAR</t>
        </is>
      </c>
      <c r="D1018" s="36" t="n">
        <v>3.6</v>
      </c>
      <c r="E1018" s="36" t="n">
        <v>0</v>
      </c>
      <c r="F1018" s="36" t="n">
        <v>4.5</v>
      </c>
      <c r="G1018" s="36" t="n">
        <v>4.29</v>
      </c>
      <c r="H1018" s="37" t="n">
        <v>0.9048991354466859</v>
      </c>
      <c r="I1018" s="37" t="n">
        <v>0.9047619047619048</v>
      </c>
      <c r="J1018" s="37" t="n">
        <v>0.9049295774647887</v>
      </c>
      <c r="K1018" s="37" t="n">
        <v>0.9649122807017544</v>
      </c>
      <c r="L1018" s="37" t="n">
        <v>0.9649122807017544</v>
      </c>
      <c r="M1018" s="37" t="n">
        <v>0.9711815561959655</v>
      </c>
      <c r="N1018" s="37" t="n">
        <v>0.8703170028818443</v>
      </c>
      <c r="O1018" s="36" t="n">
        <v>0</v>
      </c>
      <c r="P1018" s="36" t="n">
        <v>17.3</v>
      </c>
      <c r="Q1018" s="36" t="n">
        <v>19.56</v>
      </c>
      <c r="R1018" s="36" t="n">
        <v>81.34</v>
      </c>
      <c r="S1018" s="36" t="n">
        <v>0</v>
      </c>
      <c r="T1018" s="37" t="n">
        <v>0.8858321870701513</v>
      </c>
      <c r="U1018" s="37" t="n">
        <v>0.9166666666666666</v>
      </c>
      <c r="V1018" s="37" t="n">
        <v>0.8717434869739479</v>
      </c>
      <c r="W1018" s="37" t="n">
        <v>0.7464114832535885</v>
      </c>
    </row>
    <row r="1019">
      <c r="A1019" s="53" t="n">
        <v>45777</v>
      </c>
      <c r="B1019" t="inlineStr">
        <is>
          <t>R07_Bali Nusra</t>
        </is>
      </c>
      <c r="C1019" t="inlineStr">
        <is>
          <t>NOP FLORES</t>
        </is>
      </c>
      <c r="D1019" s="36" t="n">
        <v>6.76</v>
      </c>
      <c r="E1019" s="36" t="n">
        <v>5.28</v>
      </c>
      <c r="F1019" s="36" t="n">
        <v>7.04</v>
      </c>
      <c r="G1019" s="36" t="n">
        <v>9.85</v>
      </c>
      <c r="H1019" s="37" t="n">
        <v>0.5653932584269663</v>
      </c>
      <c r="I1019" s="37" t="n">
        <v>0.6881918819188192</v>
      </c>
      <c r="J1019" s="37" t="n">
        <v>0.5258467023172906</v>
      </c>
      <c r="K1019" s="37" t="n">
        <v>0.6514745308310992</v>
      </c>
      <c r="L1019" s="37" t="n">
        <v>0.659400544959128</v>
      </c>
      <c r="M1019" s="37" t="n">
        <v>0.9946067415730337</v>
      </c>
      <c r="N1019" s="37" t="n">
        <v>0.3644943820224719</v>
      </c>
      <c r="O1019" s="36" t="n">
        <v>0.17</v>
      </c>
      <c r="P1019" s="36" t="n">
        <v>10.17</v>
      </c>
      <c r="Q1019" s="36" t="n">
        <v>8.050000000000001</v>
      </c>
      <c r="R1019" s="36" t="n">
        <v>47.63</v>
      </c>
      <c r="S1019" s="36" t="n">
        <v>0</v>
      </c>
      <c r="T1019" s="37" t="n">
        <v>0.5313513513513514</v>
      </c>
      <c r="U1019" s="37" t="n">
        <v>0.5715396578538102</v>
      </c>
      <c r="V1019" s="37" t="n">
        <v>0.4397163120567376</v>
      </c>
      <c r="W1019" s="37" t="n">
        <v>0.708843537414966</v>
      </c>
    </row>
    <row r="1020">
      <c r="A1020" s="53" t="n">
        <v>45777</v>
      </c>
      <c r="B1020" t="inlineStr">
        <is>
          <t>R07_Bali Nusra</t>
        </is>
      </c>
      <c r="C1020" t="inlineStr">
        <is>
          <t>NOP KUPANG</t>
        </is>
      </c>
      <c r="D1020" s="36" t="n">
        <v>1.18</v>
      </c>
      <c r="E1020" s="36" t="n">
        <v>5.6</v>
      </c>
      <c r="F1020" s="36" t="n">
        <v>9.130000000000001</v>
      </c>
      <c r="G1020" s="36" t="n">
        <v>12.51</v>
      </c>
      <c r="H1020" s="37" t="n">
        <v>0.505625</v>
      </c>
      <c r="I1020" s="37" t="n">
        <v>0.6532258064516129</v>
      </c>
      <c r="J1020" s="37" t="n">
        <v>0.4785502958579881</v>
      </c>
      <c r="K1020" s="37" t="n">
        <v>0.7098765432098766</v>
      </c>
      <c r="L1020" s="37" t="n">
        <v>0.7088607594936709</v>
      </c>
      <c r="M1020" s="37" t="n">
        <v>0.98125</v>
      </c>
      <c r="N1020" s="37" t="n">
        <v>0.221875</v>
      </c>
      <c r="O1020" s="36" t="n">
        <v>0.17</v>
      </c>
      <c r="P1020" s="36" t="n">
        <v>8.08</v>
      </c>
      <c r="Q1020" s="36" t="n">
        <v>17.25</v>
      </c>
      <c r="R1020" s="36" t="n">
        <v>171.57</v>
      </c>
      <c r="S1020" s="36" t="n">
        <v>0</v>
      </c>
      <c r="T1020" s="37" t="n">
        <v>0.6114942528735632</v>
      </c>
      <c r="U1020" s="37" t="n">
        <v>0.6122754491017964</v>
      </c>
      <c r="V1020" s="37" t="n">
        <v>0.6102502979737783</v>
      </c>
      <c r="W1020" s="37" t="n">
        <v>0.7127139364303179</v>
      </c>
    </row>
    <row r="1021">
      <c r="A1021" s="53" t="n">
        <v>45777</v>
      </c>
      <c r="B1021" t="inlineStr">
        <is>
          <t>R07_Bali Nusra</t>
        </is>
      </c>
      <c r="C1021" t="inlineStr">
        <is>
          <t>NOP MATARAM</t>
        </is>
      </c>
      <c r="D1021" s="36" t="n">
        <v>5.42</v>
      </c>
      <c r="E1021" s="36" t="n">
        <v>5.75</v>
      </c>
      <c r="F1021" s="36" t="n">
        <v>5.3</v>
      </c>
      <c r="G1021" s="36" t="n">
        <v>5.82</v>
      </c>
      <c r="H1021" s="37" t="n">
        <v>0.5520094562647754</v>
      </c>
      <c r="I1021" s="37" t="n">
        <v>0.6528925619834711</v>
      </c>
      <c r="J1021" s="37" t="n">
        <v>0.5351724137931034</v>
      </c>
      <c r="K1021" s="37" t="n">
        <v>0.7088607594936709</v>
      </c>
      <c r="L1021" s="37" t="n">
        <v>0.7088607594936709</v>
      </c>
      <c r="M1021" s="37" t="n">
        <v>0.9905437352245863</v>
      </c>
      <c r="N1021" s="37" t="n">
        <v>0.3380614657210402</v>
      </c>
      <c r="O1021" s="36" t="n">
        <v>0.91</v>
      </c>
      <c r="P1021" s="36" t="n">
        <v>24.04</v>
      </c>
      <c r="Q1021" s="36" t="n">
        <v>20.14</v>
      </c>
      <c r="R1021" s="36" t="n">
        <v>81.03</v>
      </c>
      <c r="S1021" s="36" t="n">
        <v>0</v>
      </c>
      <c r="T1021" s="37" t="n">
        <v>0.3957575757575758</v>
      </c>
      <c r="U1021" s="37" t="n">
        <v>0.4175935288169869</v>
      </c>
      <c r="V1021" s="37" t="n">
        <v>0.3630862329803328</v>
      </c>
      <c r="W1021" s="37" t="n">
        <v>0.612590799031477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26B0A"/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5" customWidth="1" min="3" max="3"/>
    <col width="10" customWidth="1" min="4" max="4"/>
    <col width="13" customWidth="1" min="5" max="5"/>
    <col width="21" customWidth="1" min="6" max="6"/>
    <col width="12" customWidth="1" min="7" max="7"/>
    <col width="15" customWidth="1" min="8" max="8"/>
    <col width="21" customWidth="1" min="9" max="9"/>
    <col width="11" customWidth="1" min="10" max="10"/>
    <col width="14" customWidth="1" min="11" max="11"/>
    <col width="21" customWidth="1" min="12" max="12"/>
    <col width="15" customWidth="1" min="13" max="13"/>
    <col width="21" customWidth="1" min="14" max="14"/>
    <col width="10" customWidth="1" min="15" max="15"/>
    <col width="13" customWidth="1" min="16" max="16"/>
    <col width="21" customWidth="1" min="17" max="17"/>
    <col width="12" customWidth="1" min="18" max="18"/>
    <col width="15" customWidth="1" min="19" max="19"/>
    <col width="21" customWidth="1" min="20" max="20"/>
    <col width="11" customWidth="1" min="21" max="21"/>
    <col width="14" customWidth="1" min="22" max="22"/>
    <col width="21" customWidth="1" min="23" max="23"/>
    <col width="15" customWidth="1" min="24" max="24"/>
    <col width="21" customWidth="1" min="25" max="25"/>
  </cols>
  <sheetData>
    <row r="1">
      <c r="A1" s="41" t="inlineStr">
        <is>
          <t>Regional</t>
        </is>
      </c>
      <c r="B1" s="41" t="inlineStr">
        <is>
          <t>NOP</t>
        </is>
      </c>
      <c r="C1" s="54" t="inlineStr">
        <is>
          <t>Total Tickets</t>
        </is>
      </c>
      <c r="D1" s="55" t="inlineStr">
        <is>
          <t>IM-Total</t>
        </is>
      </c>
      <c r="E1" s="55" t="inlineStr">
        <is>
          <t>IM-Takeover</t>
        </is>
      </c>
      <c r="F1" s="55" t="inlineStr">
        <is>
          <t>IM-%Takeover</t>
        </is>
      </c>
      <c r="G1" s="55" t="inlineStr">
        <is>
          <t>IM-TO-High</t>
        </is>
      </c>
      <c r="H1" s="55" t="inlineStr">
        <is>
          <t>Tiket-IM-High</t>
        </is>
      </c>
      <c r="I1" s="55" t="inlineStr">
        <is>
          <t>IM-High-%TO</t>
        </is>
      </c>
      <c r="J1" s="55" t="inlineStr">
        <is>
          <t>IM-TO-Low</t>
        </is>
      </c>
      <c r="K1" s="55" t="inlineStr">
        <is>
          <t>Tiket-IM-Low</t>
        </is>
      </c>
      <c r="L1" s="55" t="inlineStr">
        <is>
          <t>IM-Low-%TO</t>
        </is>
      </c>
      <c r="M1" s="55" t="inlineStr">
        <is>
          <t>IM-High-Visit</t>
        </is>
      </c>
      <c r="N1" s="55" t="inlineStr">
        <is>
          <t>IM-High-%Visit</t>
        </is>
      </c>
      <c r="O1" s="56" t="inlineStr">
        <is>
          <t>EM-Total</t>
        </is>
      </c>
      <c r="P1" s="56" t="inlineStr">
        <is>
          <t>EM-Takeover</t>
        </is>
      </c>
      <c r="Q1" s="56" t="inlineStr">
        <is>
          <t>EM-%Takeover</t>
        </is>
      </c>
      <c r="R1" s="56" t="inlineStr">
        <is>
          <t>EM-TO-High</t>
        </is>
      </c>
      <c r="S1" s="56" t="inlineStr">
        <is>
          <t>Tiket-EM-High</t>
        </is>
      </c>
      <c r="T1" s="56" t="inlineStr">
        <is>
          <t>EM-High-%TO</t>
        </is>
      </c>
      <c r="U1" s="56" t="inlineStr">
        <is>
          <t>EM-TO-Low</t>
        </is>
      </c>
      <c r="V1" s="56" t="inlineStr">
        <is>
          <t>Tiket-EM-Low</t>
        </is>
      </c>
      <c r="W1" s="56" t="inlineStr">
        <is>
          <t>EM-Low-%TO</t>
        </is>
      </c>
      <c r="X1" s="56" t="inlineStr">
        <is>
          <t>EM-High-Visit</t>
        </is>
      </c>
      <c r="Y1" s="56" t="inlineStr">
        <is>
          <t>EM-High-%Visit</t>
        </is>
      </c>
    </row>
    <row r="2">
      <c r="A2" t="inlineStr">
        <is>
          <t>R01_Sumbagut</t>
        </is>
      </c>
      <c r="B2" t="inlineStr">
        <is>
          <t>NOP ACEH</t>
        </is>
      </c>
      <c r="C2" s="36" t="n">
        <v>13988</v>
      </c>
      <c r="D2" s="36" t="n">
        <v>3429</v>
      </c>
      <c r="E2" s="36" t="n">
        <v>2606</v>
      </c>
      <c r="F2" s="37" t="n">
        <v>0.7599883347914844</v>
      </c>
      <c r="G2" s="36" t="n">
        <v>629</v>
      </c>
      <c r="H2" s="36" t="n">
        <v>904</v>
      </c>
      <c r="I2" s="37" t="n">
        <v>0.6957964601769911</v>
      </c>
      <c r="J2" s="36" t="n">
        <v>1977</v>
      </c>
      <c r="K2" s="36" t="n">
        <v>2525</v>
      </c>
      <c r="L2" s="37" t="n">
        <v>0.782970297029703</v>
      </c>
      <c r="M2" s="36" t="n">
        <v>283</v>
      </c>
      <c r="N2" s="37" t="n">
        <v>0.4499205087440382</v>
      </c>
      <c r="O2" s="36" t="n">
        <v>10559</v>
      </c>
      <c r="P2" s="36" t="n">
        <v>9245</v>
      </c>
      <c r="Q2" s="37" t="n">
        <v>0.8755563973861161</v>
      </c>
      <c r="R2" s="36" t="n">
        <v>1073</v>
      </c>
      <c r="S2" s="36" t="n">
        <v>1478</v>
      </c>
      <c r="T2" s="37" t="n">
        <v>0.7259810554803789</v>
      </c>
      <c r="U2" s="36" t="n">
        <v>8110</v>
      </c>
      <c r="V2" s="36" t="n">
        <v>8990</v>
      </c>
      <c r="W2" s="37" t="n">
        <v>0.9021134593993326</v>
      </c>
      <c r="X2" s="36" t="n">
        <v>233</v>
      </c>
      <c r="Y2" s="37" t="n">
        <v>0.217148182665424</v>
      </c>
    </row>
    <row r="3">
      <c r="A3" t="inlineStr">
        <is>
          <t>R01_Sumbagut</t>
        </is>
      </c>
      <c r="B3" t="inlineStr">
        <is>
          <t>NOP BINJAI</t>
        </is>
      </c>
      <c r="C3" s="36" t="n">
        <v>4392</v>
      </c>
      <c r="D3" s="36" t="n">
        <v>1666</v>
      </c>
      <c r="E3" s="36" t="n">
        <v>926</v>
      </c>
      <c r="F3" s="37" t="n">
        <v>0.5558223289315727</v>
      </c>
      <c r="G3" s="36" t="n">
        <v>284</v>
      </c>
      <c r="H3" s="36" t="n">
        <v>504</v>
      </c>
      <c r="I3" s="37" t="n">
        <v>0.5634920634920635</v>
      </c>
      <c r="J3" s="36" t="n">
        <v>642</v>
      </c>
      <c r="K3" s="36" t="n">
        <v>1162</v>
      </c>
      <c r="L3" s="37" t="n">
        <v>0.5524956970740104</v>
      </c>
      <c r="M3" s="36" t="n">
        <v>175</v>
      </c>
      <c r="N3" s="37" t="n">
        <v>0.6161971830985915</v>
      </c>
      <c r="O3" s="36" t="n">
        <v>2726</v>
      </c>
      <c r="P3" s="36" t="n">
        <v>1828</v>
      </c>
      <c r="Q3" s="37" t="n">
        <v>0.6705796038151137</v>
      </c>
      <c r="R3" s="36" t="n">
        <v>462</v>
      </c>
      <c r="S3" s="36" t="n">
        <v>821</v>
      </c>
      <c r="T3" s="37" t="n">
        <v>0.5627283800243605</v>
      </c>
      <c r="U3" s="36" t="n">
        <v>1314</v>
      </c>
      <c r="V3" s="36" t="n">
        <v>1783</v>
      </c>
      <c r="W3" s="37" t="n">
        <v>0.7369601794727987</v>
      </c>
      <c r="X3" s="36" t="n">
        <v>259</v>
      </c>
      <c r="Y3" s="37" t="n">
        <v>0.5606060606060606</v>
      </c>
    </row>
    <row r="4">
      <c r="A4" t="inlineStr">
        <is>
          <t>R01_Sumbagut</t>
        </is>
      </c>
      <c r="B4" t="inlineStr">
        <is>
          <t>NOP MEDAN</t>
        </is>
      </c>
      <c r="C4" s="36" t="n">
        <v>3219</v>
      </c>
      <c r="D4" s="36" t="n">
        <v>1699</v>
      </c>
      <c r="E4" s="36" t="n">
        <v>466</v>
      </c>
      <c r="F4" s="37" t="n">
        <v>0.2742789876397881</v>
      </c>
      <c r="G4" s="36" t="n">
        <v>208</v>
      </c>
      <c r="H4" s="36" t="n">
        <v>570</v>
      </c>
      <c r="I4" s="37" t="n">
        <v>0.3649122807017544</v>
      </c>
      <c r="J4" s="36" t="n">
        <v>258</v>
      </c>
      <c r="K4" s="36" t="n">
        <v>1129</v>
      </c>
      <c r="L4" s="37" t="n">
        <v>0.2285208148804252</v>
      </c>
      <c r="M4" s="36" t="n">
        <v>191</v>
      </c>
      <c r="N4" s="37" t="n">
        <v>0.9182692307692307</v>
      </c>
      <c r="O4" s="36" t="n">
        <v>1520</v>
      </c>
      <c r="P4" s="36" t="n">
        <v>488</v>
      </c>
      <c r="Q4" s="37" t="n">
        <v>0.3210526315789474</v>
      </c>
      <c r="R4" s="36" t="n">
        <v>80</v>
      </c>
      <c r="S4" s="36" t="n">
        <v>416</v>
      </c>
      <c r="T4" s="37" t="n">
        <v>0.1923076923076923</v>
      </c>
      <c r="U4" s="36" t="n">
        <v>394</v>
      </c>
      <c r="V4" s="36" t="n">
        <v>989</v>
      </c>
      <c r="W4" s="37" t="n">
        <v>0.3983822042467138</v>
      </c>
      <c r="X4" s="36" t="n">
        <v>68</v>
      </c>
      <c r="Y4" s="37" t="n">
        <v>0.85</v>
      </c>
    </row>
    <row r="5">
      <c r="A5" t="inlineStr">
        <is>
          <t>R01_Sumbagut</t>
        </is>
      </c>
      <c r="B5" t="inlineStr">
        <is>
          <t>NOP PADANG SIDEMPUAN</t>
        </is>
      </c>
      <c r="C5" s="36" t="n">
        <v>11297</v>
      </c>
      <c r="D5" s="36" t="n">
        <v>2764</v>
      </c>
      <c r="E5" s="36" t="n">
        <v>536</v>
      </c>
      <c r="F5" s="37" t="n">
        <v>0.1939218523878437</v>
      </c>
      <c r="G5" s="36" t="n">
        <v>155</v>
      </c>
      <c r="H5" s="36" t="n">
        <v>466</v>
      </c>
      <c r="I5" s="37" t="n">
        <v>0.332618025751073</v>
      </c>
      <c r="J5" s="36" t="n">
        <v>381</v>
      </c>
      <c r="K5" s="36" t="n">
        <v>2298</v>
      </c>
      <c r="L5" s="37" t="n">
        <v>0.1657963446475196</v>
      </c>
      <c r="M5" s="36" t="n">
        <v>71</v>
      </c>
      <c r="N5" s="37" t="n">
        <v>0.4580645161290323</v>
      </c>
      <c r="O5" s="36" t="n">
        <v>8533</v>
      </c>
      <c r="P5" s="36" t="n">
        <v>2513</v>
      </c>
      <c r="Q5" s="37" t="n">
        <v>0.2945036915504512</v>
      </c>
      <c r="R5" s="36" t="n">
        <v>893</v>
      </c>
      <c r="S5" s="36" t="n">
        <v>2158</v>
      </c>
      <c r="T5" s="37" t="n">
        <v>0.4138090824837813</v>
      </c>
      <c r="U5" s="36" t="n">
        <v>1611</v>
      </c>
      <c r="V5" s="36" t="n">
        <v>6310</v>
      </c>
      <c r="W5" s="37" t="n">
        <v>0.2553090332805071</v>
      </c>
      <c r="X5" s="36" t="n">
        <v>422</v>
      </c>
      <c r="Y5" s="37" t="n">
        <v>0.4725643896976484</v>
      </c>
    </row>
    <row r="6">
      <c r="A6" t="inlineStr">
        <is>
          <t>R01_Sumbagut</t>
        </is>
      </c>
      <c r="B6" t="inlineStr">
        <is>
          <t>NOP PEMATANG SIANTAR</t>
        </is>
      </c>
      <c r="C6" s="36" t="n">
        <v>17673</v>
      </c>
      <c r="D6" s="36" t="n">
        <v>3558</v>
      </c>
      <c r="E6" s="36" t="n">
        <v>728</v>
      </c>
      <c r="F6" s="37" t="n">
        <v>0.2046093310848791</v>
      </c>
      <c r="G6" s="36" t="n">
        <v>280</v>
      </c>
      <c r="H6" s="36" t="n">
        <v>974</v>
      </c>
      <c r="I6" s="37" t="n">
        <v>0.2874743326488706</v>
      </c>
      <c r="J6" s="36" t="n">
        <v>448</v>
      </c>
      <c r="K6" s="36" t="n">
        <v>2584</v>
      </c>
      <c r="L6" s="37" t="n">
        <v>0.173374613003096</v>
      </c>
      <c r="M6" s="36" t="n">
        <v>250</v>
      </c>
      <c r="N6" s="37" t="n">
        <v>0.8928571428571429</v>
      </c>
      <c r="O6" s="36" t="n">
        <v>14115</v>
      </c>
      <c r="P6" s="36" t="n">
        <v>1604</v>
      </c>
      <c r="Q6" s="37" t="n">
        <v>0.1136379737867517</v>
      </c>
      <c r="R6" s="36" t="n">
        <v>436</v>
      </c>
      <c r="S6" s="36" t="n">
        <v>1333</v>
      </c>
      <c r="T6" s="37" t="n">
        <v>0.3270817704426107</v>
      </c>
      <c r="U6" s="36" t="n">
        <v>1129</v>
      </c>
      <c r="V6" s="36" t="n">
        <v>12639</v>
      </c>
      <c r="W6" s="37" t="n">
        <v>0.0893266872379144</v>
      </c>
      <c r="X6" s="36" t="n">
        <v>370</v>
      </c>
      <c r="Y6" s="37" t="n">
        <v>0.8486238532110092</v>
      </c>
    </row>
    <row r="7">
      <c r="A7" t="inlineStr">
        <is>
          <t>R01_Sumbagut</t>
        </is>
      </c>
      <c r="B7" t="inlineStr">
        <is>
          <t>NOP RANTAU PRAPAT</t>
        </is>
      </c>
      <c r="C7" s="36" t="n">
        <v>14826</v>
      </c>
      <c r="D7" s="36" t="n">
        <v>5158</v>
      </c>
      <c r="E7" s="36" t="n">
        <v>991</v>
      </c>
      <c r="F7" s="37" t="n">
        <v>0.1921287320666925</v>
      </c>
      <c r="G7" s="36" t="n">
        <v>240</v>
      </c>
      <c r="H7" s="36" t="n">
        <v>884</v>
      </c>
      <c r="I7" s="37" t="n">
        <v>0.2714932126696832</v>
      </c>
      <c r="J7" s="36" t="n">
        <v>751</v>
      </c>
      <c r="K7" s="36" t="n">
        <v>4274</v>
      </c>
      <c r="L7" s="37" t="n">
        <v>0.1757136172204024</v>
      </c>
      <c r="M7" s="36" t="n">
        <v>183</v>
      </c>
      <c r="N7" s="37" t="n">
        <v>0.7625</v>
      </c>
      <c r="O7" s="36" t="n">
        <v>9668</v>
      </c>
      <c r="P7" s="36" t="n">
        <v>673</v>
      </c>
      <c r="Q7" s="37" t="n">
        <v>0.06961108812577575</v>
      </c>
      <c r="R7" s="36" t="n">
        <v>203</v>
      </c>
      <c r="S7" s="36" t="n">
        <v>1230</v>
      </c>
      <c r="T7" s="37" t="n">
        <v>0.1650406504065041</v>
      </c>
      <c r="U7" s="36" t="n">
        <v>392</v>
      </c>
      <c r="V7" s="36" t="n">
        <v>8145</v>
      </c>
      <c r="W7" s="37" t="n">
        <v>0.04812768569674647</v>
      </c>
      <c r="X7" s="36" t="n">
        <v>128</v>
      </c>
      <c r="Y7" s="37" t="n">
        <v>0.6305418719211823</v>
      </c>
    </row>
    <row r="8">
      <c r="A8" t="inlineStr">
        <is>
          <t>R10_Sumbagteng</t>
        </is>
      </c>
      <c r="B8" t="inlineStr">
        <is>
          <t>NOP BATAM</t>
        </is>
      </c>
      <c r="C8" s="36" t="n">
        <v>16396</v>
      </c>
      <c r="D8" s="36" t="n">
        <v>3908</v>
      </c>
      <c r="E8" s="36" t="n">
        <v>780</v>
      </c>
      <c r="F8" s="37" t="n">
        <v>0.1995905834186285</v>
      </c>
      <c r="G8" s="36" t="n">
        <v>167</v>
      </c>
      <c r="H8" s="36" t="n">
        <v>727</v>
      </c>
      <c r="I8" s="37" t="n">
        <v>0.2297111416781293</v>
      </c>
      <c r="J8" s="36" t="n">
        <v>613</v>
      </c>
      <c r="K8" s="36" t="n">
        <v>3181</v>
      </c>
      <c r="L8" s="37" t="n">
        <v>0.1927066960075448</v>
      </c>
      <c r="M8" s="36" t="n">
        <v>135</v>
      </c>
      <c r="N8" s="37" t="n">
        <v>0.8083832335329342</v>
      </c>
      <c r="O8" s="36" t="n">
        <v>12488</v>
      </c>
      <c r="P8" s="36" t="n">
        <v>1005</v>
      </c>
      <c r="Q8" s="37" t="n">
        <v>0.08047725816784113</v>
      </c>
      <c r="R8" s="36" t="n">
        <v>404</v>
      </c>
      <c r="S8" s="36" t="n">
        <v>1793</v>
      </c>
      <c r="T8" s="37" t="n">
        <v>0.2253206915783603</v>
      </c>
      <c r="U8" s="36" t="n">
        <v>587</v>
      </c>
      <c r="V8" s="36" t="n">
        <v>10569</v>
      </c>
      <c r="W8" s="37" t="n">
        <v>0.05553978616709244</v>
      </c>
      <c r="X8" s="36" t="n">
        <v>326</v>
      </c>
      <c r="Y8" s="37" t="n">
        <v>0.806930693069307</v>
      </c>
    </row>
    <row r="9">
      <c r="A9" t="inlineStr">
        <is>
          <t>R10_Sumbagteng</t>
        </is>
      </c>
      <c r="B9" t="inlineStr">
        <is>
          <t>NOP BUKITTINGGI</t>
        </is>
      </c>
      <c r="C9" s="36" t="n">
        <v>9321</v>
      </c>
      <c r="D9" s="36" t="n">
        <v>1620</v>
      </c>
      <c r="E9" s="36" t="n">
        <v>1095</v>
      </c>
      <c r="F9" s="37" t="n">
        <v>0.6759259259259259</v>
      </c>
      <c r="G9" s="36" t="n">
        <v>296</v>
      </c>
      <c r="H9" s="36" t="n">
        <v>380</v>
      </c>
      <c r="I9" s="37" t="n">
        <v>0.7789473684210526</v>
      </c>
      <c r="J9" s="36" t="n">
        <v>799</v>
      </c>
      <c r="K9" s="36" t="n">
        <v>1240</v>
      </c>
      <c r="L9" s="37" t="n">
        <v>0.6443548387096775</v>
      </c>
      <c r="M9" s="36" t="n">
        <v>220</v>
      </c>
      <c r="N9" s="37" t="n">
        <v>0.7432432432432432</v>
      </c>
      <c r="O9" s="36" t="n">
        <v>7701</v>
      </c>
      <c r="P9" s="36" t="n">
        <v>2202</v>
      </c>
      <c r="Q9" s="37" t="n">
        <v>0.2859368913128165</v>
      </c>
      <c r="R9" s="36" t="n">
        <v>470</v>
      </c>
      <c r="S9" s="36" t="n">
        <v>589</v>
      </c>
      <c r="T9" s="37" t="n">
        <v>0.797962648556876</v>
      </c>
      <c r="U9" s="36" t="n">
        <v>1716</v>
      </c>
      <c r="V9" s="36" t="n">
        <v>7040</v>
      </c>
      <c r="W9" s="37" t="n">
        <v>0.24375</v>
      </c>
      <c r="X9" s="36" t="n">
        <v>271</v>
      </c>
      <c r="Y9" s="37" t="n">
        <v>0.5765957446808511</v>
      </c>
    </row>
    <row r="10">
      <c r="A10" t="inlineStr">
        <is>
          <t>R10_Sumbagteng</t>
        </is>
      </c>
      <c r="B10" t="inlineStr">
        <is>
          <t>NOP DUMAI</t>
        </is>
      </c>
      <c r="C10" s="36" t="n">
        <v>15948</v>
      </c>
      <c r="D10" s="36" t="n">
        <v>5795</v>
      </c>
      <c r="E10" s="36" t="n">
        <v>1471</v>
      </c>
      <c r="F10" s="37" t="n">
        <v>0.253839516824849</v>
      </c>
      <c r="G10" s="36" t="n">
        <v>664</v>
      </c>
      <c r="H10" s="36" t="n">
        <v>1658</v>
      </c>
      <c r="I10" s="37" t="n">
        <v>0.4004825090470446</v>
      </c>
      <c r="J10" s="36" t="n">
        <v>807</v>
      </c>
      <c r="K10" s="36" t="n">
        <v>4137</v>
      </c>
      <c r="L10" s="37" t="n">
        <v>0.1950688905003626</v>
      </c>
      <c r="M10" s="36" t="n">
        <v>606</v>
      </c>
      <c r="N10" s="37" t="n">
        <v>0.9126506024096386</v>
      </c>
      <c r="O10" s="36" t="n">
        <v>10153</v>
      </c>
      <c r="P10" s="36" t="n">
        <v>3015</v>
      </c>
      <c r="Q10" s="37" t="n">
        <v>0.2969565645621984</v>
      </c>
      <c r="R10" s="36" t="n">
        <v>742</v>
      </c>
      <c r="S10" s="36" t="n">
        <v>2127</v>
      </c>
      <c r="T10" s="37" t="n">
        <v>0.3488481429243065</v>
      </c>
      <c r="U10" s="36" t="n">
        <v>2247</v>
      </c>
      <c r="V10" s="36" t="n">
        <v>7636</v>
      </c>
      <c r="W10" s="37" t="n">
        <v>0.2942640125720272</v>
      </c>
      <c r="X10" s="36" t="n">
        <v>695</v>
      </c>
      <c r="Y10" s="37" t="n">
        <v>0.9366576819407008</v>
      </c>
    </row>
    <row r="11">
      <c r="A11" t="inlineStr">
        <is>
          <t>R10_Sumbagteng</t>
        </is>
      </c>
      <c r="B11" t="inlineStr">
        <is>
          <t>NOP PADANG</t>
        </is>
      </c>
      <c r="C11" s="36" t="n">
        <v>11943</v>
      </c>
      <c r="D11" s="36" t="n">
        <v>2363</v>
      </c>
      <c r="E11" s="36" t="n">
        <v>1448</v>
      </c>
      <c r="F11" s="37" t="n">
        <v>0.6127803639441388</v>
      </c>
      <c r="G11" s="36" t="n">
        <v>171</v>
      </c>
      <c r="H11" s="36" t="n">
        <v>262</v>
      </c>
      <c r="I11" s="37" t="n">
        <v>0.6526717557251909</v>
      </c>
      <c r="J11" s="36" t="n">
        <v>1277</v>
      </c>
      <c r="K11" s="36" t="n">
        <v>2101</v>
      </c>
      <c r="L11" s="37" t="n">
        <v>0.6078058067586863</v>
      </c>
      <c r="M11" s="36" t="n">
        <v>92</v>
      </c>
      <c r="N11" s="37" t="n">
        <v>0.5380116959064327</v>
      </c>
      <c r="O11" s="36" t="n">
        <v>9580</v>
      </c>
      <c r="P11" s="36" t="n">
        <v>7260</v>
      </c>
      <c r="Q11" s="37" t="n">
        <v>0.7578288100208769</v>
      </c>
      <c r="R11" s="36" t="n">
        <v>716</v>
      </c>
      <c r="S11" s="36" t="n">
        <v>1073</v>
      </c>
      <c r="T11" s="37" t="n">
        <v>0.6672879776328052</v>
      </c>
      <c r="U11" s="36" t="n">
        <v>6500</v>
      </c>
      <c r="V11" s="36" t="n">
        <v>8424</v>
      </c>
      <c r="W11" s="37" t="n">
        <v>0.7716049382716049</v>
      </c>
      <c r="X11" s="36" t="n">
        <v>374</v>
      </c>
      <c r="Y11" s="37" t="n">
        <v>0.5223463687150838</v>
      </c>
    </row>
    <row r="12">
      <c r="A12" t="inlineStr">
        <is>
          <t>R10_Sumbagteng</t>
        </is>
      </c>
      <c r="B12" t="inlineStr">
        <is>
          <t>NOP PEKANBARU</t>
        </is>
      </c>
      <c r="C12" s="36" t="n">
        <v>14568</v>
      </c>
      <c r="D12" s="36" t="n">
        <v>5784</v>
      </c>
      <c r="E12" s="36" t="n">
        <v>1465</v>
      </c>
      <c r="F12" s="37" t="n">
        <v>0.2532849239280774</v>
      </c>
      <c r="G12" s="36" t="n">
        <v>446</v>
      </c>
      <c r="H12" s="36" t="n">
        <v>1064</v>
      </c>
      <c r="I12" s="37" t="n">
        <v>0.4191729323308271</v>
      </c>
      <c r="J12" s="36" t="n">
        <v>1019</v>
      </c>
      <c r="K12" s="36" t="n">
        <v>4720</v>
      </c>
      <c r="L12" s="37" t="n">
        <v>0.2158898305084746</v>
      </c>
      <c r="M12" s="36" t="n">
        <v>391</v>
      </c>
      <c r="N12" s="37" t="n">
        <v>0.8766816143497758</v>
      </c>
      <c r="O12" s="36" t="n">
        <v>8784</v>
      </c>
      <c r="P12" s="36" t="n">
        <v>2668</v>
      </c>
      <c r="Q12" s="37" t="n">
        <v>0.3037340619307832</v>
      </c>
      <c r="R12" s="36" t="n">
        <v>834</v>
      </c>
      <c r="S12" s="36" t="n">
        <v>2653</v>
      </c>
      <c r="T12" s="37" t="n">
        <v>0.314361100640784</v>
      </c>
      <c r="U12" s="36" t="n">
        <v>1781</v>
      </c>
      <c r="V12" s="36" t="n">
        <v>5747</v>
      </c>
      <c r="W12" s="37" t="n">
        <v>0.309900817817992</v>
      </c>
      <c r="X12" s="36" t="n">
        <v>685</v>
      </c>
      <c r="Y12" s="37" t="n">
        <v>0.8213429256594724</v>
      </c>
    </row>
    <row r="13">
      <c r="A13" t="inlineStr">
        <is>
          <t>R02_Sumbagsel</t>
        </is>
      </c>
      <c r="B13" t="inlineStr">
        <is>
          <t>NOP BENGKULU</t>
        </is>
      </c>
      <c r="C13" s="36" t="n">
        <v>10011</v>
      </c>
      <c r="D13" s="36" t="n">
        <v>3801</v>
      </c>
      <c r="E13" s="36" t="n">
        <v>743</v>
      </c>
      <c r="F13" s="37" t="n">
        <v>0.1954748750328861</v>
      </c>
      <c r="G13" s="36" t="n">
        <v>308</v>
      </c>
      <c r="H13" s="36" t="n">
        <v>1083</v>
      </c>
      <c r="I13" s="37" t="n">
        <v>0.2843951985226224</v>
      </c>
      <c r="J13" s="36" t="n">
        <v>435</v>
      </c>
      <c r="K13" s="36" t="n">
        <v>2718</v>
      </c>
      <c r="L13" s="37" t="n">
        <v>0.1600441501103753</v>
      </c>
      <c r="M13" s="36" t="n">
        <v>256</v>
      </c>
      <c r="N13" s="37" t="n">
        <v>0.8311688311688312</v>
      </c>
      <c r="O13" s="36" t="n">
        <v>6210</v>
      </c>
      <c r="P13" s="36" t="n">
        <v>2730</v>
      </c>
      <c r="Q13" s="37" t="n">
        <v>0.4396135265700483</v>
      </c>
      <c r="R13" s="36" t="n">
        <v>1552</v>
      </c>
      <c r="S13" s="36" t="n">
        <v>4121</v>
      </c>
      <c r="T13" s="37" t="n">
        <v>0.3766076195098277</v>
      </c>
      <c r="U13" s="36" t="n">
        <v>941</v>
      </c>
      <c r="V13" s="36" t="n">
        <v>1591</v>
      </c>
      <c r="W13" s="37" t="n">
        <v>0.5914519170333123</v>
      </c>
      <c r="X13" s="36" t="n">
        <v>1354</v>
      </c>
      <c r="Y13" s="37" t="n">
        <v>0.8724226804123711</v>
      </c>
    </row>
    <row r="14">
      <c r="A14" t="inlineStr">
        <is>
          <t>R02_Sumbagsel</t>
        </is>
      </c>
      <c r="B14" t="inlineStr">
        <is>
          <t>NOP JAMBI</t>
        </is>
      </c>
      <c r="C14" s="36" t="n">
        <v>13224</v>
      </c>
      <c r="D14" s="36" t="n">
        <v>6182</v>
      </c>
      <c r="E14" s="36" t="n">
        <v>1835</v>
      </c>
      <c r="F14" s="37" t="n">
        <v>0.2968295050145584</v>
      </c>
      <c r="G14" s="36" t="n">
        <v>790</v>
      </c>
      <c r="H14" s="36" t="n">
        <v>2365</v>
      </c>
      <c r="I14" s="37" t="n">
        <v>0.3340380549682875</v>
      </c>
      <c r="J14" s="36" t="n">
        <v>1045</v>
      </c>
      <c r="K14" s="36" t="n">
        <v>3817</v>
      </c>
      <c r="L14" s="37" t="n">
        <v>0.2737752161383285</v>
      </c>
      <c r="M14" s="36" t="n">
        <v>631</v>
      </c>
      <c r="N14" s="37" t="n">
        <v>0.7987341772151899</v>
      </c>
      <c r="O14" s="36" t="n">
        <v>7042</v>
      </c>
      <c r="P14" s="36" t="n">
        <v>4356</v>
      </c>
      <c r="Q14" s="37" t="n">
        <v>0.6185742686736723</v>
      </c>
      <c r="R14" s="36" t="n">
        <v>2099</v>
      </c>
      <c r="S14" s="36" t="n">
        <v>3508</v>
      </c>
      <c r="T14" s="37" t="n">
        <v>0.5983466362599772</v>
      </c>
      <c r="U14" s="36" t="n">
        <v>1897</v>
      </c>
      <c r="V14" s="36" t="n">
        <v>2916</v>
      </c>
      <c r="W14" s="37" t="n">
        <v>0.6505486968449932</v>
      </c>
      <c r="X14" s="36" t="n">
        <v>1577</v>
      </c>
      <c r="Y14" s="37" t="n">
        <v>0.7513101476893759</v>
      </c>
    </row>
    <row r="15">
      <c r="A15" t="inlineStr">
        <is>
          <t>R02_Sumbagsel</t>
        </is>
      </c>
      <c r="B15" t="inlineStr">
        <is>
          <t>NOP LAMPUNG</t>
        </is>
      </c>
      <c r="C15" s="36" t="n">
        <v>7098</v>
      </c>
      <c r="D15" s="36" t="n">
        <v>2429</v>
      </c>
      <c r="E15" s="36" t="n">
        <v>757</v>
      </c>
      <c r="F15" s="37" t="n">
        <v>0.3116508851379168</v>
      </c>
      <c r="G15" s="36" t="n">
        <v>298</v>
      </c>
      <c r="H15" s="36" t="n">
        <v>865</v>
      </c>
      <c r="I15" s="37" t="n">
        <v>0.3445086705202312</v>
      </c>
      <c r="J15" s="36" t="n">
        <v>459</v>
      </c>
      <c r="K15" s="36" t="n">
        <v>1564</v>
      </c>
      <c r="L15" s="37" t="n">
        <v>0.2934782608695652</v>
      </c>
      <c r="M15" s="36" t="n">
        <v>230</v>
      </c>
      <c r="N15" s="37" t="n">
        <v>0.7718120805369127</v>
      </c>
      <c r="O15" s="36" t="n">
        <v>4669</v>
      </c>
      <c r="P15" s="36" t="n">
        <v>4191</v>
      </c>
      <c r="Q15" s="37" t="n">
        <v>0.8976226172627971</v>
      </c>
      <c r="R15" s="36" t="n">
        <v>903</v>
      </c>
      <c r="S15" s="36" t="n">
        <v>1138</v>
      </c>
      <c r="T15" s="37" t="n">
        <v>0.7934973637961336</v>
      </c>
      <c r="U15" s="36" t="n">
        <v>3157</v>
      </c>
      <c r="V15" s="36" t="n">
        <v>3332</v>
      </c>
      <c r="W15" s="37" t="n">
        <v>0.9474789915966386</v>
      </c>
      <c r="X15" s="36" t="n">
        <v>775</v>
      </c>
      <c r="Y15" s="37" t="n">
        <v>0.8582502768549281</v>
      </c>
    </row>
    <row r="16">
      <c r="A16" t="inlineStr">
        <is>
          <t>R02_Sumbagsel</t>
        </is>
      </c>
      <c r="B16" t="inlineStr">
        <is>
          <t>NOP MUARA ENIM</t>
        </is>
      </c>
      <c r="C16" s="36" t="n">
        <v>10940</v>
      </c>
      <c r="D16" s="36" t="n">
        <v>4971</v>
      </c>
      <c r="E16" s="36" t="n">
        <v>925</v>
      </c>
      <c r="F16" s="37" t="n">
        <v>0.1860792597062965</v>
      </c>
      <c r="G16" s="36" t="n">
        <v>212</v>
      </c>
      <c r="H16" s="36" t="n">
        <v>969</v>
      </c>
      <c r="I16" s="37" t="n">
        <v>0.2187822497420021</v>
      </c>
      <c r="J16" s="36" t="n">
        <v>713</v>
      </c>
      <c r="K16" s="36" t="n">
        <v>4002</v>
      </c>
      <c r="L16" s="37" t="n">
        <v>0.1781609195402299</v>
      </c>
      <c r="M16" s="36" t="n">
        <v>168</v>
      </c>
      <c r="N16" s="37" t="n">
        <v>0.7924528301886793</v>
      </c>
      <c r="O16" s="36" t="n">
        <v>5969</v>
      </c>
      <c r="P16" s="36" t="n">
        <v>2673</v>
      </c>
      <c r="Q16" s="37" t="n">
        <v>0.4478137041380466</v>
      </c>
      <c r="R16" s="36" t="n">
        <v>1217</v>
      </c>
      <c r="S16" s="36" t="n">
        <v>2675</v>
      </c>
      <c r="T16" s="37" t="n">
        <v>0.4549532710280374</v>
      </c>
      <c r="U16" s="36" t="n">
        <v>1336</v>
      </c>
      <c r="V16" s="36" t="n">
        <v>2589</v>
      </c>
      <c r="W16" s="37" t="n">
        <v>0.5160293549633063</v>
      </c>
      <c r="X16" s="36" t="n">
        <v>977</v>
      </c>
      <c r="Y16" s="37" t="n">
        <v>0.8027937551355793</v>
      </c>
    </row>
    <row r="17">
      <c r="A17" t="inlineStr">
        <is>
          <t>R02_Sumbagsel</t>
        </is>
      </c>
      <c r="B17" t="inlineStr">
        <is>
          <t>NOP PALEMBANG</t>
        </is>
      </c>
      <c r="C17" s="36" t="n">
        <v>12900</v>
      </c>
      <c r="D17" s="36" t="n">
        <v>6116</v>
      </c>
      <c r="E17" s="36" t="n">
        <v>828</v>
      </c>
      <c r="F17" s="37" t="n">
        <v>0.1353826030085023</v>
      </c>
      <c r="G17" s="36" t="n">
        <v>142</v>
      </c>
      <c r="H17" s="36" t="n">
        <v>828</v>
      </c>
      <c r="I17" s="37" t="n">
        <v>0.1714975845410628</v>
      </c>
      <c r="J17" s="36" t="n">
        <v>686</v>
      </c>
      <c r="K17" s="36" t="n">
        <v>5288</v>
      </c>
      <c r="L17" s="37" t="n">
        <v>0.1297276853252647</v>
      </c>
      <c r="M17" s="36" t="n">
        <v>87</v>
      </c>
      <c r="N17" s="37" t="n">
        <v>0.6126760563380281</v>
      </c>
      <c r="O17" s="36" t="n">
        <v>6784</v>
      </c>
      <c r="P17" s="36" t="n">
        <v>2042</v>
      </c>
      <c r="Q17" s="37" t="n">
        <v>0.3010023584905661</v>
      </c>
      <c r="R17" s="36" t="n">
        <v>695</v>
      </c>
      <c r="S17" s="36" t="n">
        <v>2883</v>
      </c>
      <c r="T17" s="37" t="n">
        <v>0.2410683315990288</v>
      </c>
      <c r="U17" s="36" t="n">
        <v>1338</v>
      </c>
      <c r="V17" s="36" t="n">
        <v>3179</v>
      </c>
      <c r="W17" s="37" t="n">
        <v>0.4208870714061025</v>
      </c>
      <c r="X17" s="36" t="n">
        <v>314</v>
      </c>
      <c r="Y17" s="37" t="n">
        <v>0.4517985611510791</v>
      </c>
    </row>
    <row r="18">
      <c r="A18" t="inlineStr">
        <is>
          <t>R02_Sumbagsel</t>
        </is>
      </c>
      <c r="B18" t="inlineStr">
        <is>
          <t>NOP PANGKAL PINANG</t>
        </is>
      </c>
      <c r="C18" s="36" t="n">
        <v>2623</v>
      </c>
      <c r="D18" s="36" t="n">
        <v>802</v>
      </c>
      <c r="E18" s="36" t="n">
        <v>443</v>
      </c>
      <c r="F18" s="37" t="n">
        <v>0.5523690773067331</v>
      </c>
      <c r="G18" s="36" t="n">
        <v>31</v>
      </c>
      <c r="H18" s="36" t="n">
        <v>41</v>
      </c>
      <c r="I18" s="37" t="n">
        <v>0.7560975609756098</v>
      </c>
      <c r="J18" s="36" t="n">
        <v>412</v>
      </c>
      <c r="K18" s="36" t="n">
        <v>761</v>
      </c>
      <c r="L18" s="37" t="n">
        <v>0.5413929040735874</v>
      </c>
      <c r="M18" s="36" t="n">
        <v>20</v>
      </c>
      <c r="N18" s="37" t="n">
        <v>0.6451612903225806</v>
      </c>
      <c r="O18" s="36" t="n">
        <v>1821</v>
      </c>
      <c r="P18" s="36" t="n">
        <v>1450</v>
      </c>
      <c r="Q18" s="37" t="n">
        <v>0.7962657880285557</v>
      </c>
      <c r="R18" s="36" t="n">
        <v>473</v>
      </c>
      <c r="S18" s="36" t="n">
        <v>563</v>
      </c>
      <c r="T18" s="37" t="n">
        <v>0.8401420959147424</v>
      </c>
      <c r="U18" s="36" t="n">
        <v>958</v>
      </c>
      <c r="V18" s="36" t="n">
        <v>1141</v>
      </c>
      <c r="W18" s="37" t="n">
        <v>0.8396143733567046</v>
      </c>
      <c r="X18" s="36" t="n">
        <v>318</v>
      </c>
      <c r="Y18" s="37" t="n">
        <v>0.6723044397463002</v>
      </c>
    </row>
    <row r="19">
      <c r="A19" t="inlineStr">
        <is>
          <t>R05_Jawa Tengah DIY</t>
        </is>
      </c>
      <c r="B19" t="inlineStr">
        <is>
          <t>NOP MAGELANG</t>
        </is>
      </c>
      <c r="C19" s="36" t="n">
        <v>1918</v>
      </c>
      <c r="D19" s="36" t="n">
        <v>664</v>
      </c>
      <c r="E19" s="36" t="n">
        <v>456</v>
      </c>
      <c r="F19" s="37" t="n">
        <v>0.6867469879518072</v>
      </c>
      <c r="G19" s="36" t="n">
        <v>64</v>
      </c>
      <c r="H19" s="36" t="n">
        <v>80</v>
      </c>
      <c r="I19" s="37" t="n">
        <v>0.8</v>
      </c>
      <c r="J19" s="36" t="n">
        <v>392</v>
      </c>
      <c r="K19" s="36" t="n">
        <v>584</v>
      </c>
      <c r="L19" s="37" t="n">
        <v>0.6712328767123288</v>
      </c>
      <c r="M19" s="36" t="n">
        <v>51</v>
      </c>
      <c r="N19" s="37" t="n">
        <v>0.796875</v>
      </c>
      <c r="O19" s="36" t="n">
        <v>1254</v>
      </c>
      <c r="P19" s="36" t="n">
        <v>1195</v>
      </c>
      <c r="Q19" s="37" t="n">
        <v>0.9529505582137161</v>
      </c>
      <c r="R19" s="36" t="n">
        <v>235</v>
      </c>
      <c r="S19" s="36" t="n">
        <v>246</v>
      </c>
      <c r="T19" s="37" t="n">
        <v>0.9552845528455285</v>
      </c>
      <c r="U19" s="36" t="n">
        <v>960</v>
      </c>
      <c r="V19" s="36" t="n">
        <v>1008</v>
      </c>
      <c r="W19" s="37" t="n">
        <v>0.9523809523809523</v>
      </c>
      <c r="X19" s="36" t="n">
        <v>209</v>
      </c>
      <c r="Y19" s="37" t="n">
        <v>0.8893617021276595</v>
      </c>
    </row>
    <row r="20">
      <c r="A20" t="inlineStr">
        <is>
          <t>R05_Jawa Tengah DIY</t>
        </is>
      </c>
      <c r="B20" t="inlineStr">
        <is>
          <t>NOP PEKALONGAN</t>
        </is>
      </c>
      <c r="C20" s="36" t="n">
        <v>1436</v>
      </c>
      <c r="D20" s="36" t="n">
        <v>583</v>
      </c>
      <c r="E20" s="36" t="n">
        <v>309</v>
      </c>
      <c r="F20" s="37" t="n">
        <v>0.5300171526586621</v>
      </c>
      <c r="G20" s="36" t="n">
        <v>35</v>
      </c>
      <c r="H20" s="36" t="n">
        <v>53</v>
      </c>
      <c r="I20" s="37" t="n">
        <v>0.660377358490566</v>
      </c>
      <c r="J20" s="36" t="n">
        <v>274</v>
      </c>
      <c r="K20" s="36" t="n">
        <v>530</v>
      </c>
      <c r="L20" s="37" t="n">
        <v>0.5169811320754717</v>
      </c>
      <c r="M20" s="36" t="n">
        <v>34</v>
      </c>
      <c r="N20" s="37" t="n">
        <v>0.9714285714285714</v>
      </c>
      <c r="O20" s="36" t="n">
        <v>853</v>
      </c>
      <c r="P20" s="36" t="n">
        <v>686</v>
      </c>
      <c r="Q20" s="37" t="n">
        <v>0.8042203985932005</v>
      </c>
      <c r="R20" s="36" t="n">
        <v>166</v>
      </c>
      <c r="S20" s="36" t="n">
        <v>217</v>
      </c>
      <c r="T20" s="37" t="n">
        <v>0.7649769585253456</v>
      </c>
      <c r="U20" s="36" t="n">
        <v>520</v>
      </c>
      <c r="V20" s="36" t="n">
        <v>636</v>
      </c>
      <c r="W20" s="37" t="n">
        <v>0.8176100628930818</v>
      </c>
      <c r="X20" s="36" t="n">
        <v>110</v>
      </c>
      <c r="Y20" s="37" t="n">
        <v>0.6626506024096386</v>
      </c>
    </row>
    <row r="21">
      <c r="A21" t="inlineStr">
        <is>
          <t>R05_Jawa Tengah DIY</t>
        </is>
      </c>
      <c r="B21" t="inlineStr">
        <is>
          <t>NOP PURWOKERTO</t>
        </is>
      </c>
      <c r="C21" s="36" t="n">
        <v>1449</v>
      </c>
      <c r="D21" s="36" t="n">
        <v>643</v>
      </c>
      <c r="E21" s="36" t="n">
        <v>416</v>
      </c>
      <c r="F21" s="37" t="n">
        <v>0.6469673405909798</v>
      </c>
      <c r="G21" s="36" t="n">
        <v>38</v>
      </c>
      <c r="H21" s="36" t="n">
        <v>65</v>
      </c>
      <c r="I21" s="37" t="n">
        <v>0.5846153846153846</v>
      </c>
      <c r="J21" s="36" t="n">
        <v>378</v>
      </c>
      <c r="K21" s="36" t="n">
        <v>578</v>
      </c>
      <c r="L21" s="37" t="n">
        <v>0.6539792387543253</v>
      </c>
      <c r="M21" s="36" t="n">
        <v>38</v>
      </c>
      <c r="N21" s="37" t="n">
        <v>1</v>
      </c>
      <c r="O21" s="36" t="n">
        <v>806</v>
      </c>
      <c r="P21" s="36" t="n">
        <v>656</v>
      </c>
      <c r="Q21" s="37" t="n">
        <v>0.8138957816377171</v>
      </c>
      <c r="R21" s="36" t="n">
        <v>141</v>
      </c>
      <c r="S21" s="36" t="n">
        <v>172</v>
      </c>
      <c r="T21" s="37" t="n">
        <v>0.8197674418604651</v>
      </c>
      <c r="U21" s="36" t="n">
        <v>515</v>
      </c>
      <c r="V21" s="36" t="n">
        <v>634</v>
      </c>
      <c r="W21" s="37" t="n">
        <v>0.8123028391167192</v>
      </c>
      <c r="X21" s="36" t="n">
        <v>104</v>
      </c>
      <c r="Y21" s="37" t="n">
        <v>0.7375886524822695</v>
      </c>
    </row>
    <row r="22">
      <c r="A22" t="inlineStr">
        <is>
          <t>R05_Jawa Tengah DIY</t>
        </is>
      </c>
      <c r="B22" t="inlineStr">
        <is>
          <t>NOP SEMARANG</t>
        </is>
      </c>
      <c r="C22" s="36" t="n">
        <v>2288</v>
      </c>
      <c r="D22" s="36" t="n">
        <v>1018</v>
      </c>
      <c r="E22" s="36" t="n">
        <v>273</v>
      </c>
      <c r="F22" s="37" t="n">
        <v>0.2681728880157171</v>
      </c>
      <c r="G22" s="36" t="n">
        <v>44</v>
      </c>
      <c r="H22" s="36" t="n">
        <v>109</v>
      </c>
      <c r="I22" s="37" t="n">
        <v>0.4036697247706422</v>
      </c>
      <c r="J22" s="36" t="n">
        <v>229</v>
      </c>
      <c r="K22" s="36" t="n">
        <v>909</v>
      </c>
      <c r="L22" s="37" t="n">
        <v>0.2519251925192519</v>
      </c>
      <c r="M22" s="36" t="n">
        <v>43</v>
      </c>
      <c r="N22" s="37" t="n">
        <v>0.9772727272727273</v>
      </c>
      <c r="O22" s="36" t="n">
        <v>1270</v>
      </c>
      <c r="P22" s="36" t="n">
        <v>963</v>
      </c>
      <c r="Q22" s="37" t="n">
        <v>0.7582677165354331</v>
      </c>
      <c r="R22" s="36" t="n">
        <v>193</v>
      </c>
      <c r="S22" s="36" t="n">
        <v>359</v>
      </c>
      <c r="T22" s="37" t="n">
        <v>0.5376044568245125</v>
      </c>
      <c r="U22" s="36" t="n">
        <v>770</v>
      </c>
      <c r="V22" s="36" t="n">
        <v>911</v>
      </c>
      <c r="W22" s="37" t="n">
        <v>0.845225027442371</v>
      </c>
      <c r="X22" s="36" t="n">
        <v>162</v>
      </c>
      <c r="Y22" s="37" t="n">
        <v>0.8393782383419689</v>
      </c>
    </row>
    <row r="23">
      <c r="A23" t="inlineStr">
        <is>
          <t>R05_Jawa Tengah DIY</t>
        </is>
      </c>
      <c r="B23" t="inlineStr">
        <is>
          <t>NOP SURAKARTA</t>
        </is>
      </c>
      <c r="C23" s="36" t="n">
        <v>2311</v>
      </c>
      <c r="D23" s="36" t="n">
        <v>1060</v>
      </c>
      <c r="E23" s="36" t="n">
        <v>684</v>
      </c>
      <c r="F23" s="37" t="n">
        <v>0.6452830188679245</v>
      </c>
      <c r="G23" s="36" t="n">
        <v>94</v>
      </c>
      <c r="H23" s="36" t="n">
        <v>115</v>
      </c>
      <c r="I23" s="37" t="n">
        <v>0.8173913043478261</v>
      </c>
      <c r="J23" s="36" t="n">
        <v>590</v>
      </c>
      <c r="K23" s="36" t="n">
        <v>945</v>
      </c>
      <c r="L23" s="37" t="n">
        <v>0.6243386243386243</v>
      </c>
      <c r="M23" s="36" t="n">
        <v>90</v>
      </c>
      <c r="N23" s="37" t="n">
        <v>0.9574468085106383</v>
      </c>
      <c r="O23" s="36" t="n">
        <v>1251</v>
      </c>
      <c r="P23" s="36" t="n">
        <v>1016</v>
      </c>
      <c r="Q23" s="37" t="n">
        <v>0.812150279776179</v>
      </c>
      <c r="R23" s="36" t="n">
        <v>234</v>
      </c>
      <c r="S23" s="36" t="n">
        <v>322</v>
      </c>
      <c r="T23" s="37" t="n">
        <v>0.7267080745341615</v>
      </c>
      <c r="U23" s="36" t="n">
        <v>782</v>
      </c>
      <c r="V23" s="36" t="n">
        <v>929</v>
      </c>
      <c r="W23" s="37" t="n">
        <v>0.8417653390742734</v>
      </c>
      <c r="X23" s="36" t="n">
        <v>174</v>
      </c>
      <c r="Y23" s="37" t="n">
        <v>0.7435897435897436</v>
      </c>
    </row>
    <row r="24">
      <c r="A24" t="inlineStr">
        <is>
          <t>R05_Jawa Tengah DIY</t>
        </is>
      </c>
      <c r="B24" t="inlineStr">
        <is>
          <t>NOP YOGYAKARTA</t>
        </is>
      </c>
      <c r="C24" s="36" t="n">
        <v>1781</v>
      </c>
      <c r="D24" s="36" t="n">
        <v>634</v>
      </c>
      <c r="E24" s="36" t="n">
        <v>277</v>
      </c>
      <c r="F24" s="37" t="n">
        <v>0.4369085173501577</v>
      </c>
      <c r="G24" s="36" t="n">
        <v>45</v>
      </c>
      <c r="H24" s="36" t="n">
        <v>55</v>
      </c>
      <c r="I24" s="37" t="n">
        <v>0.8181818181818182</v>
      </c>
      <c r="J24" s="36" t="n">
        <v>232</v>
      </c>
      <c r="K24" s="36" t="n">
        <v>579</v>
      </c>
      <c r="L24" s="37" t="n">
        <v>0.4006908462867012</v>
      </c>
      <c r="M24" s="36" t="n">
        <v>45</v>
      </c>
      <c r="N24" s="37" t="n">
        <v>1</v>
      </c>
      <c r="O24" s="36" t="n">
        <v>1147</v>
      </c>
      <c r="P24" s="36" t="n">
        <v>1071</v>
      </c>
      <c r="Q24" s="37" t="n">
        <v>0.9337401918047079</v>
      </c>
      <c r="R24" s="36" t="n">
        <v>175</v>
      </c>
      <c r="S24" s="36" t="n">
        <v>206</v>
      </c>
      <c r="T24" s="37" t="n">
        <v>0.8495145631067961</v>
      </c>
      <c r="U24" s="36" t="n">
        <v>896</v>
      </c>
      <c r="V24" s="36" t="n">
        <v>941</v>
      </c>
      <c r="W24" s="37" t="n">
        <v>0.9521785334750266</v>
      </c>
      <c r="X24" s="36" t="n">
        <v>171</v>
      </c>
      <c r="Y24" s="37" t="n">
        <v>0.9771428571428571</v>
      </c>
    </row>
    <row r="25">
      <c r="A25" t="inlineStr">
        <is>
          <t>R06_Jawa Timur</t>
        </is>
      </c>
      <c r="B25" t="inlineStr">
        <is>
          <t>NOP JEMBER</t>
        </is>
      </c>
      <c r="C25" s="36" t="n">
        <v>1636</v>
      </c>
      <c r="D25" s="36" t="n">
        <v>853</v>
      </c>
      <c r="E25" s="36" t="n">
        <v>408</v>
      </c>
      <c r="F25" s="37" t="n">
        <v>0.4783118405627198</v>
      </c>
      <c r="G25" s="36" t="n">
        <v>59</v>
      </c>
      <c r="H25" s="36" t="n">
        <v>123</v>
      </c>
      <c r="I25" s="37" t="n">
        <v>0.4796747967479675</v>
      </c>
      <c r="J25" s="36" t="n">
        <v>349</v>
      </c>
      <c r="K25" s="36" t="n">
        <v>730</v>
      </c>
      <c r="L25" s="37" t="n">
        <v>0.4780821917808219</v>
      </c>
      <c r="M25" s="36" t="n">
        <v>30</v>
      </c>
      <c r="N25" s="37" t="n">
        <v>0.5084745762711864</v>
      </c>
      <c r="O25" s="36" t="n">
        <v>783</v>
      </c>
      <c r="P25" s="36" t="n">
        <v>621</v>
      </c>
      <c r="Q25" s="37" t="n">
        <v>0.7931034482758621</v>
      </c>
      <c r="R25" s="36" t="n">
        <v>164</v>
      </c>
      <c r="S25" s="36" t="n">
        <v>217</v>
      </c>
      <c r="T25" s="37" t="n">
        <v>0.7557603686635944</v>
      </c>
      <c r="U25" s="36" t="n">
        <v>457</v>
      </c>
      <c r="V25" s="36" t="n">
        <v>566</v>
      </c>
      <c r="W25" s="37" t="n">
        <v>0.8074204946996466</v>
      </c>
      <c r="X25" s="36" t="n">
        <v>130</v>
      </c>
      <c r="Y25" s="37" t="n">
        <v>0.7926829268292683</v>
      </c>
    </row>
    <row r="26">
      <c r="A26" t="inlineStr">
        <is>
          <t>R06_Jawa Timur</t>
        </is>
      </c>
      <c r="B26" t="inlineStr">
        <is>
          <t>NOP KEDIRI</t>
        </is>
      </c>
      <c r="C26" s="36" t="n">
        <v>727</v>
      </c>
      <c r="D26" s="36" t="n">
        <v>316</v>
      </c>
      <c r="E26" s="36" t="n">
        <v>236</v>
      </c>
      <c r="F26" s="37" t="n">
        <v>0.7468354430379747</v>
      </c>
      <c r="G26" s="36" t="n">
        <v>12</v>
      </c>
      <c r="H26" s="36" t="n">
        <v>14</v>
      </c>
      <c r="I26" s="37" t="n">
        <v>0.8571428571428571</v>
      </c>
      <c r="J26" s="36" t="n">
        <v>224</v>
      </c>
      <c r="K26" s="36" t="n">
        <v>302</v>
      </c>
      <c r="L26" s="37" t="n">
        <v>0.7417218543046358</v>
      </c>
      <c r="M26" s="36" t="n">
        <v>10</v>
      </c>
      <c r="N26" s="37" t="n">
        <v>0.8333333333333334</v>
      </c>
      <c r="O26" s="36" t="n">
        <v>411</v>
      </c>
      <c r="P26" s="36" t="n">
        <v>393</v>
      </c>
      <c r="Q26" s="37" t="n">
        <v>0.9562043795620438</v>
      </c>
      <c r="R26" s="36" t="n">
        <v>89</v>
      </c>
      <c r="S26" s="36" t="n">
        <v>95</v>
      </c>
      <c r="T26" s="37" t="n">
        <v>0.9368421052631579</v>
      </c>
      <c r="U26" s="36" t="n">
        <v>304</v>
      </c>
      <c r="V26" s="36" t="n">
        <v>316</v>
      </c>
      <c r="W26" s="37" t="n">
        <v>0.9620253164556962</v>
      </c>
      <c r="X26" s="36" t="n">
        <v>81</v>
      </c>
      <c r="Y26" s="37" t="n">
        <v>0.9101123595505618</v>
      </c>
    </row>
    <row r="27">
      <c r="A27" t="inlineStr">
        <is>
          <t>R06_Jawa Timur</t>
        </is>
      </c>
      <c r="B27" t="inlineStr">
        <is>
          <t>NOP LAMONGAN</t>
        </is>
      </c>
      <c r="C27" s="36" t="n">
        <v>828</v>
      </c>
      <c r="D27" s="36" t="n">
        <v>458</v>
      </c>
      <c r="E27" s="36" t="n">
        <v>309</v>
      </c>
      <c r="F27" s="37" t="n">
        <v>0.6746724890829694</v>
      </c>
      <c r="G27" s="36" t="n">
        <v>43</v>
      </c>
      <c r="H27" s="36" t="n">
        <v>51</v>
      </c>
      <c r="I27" s="37" t="n">
        <v>0.8431372549019608</v>
      </c>
      <c r="J27" s="36" t="n">
        <v>266</v>
      </c>
      <c r="K27" s="36" t="n">
        <v>407</v>
      </c>
      <c r="L27" s="37" t="n">
        <v>0.6535626535626535</v>
      </c>
      <c r="M27" s="36" t="n">
        <v>42</v>
      </c>
      <c r="N27" s="37" t="n">
        <v>0.9767441860465116</v>
      </c>
      <c r="O27" s="36" t="n">
        <v>370</v>
      </c>
      <c r="P27" s="36" t="n">
        <v>289</v>
      </c>
      <c r="Q27" s="37" t="n">
        <v>0.7810810810810811</v>
      </c>
      <c r="R27" s="36" t="n">
        <v>107</v>
      </c>
      <c r="S27" s="36" t="n">
        <v>154</v>
      </c>
      <c r="T27" s="37" t="n">
        <v>0.6948051948051948</v>
      </c>
      <c r="U27" s="36" t="n">
        <v>182</v>
      </c>
      <c r="V27" s="36" t="n">
        <v>216</v>
      </c>
      <c r="W27" s="37" t="n">
        <v>0.8425925925925926</v>
      </c>
      <c r="X27" s="36" t="n">
        <v>97</v>
      </c>
      <c r="Y27" s="37" t="n">
        <v>0.9065420560747663</v>
      </c>
    </row>
    <row r="28">
      <c r="A28" t="inlineStr">
        <is>
          <t>R06_Jawa Timur</t>
        </is>
      </c>
      <c r="B28" t="inlineStr">
        <is>
          <t>NOP MADIUN</t>
        </is>
      </c>
      <c r="C28" s="36" t="n">
        <v>1034</v>
      </c>
      <c r="D28" s="36" t="n">
        <v>446</v>
      </c>
      <c r="E28" s="36" t="n">
        <v>205</v>
      </c>
      <c r="F28" s="37" t="n">
        <v>0.4596412556053812</v>
      </c>
      <c r="G28" s="36" t="n">
        <v>7</v>
      </c>
      <c r="H28" s="36" t="n">
        <v>8</v>
      </c>
      <c r="I28" s="37" t="n">
        <v>0.875</v>
      </c>
      <c r="J28" s="36" t="n">
        <v>198</v>
      </c>
      <c r="K28" s="36" t="n">
        <v>438</v>
      </c>
      <c r="L28" s="37" t="n">
        <v>0.4520547945205479</v>
      </c>
      <c r="M28" s="36" t="n">
        <v>6</v>
      </c>
      <c r="N28" s="37" t="n">
        <v>0.8571428571428571</v>
      </c>
      <c r="O28" s="36" t="n">
        <v>588</v>
      </c>
      <c r="P28" s="36" t="n">
        <v>437</v>
      </c>
      <c r="Q28" s="37" t="n">
        <v>0.7431972789115646</v>
      </c>
      <c r="R28" s="36" t="n">
        <v>161</v>
      </c>
      <c r="S28" s="36" t="n">
        <v>212</v>
      </c>
      <c r="T28" s="37" t="n">
        <v>0.7594339622641509</v>
      </c>
      <c r="U28" s="36" t="n">
        <v>276</v>
      </c>
      <c r="V28" s="36" t="n">
        <v>376</v>
      </c>
      <c r="W28" s="37" t="n">
        <v>0.7340425531914894</v>
      </c>
      <c r="X28" s="36" t="n">
        <v>137</v>
      </c>
      <c r="Y28" s="37" t="n">
        <v>0.8509316770186336</v>
      </c>
    </row>
    <row r="29">
      <c r="A29" t="inlineStr">
        <is>
          <t>R06_Jawa Timur</t>
        </is>
      </c>
      <c r="B29" t="inlineStr">
        <is>
          <t>NOP MALANG</t>
        </is>
      </c>
      <c r="C29" s="36" t="n">
        <v>910</v>
      </c>
      <c r="D29" s="36" t="n">
        <v>547</v>
      </c>
      <c r="E29" s="36" t="n">
        <v>326</v>
      </c>
      <c r="F29" s="37" t="n">
        <v>0.5959780621572212</v>
      </c>
      <c r="G29" s="36" t="n">
        <v>12</v>
      </c>
      <c r="H29" s="36" t="n">
        <v>15</v>
      </c>
      <c r="I29" s="37" t="n">
        <v>0.8</v>
      </c>
      <c r="J29" s="36" t="n">
        <v>314</v>
      </c>
      <c r="K29" s="36" t="n">
        <v>532</v>
      </c>
      <c r="L29" s="37" t="n">
        <v>0.5902255639097744</v>
      </c>
      <c r="M29" s="36" t="n">
        <v>10</v>
      </c>
      <c r="N29" s="37" t="n">
        <v>0.8333333333333334</v>
      </c>
      <c r="O29" s="36" t="n">
        <v>363</v>
      </c>
      <c r="P29" s="36" t="n">
        <v>295</v>
      </c>
      <c r="Q29" s="37" t="n">
        <v>0.8126721763085399</v>
      </c>
      <c r="R29" s="36" t="n">
        <v>105</v>
      </c>
      <c r="S29" s="36" t="n">
        <v>149</v>
      </c>
      <c r="T29" s="37" t="n">
        <v>0.7046979865771812</v>
      </c>
      <c r="U29" s="36" t="n">
        <v>190</v>
      </c>
      <c r="V29" s="36" t="n">
        <v>214</v>
      </c>
      <c r="W29" s="37" t="n">
        <v>0.8878504672897196</v>
      </c>
      <c r="X29" s="36" t="n">
        <v>65</v>
      </c>
      <c r="Y29" s="37" t="n">
        <v>0.6190476190476191</v>
      </c>
    </row>
    <row r="30">
      <c r="A30" t="inlineStr">
        <is>
          <t>R06_Jawa Timur</t>
        </is>
      </c>
      <c r="B30" t="inlineStr">
        <is>
          <t>NOP SIDOARJO</t>
        </is>
      </c>
      <c r="C30" s="36" t="n">
        <v>1003</v>
      </c>
      <c r="D30" s="36" t="n">
        <v>481</v>
      </c>
      <c r="E30" s="36" t="n">
        <v>251</v>
      </c>
      <c r="F30" s="37" t="n">
        <v>0.5218295218295218</v>
      </c>
      <c r="G30" s="36" t="n">
        <v>43</v>
      </c>
      <c r="H30" s="36" t="n">
        <v>49</v>
      </c>
      <c r="I30" s="37" t="n">
        <v>0.8775510204081632</v>
      </c>
      <c r="J30" s="36" t="n">
        <v>208</v>
      </c>
      <c r="K30" s="36" t="n">
        <v>432</v>
      </c>
      <c r="L30" s="37" t="n">
        <v>0.4814814814814815</v>
      </c>
      <c r="M30" s="36" t="n">
        <v>36</v>
      </c>
      <c r="N30" s="37" t="n">
        <v>0.8372093023255814</v>
      </c>
      <c r="O30" s="36" t="n">
        <v>522</v>
      </c>
      <c r="P30" s="36" t="n">
        <v>407</v>
      </c>
      <c r="Q30" s="37" t="n">
        <v>0.7796934865900383</v>
      </c>
      <c r="R30" s="36" t="n">
        <v>109</v>
      </c>
      <c r="S30" s="36" t="n">
        <v>164</v>
      </c>
      <c r="T30" s="37" t="n">
        <v>0.6646341463414634</v>
      </c>
      <c r="U30" s="36" t="n">
        <v>298</v>
      </c>
      <c r="V30" s="36" t="n">
        <v>358</v>
      </c>
      <c r="W30" s="37" t="n">
        <v>0.8324022346368715</v>
      </c>
      <c r="X30" s="36" t="n">
        <v>78</v>
      </c>
      <c r="Y30" s="37" t="n">
        <v>0.7155963302752294</v>
      </c>
    </row>
    <row r="31">
      <c r="A31" t="inlineStr">
        <is>
          <t>R06_Jawa Timur</t>
        </is>
      </c>
      <c r="B31" t="inlineStr">
        <is>
          <t>NOP SURABAYA</t>
        </is>
      </c>
      <c r="C31" s="36" t="n">
        <v>2063</v>
      </c>
      <c r="D31" s="36" t="n">
        <v>813</v>
      </c>
      <c r="E31" s="36" t="n">
        <v>413</v>
      </c>
      <c r="F31" s="37" t="n">
        <v>0.5079950799507995</v>
      </c>
      <c r="G31" s="36" t="n">
        <v>52</v>
      </c>
      <c r="H31" s="36" t="n">
        <v>93</v>
      </c>
      <c r="I31" s="37" t="n">
        <v>0.5591397849462365</v>
      </c>
      <c r="J31" s="36" t="n">
        <v>361</v>
      </c>
      <c r="K31" s="36" t="n">
        <v>720</v>
      </c>
      <c r="L31" s="37" t="n">
        <v>0.5013888888888889</v>
      </c>
      <c r="M31" s="36" t="n">
        <v>47</v>
      </c>
      <c r="N31" s="37" t="n">
        <v>0.9038461538461539</v>
      </c>
      <c r="O31" s="36" t="n">
        <v>1250</v>
      </c>
      <c r="P31" s="36" t="n">
        <v>820</v>
      </c>
      <c r="Q31" s="37" t="n">
        <v>0.656</v>
      </c>
      <c r="R31" s="36" t="n">
        <v>158</v>
      </c>
      <c r="S31" s="36" t="n">
        <v>234</v>
      </c>
      <c r="T31" s="37" t="n">
        <v>0.6752136752136753</v>
      </c>
      <c r="U31" s="36" t="n">
        <v>662</v>
      </c>
      <c r="V31" s="36" t="n">
        <v>1016</v>
      </c>
      <c r="W31" s="37" t="n">
        <v>0.6515748031496063</v>
      </c>
      <c r="X31" s="36" t="n">
        <v>143</v>
      </c>
      <c r="Y31" s="37" t="n">
        <v>0.9050632911392406</v>
      </c>
    </row>
    <row r="32">
      <c r="A32" t="inlineStr">
        <is>
          <t>R07_Bali Nusra</t>
        </is>
      </c>
      <c r="B32" t="inlineStr">
        <is>
          <t>NOP DENPASAR</t>
        </is>
      </c>
      <c r="C32" s="36" t="n">
        <v>1373</v>
      </c>
      <c r="D32" s="36" t="n">
        <v>646</v>
      </c>
      <c r="E32" s="36" t="n">
        <v>325</v>
      </c>
      <c r="F32" s="37" t="n">
        <v>0.5030959752321982</v>
      </c>
      <c r="G32" s="36" t="n">
        <v>62</v>
      </c>
      <c r="H32" s="36" t="n">
        <v>90</v>
      </c>
      <c r="I32" s="37" t="n">
        <v>0.6888888888888889</v>
      </c>
      <c r="J32" s="36" t="n">
        <v>263</v>
      </c>
      <c r="K32" s="36" t="n">
        <v>556</v>
      </c>
      <c r="L32" s="37" t="n">
        <v>0.473021582733813</v>
      </c>
      <c r="M32" s="36" t="n">
        <v>58</v>
      </c>
      <c r="N32" s="37" t="n">
        <v>0.9354838709677419</v>
      </c>
      <c r="O32" s="36" t="n">
        <v>727</v>
      </c>
      <c r="P32" s="36" t="n">
        <v>644</v>
      </c>
      <c r="Q32" s="37" t="n">
        <v>0.8858321870701513</v>
      </c>
      <c r="R32" s="36" t="n">
        <v>209</v>
      </c>
      <c r="S32" s="36" t="n">
        <v>228</v>
      </c>
      <c r="T32" s="37" t="n">
        <v>0.9166666666666666</v>
      </c>
      <c r="U32" s="36" t="n">
        <v>435</v>
      </c>
      <c r="V32" s="36" t="n">
        <v>499</v>
      </c>
      <c r="W32" s="37" t="n">
        <v>0.8717434869739479</v>
      </c>
      <c r="X32" s="36" t="n">
        <v>156</v>
      </c>
      <c r="Y32" s="37" t="n">
        <v>0.7464114832535885</v>
      </c>
    </row>
    <row r="33">
      <c r="A33" t="inlineStr">
        <is>
          <t>R07_Bali Nusra</t>
        </is>
      </c>
      <c r="B33" t="inlineStr">
        <is>
          <t>NOP FLORES</t>
        </is>
      </c>
      <c r="C33" s="36" t="n">
        <v>6115</v>
      </c>
      <c r="D33" s="36" t="n">
        <v>2415</v>
      </c>
      <c r="E33" s="36" t="n">
        <v>1168</v>
      </c>
      <c r="F33" s="37" t="n">
        <v>0.4836438923395445</v>
      </c>
      <c r="G33" s="36" t="n">
        <v>363</v>
      </c>
      <c r="H33" s="36" t="n">
        <v>603</v>
      </c>
      <c r="I33" s="37" t="n">
        <v>0.6019900497512438</v>
      </c>
      <c r="J33" s="36" t="n">
        <v>805</v>
      </c>
      <c r="K33" s="36" t="n">
        <v>1812</v>
      </c>
      <c r="L33" s="37" t="n">
        <v>0.4442604856512141</v>
      </c>
      <c r="M33" s="36" t="n">
        <v>250</v>
      </c>
      <c r="N33" s="37" t="n">
        <v>0.6887052341597796</v>
      </c>
      <c r="O33" s="36" t="n">
        <v>3700</v>
      </c>
      <c r="P33" s="36" t="n">
        <v>1966</v>
      </c>
      <c r="Q33" s="37" t="n">
        <v>0.5313513513513514</v>
      </c>
      <c r="R33" s="36" t="n">
        <v>1470</v>
      </c>
      <c r="S33" s="36" t="n">
        <v>2572</v>
      </c>
      <c r="T33" s="37" t="n">
        <v>0.5715396578538102</v>
      </c>
      <c r="U33" s="36" t="n">
        <v>496</v>
      </c>
      <c r="V33" s="36" t="n">
        <v>1128</v>
      </c>
      <c r="W33" s="37" t="n">
        <v>0.4397163120567376</v>
      </c>
      <c r="X33" s="36" t="n">
        <v>1042</v>
      </c>
      <c r="Y33" s="37" t="n">
        <v>0.708843537414966</v>
      </c>
    </row>
    <row r="34">
      <c r="A34" t="inlineStr">
        <is>
          <t>R07_Bali Nusra</t>
        </is>
      </c>
      <c r="B34" t="inlineStr">
        <is>
          <t>NOP KUPANG</t>
        </is>
      </c>
      <c r="C34" s="36" t="n">
        <v>4214</v>
      </c>
      <c r="D34" s="36" t="n">
        <v>2039</v>
      </c>
      <c r="E34" s="36" t="n">
        <v>718</v>
      </c>
      <c r="F34" s="37" t="n">
        <v>0.3521333987248652</v>
      </c>
      <c r="G34" s="36" t="n">
        <v>160</v>
      </c>
      <c r="H34" s="36" t="n">
        <v>308</v>
      </c>
      <c r="I34" s="37" t="n">
        <v>0.5194805194805194</v>
      </c>
      <c r="J34" s="36" t="n">
        <v>558</v>
      </c>
      <c r="K34" s="36" t="n">
        <v>1731</v>
      </c>
      <c r="L34" s="37" t="n">
        <v>0.3223570190641248</v>
      </c>
      <c r="M34" s="36" t="n">
        <v>122</v>
      </c>
      <c r="N34" s="37" t="n">
        <v>0.7625</v>
      </c>
      <c r="O34" s="36" t="n">
        <v>2175</v>
      </c>
      <c r="P34" s="36" t="n">
        <v>1330</v>
      </c>
      <c r="Q34" s="37" t="n">
        <v>0.6114942528735632</v>
      </c>
      <c r="R34" s="36" t="n">
        <v>818</v>
      </c>
      <c r="S34" s="36" t="n">
        <v>1336</v>
      </c>
      <c r="T34" s="37" t="n">
        <v>0.6122754491017964</v>
      </c>
      <c r="U34" s="36" t="n">
        <v>512</v>
      </c>
      <c r="V34" s="36" t="n">
        <v>839</v>
      </c>
      <c r="W34" s="37" t="n">
        <v>0.6102502979737783</v>
      </c>
      <c r="X34" s="36" t="n">
        <v>583</v>
      </c>
      <c r="Y34" s="37" t="n">
        <v>0.7127139364303179</v>
      </c>
    </row>
    <row r="35">
      <c r="A35" t="inlineStr">
        <is>
          <t>R07_Bali Nusra</t>
        </is>
      </c>
      <c r="B35" t="inlineStr">
        <is>
          <t>NOP MATARAM</t>
        </is>
      </c>
      <c r="C35" s="36" t="n">
        <v>2843</v>
      </c>
      <c r="D35" s="36" t="n">
        <v>1193</v>
      </c>
      <c r="E35" s="36" t="n">
        <v>473</v>
      </c>
      <c r="F35" s="37" t="n">
        <v>0.3964794635373009</v>
      </c>
      <c r="G35" s="36" t="n">
        <v>89</v>
      </c>
      <c r="H35" s="36" t="n">
        <v>176</v>
      </c>
      <c r="I35" s="37" t="n">
        <v>0.5056818181818182</v>
      </c>
      <c r="J35" s="36" t="n">
        <v>384</v>
      </c>
      <c r="K35" s="36" t="n">
        <v>1017</v>
      </c>
      <c r="L35" s="37" t="n">
        <v>0.3775811209439528</v>
      </c>
      <c r="M35" s="36" t="n">
        <v>63</v>
      </c>
      <c r="N35" s="37" t="n">
        <v>0.7078651685393258</v>
      </c>
      <c r="O35" s="36" t="n">
        <v>1650</v>
      </c>
      <c r="P35" s="36" t="n">
        <v>653</v>
      </c>
      <c r="Q35" s="37" t="n">
        <v>0.3957575757575758</v>
      </c>
      <c r="R35" s="36" t="n">
        <v>413</v>
      </c>
      <c r="S35" s="36" t="n">
        <v>989</v>
      </c>
      <c r="T35" s="37" t="n">
        <v>0.4175935288169869</v>
      </c>
      <c r="U35" s="36" t="n">
        <v>240</v>
      </c>
      <c r="V35" s="36" t="n">
        <v>661</v>
      </c>
      <c r="W35" s="37" t="n">
        <v>0.3630862329803328</v>
      </c>
      <c r="X35" s="36" t="n">
        <v>253</v>
      </c>
      <c r="Y35" s="37" t="n">
        <v>0.612590799031477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2025-06-16T17:06:09Z</dcterms:created>
  <dcterms:modified xmlns:dcterms="http://purl.org/dc/terms/" xmlns:xsi="http://www.w3.org/2001/XMLSchema-instance" xsi:type="dcterms:W3CDTF">2025-06-16T17:06:11Z</dcterms:modified>
</cp:coreProperties>
</file>