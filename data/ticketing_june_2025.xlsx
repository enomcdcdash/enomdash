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si" sheetId="1" state="visible" r:id="rId1"/>
    <sheet xmlns:r="http://schemas.openxmlformats.org/officeDocument/2006/relationships" name="KPI Availability" sheetId="2" state="visible" r:id="rId2"/>
    <sheet xmlns:r="http://schemas.openxmlformats.org/officeDocument/2006/relationships" name="KPI Ticketing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MTD" sheetId="5" state="visible" r:id="rId5"/>
    <sheet xmlns:r="http://schemas.openxmlformats.org/officeDocument/2006/relationships" name="Rekap Tik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8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sz val="18"/>
    </font>
    <font/>
    <font>
      <b val="1"/>
      <color rgb="00800000"/>
      <sz val="12"/>
    </font>
    <font>
      <b val="1"/>
      <color rgb="00FFFFFF"/>
      <sz val="11"/>
    </font>
  </fonts>
  <fills count="37">
    <fill>
      <patternFill/>
    </fill>
    <fill>
      <patternFill patternType="gray125"/>
    </fill>
    <fill>
      <patternFill patternType="solid">
        <fgColor rgb="00E6B8B7"/>
        <bgColor rgb="00E6B8B7"/>
      </patternFill>
    </fill>
    <fill>
      <patternFill patternType="solid">
        <fgColor rgb="0092D050"/>
        <bgColor rgb="0092D050"/>
      </patternFill>
    </fill>
    <fill>
      <patternFill patternType="solid">
        <fgColor rgb="00ACB9CA"/>
        <bgColor rgb="00ACB9CA"/>
      </patternFill>
    </fill>
    <fill>
      <patternFill patternType="solid">
        <fgColor rgb="00FFFF00"/>
        <bgColor rgb="00FFFF00"/>
      </patternFill>
    </fill>
    <fill>
      <patternFill patternType="solid"/>
    </fill>
    <fill>
      <patternFill patternType="solid">
        <fgColor rgb="00BFBFBF"/>
        <bgColor rgb="00BFBFBF"/>
      </patternFill>
    </fill>
    <fill>
      <patternFill patternType="solid">
        <fgColor rgb="00757171"/>
        <bgColor rgb="00757171"/>
      </patternFill>
    </fill>
    <fill>
      <patternFill patternType="solid">
        <fgColor rgb="00BDD7EE"/>
        <bgColor rgb="00BDD7EE"/>
      </patternFill>
    </fill>
    <fill>
      <patternFill patternType="solid">
        <fgColor rgb="00C00000"/>
        <bgColor rgb="00C0000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  <fill>
      <patternFill patternType="solid">
        <fgColor rgb="00D8E4BC"/>
        <bgColor rgb="00D8E4BC"/>
      </patternFill>
    </fill>
    <fill>
      <patternFill patternType="solid">
        <fgColor rgb="0000B0F0"/>
        <bgColor rgb="0000B0F0"/>
      </patternFill>
    </fill>
    <fill>
      <patternFill patternType="solid">
        <fgColor rgb="00F8CBAD"/>
        <bgColor rgb="00F8CBAD"/>
      </patternFill>
    </fill>
    <fill>
      <patternFill patternType="solid">
        <fgColor rgb="00E14BB6"/>
        <bgColor rgb="00E14BB6"/>
      </patternFill>
    </fill>
    <fill>
      <patternFill patternType="solid">
        <fgColor rgb="00CCC0DA"/>
        <bgColor rgb="00CCC0DA"/>
      </patternFill>
    </fill>
    <fill>
      <patternFill patternType="solid">
        <fgColor rgb="00003399"/>
        <bgColor rgb="00003399"/>
      </patternFill>
    </fill>
    <fill>
      <patternFill patternType="solid">
        <fgColor rgb="00FDCFED"/>
        <bgColor rgb="00FDCFED"/>
      </patternFill>
    </fill>
    <fill>
      <patternFill patternType="solid">
        <fgColor rgb="00FB97D7"/>
        <bgColor rgb="00FB97D7"/>
      </patternFill>
    </fill>
    <fill>
      <patternFill patternType="solid">
        <fgColor rgb="0068EBEE"/>
        <bgColor rgb="0068EBEE"/>
      </patternFill>
    </fill>
    <fill>
      <patternFill patternType="solid">
        <fgColor rgb="00FABF8F"/>
        <bgColor rgb="00FABF8F"/>
      </patternFill>
    </fill>
    <fill>
      <patternFill patternType="solid">
        <fgColor rgb="00FFC50D"/>
        <bgColor rgb="00FFC50D"/>
      </patternFill>
    </fill>
    <fill>
      <patternFill patternType="solid">
        <fgColor rgb="0000A7E2"/>
        <bgColor rgb="0000A7E2"/>
      </patternFill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ED7D31"/>
        <bgColor rgb="00ED7D31"/>
      </patternFill>
    </fill>
    <fill>
      <patternFill patternType="solid">
        <fgColor rgb="00FF0000"/>
        <bgColor rgb="00FF0000"/>
      </patternFill>
    </fill>
    <fill>
      <patternFill patternType="solid">
        <fgColor rgb="00FFB9FF"/>
        <bgColor rgb="00FFB9FF"/>
      </patternFill>
    </fill>
    <fill>
      <patternFill patternType="solid">
        <fgColor rgb="00DA9694"/>
        <bgColor rgb="00DA9694"/>
      </patternFill>
    </fill>
    <fill>
      <patternFill patternType="solid">
        <fgColor rgb="00FFD44B"/>
        <bgColor rgb="00FFD44B"/>
      </patternFill>
    </fill>
    <fill>
      <patternFill patternType="solid">
        <fgColor rgb="00FCD5B4"/>
        <bgColor rgb="00FCD5B4"/>
      </patternFill>
    </fill>
    <fill>
      <patternFill patternType="solid">
        <fgColor rgb="00963634"/>
        <bgColor rgb="00963634"/>
      </patternFill>
    </fill>
    <fill>
      <patternFill patternType="solid">
        <fgColor rgb="00366092"/>
        <bgColor rgb="00366092"/>
      </patternFill>
    </fill>
    <fill>
      <patternFill patternType="solid">
        <fgColor rgb="009BBB59"/>
        <bgColor rgb="009BBB59"/>
      </patternFill>
    </fill>
    <fill>
      <patternFill patternType="solid">
        <fgColor rgb="00403151"/>
        <bgColor rgb="0040315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0" fontId="5" fillId="0" borderId="2"/>
  </cellStyleXfs>
  <cellXfs count="57">
    <xf numFmtId="0" fontId="0" fillId="0" borderId="0" pivotButton="0" quotePrefix="0" xfId="0"/>
    <xf numFmtId="0" fontId="2" fillId="25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2" fillId="28" borderId="0" applyAlignment="1" pivotButton="0" quotePrefix="0" xfId="0">
      <alignment horizontal="center" vertical="center"/>
    </xf>
    <xf numFmtId="10" fontId="6" fillId="29" borderId="0" applyAlignment="1" pivotButton="0" quotePrefix="0" xfId="0">
      <alignment horizontal="center" vertical="center"/>
    </xf>
    <xf numFmtId="2" fontId="6" fillId="2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3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21" borderId="0" applyAlignment="1" pivotButton="0" quotePrefix="0" xfId="0">
      <alignment horizontal="center" vertical="center" wrapText="1"/>
    </xf>
    <xf numFmtId="0" fontId="3" fillId="2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24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5" fillId="0" borderId="2" applyAlignment="1" pivotButton="0" quotePrefix="0" xfId="1">
      <alignment horizontal="center" vertical="center"/>
    </xf>
    <xf numFmtId="0" fontId="1" fillId="30" borderId="0" applyAlignment="1" pivotButton="0" quotePrefix="0" xfId="0">
      <alignment horizontal="center" vertical="center"/>
    </xf>
    <xf numFmtId="0" fontId="1" fillId="30" borderId="1" applyAlignment="1" pivotButton="0" quotePrefix="0" xfId="0">
      <alignment horizontal="center" vertical="center"/>
    </xf>
    <xf numFmtId="0" fontId="1" fillId="31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2" fontId="1" fillId="31" borderId="0" applyAlignment="1" pivotButton="0" quotePrefix="0" xfId="0">
      <alignment horizontal="center" vertical="center"/>
    </xf>
    <xf numFmtId="0" fontId="1" fillId="31" borderId="0" applyAlignment="1" pivotButton="0" quotePrefix="0" xfId="0">
      <alignment horizontal="center" vertical="center"/>
    </xf>
    <xf numFmtId="10" fontId="1" fillId="31" borderId="0" applyAlignment="1" pivotButton="0" quotePrefix="0" xfId="0">
      <alignment horizontal="center" vertical="center"/>
    </xf>
    <xf numFmtId="2" fontId="1" fillId="32" borderId="0" applyAlignment="1" pivotButton="0" quotePrefix="0" xfId="0">
      <alignment horizontal="center" vertical="center"/>
    </xf>
    <xf numFmtId="10" fontId="1" fillId="32" borderId="0" applyAlignment="1" pivotButton="0" quotePrefix="0" xfId="0">
      <alignment horizontal="center" vertical="center"/>
    </xf>
    <xf numFmtId="0" fontId="7" fillId="33" borderId="1" applyAlignment="1" pivotButton="0" quotePrefix="0" xfId="0">
      <alignment horizontal="center" vertical="center"/>
    </xf>
    <xf numFmtId="0" fontId="7" fillId="34" borderId="1" applyAlignment="1" pivotButton="0" quotePrefix="0" xfId="0">
      <alignment horizontal="center" vertical="center"/>
    </xf>
    <xf numFmtId="165" fontId="0" fillId="0" borderId="0" pivotButton="0" quotePrefix="0" xfId="0"/>
    <xf numFmtId="0" fontId="7" fillId="36" borderId="1" applyAlignment="1" pivotButton="0" quotePrefix="0" xfId="0">
      <alignment horizontal="center" vertical="center"/>
    </xf>
    <xf numFmtId="0" fontId="1" fillId="35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</cellXfs>
  <cellStyles count="2">
    <cellStyle name="Normal" xfId="0" builtinId="0" hidden="0"/>
    <cellStyle name="percentage_style" xfId="1" hidden="0"/>
  </cellStyles>
  <dxfs count="8">
    <dxf>
      <font>
        <color rgb="00FFFFFF"/>
      </font>
      <fill>
        <patternFill patternType="solid">
          <fgColor rgb="0000B050"/>
          <bgColor rgb="0000B050"/>
        </patternFill>
      </fill>
    </dxf>
    <dxf>
      <font>
        <color rgb="00000000"/>
      </font>
      <fill>
        <patternFill patternType="solid">
          <fgColor rgb="0092D050"/>
          <bgColor rgb="0092D050"/>
        </patternFill>
      </fill>
    </dxf>
    <dxf>
      <font>
        <color rgb="00000000"/>
      </font>
      <fill>
        <patternFill patternType="solid">
          <fgColor rgb="00ED7D31"/>
          <bgColor rgb="00ED7D31"/>
        </patternFill>
      </fill>
    </dxf>
    <dxf>
      <font>
        <color rgb="00FFFFFF"/>
      </font>
      <fill>
        <patternFill patternType="solid">
          <fgColor rgb="004472C4"/>
          <bgColor rgb="004472C4"/>
        </patternFill>
      </fill>
    </dxf>
    <dxf>
      <font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D1B2E8"/>
          <bgColor rgb="00D1B2E8"/>
        </patternFill>
      </fill>
    </dxf>
    <dxf>
      <fill>
        <patternFill patternType="solid">
          <fgColor rgb="00FF8F8F"/>
          <bgColor rgb="00FF8F8F"/>
        </patternFill>
      </fill>
    </dxf>
    <dxf>
      <fill>
        <patternFill patternType="solid">
          <fgColor rgb="00FFDA65"/>
          <bgColor rgb="00FFDA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BX4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5" max="5"/>
    <col width="10" customWidth="1" min="6" max="6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10" customWidth="1" min="46" max="46"/>
    <col width="8" customWidth="1" min="47" max="47"/>
    <col width="8" customWidth="1" min="48" max="48"/>
    <col width="8" customWidth="1" min="49" max="49"/>
    <col width="10" customWidth="1" min="50" max="50"/>
    <col width="8" customWidth="1" min="51" max="51"/>
    <col width="8" customWidth="1" min="52" max="52"/>
    <col width="9" customWidth="1" min="53" max="53"/>
    <col width="8" customWidth="1" min="54" max="54"/>
    <col width="10" customWidth="1" min="55" max="55"/>
    <col width="8" customWidth="1" min="56" max="56"/>
    <col width="8" customWidth="1" min="57" max="57"/>
    <col width="9" customWidth="1" min="58" max="58"/>
    <col width="8" customWidth="1" min="59" max="59"/>
    <col width="10" customWidth="1" min="60" max="60"/>
    <col width="8" customWidth="1" min="61" max="61"/>
    <col width="8" customWidth="1" min="62" max="62"/>
    <col width="9" customWidth="1" min="63" max="63"/>
    <col width="8" customWidth="1" min="64" max="64"/>
    <col width="8" customWidth="1" min="65" max="65"/>
    <col width="8" customWidth="1" min="66" max="66"/>
    <col width="9" customWidth="1" min="67" max="67"/>
    <col width="8" customWidth="1" min="68" max="68"/>
    <col width="8" customWidth="1" min="69" max="69"/>
    <col width="8" customWidth="1" min="70" max="70"/>
  </cols>
  <sheetData>
    <row r="1" ht="25" customHeight="1">
      <c r="A1" s="1" t="inlineStr">
        <is>
          <t>Istimewa</t>
        </is>
      </c>
      <c r="B1" s="2">
        <f>COUNTIF($E$10:$E$43,A1)</f>
        <v/>
      </c>
    </row>
    <row r="2" ht="25" customHeight="1">
      <c r="A2" s="3" t="inlineStr">
        <is>
          <t>Baik Sekali</t>
        </is>
      </c>
      <c r="B2" s="2">
        <f>COUNTIF($E$10:$E$43,A2)</f>
        <v/>
      </c>
    </row>
    <row r="3" ht="25" customHeight="1">
      <c r="A3" s="4" t="inlineStr">
        <is>
          <t>Baik</t>
        </is>
      </c>
      <c r="B3" s="2">
        <f>COUNTIF($E$10:$E$43,A3)</f>
        <v/>
      </c>
    </row>
    <row r="4" ht="25" customHeight="1">
      <c r="A4" s="5" t="inlineStr">
        <is>
          <t>Cukup</t>
        </is>
      </c>
      <c r="B4" s="2">
        <f>COUNTIF($E$10:$E$43,A4)</f>
        <v/>
      </c>
    </row>
    <row r="5" ht="25" customHeight="1">
      <c r="A5" s="6" t="inlineStr">
        <is>
          <t>Kurang</t>
        </is>
      </c>
      <c r="B5" s="2">
        <f>COUNTIF($E$10:$E$43,A5)</f>
        <v/>
      </c>
    </row>
    <row r="6">
      <c r="O6" s="7" t="n">
        <v>0.85</v>
      </c>
      <c r="P6" s="7" t="n">
        <v>0.357</v>
      </c>
      <c r="Q6" s="7" t="n">
        <v>0.2465</v>
      </c>
      <c r="R6" s="7" t="n">
        <v>0.2465</v>
      </c>
      <c r="S6" s="8" t="n">
        <v>4</v>
      </c>
      <c r="T6" s="8" t="n">
        <v>8</v>
      </c>
      <c r="U6" s="8" t="n">
        <v>10</v>
      </c>
      <c r="V6" s="8" t="n">
        <v>13</v>
      </c>
      <c r="AE6" s="7" t="n">
        <v>0.3</v>
      </c>
      <c r="AH6" s="7" t="n">
        <v>0.3</v>
      </c>
      <c r="AK6" s="7" t="n">
        <v>0.4</v>
      </c>
      <c r="AN6" s="7" t="n">
        <v>0.5</v>
      </c>
      <c r="AQ6" s="7" t="n">
        <v>0.95</v>
      </c>
      <c r="AT6" s="7" t="n">
        <v>0.3</v>
      </c>
      <c r="AW6" s="8" t="n">
        <v>2</v>
      </c>
      <c r="AX6" s="8" t="n">
        <v>4</v>
      </c>
      <c r="AY6" s="8" t="n">
        <v>15</v>
      </c>
      <c r="AZ6" s="8" t="n">
        <v>48</v>
      </c>
      <c r="BA6" s="8" t="n">
        <v>96</v>
      </c>
      <c r="BL6" s="7" t="n">
        <v>0.3</v>
      </c>
      <c r="BO6" s="7" t="n">
        <v>0.3</v>
      </c>
      <c r="BR6" s="7" t="n">
        <v>0.4</v>
      </c>
    </row>
    <row r="7">
      <c r="A7" s="9" t="inlineStr">
        <is>
          <t>Regional</t>
        </is>
      </c>
      <c r="B7" s="9" t="inlineStr">
        <is>
          <t>NOP</t>
        </is>
      </c>
      <c r="C7" s="10" t="inlineStr">
        <is>
          <t>Rank</t>
        </is>
      </c>
      <c r="D7" s="10" t="inlineStr">
        <is>
          <t>Total KPI</t>
        </is>
      </c>
      <c r="E7" s="10" t="inlineStr">
        <is>
          <t>Category</t>
        </is>
      </c>
      <c r="F7" s="11" t="inlineStr">
        <is>
          <t>Bonus</t>
        </is>
      </c>
      <c r="G7" s="12" t="inlineStr">
        <is>
          <t>KPI AVAIL</t>
        </is>
      </c>
      <c r="H7" s="13" t="inlineStr">
        <is>
          <t>AVAILABILITY</t>
        </is>
      </c>
      <c r="O7" s="14" t="inlineStr">
        <is>
          <t>KPI Ticket Handling</t>
        </is>
      </c>
      <c r="S7" s="15" t="inlineStr">
        <is>
          <t>INCIDENT HANDLING</t>
        </is>
      </c>
      <c r="AW7" s="16" t="inlineStr">
        <is>
          <t>EVENT HANDLING</t>
        </is>
      </c>
      <c r="BO7" s="17" t="n"/>
      <c r="BU7" s="18" t="inlineStr">
        <is>
          <t>Activity &amp; Alarm Handling</t>
        </is>
      </c>
    </row>
    <row r="8">
      <c r="H8" s="19" t="inlineStr">
        <is>
          <t>Class Diamond</t>
        </is>
      </c>
      <c r="I8" s="19" t="inlineStr">
        <is>
          <t>Class Platinum</t>
        </is>
      </c>
      <c r="J8" s="19" t="inlineStr">
        <is>
          <t>Class Gold</t>
        </is>
      </c>
      <c r="K8" s="19" t="inlineStr">
        <is>
          <t>Class Silver</t>
        </is>
      </c>
      <c r="L8" s="19" t="inlineStr">
        <is>
          <t>Class Bronze</t>
        </is>
      </c>
      <c r="M8" s="19" t="inlineStr">
        <is>
          <t>Achieved Target Availability</t>
        </is>
      </c>
      <c r="N8" s="20" t="inlineStr">
        <is>
          <t>Total Score KPI Availability</t>
        </is>
      </c>
      <c r="O8" s="14" t="inlineStr">
        <is>
          <t>Total</t>
        </is>
      </c>
      <c r="P8" s="14" t="inlineStr">
        <is>
          <t>KPI Incident</t>
        </is>
      </c>
      <c r="Q8" s="14" t="inlineStr">
        <is>
          <t>KPI Event</t>
        </is>
      </c>
      <c r="R8" s="14" t="inlineStr">
        <is>
          <t>KPI Act</t>
        </is>
      </c>
      <c r="S8" s="21" t="inlineStr">
        <is>
          <t>MTTR P90</t>
        </is>
      </c>
      <c r="W8" s="21" t="inlineStr">
        <is>
          <t>Skor</t>
        </is>
      </c>
      <c r="AA8" s="21" t="inlineStr">
        <is>
          <t>KPI</t>
        </is>
      </c>
      <c r="AE8" s="10" t="inlineStr">
        <is>
          <t>TO High Crit Maj</t>
        </is>
      </c>
      <c r="AF8" s="10" t="inlineStr">
        <is>
          <t>Skor</t>
        </is>
      </c>
      <c r="AG8" s="10" t="inlineStr">
        <is>
          <t>KPI</t>
        </is>
      </c>
      <c r="AH8" s="22" t="inlineStr">
        <is>
          <t>TO Low Min Low</t>
        </is>
      </c>
      <c r="AI8" s="22" t="inlineStr">
        <is>
          <t>Skor</t>
        </is>
      </c>
      <c r="AJ8" s="22" t="inlineStr">
        <is>
          <t>KPI</t>
        </is>
      </c>
      <c r="AK8" s="23" t="inlineStr">
        <is>
          <t>Visit</t>
        </is>
      </c>
      <c r="AL8" s="23" t="inlineStr">
        <is>
          <t>Skor</t>
        </is>
      </c>
      <c r="AM8" s="23" t="inlineStr">
        <is>
          <t>KPI</t>
        </is>
      </c>
      <c r="AN8" s="24" t="inlineStr">
        <is>
          <t>Top 5</t>
        </is>
      </c>
      <c r="AO8" s="24" t="inlineStr">
        <is>
          <t>Skor</t>
        </is>
      </c>
      <c r="AP8" s="24" t="inlineStr">
        <is>
          <t>KPI</t>
        </is>
      </c>
      <c r="AQ8" s="25" t="inlineStr">
        <is>
          <t>Closing</t>
        </is>
      </c>
      <c r="AR8" s="25" t="inlineStr">
        <is>
          <t>Skor</t>
        </is>
      </c>
      <c r="AS8" s="25" t="inlineStr">
        <is>
          <t>KPI</t>
        </is>
      </c>
      <c r="AT8" s="26" t="inlineStr">
        <is>
          <t>RCA Validation</t>
        </is>
      </c>
      <c r="AU8" s="26" t="inlineStr">
        <is>
          <t>Skor</t>
        </is>
      </c>
      <c r="AV8" s="26" t="inlineStr">
        <is>
          <t>KPI</t>
        </is>
      </c>
      <c r="AW8" s="27" t="inlineStr">
        <is>
          <t>MTTR P90</t>
        </is>
      </c>
      <c r="BB8" s="27" t="inlineStr">
        <is>
          <t>Skor</t>
        </is>
      </c>
      <c r="BG8" s="27" t="inlineStr">
        <is>
          <t>KPI</t>
        </is>
      </c>
      <c r="BI8" s="28" t="n"/>
      <c r="BJ8" s="28" t="n"/>
      <c r="BK8" s="28" t="n"/>
      <c r="BL8" s="29" t="inlineStr">
        <is>
          <t>TO High Crit Maj</t>
        </is>
      </c>
      <c r="BM8" s="29" t="inlineStr">
        <is>
          <t>Skor</t>
        </is>
      </c>
      <c r="BN8" s="29" t="inlineStr">
        <is>
          <t>KPI</t>
        </is>
      </c>
      <c r="BO8" s="30" t="inlineStr">
        <is>
          <t>TO Low Min Low</t>
        </is>
      </c>
      <c r="BP8" s="30" t="inlineStr">
        <is>
          <t>Skor</t>
        </is>
      </c>
      <c r="BQ8" s="30" t="inlineStr">
        <is>
          <t>KPI</t>
        </is>
      </c>
      <c r="BR8" s="31" t="inlineStr">
        <is>
          <t>Visit</t>
        </is>
      </c>
      <c r="BS8" s="14" t="inlineStr">
        <is>
          <t>Skor</t>
        </is>
      </c>
      <c r="BT8" s="14" t="inlineStr">
        <is>
          <t>KPI</t>
        </is>
      </c>
      <c r="BU8" s="32" t="inlineStr">
        <is>
          <t>KPI 4.1</t>
        </is>
      </c>
      <c r="BV8" s="32" t="inlineStr">
        <is>
          <t>KPI 4.2</t>
        </is>
      </c>
      <c r="BW8" s="32" t="inlineStr">
        <is>
          <t>KPI 5.1</t>
        </is>
      </c>
      <c r="BX8" s="32" t="inlineStr">
        <is>
          <t>KPI 5.2</t>
        </is>
      </c>
    </row>
    <row r="9">
      <c r="S9" s="33" t="inlineStr">
        <is>
          <t>Crit</t>
        </is>
      </c>
      <c r="T9" s="33" t="inlineStr">
        <is>
          <t>Maj</t>
        </is>
      </c>
      <c r="U9" s="33" t="inlineStr">
        <is>
          <t>Min</t>
        </is>
      </c>
      <c r="V9" s="33" t="inlineStr">
        <is>
          <t>Low</t>
        </is>
      </c>
      <c r="W9" s="33" t="inlineStr">
        <is>
          <t>Crit</t>
        </is>
      </c>
      <c r="X9" s="33" t="inlineStr">
        <is>
          <t>Maj</t>
        </is>
      </c>
      <c r="Y9" s="33" t="inlineStr">
        <is>
          <t>Min</t>
        </is>
      </c>
      <c r="Z9" s="33" t="inlineStr">
        <is>
          <t>Low</t>
        </is>
      </c>
      <c r="AA9" s="33" t="inlineStr">
        <is>
          <t>Crit</t>
        </is>
      </c>
      <c r="AB9" s="33" t="inlineStr">
        <is>
          <t>Maj</t>
        </is>
      </c>
      <c r="AC9" s="33" t="inlineStr">
        <is>
          <t>Min</t>
        </is>
      </c>
      <c r="AD9" s="33" t="inlineStr">
        <is>
          <t>Low</t>
        </is>
      </c>
      <c r="AT9" s="28" t="n"/>
      <c r="AU9" s="28" t="n"/>
      <c r="AV9" s="28" t="n"/>
      <c r="AW9" s="34" t="inlineStr">
        <is>
          <t>Crit</t>
        </is>
      </c>
      <c r="AX9" s="34" t="inlineStr">
        <is>
          <t>Maj</t>
        </is>
      </c>
      <c r="AY9" s="34" t="inlineStr">
        <is>
          <t>Min</t>
        </is>
      </c>
      <c r="AZ9" s="34" t="inlineStr">
        <is>
          <t>Low</t>
        </is>
      </c>
      <c r="BA9" s="34" t="inlineStr">
        <is>
          <t>Very Low</t>
        </is>
      </c>
      <c r="BB9" s="34" t="inlineStr">
        <is>
          <t>Crit</t>
        </is>
      </c>
      <c r="BC9" s="34" t="inlineStr">
        <is>
          <t>Maj</t>
        </is>
      </c>
      <c r="BD9" s="34" t="inlineStr">
        <is>
          <t>Min</t>
        </is>
      </c>
      <c r="BE9" s="34" t="inlineStr">
        <is>
          <t>Low</t>
        </is>
      </c>
      <c r="BF9" s="34" t="inlineStr">
        <is>
          <t>Very Low</t>
        </is>
      </c>
      <c r="BG9" s="34" t="inlineStr">
        <is>
          <t>Crit</t>
        </is>
      </c>
      <c r="BH9" s="34" t="inlineStr">
        <is>
          <t>Maj</t>
        </is>
      </c>
      <c r="BI9" s="35" t="inlineStr">
        <is>
          <t>Min</t>
        </is>
      </c>
      <c r="BJ9" s="35" t="inlineStr">
        <is>
          <t>Low</t>
        </is>
      </c>
      <c r="BK9" s="35" t="inlineStr">
        <is>
          <t>Very Low</t>
        </is>
      </c>
    </row>
    <row r="10">
      <c r="A10" t="inlineStr">
        <is>
          <t>R01_Sumbagut</t>
        </is>
      </c>
      <c r="B10" t="inlineStr">
        <is>
          <t>NOP ACEH</t>
        </is>
      </c>
      <c r="C10" s="36">
        <f>RANK(D10,$D$10:$D$43,0)</f>
        <v/>
      </c>
      <c r="D10" s="37">
        <f>(G10*0.35)+(O10*65%)</f>
        <v/>
      </c>
      <c r="E10" s="36">
        <f>IF(D10&gt;=0.95,"Istimewa",IF(D10&gt;0.9,"Baik Sekali",IF(D10&gt;0.85,"Baik",IF(D10&gt;0.8,"Cukup","Kurang"))))</f>
        <v/>
      </c>
      <c r="F10" s="37">
        <f>0.29*0.65</f>
        <v/>
      </c>
      <c r="G10" s="37">
        <f>N10</f>
        <v/>
      </c>
      <c r="H10" s="37">
        <f>VLOOKUP(B10,'KPI Availability'!B:O,14,)</f>
        <v/>
      </c>
      <c r="I10" s="37">
        <f>VLOOKUP(B10,'KPI Availability'!B:P,15,)</f>
        <v/>
      </c>
      <c r="J10" s="37">
        <f>VLOOKUP(B10,'KPI Availability'!B:Q,16,)</f>
        <v/>
      </c>
      <c r="K10" s="37">
        <f>VLOOKUP(B10,'KPI Availability'!B:R,17,)</f>
        <v/>
      </c>
      <c r="L10" s="37">
        <f>VLOOKUP(B10,'KPI Availability'!B:S,18,)</f>
        <v/>
      </c>
      <c r="M10" s="37">
        <f>VLOOKUP(B10,'KPI Availability'!B:T,19,)</f>
        <v/>
      </c>
      <c r="N10" s="37">
        <f>SUM(H10:M10)</f>
        <v/>
      </c>
      <c r="O10" s="37">
        <f>P10+Q10+R10</f>
        <v/>
      </c>
      <c r="P10" s="37">
        <f>SUM(AA10:AD10,AG10,AJ10,AM10,AP10,AS10,AV10)</f>
        <v/>
      </c>
      <c r="Q10" s="37">
        <f>SUM(BG10:BK10,BN10,BQ10,BT10)</f>
        <v/>
      </c>
      <c r="R10" s="37">
        <f>SUM(BU10:BX10)</f>
        <v/>
      </c>
      <c r="S10" s="38">
        <f>VLOOKUP(B10,'KPI Ticketing'!B:C,2,)</f>
        <v/>
      </c>
      <c r="T10" s="38">
        <f>VLOOKUP(B10,'KPI Ticketing'!B:D,3,)</f>
        <v/>
      </c>
      <c r="U10" s="38">
        <f>VLOOKUP(B10,'KPI Ticketing'!B:E,4,)</f>
        <v/>
      </c>
      <c r="V10" s="38">
        <f>VLOOKUP(B10,'KPI Ticketing'!B:F,5,)</f>
        <v/>
      </c>
      <c r="W10" s="37">
        <f>IF(S10&lt;=4,100%,IF(S10&lt;=6,70%,IF(S10&lt;=8,40%,10%)))</f>
        <v/>
      </c>
      <c r="X10" s="37">
        <f>IF(T10&lt;=8,100%,IF(T10&lt;=12,50%,25%))</f>
        <v/>
      </c>
      <c r="Y10" s="37">
        <f>IF(U10&lt;=10,100%,IF(U10&lt;=15,50%,25%))</f>
        <v/>
      </c>
      <c r="Z10" s="37">
        <f>IF(V10&lt;=13,100%,IF(V10&lt;=19,50%,25%))</f>
        <v/>
      </c>
      <c r="AA10" s="37">
        <f>W10*0.13</f>
        <v/>
      </c>
      <c r="AB10" s="37">
        <f>X10*0.06</f>
        <v/>
      </c>
      <c r="AC10" s="37">
        <f>Y10*0.04</f>
        <v/>
      </c>
      <c r="AD10" s="37">
        <f>Z10*0.02</f>
        <v/>
      </c>
      <c r="AE10" s="37">
        <f>VLOOKUP(B10,'KPI Ticketing'!B:N,13,)</f>
        <v/>
      </c>
      <c r="AF10" s="37">
        <f>IF(AE10&gt;=0.8,1,IF(AE10&gt;=0.7,0.9,IF(AE10&gt;=0.6,0.8,IF(AE10&gt;=0.5,0.7,IF(AE10&gt;=0.4,0.6,IF(AE10&gt;=0.3,0.5,IF(AE10&gt;=0.2,0.4,IF(AE10&gt;=0.1,0.3,0.2))))))))</f>
        <v/>
      </c>
      <c r="AG10" s="37">
        <f>AF10*0.03</f>
        <v/>
      </c>
      <c r="AH10" s="37">
        <f>VLOOKUP(B10,'KPI Ticketing'!B:R,17,)</f>
        <v/>
      </c>
      <c r="AI10" s="37">
        <f>IF(AH10&gt;=0.8,1,IF(AH10&gt;=0.7,0.9,IF(AH10&gt;=0.6,0.8,IF(AH10&gt;=0.5,0.7,IF(AH10&gt;=0.4,0.6,IF(AH10&gt;=0.3,0.5,IF(AH10&gt;=0.2,0.4,IF(AH10&gt;=0.1,0.3,0.2))))))))</f>
        <v/>
      </c>
      <c r="AJ10" s="37">
        <f>AI10*0.02</f>
        <v/>
      </c>
      <c r="AK10" s="37">
        <f>VLOOKUP(B10,'KPI Ticketing'!B:V,21,)</f>
        <v/>
      </c>
      <c r="AL10" s="37">
        <f>IF(AK10&gt;=0.9,1,IF(AK10&gt;=0.8,0.9,IF(AK10&gt;=0.7,0.8,IF(AK10&gt;=0.6,0.7,IF(AK10&gt;=0.5,0.6,IF(AK10&gt;=0.4,0.5,IF(AK10&gt;=0.3,0.4,IF(AK10&gt;=0.2,0.3,IF(AK10&gt;=0.1,0.2,0.1)))))))))</f>
        <v/>
      </c>
      <c r="AM10" s="37">
        <f>AL10*0.05</f>
        <v/>
      </c>
      <c r="AN10" s="37">
        <f>VLOOKUP(B10,'KPI Ticketing'!B:Z,25,)</f>
        <v/>
      </c>
      <c r="AO10" s="37">
        <f>IF(AN10&gt;=0.95,1,IF(AN10&gt;=0.9,0.9,IF(AN10&gt;=0.8,0.8,IF(AN10&gt;=0.7,0.7,IF(AN10&gt;=0.6,0.6,IF(AN10&gt;=0.5,0.5,IF(AN10&gt;=0.4,0.4,IF(AN10&gt;=0.3,0.3,IF(AN10&gt;=0.2,0.2,IF(AN10&gt;=0.1,0.1,0.05))))))))))</f>
        <v/>
      </c>
      <c r="AP10" s="37">
        <f>AO10*0.05</f>
        <v/>
      </c>
      <c r="AQ10" s="37">
        <f>VLOOKUP(B10,'KPI Ticketing'!B:AC,28,)</f>
        <v/>
      </c>
      <c r="AR10" s="37">
        <f>IF(AQ10&lt;0.95,0.5,1)</f>
        <v/>
      </c>
      <c r="AS10" s="37">
        <f>AR10*0.01</f>
        <v/>
      </c>
      <c r="AT10" s="37">
        <f>VLOOKUP(B10,'KPI Ticketing'!B:AG,32,)</f>
        <v/>
      </c>
      <c r="AU10" s="37">
        <f>IF(AT10&lt;0.3,0.5,1)</f>
        <v/>
      </c>
      <c r="AV10" s="37">
        <f>AU10*0.01</f>
        <v/>
      </c>
      <c r="AW10" s="38">
        <f>VLOOKUP(B10,'KPI Ticketing'!B:AH,33,)</f>
        <v/>
      </c>
      <c r="AX10" s="38">
        <f>VLOOKUP(B10,'KPI Ticketing'!B:AI,34,)</f>
        <v/>
      </c>
      <c r="AY10" s="38">
        <f>VLOOKUP(B10,'KPI Ticketing'!B:AJ,35,)</f>
        <v/>
      </c>
      <c r="AZ10" s="38">
        <f>VLOOKUP(B10,'KPI Ticketing'!B:AK,36,)</f>
        <v/>
      </c>
      <c r="BA10" s="38">
        <f>VLOOKUP(B10,'KPI Ticketing'!B:AL,37,)</f>
        <v/>
      </c>
      <c r="BB10" s="37">
        <f>IF(AW10&lt;=2,1,IF(AW10&lt;=3,0.7,IF(AW10&lt;=4,0.4,0.1)))</f>
        <v/>
      </c>
      <c r="BC10" s="37">
        <f>IF(AX10&lt;=4,1,IF(AX10&lt;=6,0.5,0.25))</f>
        <v/>
      </c>
      <c r="BD10" s="37">
        <f>IF(AY10&lt;=15,1,IF(AY10&lt;=22.5,0.5,0.25))</f>
        <v/>
      </c>
      <c r="BE10" s="37">
        <f>IF(AZ10&lt;=48,1,IF(AZ10&lt;=72,0.5,0.25))</f>
        <v/>
      </c>
      <c r="BF10" s="37">
        <f>IF(BA10=0, 0, IF(BA10&lt;=96, 1, IF(BA10&lt;=144, 0.5, 0.25)))</f>
        <v/>
      </c>
      <c r="BG10" s="37">
        <f>BB10*0.1</f>
        <v/>
      </c>
      <c r="BH10" s="37">
        <f>BC10*0.05</f>
        <v/>
      </c>
      <c r="BI10" s="37">
        <f>BD10*0.02</f>
        <v/>
      </c>
      <c r="BJ10" s="37">
        <f>BE10*0.01</f>
        <v/>
      </c>
      <c r="BK10" s="37">
        <f>BF10*0.01</f>
        <v/>
      </c>
      <c r="BL10" s="37">
        <f>VLOOKUP(B10,'KPI Ticketing'!B:AT,45,)</f>
        <v/>
      </c>
      <c r="BM10" s="37">
        <f>IF(BL10&gt;=0.8,1,IF(BL10&gt;=0.7,0.9,IF(BL10&gt;=0.6,0.8,IF(BL10&gt;=0.5,0.7,IF(BL10&gt;=0.4,0.6,IF(BL10&gt;=0.3,0.5,IF(BL10&gt;=0.2,0.4,IF(BL10&gt;=0.1,0.3,0.2))))))))</f>
        <v/>
      </c>
      <c r="BN10" s="37">
        <f>BM10*0.03</f>
        <v/>
      </c>
      <c r="BO10" s="37">
        <f>VLOOKUP(B10,'KPI Ticketing'!B:AX,49,)</f>
        <v/>
      </c>
      <c r="BP10" s="37">
        <f>IF(BO10&gt;=0.8,1,IF(BO10&gt;=0.7,0.9,IF(BO10&gt;=0.6,0.8,IF(BO10&gt;=0.5,0.7,IF(BO10&gt;=0.4,0.6,IF(BO10&gt;=0.3,0.5,IF(BO10&gt;=0.2,0.4,IF(BO10&gt;=0.1,0.3,0.2))))))))</f>
        <v/>
      </c>
      <c r="BQ10" s="37">
        <f>BP10*0.02</f>
        <v/>
      </c>
      <c r="BR10" s="37">
        <f>VLOOKUP(B10,'KPI Ticketing'!B:BB,53,)</f>
        <v/>
      </c>
      <c r="BS10" s="37">
        <f>IF(BR10&gt;=0.9,1,IF(BR10&gt;=0.8,0.9,IF(BR10&gt;=0.7,0.8,IF(BR10&gt;=0.6,0.7,IF(BR10&gt;=0.5,0.6,IF(BR10&gt;=0.4,0.5,IF(BR10&gt;=0.3,0.4,IF(BR10&gt;=0.2,0.3,IF(BR10&gt;=0.1,0.2,0.1)))))))))</f>
        <v/>
      </c>
      <c r="BT10" s="37">
        <f>BS10*0.05</f>
        <v/>
      </c>
      <c r="BU10" s="39" t="n">
        <v>0.08</v>
      </c>
      <c r="BV10" s="39" t="n">
        <v>0.06</v>
      </c>
      <c r="BW10" s="39" t="n">
        <v>0.09</v>
      </c>
      <c r="BX10" s="39" t="n">
        <v>0.06</v>
      </c>
    </row>
    <row r="11">
      <c r="A11" t="inlineStr">
        <is>
          <t>R01_Sumbagut</t>
        </is>
      </c>
      <c r="B11" t="inlineStr">
        <is>
          <t>NOP BINJAI</t>
        </is>
      </c>
      <c r="C11" s="36">
        <f>RANK(D11,$D$10:$D$43,0)</f>
        <v/>
      </c>
      <c r="D11" s="37">
        <f>(G11*0.35)+(O11*65%)</f>
        <v/>
      </c>
      <c r="E11" s="36">
        <f>IF(D11&gt;=0.95,"Istimewa",IF(D11&gt;0.9,"Baik Sekali",IF(D11&gt;0.85,"Baik",IF(D11&gt;0.8,"Cukup","Kurang"))))</f>
        <v/>
      </c>
      <c r="F11" s="37">
        <f>0.29*0.65</f>
        <v/>
      </c>
      <c r="G11" s="37">
        <f>N11</f>
        <v/>
      </c>
      <c r="H11" s="37">
        <f>VLOOKUP(B11,'KPI Availability'!B:O,14,)</f>
        <v/>
      </c>
      <c r="I11" s="37">
        <f>VLOOKUP(B11,'KPI Availability'!B:P,15,)</f>
        <v/>
      </c>
      <c r="J11" s="37">
        <f>VLOOKUP(B11,'KPI Availability'!B:Q,16,)</f>
        <v/>
      </c>
      <c r="K11" s="37">
        <f>VLOOKUP(B11,'KPI Availability'!B:R,17,)</f>
        <v/>
      </c>
      <c r="L11" s="37">
        <f>VLOOKUP(B11,'KPI Availability'!B:S,18,)</f>
        <v/>
      </c>
      <c r="M11" s="37">
        <f>VLOOKUP(B11,'KPI Availability'!B:T,19,)</f>
        <v/>
      </c>
      <c r="N11" s="37">
        <f>SUM(H11:M11)</f>
        <v/>
      </c>
      <c r="O11" s="37">
        <f>P11+Q11+R11</f>
        <v/>
      </c>
      <c r="P11" s="37">
        <f>SUM(AA11:AD11,AG11,AJ11,AM11,AP11,AS11,AV11)</f>
        <v/>
      </c>
      <c r="Q11" s="37">
        <f>SUM(BG11:BK11,BN11,BQ11,BT11)</f>
        <v/>
      </c>
      <c r="R11" s="37">
        <f>SUM(BU11:BX11)</f>
        <v/>
      </c>
      <c r="S11" s="38">
        <f>VLOOKUP(B11,'KPI Ticketing'!B:C,2,)</f>
        <v/>
      </c>
      <c r="T11" s="38">
        <f>VLOOKUP(B11,'KPI Ticketing'!B:D,3,)</f>
        <v/>
      </c>
      <c r="U11" s="38">
        <f>VLOOKUP(B11,'KPI Ticketing'!B:E,4,)</f>
        <v/>
      </c>
      <c r="V11" s="38">
        <f>VLOOKUP(B11,'KPI Ticketing'!B:F,5,)</f>
        <v/>
      </c>
      <c r="W11" s="37">
        <f>IF(S11&lt;=4,100%,IF(S11&lt;=6,70%,IF(S11&lt;=8,40%,10%)))</f>
        <v/>
      </c>
      <c r="X11" s="37">
        <f>IF(T11&lt;=8,100%,IF(T11&lt;=12,50%,25%))</f>
        <v/>
      </c>
      <c r="Y11" s="37">
        <f>IF(U11&lt;=10,100%,IF(U11&lt;=15,50%,25%))</f>
        <v/>
      </c>
      <c r="Z11" s="37">
        <f>IF(V11&lt;=13,100%,IF(V11&lt;=19,50%,25%))</f>
        <v/>
      </c>
      <c r="AA11" s="37">
        <f>W11*0.13</f>
        <v/>
      </c>
      <c r="AB11" s="37">
        <f>X11*0.06</f>
        <v/>
      </c>
      <c r="AC11" s="37">
        <f>Y11*0.04</f>
        <v/>
      </c>
      <c r="AD11" s="37">
        <f>Z11*0.02</f>
        <v/>
      </c>
      <c r="AE11" s="37">
        <f>VLOOKUP(B11,'KPI Ticketing'!B:N,13,)</f>
        <v/>
      </c>
      <c r="AF11" s="37">
        <f>IF(AE11&gt;=0.8,1,IF(AE11&gt;=0.7,0.9,IF(AE11&gt;=0.6,0.8,IF(AE11&gt;=0.5,0.7,IF(AE11&gt;=0.4,0.6,IF(AE11&gt;=0.3,0.5,IF(AE11&gt;=0.2,0.4,IF(AE11&gt;=0.1,0.3,0.2))))))))</f>
        <v/>
      </c>
      <c r="AG11" s="37">
        <f>AF11*0.03</f>
        <v/>
      </c>
      <c r="AH11" s="37">
        <f>VLOOKUP(B11,'KPI Ticketing'!B:R,17,)</f>
        <v/>
      </c>
      <c r="AI11" s="37">
        <f>IF(AH11&gt;=0.8,1,IF(AH11&gt;=0.7,0.9,IF(AH11&gt;=0.6,0.8,IF(AH11&gt;=0.5,0.7,IF(AH11&gt;=0.4,0.6,IF(AH11&gt;=0.3,0.5,IF(AH11&gt;=0.2,0.4,IF(AH11&gt;=0.1,0.3,0.2))))))))</f>
        <v/>
      </c>
      <c r="AJ11" s="37">
        <f>AI11*0.02</f>
        <v/>
      </c>
      <c r="AK11" s="37">
        <f>VLOOKUP(B11,'KPI Ticketing'!B:V,21,)</f>
        <v/>
      </c>
      <c r="AL11" s="37">
        <f>IF(AK11&gt;=0.9,1,IF(AK11&gt;=0.8,0.9,IF(AK11&gt;=0.7,0.8,IF(AK11&gt;=0.6,0.7,IF(AK11&gt;=0.5,0.6,IF(AK11&gt;=0.4,0.5,IF(AK11&gt;=0.3,0.4,IF(AK11&gt;=0.2,0.3,IF(AK11&gt;=0.1,0.2,0.1)))))))))</f>
        <v/>
      </c>
      <c r="AM11" s="37">
        <f>AL11*0.05</f>
        <v/>
      </c>
      <c r="AN11" s="37">
        <f>VLOOKUP(B11,'KPI Ticketing'!B:Z,25,)</f>
        <v/>
      </c>
      <c r="AO11" s="37">
        <f>IF(AN11&gt;=0.95,1,IF(AN11&gt;=0.9,0.9,IF(AN11&gt;=0.8,0.8,IF(AN11&gt;=0.7,0.7,IF(AN11&gt;=0.6,0.6,IF(AN11&gt;=0.5,0.5,IF(AN11&gt;=0.4,0.4,IF(AN11&gt;=0.3,0.3,IF(AN11&gt;=0.2,0.2,IF(AN11&gt;=0.1,0.1,0.05))))))))))</f>
        <v/>
      </c>
      <c r="AP11" s="37">
        <f>AO11*0.05</f>
        <v/>
      </c>
      <c r="AQ11" s="37">
        <f>VLOOKUP(B11,'KPI Ticketing'!B:AC,28,)</f>
        <v/>
      </c>
      <c r="AR11" s="37">
        <f>IF(AQ11&lt;0.95,0.5,1)</f>
        <v/>
      </c>
      <c r="AS11" s="37">
        <f>AR11*0.01</f>
        <v/>
      </c>
      <c r="AT11" s="37">
        <f>VLOOKUP(B11,'KPI Ticketing'!B:AG,32,)</f>
        <v/>
      </c>
      <c r="AU11" s="37">
        <f>IF(AT11&lt;0.3,0.5,1)</f>
        <v/>
      </c>
      <c r="AV11" s="37">
        <f>AU11*0.01</f>
        <v/>
      </c>
      <c r="AW11" s="38">
        <f>VLOOKUP(B11,'KPI Ticketing'!B:AH,33,)</f>
        <v/>
      </c>
      <c r="AX11" s="38">
        <f>VLOOKUP(B11,'KPI Ticketing'!B:AI,34,)</f>
        <v/>
      </c>
      <c r="AY11" s="38">
        <f>VLOOKUP(B11,'KPI Ticketing'!B:AJ,35,)</f>
        <v/>
      </c>
      <c r="AZ11" s="38">
        <f>VLOOKUP(B11,'KPI Ticketing'!B:AK,36,)</f>
        <v/>
      </c>
      <c r="BA11" s="38">
        <f>VLOOKUP(B11,'KPI Ticketing'!B:AL,37,)</f>
        <v/>
      </c>
      <c r="BB11" s="37">
        <f>IF(AW11&lt;=2,1,IF(AW11&lt;=3,0.7,IF(AW11&lt;=4,0.4,0.1)))</f>
        <v/>
      </c>
      <c r="BC11" s="37">
        <f>IF(AX11&lt;=4,1,IF(AX11&lt;=6,0.5,0.25))</f>
        <v/>
      </c>
      <c r="BD11" s="37">
        <f>IF(AY11&lt;=15,1,IF(AY11&lt;=22.5,0.5,0.25))</f>
        <v/>
      </c>
      <c r="BE11" s="37">
        <f>IF(AZ11&lt;=48,1,IF(AZ11&lt;=72,0.5,0.25))</f>
        <v/>
      </c>
      <c r="BF11" s="37">
        <f>IF(BA11=0, 0, IF(BA11&lt;=96, 1, IF(BA11&lt;=144, 0.5, 0.25)))</f>
        <v/>
      </c>
      <c r="BG11" s="37">
        <f>BB11*0.1</f>
        <v/>
      </c>
      <c r="BH11" s="37">
        <f>BC11*0.05</f>
        <v/>
      </c>
      <c r="BI11" s="37">
        <f>BD11*0.02</f>
        <v/>
      </c>
      <c r="BJ11" s="37">
        <f>BE11*0.01</f>
        <v/>
      </c>
      <c r="BK11" s="37">
        <f>BF11*0.01</f>
        <v/>
      </c>
      <c r="BL11" s="37">
        <f>VLOOKUP(B11,'KPI Ticketing'!B:AT,45,)</f>
        <v/>
      </c>
      <c r="BM11" s="37">
        <f>IF(BL11&gt;=0.8,1,IF(BL11&gt;=0.7,0.9,IF(BL11&gt;=0.6,0.8,IF(BL11&gt;=0.5,0.7,IF(BL11&gt;=0.4,0.6,IF(BL11&gt;=0.3,0.5,IF(BL11&gt;=0.2,0.4,IF(BL11&gt;=0.1,0.3,0.2))))))))</f>
        <v/>
      </c>
      <c r="BN11" s="37">
        <f>BM11*0.03</f>
        <v/>
      </c>
      <c r="BO11" s="37">
        <f>VLOOKUP(B11,'KPI Ticketing'!B:AX,49,)</f>
        <v/>
      </c>
      <c r="BP11" s="37">
        <f>IF(BO11&gt;=0.8,1,IF(BO11&gt;=0.7,0.9,IF(BO11&gt;=0.6,0.8,IF(BO11&gt;=0.5,0.7,IF(BO11&gt;=0.4,0.6,IF(BO11&gt;=0.3,0.5,IF(BO11&gt;=0.2,0.4,IF(BO11&gt;=0.1,0.3,0.2))))))))</f>
        <v/>
      </c>
      <c r="BQ11" s="37">
        <f>BP11*0.02</f>
        <v/>
      </c>
      <c r="BR11" s="37">
        <f>VLOOKUP(B11,'KPI Ticketing'!B:BB,53,)</f>
        <v/>
      </c>
      <c r="BS11" s="37">
        <f>IF(BR11&gt;=0.9,1,IF(BR11&gt;=0.8,0.9,IF(BR11&gt;=0.7,0.8,IF(BR11&gt;=0.6,0.7,IF(BR11&gt;=0.5,0.6,IF(BR11&gt;=0.4,0.5,IF(BR11&gt;=0.3,0.4,IF(BR11&gt;=0.2,0.3,IF(BR11&gt;=0.1,0.2,0.1)))))))))</f>
        <v/>
      </c>
      <c r="BT11" s="37">
        <f>BS11*0.05</f>
        <v/>
      </c>
      <c r="BU11" s="39" t="n">
        <v>0.08</v>
      </c>
      <c r="BV11" s="39" t="n">
        <v>0.06</v>
      </c>
      <c r="BW11" s="39" t="n">
        <v>0.09</v>
      </c>
      <c r="BX11" s="39" t="n">
        <v>0.06</v>
      </c>
    </row>
    <row r="12">
      <c r="A12" t="inlineStr">
        <is>
          <t>R01_Sumbagut</t>
        </is>
      </c>
      <c r="B12" t="inlineStr">
        <is>
          <t>NOP MEDAN</t>
        </is>
      </c>
      <c r="C12" s="36">
        <f>RANK(D12,$D$10:$D$43,0)</f>
        <v/>
      </c>
      <c r="D12" s="37">
        <f>(G12*0.35)+(O12*65%)</f>
        <v/>
      </c>
      <c r="E12" s="36">
        <f>IF(D12&gt;=0.95,"Istimewa",IF(D12&gt;0.9,"Baik Sekali",IF(D12&gt;0.85,"Baik",IF(D12&gt;0.8,"Cukup","Kurang"))))</f>
        <v/>
      </c>
      <c r="F12" s="37">
        <f>0.29*0.65</f>
        <v/>
      </c>
      <c r="G12" s="37">
        <f>N12</f>
        <v/>
      </c>
      <c r="H12" s="37">
        <f>VLOOKUP(B12,'KPI Availability'!B:O,14,)</f>
        <v/>
      </c>
      <c r="I12" s="37">
        <f>VLOOKUP(B12,'KPI Availability'!B:P,15,)</f>
        <v/>
      </c>
      <c r="J12" s="37">
        <f>VLOOKUP(B12,'KPI Availability'!B:Q,16,)</f>
        <v/>
      </c>
      <c r="K12" s="37">
        <f>VLOOKUP(B12,'KPI Availability'!B:R,17,)</f>
        <v/>
      </c>
      <c r="L12" s="37">
        <f>VLOOKUP(B12,'KPI Availability'!B:S,18,)</f>
        <v/>
      </c>
      <c r="M12" s="37">
        <f>VLOOKUP(B12,'KPI Availability'!B:T,19,)</f>
        <v/>
      </c>
      <c r="N12" s="37">
        <f>SUM(H12:M12)</f>
        <v/>
      </c>
      <c r="O12" s="37">
        <f>P12+Q12+R12</f>
        <v/>
      </c>
      <c r="P12" s="37">
        <f>SUM(AA12:AD12,AG12,AJ12,AM12,AP12,AS12,AV12)</f>
        <v/>
      </c>
      <c r="Q12" s="37">
        <f>SUM(BG12:BK12,BN12,BQ12,BT12)</f>
        <v/>
      </c>
      <c r="R12" s="37">
        <f>SUM(BU12:BX12)</f>
        <v/>
      </c>
      <c r="S12" s="38">
        <f>VLOOKUP(B12,'KPI Ticketing'!B:C,2,)</f>
        <v/>
      </c>
      <c r="T12" s="38">
        <f>VLOOKUP(B12,'KPI Ticketing'!B:D,3,)</f>
        <v/>
      </c>
      <c r="U12" s="38">
        <f>VLOOKUP(B12,'KPI Ticketing'!B:E,4,)</f>
        <v/>
      </c>
      <c r="V12" s="38">
        <f>VLOOKUP(B12,'KPI Ticketing'!B:F,5,)</f>
        <v/>
      </c>
      <c r="W12" s="37">
        <f>IF(S12&lt;=4,100%,IF(S12&lt;=6,70%,IF(S12&lt;=8,40%,10%)))</f>
        <v/>
      </c>
      <c r="X12" s="37">
        <f>IF(T12&lt;=8,100%,IF(T12&lt;=12,50%,25%))</f>
        <v/>
      </c>
      <c r="Y12" s="37">
        <f>IF(U12&lt;=10,100%,IF(U12&lt;=15,50%,25%))</f>
        <v/>
      </c>
      <c r="Z12" s="37">
        <f>IF(V12&lt;=13,100%,IF(V12&lt;=19,50%,25%))</f>
        <v/>
      </c>
      <c r="AA12" s="37">
        <f>W12*0.13</f>
        <v/>
      </c>
      <c r="AB12" s="37">
        <f>X12*0.06</f>
        <v/>
      </c>
      <c r="AC12" s="37">
        <f>Y12*0.04</f>
        <v/>
      </c>
      <c r="AD12" s="37">
        <f>Z12*0.02</f>
        <v/>
      </c>
      <c r="AE12" s="37">
        <f>VLOOKUP(B12,'KPI Ticketing'!B:N,13,)</f>
        <v/>
      </c>
      <c r="AF12" s="37">
        <f>IF(AE12&gt;=0.8,1,IF(AE12&gt;=0.7,0.9,IF(AE12&gt;=0.6,0.8,IF(AE12&gt;=0.5,0.7,IF(AE12&gt;=0.4,0.6,IF(AE12&gt;=0.3,0.5,IF(AE12&gt;=0.2,0.4,IF(AE12&gt;=0.1,0.3,0.2))))))))</f>
        <v/>
      </c>
      <c r="AG12" s="37">
        <f>AF12*0.03</f>
        <v/>
      </c>
      <c r="AH12" s="37">
        <f>VLOOKUP(B12,'KPI Ticketing'!B:R,17,)</f>
        <v/>
      </c>
      <c r="AI12" s="37">
        <f>IF(AH12&gt;=0.8,1,IF(AH12&gt;=0.7,0.9,IF(AH12&gt;=0.6,0.8,IF(AH12&gt;=0.5,0.7,IF(AH12&gt;=0.4,0.6,IF(AH12&gt;=0.3,0.5,IF(AH12&gt;=0.2,0.4,IF(AH12&gt;=0.1,0.3,0.2))))))))</f>
        <v/>
      </c>
      <c r="AJ12" s="37">
        <f>AI12*0.02</f>
        <v/>
      </c>
      <c r="AK12" s="37">
        <f>VLOOKUP(B12,'KPI Ticketing'!B:V,21,)</f>
        <v/>
      </c>
      <c r="AL12" s="37">
        <f>IF(AK12&gt;=0.9,1,IF(AK12&gt;=0.8,0.9,IF(AK12&gt;=0.7,0.8,IF(AK12&gt;=0.6,0.7,IF(AK12&gt;=0.5,0.6,IF(AK12&gt;=0.4,0.5,IF(AK12&gt;=0.3,0.4,IF(AK12&gt;=0.2,0.3,IF(AK12&gt;=0.1,0.2,0.1)))))))))</f>
        <v/>
      </c>
      <c r="AM12" s="37">
        <f>AL12*0.05</f>
        <v/>
      </c>
      <c r="AN12" s="37">
        <f>VLOOKUP(B12,'KPI Ticketing'!B:Z,25,)</f>
        <v/>
      </c>
      <c r="AO12" s="37">
        <f>IF(AN12&gt;=0.95,1,IF(AN12&gt;=0.9,0.9,IF(AN12&gt;=0.8,0.8,IF(AN12&gt;=0.7,0.7,IF(AN12&gt;=0.6,0.6,IF(AN12&gt;=0.5,0.5,IF(AN12&gt;=0.4,0.4,IF(AN12&gt;=0.3,0.3,IF(AN12&gt;=0.2,0.2,IF(AN12&gt;=0.1,0.1,0.05))))))))))</f>
        <v/>
      </c>
      <c r="AP12" s="37">
        <f>AO12*0.05</f>
        <v/>
      </c>
      <c r="AQ12" s="37">
        <f>VLOOKUP(B12,'KPI Ticketing'!B:AC,28,)</f>
        <v/>
      </c>
      <c r="AR12" s="37">
        <f>IF(AQ12&lt;0.95,0.5,1)</f>
        <v/>
      </c>
      <c r="AS12" s="37">
        <f>AR12*0.01</f>
        <v/>
      </c>
      <c r="AT12" s="37">
        <f>VLOOKUP(B12,'KPI Ticketing'!B:AG,32,)</f>
        <v/>
      </c>
      <c r="AU12" s="37">
        <f>IF(AT12&lt;0.3,0.5,1)</f>
        <v/>
      </c>
      <c r="AV12" s="37">
        <f>AU12*0.01</f>
        <v/>
      </c>
      <c r="AW12" s="38">
        <f>VLOOKUP(B12,'KPI Ticketing'!B:AH,33,)</f>
        <v/>
      </c>
      <c r="AX12" s="38">
        <f>VLOOKUP(B12,'KPI Ticketing'!B:AI,34,)</f>
        <v/>
      </c>
      <c r="AY12" s="38">
        <f>VLOOKUP(B12,'KPI Ticketing'!B:AJ,35,)</f>
        <v/>
      </c>
      <c r="AZ12" s="38">
        <f>VLOOKUP(B12,'KPI Ticketing'!B:AK,36,)</f>
        <v/>
      </c>
      <c r="BA12" s="38">
        <f>VLOOKUP(B12,'KPI Ticketing'!B:AL,37,)</f>
        <v/>
      </c>
      <c r="BB12" s="37">
        <f>IF(AW12&lt;=2,1,IF(AW12&lt;=3,0.7,IF(AW12&lt;=4,0.4,0.1)))</f>
        <v/>
      </c>
      <c r="BC12" s="37">
        <f>IF(AX12&lt;=4,1,IF(AX12&lt;=6,0.5,0.25))</f>
        <v/>
      </c>
      <c r="BD12" s="37">
        <f>IF(AY12&lt;=15,1,IF(AY12&lt;=22.5,0.5,0.25))</f>
        <v/>
      </c>
      <c r="BE12" s="37">
        <f>IF(AZ12&lt;=48,1,IF(AZ12&lt;=72,0.5,0.25))</f>
        <v/>
      </c>
      <c r="BF12" s="37">
        <f>IF(BA12=0, 0, IF(BA12&lt;=96, 1, IF(BA12&lt;=144, 0.5, 0.25)))</f>
        <v/>
      </c>
      <c r="BG12" s="37">
        <f>BB12*0.1</f>
        <v/>
      </c>
      <c r="BH12" s="37">
        <f>BC12*0.05</f>
        <v/>
      </c>
      <c r="BI12" s="37">
        <f>BD12*0.02</f>
        <v/>
      </c>
      <c r="BJ12" s="37">
        <f>BE12*0.01</f>
        <v/>
      </c>
      <c r="BK12" s="37">
        <f>BF12*0.01</f>
        <v/>
      </c>
      <c r="BL12" s="37">
        <f>VLOOKUP(B12,'KPI Ticketing'!B:AT,45,)</f>
        <v/>
      </c>
      <c r="BM12" s="37">
        <f>IF(BL12&gt;=0.8,1,IF(BL12&gt;=0.7,0.9,IF(BL12&gt;=0.6,0.8,IF(BL12&gt;=0.5,0.7,IF(BL12&gt;=0.4,0.6,IF(BL12&gt;=0.3,0.5,IF(BL12&gt;=0.2,0.4,IF(BL12&gt;=0.1,0.3,0.2))))))))</f>
        <v/>
      </c>
      <c r="BN12" s="37">
        <f>BM12*0.03</f>
        <v/>
      </c>
      <c r="BO12" s="37">
        <f>VLOOKUP(B12,'KPI Ticketing'!B:AX,49,)</f>
        <v/>
      </c>
      <c r="BP12" s="37">
        <f>IF(BO12&gt;=0.8,1,IF(BO12&gt;=0.7,0.9,IF(BO12&gt;=0.6,0.8,IF(BO12&gt;=0.5,0.7,IF(BO12&gt;=0.4,0.6,IF(BO12&gt;=0.3,0.5,IF(BO12&gt;=0.2,0.4,IF(BO12&gt;=0.1,0.3,0.2))))))))</f>
        <v/>
      </c>
      <c r="BQ12" s="37">
        <f>BP12*0.02</f>
        <v/>
      </c>
      <c r="BR12" s="37">
        <f>VLOOKUP(B12,'KPI Ticketing'!B:BB,53,)</f>
        <v/>
      </c>
      <c r="BS12" s="37">
        <f>IF(BR12&gt;=0.9,1,IF(BR12&gt;=0.8,0.9,IF(BR12&gt;=0.7,0.8,IF(BR12&gt;=0.6,0.7,IF(BR12&gt;=0.5,0.6,IF(BR12&gt;=0.4,0.5,IF(BR12&gt;=0.3,0.4,IF(BR12&gt;=0.2,0.3,IF(BR12&gt;=0.1,0.2,0.1)))))))))</f>
        <v/>
      </c>
      <c r="BT12" s="37">
        <f>BS12*0.05</f>
        <v/>
      </c>
      <c r="BU12" s="39" t="n">
        <v>0.08</v>
      </c>
      <c r="BV12" s="39" t="n">
        <v>0.06</v>
      </c>
      <c r="BW12" s="39" t="n">
        <v>0.09</v>
      </c>
      <c r="BX12" s="39" t="n">
        <v>0.06</v>
      </c>
    </row>
    <row r="13">
      <c r="A13" t="inlineStr">
        <is>
          <t>R01_Sumbagut</t>
        </is>
      </c>
      <c r="B13" t="inlineStr">
        <is>
          <t>NOP PADANG SIDEMPUAN</t>
        </is>
      </c>
      <c r="C13" s="36">
        <f>RANK(D13,$D$10:$D$43,0)</f>
        <v/>
      </c>
      <c r="D13" s="37">
        <f>(G13*0.35)+(O13*65%)</f>
        <v/>
      </c>
      <c r="E13" s="36">
        <f>IF(D13&gt;=0.95,"Istimewa",IF(D13&gt;0.9,"Baik Sekali",IF(D13&gt;0.85,"Baik",IF(D13&gt;0.8,"Cukup","Kurang"))))</f>
        <v/>
      </c>
      <c r="F13" s="37">
        <f>0.29*0.65</f>
        <v/>
      </c>
      <c r="G13" s="37">
        <f>N13</f>
        <v/>
      </c>
      <c r="H13" s="37">
        <f>VLOOKUP(B13,'KPI Availability'!B:O,14,)</f>
        <v/>
      </c>
      <c r="I13" s="37">
        <f>VLOOKUP(B13,'KPI Availability'!B:P,15,)</f>
        <v/>
      </c>
      <c r="J13" s="37">
        <f>VLOOKUP(B13,'KPI Availability'!B:Q,16,)</f>
        <v/>
      </c>
      <c r="K13" s="37">
        <f>VLOOKUP(B13,'KPI Availability'!B:R,17,)</f>
        <v/>
      </c>
      <c r="L13" s="37">
        <f>VLOOKUP(B13,'KPI Availability'!B:S,18,)</f>
        <v/>
      </c>
      <c r="M13" s="37">
        <f>VLOOKUP(B13,'KPI Availability'!B:T,19,)</f>
        <v/>
      </c>
      <c r="N13" s="37">
        <f>SUM(H13:M13)</f>
        <v/>
      </c>
      <c r="O13" s="37">
        <f>P13+Q13+R13</f>
        <v/>
      </c>
      <c r="P13" s="37">
        <f>SUM(AA13:AD13,AG13,AJ13,AM13,AP13,AS13,AV13)</f>
        <v/>
      </c>
      <c r="Q13" s="37">
        <f>SUM(BG13:BK13,BN13,BQ13,BT13)</f>
        <v/>
      </c>
      <c r="R13" s="37">
        <f>SUM(BU13:BX13)</f>
        <v/>
      </c>
      <c r="S13" s="38">
        <f>VLOOKUP(B13,'KPI Ticketing'!B:C,2,)</f>
        <v/>
      </c>
      <c r="T13" s="38">
        <f>VLOOKUP(B13,'KPI Ticketing'!B:D,3,)</f>
        <v/>
      </c>
      <c r="U13" s="38">
        <f>VLOOKUP(B13,'KPI Ticketing'!B:E,4,)</f>
        <v/>
      </c>
      <c r="V13" s="38">
        <f>VLOOKUP(B13,'KPI Ticketing'!B:F,5,)</f>
        <v/>
      </c>
      <c r="W13" s="37">
        <f>IF(S13&lt;=4,100%,IF(S13&lt;=6,70%,IF(S13&lt;=8,40%,10%)))</f>
        <v/>
      </c>
      <c r="X13" s="37">
        <f>IF(T13&lt;=8,100%,IF(T13&lt;=12,50%,25%))</f>
        <v/>
      </c>
      <c r="Y13" s="37">
        <f>IF(U13&lt;=10,100%,IF(U13&lt;=15,50%,25%))</f>
        <v/>
      </c>
      <c r="Z13" s="37">
        <f>IF(V13&lt;=13,100%,IF(V13&lt;=19,50%,25%))</f>
        <v/>
      </c>
      <c r="AA13" s="37">
        <f>W13*0.13</f>
        <v/>
      </c>
      <c r="AB13" s="37">
        <f>X13*0.06</f>
        <v/>
      </c>
      <c r="AC13" s="37">
        <f>Y13*0.04</f>
        <v/>
      </c>
      <c r="AD13" s="37">
        <f>Z13*0.02</f>
        <v/>
      </c>
      <c r="AE13" s="37">
        <f>VLOOKUP(B13,'KPI Ticketing'!B:N,13,)</f>
        <v/>
      </c>
      <c r="AF13" s="37">
        <f>IF(AE13&gt;=0.8,1,IF(AE13&gt;=0.7,0.9,IF(AE13&gt;=0.6,0.8,IF(AE13&gt;=0.5,0.7,IF(AE13&gt;=0.4,0.6,IF(AE13&gt;=0.3,0.5,IF(AE13&gt;=0.2,0.4,IF(AE13&gt;=0.1,0.3,0.2))))))))</f>
        <v/>
      </c>
      <c r="AG13" s="37">
        <f>AF13*0.03</f>
        <v/>
      </c>
      <c r="AH13" s="37">
        <f>VLOOKUP(B13,'KPI Ticketing'!B:R,17,)</f>
        <v/>
      </c>
      <c r="AI13" s="37">
        <f>IF(AH13&gt;=0.8,1,IF(AH13&gt;=0.7,0.9,IF(AH13&gt;=0.6,0.8,IF(AH13&gt;=0.5,0.7,IF(AH13&gt;=0.4,0.6,IF(AH13&gt;=0.3,0.5,IF(AH13&gt;=0.2,0.4,IF(AH13&gt;=0.1,0.3,0.2))))))))</f>
        <v/>
      </c>
      <c r="AJ13" s="37">
        <f>AI13*0.02</f>
        <v/>
      </c>
      <c r="AK13" s="37">
        <f>VLOOKUP(B13,'KPI Ticketing'!B:V,21,)</f>
        <v/>
      </c>
      <c r="AL13" s="37">
        <f>IF(AK13&gt;=0.9,1,IF(AK13&gt;=0.8,0.9,IF(AK13&gt;=0.7,0.8,IF(AK13&gt;=0.6,0.7,IF(AK13&gt;=0.5,0.6,IF(AK13&gt;=0.4,0.5,IF(AK13&gt;=0.3,0.4,IF(AK13&gt;=0.2,0.3,IF(AK13&gt;=0.1,0.2,0.1)))))))))</f>
        <v/>
      </c>
      <c r="AM13" s="37">
        <f>AL13*0.05</f>
        <v/>
      </c>
      <c r="AN13" s="37">
        <f>VLOOKUP(B13,'KPI Ticketing'!B:Z,25,)</f>
        <v/>
      </c>
      <c r="AO13" s="37">
        <f>IF(AN13&gt;=0.95,1,IF(AN13&gt;=0.9,0.9,IF(AN13&gt;=0.8,0.8,IF(AN13&gt;=0.7,0.7,IF(AN13&gt;=0.6,0.6,IF(AN13&gt;=0.5,0.5,IF(AN13&gt;=0.4,0.4,IF(AN13&gt;=0.3,0.3,IF(AN13&gt;=0.2,0.2,IF(AN13&gt;=0.1,0.1,0.05))))))))))</f>
        <v/>
      </c>
      <c r="AP13" s="37">
        <f>AO13*0.05</f>
        <v/>
      </c>
      <c r="AQ13" s="37">
        <f>VLOOKUP(B13,'KPI Ticketing'!B:AC,28,)</f>
        <v/>
      </c>
      <c r="AR13" s="37">
        <f>IF(AQ13&lt;0.95,0.5,1)</f>
        <v/>
      </c>
      <c r="AS13" s="37">
        <f>AR13*0.01</f>
        <v/>
      </c>
      <c r="AT13" s="37">
        <f>VLOOKUP(B13,'KPI Ticketing'!B:AG,32,)</f>
        <v/>
      </c>
      <c r="AU13" s="37">
        <f>IF(AT13&lt;0.3,0.5,1)</f>
        <v/>
      </c>
      <c r="AV13" s="37">
        <f>AU13*0.01</f>
        <v/>
      </c>
      <c r="AW13" s="38">
        <f>VLOOKUP(B13,'KPI Ticketing'!B:AH,33,)</f>
        <v/>
      </c>
      <c r="AX13" s="38">
        <f>VLOOKUP(B13,'KPI Ticketing'!B:AI,34,)</f>
        <v/>
      </c>
      <c r="AY13" s="38">
        <f>VLOOKUP(B13,'KPI Ticketing'!B:AJ,35,)</f>
        <v/>
      </c>
      <c r="AZ13" s="38">
        <f>VLOOKUP(B13,'KPI Ticketing'!B:AK,36,)</f>
        <v/>
      </c>
      <c r="BA13" s="38">
        <f>VLOOKUP(B13,'KPI Ticketing'!B:AL,37,)</f>
        <v/>
      </c>
      <c r="BB13" s="37">
        <f>IF(AW13&lt;=2,1,IF(AW13&lt;=3,0.7,IF(AW13&lt;=4,0.4,0.1)))</f>
        <v/>
      </c>
      <c r="BC13" s="37">
        <f>IF(AX13&lt;=4,1,IF(AX13&lt;=6,0.5,0.25))</f>
        <v/>
      </c>
      <c r="BD13" s="37">
        <f>IF(AY13&lt;=15,1,IF(AY13&lt;=22.5,0.5,0.25))</f>
        <v/>
      </c>
      <c r="BE13" s="37">
        <f>IF(AZ13&lt;=48,1,IF(AZ13&lt;=72,0.5,0.25))</f>
        <v/>
      </c>
      <c r="BF13" s="37">
        <f>IF(BA13=0, 0, IF(BA13&lt;=96, 1, IF(BA13&lt;=144, 0.5, 0.25)))</f>
        <v/>
      </c>
      <c r="BG13" s="37">
        <f>BB13*0.1</f>
        <v/>
      </c>
      <c r="BH13" s="37">
        <f>BC13*0.05</f>
        <v/>
      </c>
      <c r="BI13" s="37">
        <f>BD13*0.02</f>
        <v/>
      </c>
      <c r="BJ13" s="37">
        <f>BE13*0.01</f>
        <v/>
      </c>
      <c r="BK13" s="37">
        <f>BF13*0.01</f>
        <v/>
      </c>
      <c r="BL13" s="37">
        <f>VLOOKUP(B13,'KPI Ticketing'!B:AT,45,)</f>
        <v/>
      </c>
      <c r="BM13" s="37">
        <f>IF(BL13&gt;=0.8,1,IF(BL13&gt;=0.7,0.9,IF(BL13&gt;=0.6,0.8,IF(BL13&gt;=0.5,0.7,IF(BL13&gt;=0.4,0.6,IF(BL13&gt;=0.3,0.5,IF(BL13&gt;=0.2,0.4,IF(BL13&gt;=0.1,0.3,0.2))))))))</f>
        <v/>
      </c>
      <c r="BN13" s="37">
        <f>BM13*0.03</f>
        <v/>
      </c>
      <c r="BO13" s="37">
        <f>VLOOKUP(B13,'KPI Ticketing'!B:AX,49,)</f>
        <v/>
      </c>
      <c r="BP13" s="37">
        <f>IF(BO13&gt;=0.8,1,IF(BO13&gt;=0.7,0.9,IF(BO13&gt;=0.6,0.8,IF(BO13&gt;=0.5,0.7,IF(BO13&gt;=0.4,0.6,IF(BO13&gt;=0.3,0.5,IF(BO13&gt;=0.2,0.4,IF(BO13&gt;=0.1,0.3,0.2))))))))</f>
        <v/>
      </c>
      <c r="BQ13" s="37">
        <f>BP13*0.02</f>
        <v/>
      </c>
      <c r="BR13" s="37">
        <f>VLOOKUP(B13,'KPI Ticketing'!B:BB,53,)</f>
        <v/>
      </c>
      <c r="BS13" s="37">
        <f>IF(BR13&gt;=0.9,1,IF(BR13&gt;=0.8,0.9,IF(BR13&gt;=0.7,0.8,IF(BR13&gt;=0.6,0.7,IF(BR13&gt;=0.5,0.6,IF(BR13&gt;=0.4,0.5,IF(BR13&gt;=0.3,0.4,IF(BR13&gt;=0.2,0.3,IF(BR13&gt;=0.1,0.2,0.1)))))))))</f>
        <v/>
      </c>
      <c r="BT13" s="37">
        <f>BS13*0.05</f>
        <v/>
      </c>
      <c r="BU13" s="39" t="n">
        <v>0.08</v>
      </c>
      <c r="BV13" s="39" t="n">
        <v>0.06</v>
      </c>
      <c r="BW13" s="39" t="n">
        <v>0.09</v>
      </c>
      <c r="BX13" s="39" t="n">
        <v>0.06</v>
      </c>
    </row>
    <row r="14">
      <c r="A14" t="inlineStr">
        <is>
          <t>R01_Sumbagut</t>
        </is>
      </c>
      <c r="B14" t="inlineStr">
        <is>
          <t>NOP PEMATANG SIANTAR</t>
        </is>
      </c>
      <c r="C14" s="36">
        <f>RANK(D14,$D$10:$D$43,0)</f>
        <v/>
      </c>
      <c r="D14" s="37">
        <f>(G14*0.35)+(O14*65%)</f>
        <v/>
      </c>
      <c r="E14" s="36">
        <f>IF(D14&gt;=0.95,"Istimewa",IF(D14&gt;0.9,"Baik Sekali",IF(D14&gt;0.85,"Baik",IF(D14&gt;0.8,"Cukup","Kurang"))))</f>
        <v/>
      </c>
      <c r="F14" s="37">
        <f>0.29*0.65</f>
        <v/>
      </c>
      <c r="G14" s="37">
        <f>N14</f>
        <v/>
      </c>
      <c r="H14" s="37">
        <f>VLOOKUP(B14,'KPI Availability'!B:O,14,)</f>
        <v/>
      </c>
      <c r="I14" s="37">
        <f>VLOOKUP(B14,'KPI Availability'!B:P,15,)</f>
        <v/>
      </c>
      <c r="J14" s="37">
        <f>VLOOKUP(B14,'KPI Availability'!B:Q,16,)</f>
        <v/>
      </c>
      <c r="K14" s="37">
        <f>VLOOKUP(B14,'KPI Availability'!B:R,17,)</f>
        <v/>
      </c>
      <c r="L14" s="37">
        <f>VLOOKUP(B14,'KPI Availability'!B:S,18,)</f>
        <v/>
      </c>
      <c r="M14" s="37">
        <f>VLOOKUP(B14,'KPI Availability'!B:T,19,)</f>
        <v/>
      </c>
      <c r="N14" s="37">
        <f>SUM(H14:M14)</f>
        <v/>
      </c>
      <c r="O14" s="37">
        <f>P14+Q14+R14</f>
        <v/>
      </c>
      <c r="P14" s="37">
        <f>SUM(AA14:AD14,AG14,AJ14,AM14,AP14,AS14,AV14)</f>
        <v/>
      </c>
      <c r="Q14" s="37">
        <f>SUM(BG14:BK14,BN14,BQ14,BT14)</f>
        <v/>
      </c>
      <c r="R14" s="37">
        <f>SUM(BU14:BX14)</f>
        <v/>
      </c>
      <c r="S14" s="38">
        <f>VLOOKUP(B14,'KPI Ticketing'!B:C,2,)</f>
        <v/>
      </c>
      <c r="T14" s="38">
        <f>VLOOKUP(B14,'KPI Ticketing'!B:D,3,)</f>
        <v/>
      </c>
      <c r="U14" s="38">
        <f>VLOOKUP(B14,'KPI Ticketing'!B:E,4,)</f>
        <v/>
      </c>
      <c r="V14" s="38">
        <f>VLOOKUP(B14,'KPI Ticketing'!B:F,5,)</f>
        <v/>
      </c>
      <c r="W14" s="37">
        <f>IF(S14&lt;=4,100%,IF(S14&lt;=6,70%,IF(S14&lt;=8,40%,10%)))</f>
        <v/>
      </c>
      <c r="X14" s="37">
        <f>IF(T14&lt;=8,100%,IF(T14&lt;=12,50%,25%))</f>
        <v/>
      </c>
      <c r="Y14" s="37">
        <f>IF(U14&lt;=10,100%,IF(U14&lt;=15,50%,25%))</f>
        <v/>
      </c>
      <c r="Z14" s="37">
        <f>IF(V14&lt;=13,100%,IF(V14&lt;=19,50%,25%))</f>
        <v/>
      </c>
      <c r="AA14" s="37">
        <f>W14*0.13</f>
        <v/>
      </c>
      <c r="AB14" s="37">
        <f>X14*0.06</f>
        <v/>
      </c>
      <c r="AC14" s="37">
        <f>Y14*0.04</f>
        <v/>
      </c>
      <c r="AD14" s="37">
        <f>Z14*0.02</f>
        <v/>
      </c>
      <c r="AE14" s="37">
        <f>VLOOKUP(B14,'KPI Ticketing'!B:N,13,)</f>
        <v/>
      </c>
      <c r="AF14" s="37">
        <f>IF(AE14&gt;=0.8,1,IF(AE14&gt;=0.7,0.9,IF(AE14&gt;=0.6,0.8,IF(AE14&gt;=0.5,0.7,IF(AE14&gt;=0.4,0.6,IF(AE14&gt;=0.3,0.5,IF(AE14&gt;=0.2,0.4,IF(AE14&gt;=0.1,0.3,0.2))))))))</f>
        <v/>
      </c>
      <c r="AG14" s="37">
        <f>AF14*0.03</f>
        <v/>
      </c>
      <c r="AH14" s="37">
        <f>VLOOKUP(B14,'KPI Ticketing'!B:R,17,)</f>
        <v/>
      </c>
      <c r="AI14" s="37">
        <f>IF(AH14&gt;=0.8,1,IF(AH14&gt;=0.7,0.9,IF(AH14&gt;=0.6,0.8,IF(AH14&gt;=0.5,0.7,IF(AH14&gt;=0.4,0.6,IF(AH14&gt;=0.3,0.5,IF(AH14&gt;=0.2,0.4,IF(AH14&gt;=0.1,0.3,0.2))))))))</f>
        <v/>
      </c>
      <c r="AJ14" s="37">
        <f>AI14*0.02</f>
        <v/>
      </c>
      <c r="AK14" s="37">
        <f>VLOOKUP(B14,'KPI Ticketing'!B:V,21,)</f>
        <v/>
      </c>
      <c r="AL14" s="37">
        <f>IF(AK14&gt;=0.9,1,IF(AK14&gt;=0.8,0.9,IF(AK14&gt;=0.7,0.8,IF(AK14&gt;=0.6,0.7,IF(AK14&gt;=0.5,0.6,IF(AK14&gt;=0.4,0.5,IF(AK14&gt;=0.3,0.4,IF(AK14&gt;=0.2,0.3,IF(AK14&gt;=0.1,0.2,0.1)))))))))</f>
        <v/>
      </c>
      <c r="AM14" s="37">
        <f>AL14*0.05</f>
        <v/>
      </c>
      <c r="AN14" s="37">
        <f>VLOOKUP(B14,'KPI Ticketing'!B:Z,25,)</f>
        <v/>
      </c>
      <c r="AO14" s="37">
        <f>IF(AN14&gt;=0.95,1,IF(AN14&gt;=0.9,0.9,IF(AN14&gt;=0.8,0.8,IF(AN14&gt;=0.7,0.7,IF(AN14&gt;=0.6,0.6,IF(AN14&gt;=0.5,0.5,IF(AN14&gt;=0.4,0.4,IF(AN14&gt;=0.3,0.3,IF(AN14&gt;=0.2,0.2,IF(AN14&gt;=0.1,0.1,0.05))))))))))</f>
        <v/>
      </c>
      <c r="AP14" s="37">
        <f>AO14*0.05</f>
        <v/>
      </c>
      <c r="AQ14" s="37">
        <f>VLOOKUP(B14,'KPI Ticketing'!B:AC,28,)</f>
        <v/>
      </c>
      <c r="AR14" s="37">
        <f>IF(AQ14&lt;0.95,0.5,1)</f>
        <v/>
      </c>
      <c r="AS14" s="37">
        <f>AR14*0.01</f>
        <v/>
      </c>
      <c r="AT14" s="37">
        <f>VLOOKUP(B14,'KPI Ticketing'!B:AG,32,)</f>
        <v/>
      </c>
      <c r="AU14" s="37">
        <f>IF(AT14&lt;0.3,0.5,1)</f>
        <v/>
      </c>
      <c r="AV14" s="37">
        <f>AU14*0.01</f>
        <v/>
      </c>
      <c r="AW14" s="38">
        <f>VLOOKUP(B14,'KPI Ticketing'!B:AH,33,)</f>
        <v/>
      </c>
      <c r="AX14" s="38">
        <f>VLOOKUP(B14,'KPI Ticketing'!B:AI,34,)</f>
        <v/>
      </c>
      <c r="AY14" s="38">
        <f>VLOOKUP(B14,'KPI Ticketing'!B:AJ,35,)</f>
        <v/>
      </c>
      <c r="AZ14" s="38">
        <f>VLOOKUP(B14,'KPI Ticketing'!B:AK,36,)</f>
        <v/>
      </c>
      <c r="BA14" s="38">
        <f>VLOOKUP(B14,'KPI Ticketing'!B:AL,37,)</f>
        <v/>
      </c>
      <c r="BB14" s="37">
        <f>IF(AW14&lt;=2,1,IF(AW14&lt;=3,0.7,IF(AW14&lt;=4,0.4,0.1)))</f>
        <v/>
      </c>
      <c r="BC14" s="37">
        <f>IF(AX14&lt;=4,1,IF(AX14&lt;=6,0.5,0.25))</f>
        <v/>
      </c>
      <c r="BD14" s="37">
        <f>IF(AY14&lt;=15,1,IF(AY14&lt;=22.5,0.5,0.25))</f>
        <v/>
      </c>
      <c r="BE14" s="37">
        <f>IF(AZ14&lt;=48,1,IF(AZ14&lt;=72,0.5,0.25))</f>
        <v/>
      </c>
      <c r="BF14" s="37">
        <f>IF(BA14=0, 0, IF(BA14&lt;=96, 1, IF(BA14&lt;=144, 0.5, 0.25)))</f>
        <v/>
      </c>
      <c r="BG14" s="37">
        <f>BB14*0.1</f>
        <v/>
      </c>
      <c r="BH14" s="37">
        <f>BC14*0.05</f>
        <v/>
      </c>
      <c r="BI14" s="37">
        <f>BD14*0.02</f>
        <v/>
      </c>
      <c r="BJ14" s="37">
        <f>BE14*0.01</f>
        <v/>
      </c>
      <c r="BK14" s="37">
        <f>BF14*0.01</f>
        <v/>
      </c>
      <c r="BL14" s="37">
        <f>VLOOKUP(B14,'KPI Ticketing'!B:AT,45,)</f>
        <v/>
      </c>
      <c r="BM14" s="37">
        <f>IF(BL14&gt;=0.8,1,IF(BL14&gt;=0.7,0.9,IF(BL14&gt;=0.6,0.8,IF(BL14&gt;=0.5,0.7,IF(BL14&gt;=0.4,0.6,IF(BL14&gt;=0.3,0.5,IF(BL14&gt;=0.2,0.4,IF(BL14&gt;=0.1,0.3,0.2))))))))</f>
        <v/>
      </c>
      <c r="BN14" s="37">
        <f>BM14*0.03</f>
        <v/>
      </c>
      <c r="BO14" s="37">
        <f>VLOOKUP(B14,'KPI Ticketing'!B:AX,49,)</f>
        <v/>
      </c>
      <c r="BP14" s="37">
        <f>IF(BO14&gt;=0.8,1,IF(BO14&gt;=0.7,0.9,IF(BO14&gt;=0.6,0.8,IF(BO14&gt;=0.5,0.7,IF(BO14&gt;=0.4,0.6,IF(BO14&gt;=0.3,0.5,IF(BO14&gt;=0.2,0.4,IF(BO14&gt;=0.1,0.3,0.2))))))))</f>
        <v/>
      </c>
      <c r="BQ14" s="37">
        <f>BP14*0.02</f>
        <v/>
      </c>
      <c r="BR14" s="37">
        <f>VLOOKUP(B14,'KPI Ticketing'!B:BB,53,)</f>
        <v/>
      </c>
      <c r="BS14" s="37">
        <f>IF(BR14&gt;=0.9,1,IF(BR14&gt;=0.8,0.9,IF(BR14&gt;=0.7,0.8,IF(BR14&gt;=0.6,0.7,IF(BR14&gt;=0.5,0.6,IF(BR14&gt;=0.4,0.5,IF(BR14&gt;=0.3,0.4,IF(BR14&gt;=0.2,0.3,IF(BR14&gt;=0.1,0.2,0.1)))))))))</f>
        <v/>
      </c>
      <c r="BT14" s="37">
        <f>BS14*0.05</f>
        <v/>
      </c>
      <c r="BU14" s="39" t="n">
        <v>0.08</v>
      </c>
      <c r="BV14" s="39" t="n">
        <v>0.06</v>
      </c>
      <c r="BW14" s="39" t="n">
        <v>0.09</v>
      </c>
      <c r="BX14" s="39" t="n">
        <v>0.06</v>
      </c>
    </row>
    <row r="15">
      <c r="A15" t="inlineStr">
        <is>
          <t>R01_Sumbagut</t>
        </is>
      </c>
      <c r="B15" t="inlineStr">
        <is>
          <t>NOP RANTAU PRAPAT</t>
        </is>
      </c>
      <c r="C15" s="36">
        <f>RANK(D15,$D$10:$D$43,0)</f>
        <v/>
      </c>
      <c r="D15" s="37">
        <f>(G15*0.35)+(O15*65%)</f>
        <v/>
      </c>
      <c r="E15" s="36">
        <f>IF(D15&gt;=0.95,"Istimewa",IF(D15&gt;0.9,"Baik Sekali",IF(D15&gt;0.85,"Baik",IF(D15&gt;0.8,"Cukup","Kurang"))))</f>
        <v/>
      </c>
      <c r="F15" s="37">
        <f>0.29*0.65</f>
        <v/>
      </c>
      <c r="G15" s="37">
        <f>N15</f>
        <v/>
      </c>
      <c r="H15" s="37">
        <f>VLOOKUP(B15,'KPI Availability'!B:O,14,)</f>
        <v/>
      </c>
      <c r="I15" s="37">
        <f>VLOOKUP(B15,'KPI Availability'!B:P,15,)</f>
        <v/>
      </c>
      <c r="J15" s="37">
        <f>VLOOKUP(B15,'KPI Availability'!B:Q,16,)</f>
        <v/>
      </c>
      <c r="K15" s="37">
        <f>VLOOKUP(B15,'KPI Availability'!B:R,17,)</f>
        <v/>
      </c>
      <c r="L15" s="37">
        <f>VLOOKUP(B15,'KPI Availability'!B:S,18,)</f>
        <v/>
      </c>
      <c r="M15" s="37">
        <f>VLOOKUP(B15,'KPI Availability'!B:T,19,)</f>
        <v/>
      </c>
      <c r="N15" s="37">
        <f>SUM(H15:M15)</f>
        <v/>
      </c>
      <c r="O15" s="37">
        <f>P15+Q15+R15</f>
        <v/>
      </c>
      <c r="P15" s="37">
        <f>SUM(AA15:AD15,AG15,AJ15,AM15,AP15,AS15,AV15)</f>
        <v/>
      </c>
      <c r="Q15" s="37">
        <f>SUM(BG15:BK15,BN15,BQ15,BT15)</f>
        <v/>
      </c>
      <c r="R15" s="37">
        <f>SUM(BU15:BX15)</f>
        <v/>
      </c>
      <c r="S15" s="38">
        <f>VLOOKUP(B15,'KPI Ticketing'!B:C,2,)</f>
        <v/>
      </c>
      <c r="T15" s="38">
        <f>VLOOKUP(B15,'KPI Ticketing'!B:D,3,)</f>
        <v/>
      </c>
      <c r="U15" s="38">
        <f>VLOOKUP(B15,'KPI Ticketing'!B:E,4,)</f>
        <v/>
      </c>
      <c r="V15" s="38">
        <f>VLOOKUP(B15,'KPI Ticketing'!B:F,5,)</f>
        <v/>
      </c>
      <c r="W15" s="37">
        <f>IF(S15&lt;=4,100%,IF(S15&lt;=6,70%,IF(S15&lt;=8,40%,10%)))</f>
        <v/>
      </c>
      <c r="X15" s="37">
        <f>IF(T15&lt;=8,100%,IF(T15&lt;=12,50%,25%))</f>
        <v/>
      </c>
      <c r="Y15" s="37">
        <f>IF(U15&lt;=10,100%,IF(U15&lt;=15,50%,25%))</f>
        <v/>
      </c>
      <c r="Z15" s="37">
        <f>IF(V15&lt;=13,100%,IF(V15&lt;=19,50%,25%))</f>
        <v/>
      </c>
      <c r="AA15" s="37">
        <f>W15*0.13</f>
        <v/>
      </c>
      <c r="AB15" s="37">
        <f>X15*0.06</f>
        <v/>
      </c>
      <c r="AC15" s="37">
        <f>Y15*0.04</f>
        <v/>
      </c>
      <c r="AD15" s="37">
        <f>Z15*0.02</f>
        <v/>
      </c>
      <c r="AE15" s="37">
        <f>VLOOKUP(B15,'KPI Ticketing'!B:N,13,)</f>
        <v/>
      </c>
      <c r="AF15" s="37">
        <f>IF(AE15&gt;=0.8,1,IF(AE15&gt;=0.7,0.9,IF(AE15&gt;=0.6,0.8,IF(AE15&gt;=0.5,0.7,IF(AE15&gt;=0.4,0.6,IF(AE15&gt;=0.3,0.5,IF(AE15&gt;=0.2,0.4,IF(AE15&gt;=0.1,0.3,0.2))))))))</f>
        <v/>
      </c>
      <c r="AG15" s="37">
        <f>AF15*0.03</f>
        <v/>
      </c>
      <c r="AH15" s="37">
        <f>VLOOKUP(B15,'KPI Ticketing'!B:R,17,)</f>
        <v/>
      </c>
      <c r="AI15" s="37">
        <f>IF(AH15&gt;=0.8,1,IF(AH15&gt;=0.7,0.9,IF(AH15&gt;=0.6,0.8,IF(AH15&gt;=0.5,0.7,IF(AH15&gt;=0.4,0.6,IF(AH15&gt;=0.3,0.5,IF(AH15&gt;=0.2,0.4,IF(AH15&gt;=0.1,0.3,0.2))))))))</f>
        <v/>
      </c>
      <c r="AJ15" s="37">
        <f>AI15*0.02</f>
        <v/>
      </c>
      <c r="AK15" s="37">
        <f>VLOOKUP(B15,'KPI Ticketing'!B:V,21,)</f>
        <v/>
      </c>
      <c r="AL15" s="37">
        <f>IF(AK15&gt;=0.9,1,IF(AK15&gt;=0.8,0.9,IF(AK15&gt;=0.7,0.8,IF(AK15&gt;=0.6,0.7,IF(AK15&gt;=0.5,0.6,IF(AK15&gt;=0.4,0.5,IF(AK15&gt;=0.3,0.4,IF(AK15&gt;=0.2,0.3,IF(AK15&gt;=0.1,0.2,0.1)))))))))</f>
        <v/>
      </c>
      <c r="AM15" s="37">
        <f>AL15*0.05</f>
        <v/>
      </c>
      <c r="AN15" s="37">
        <f>VLOOKUP(B15,'KPI Ticketing'!B:Z,25,)</f>
        <v/>
      </c>
      <c r="AO15" s="37">
        <f>IF(AN15&gt;=0.95,1,IF(AN15&gt;=0.9,0.9,IF(AN15&gt;=0.8,0.8,IF(AN15&gt;=0.7,0.7,IF(AN15&gt;=0.6,0.6,IF(AN15&gt;=0.5,0.5,IF(AN15&gt;=0.4,0.4,IF(AN15&gt;=0.3,0.3,IF(AN15&gt;=0.2,0.2,IF(AN15&gt;=0.1,0.1,0.05))))))))))</f>
        <v/>
      </c>
      <c r="AP15" s="37">
        <f>AO15*0.05</f>
        <v/>
      </c>
      <c r="AQ15" s="37">
        <f>VLOOKUP(B15,'KPI Ticketing'!B:AC,28,)</f>
        <v/>
      </c>
      <c r="AR15" s="37">
        <f>IF(AQ15&lt;0.95,0.5,1)</f>
        <v/>
      </c>
      <c r="AS15" s="37">
        <f>AR15*0.01</f>
        <v/>
      </c>
      <c r="AT15" s="37">
        <f>VLOOKUP(B15,'KPI Ticketing'!B:AG,32,)</f>
        <v/>
      </c>
      <c r="AU15" s="37">
        <f>IF(AT15&lt;0.3,0.5,1)</f>
        <v/>
      </c>
      <c r="AV15" s="37">
        <f>AU15*0.01</f>
        <v/>
      </c>
      <c r="AW15" s="38">
        <f>VLOOKUP(B15,'KPI Ticketing'!B:AH,33,)</f>
        <v/>
      </c>
      <c r="AX15" s="38">
        <f>VLOOKUP(B15,'KPI Ticketing'!B:AI,34,)</f>
        <v/>
      </c>
      <c r="AY15" s="38">
        <f>VLOOKUP(B15,'KPI Ticketing'!B:AJ,35,)</f>
        <v/>
      </c>
      <c r="AZ15" s="38">
        <f>VLOOKUP(B15,'KPI Ticketing'!B:AK,36,)</f>
        <v/>
      </c>
      <c r="BA15" s="38">
        <f>VLOOKUP(B15,'KPI Ticketing'!B:AL,37,)</f>
        <v/>
      </c>
      <c r="BB15" s="37">
        <f>IF(AW15&lt;=2,1,IF(AW15&lt;=3,0.7,IF(AW15&lt;=4,0.4,0.1)))</f>
        <v/>
      </c>
      <c r="BC15" s="37">
        <f>IF(AX15&lt;=4,1,IF(AX15&lt;=6,0.5,0.25))</f>
        <v/>
      </c>
      <c r="BD15" s="37">
        <f>IF(AY15&lt;=15,1,IF(AY15&lt;=22.5,0.5,0.25))</f>
        <v/>
      </c>
      <c r="BE15" s="37">
        <f>IF(AZ15&lt;=48,1,IF(AZ15&lt;=72,0.5,0.25))</f>
        <v/>
      </c>
      <c r="BF15" s="37">
        <f>IF(BA15=0, 0, IF(BA15&lt;=96, 1, IF(BA15&lt;=144, 0.5, 0.25)))</f>
        <v/>
      </c>
      <c r="BG15" s="37">
        <f>BB15*0.1</f>
        <v/>
      </c>
      <c r="BH15" s="37">
        <f>BC15*0.05</f>
        <v/>
      </c>
      <c r="BI15" s="37">
        <f>BD15*0.02</f>
        <v/>
      </c>
      <c r="BJ15" s="37">
        <f>BE15*0.01</f>
        <v/>
      </c>
      <c r="BK15" s="37">
        <f>BF15*0.01</f>
        <v/>
      </c>
      <c r="BL15" s="37">
        <f>VLOOKUP(B15,'KPI Ticketing'!B:AT,45,)</f>
        <v/>
      </c>
      <c r="BM15" s="37">
        <f>IF(BL15&gt;=0.8,1,IF(BL15&gt;=0.7,0.9,IF(BL15&gt;=0.6,0.8,IF(BL15&gt;=0.5,0.7,IF(BL15&gt;=0.4,0.6,IF(BL15&gt;=0.3,0.5,IF(BL15&gt;=0.2,0.4,IF(BL15&gt;=0.1,0.3,0.2))))))))</f>
        <v/>
      </c>
      <c r="BN15" s="37">
        <f>BM15*0.03</f>
        <v/>
      </c>
      <c r="BO15" s="37">
        <f>VLOOKUP(B15,'KPI Ticketing'!B:AX,49,)</f>
        <v/>
      </c>
      <c r="BP15" s="37">
        <f>IF(BO15&gt;=0.8,1,IF(BO15&gt;=0.7,0.9,IF(BO15&gt;=0.6,0.8,IF(BO15&gt;=0.5,0.7,IF(BO15&gt;=0.4,0.6,IF(BO15&gt;=0.3,0.5,IF(BO15&gt;=0.2,0.4,IF(BO15&gt;=0.1,0.3,0.2))))))))</f>
        <v/>
      </c>
      <c r="BQ15" s="37">
        <f>BP15*0.02</f>
        <v/>
      </c>
      <c r="BR15" s="37">
        <f>VLOOKUP(B15,'KPI Ticketing'!B:BB,53,)</f>
        <v/>
      </c>
      <c r="BS15" s="37">
        <f>IF(BR15&gt;=0.9,1,IF(BR15&gt;=0.8,0.9,IF(BR15&gt;=0.7,0.8,IF(BR15&gt;=0.6,0.7,IF(BR15&gt;=0.5,0.6,IF(BR15&gt;=0.4,0.5,IF(BR15&gt;=0.3,0.4,IF(BR15&gt;=0.2,0.3,IF(BR15&gt;=0.1,0.2,0.1)))))))))</f>
        <v/>
      </c>
      <c r="BT15" s="37">
        <f>BS15*0.05</f>
        <v/>
      </c>
      <c r="BU15" s="39" t="n">
        <v>0.08</v>
      </c>
      <c r="BV15" s="39" t="n">
        <v>0.06</v>
      </c>
      <c r="BW15" s="39" t="n">
        <v>0.09</v>
      </c>
      <c r="BX15" s="39" t="n">
        <v>0.06</v>
      </c>
    </row>
    <row r="16">
      <c r="A16" t="inlineStr">
        <is>
          <t>R10_Sumbagteng</t>
        </is>
      </c>
      <c r="B16" t="inlineStr">
        <is>
          <t>NOP BATAM</t>
        </is>
      </c>
      <c r="C16" s="36">
        <f>RANK(D16,$D$10:$D$43,0)</f>
        <v/>
      </c>
      <c r="D16" s="37">
        <f>(G16*0.35)+(O16*65%)</f>
        <v/>
      </c>
      <c r="E16" s="36">
        <f>IF(D16&gt;=0.95,"Istimewa",IF(D16&gt;0.9,"Baik Sekali",IF(D16&gt;0.85,"Baik",IF(D16&gt;0.8,"Cukup","Kurang"))))</f>
        <v/>
      </c>
      <c r="F16" s="37">
        <f>0.29*0.65</f>
        <v/>
      </c>
      <c r="G16" s="37">
        <f>N16</f>
        <v/>
      </c>
      <c r="H16" s="37">
        <f>VLOOKUP(B16,'KPI Availability'!B:O,14,)</f>
        <v/>
      </c>
      <c r="I16" s="37">
        <f>VLOOKUP(B16,'KPI Availability'!B:P,15,)</f>
        <v/>
      </c>
      <c r="J16" s="37">
        <f>VLOOKUP(B16,'KPI Availability'!B:Q,16,)</f>
        <v/>
      </c>
      <c r="K16" s="37">
        <f>VLOOKUP(B16,'KPI Availability'!B:R,17,)</f>
        <v/>
      </c>
      <c r="L16" s="37">
        <f>VLOOKUP(B16,'KPI Availability'!B:S,18,)</f>
        <v/>
      </c>
      <c r="M16" s="37">
        <f>VLOOKUP(B16,'KPI Availability'!B:T,19,)</f>
        <v/>
      </c>
      <c r="N16" s="37">
        <f>SUM(H16:M16)</f>
        <v/>
      </c>
      <c r="O16" s="37">
        <f>P16+Q16+R16</f>
        <v/>
      </c>
      <c r="P16" s="37">
        <f>SUM(AA16:AD16,AG16,AJ16,AM16,AP16,AS16,AV16)</f>
        <v/>
      </c>
      <c r="Q16" s="37">
        <f>SUM(BG16:BK16,BN16,BQ16,BT16)</f>
        <v/>
      </c>
      <c r="R16" s="37">
        <f>SUM(BU16:BX16)</f>
        <v/>
      </c>
      <c r="S16" s="38">
        <f>VLOOKUP(B16,'KPI Ticketing'!B:C,2,)</f>
        <v/>
      </c>
      <c r="T16" s="38">
        <f>VLOOKUP(B16,'KPI Ticketing'!B:D,3,)</f>
        <v/>
      </c>
      <c r="U16" s="38">
        <f>VLOOKUP(B16,'KPI Ticketing'!B:E,4,)</f>
        <v/>
      </c>
      <c r="V16" s="38">
        <f>VLOOKUP(B16,'KPI Ticketing'!B:F,5,)</f>
        <v/>
      </c>
      <c r="W16" s="37">
        <f>IF(S16&lt;=4,100%,IF(S16&lt;=6,70%,IF(S16&lt;=8,40%,10%)))</f>
        <v/>
      </c>
      <c r="X16" s="37">
        <f>IF(T16&lt;=8,100%,IF(T16&lt;=12,50%,25%))</f>
        <v/>
      </c>
      <c r="Y16" s="37">
        <f>IF(U16&lt;=10,100%,IF(U16&lt;=15,50%,25%))</f>
        <v/>
      </c>
      <c r="Z16" s="37">
        <f>IF(V16&lt;=13,100%,IF(V16&lt;=19,50%,25%))</f>
        <v/>
      </c>
      <c r="AA16" s="37">
        <f>W16*0.13</f>
        <v/>
      </c>
      <c r="AB16" s="37">
        <f>X16*0.06</f>
        <v/>
      </c>
      <c r="AC16" s="37">
        <f>Y16*0.04</f>
        <v/>
      </c>
      <c r="AD16" s="37">
        <f>Z16*0.02</f>
        <v/>
      </c>
      <c r="AE16" s="37">
        <f>VLOOKUP(B16,'KPI Ticketing'!B:N,13,)</f>
        <v/>
      </c>
      <c r="AF16" s="37">
        <f>IF(AE16&gt;=0.8,1,IF(AE16&gt;=0.7,0.9,IF(AE16&gt;=0.6,0.8,IF(AE16&gt;=0.5,0.7,IF(AE16&gt;=0.4,0.6,IF(AE16&gt;=0.3,0.5,IF(AE16&gt;=0.2,0.4,IF(AE16&gt;=0.1,0.3,0.2))))))))</f>
        <v/>
      </c>
      <c r="AG16" s="37">
        <f>AF16*0.03</f>
        <v/>
      </c>
      <c r="AH16" s="37">
        <f>VLOOKUP(B16,'KPI Ticketing'!B:R,17,)</f>
        <v/>
      </c>
      <c r="AI16" s="37">
        <f>IF(AH16&gt;=0.8,1,IF(AH16&gt;=0.7,0.9,IF(AH16&gt;=0.6,0.8,IF(AH16&gt;=0.5,0.7,IF(AH16&gt;=0.4,0.6,IF(AH16&gt;=0.3,0.5,IF(AH16&gt;=0.2,0.4,IF(AH16&gt;=0.1,0.3,0.2))))))))</f>
        <v/>
      </c>
      <c r="AJ16" s="37">
        <f>AI16*0.02</f>
        <v/>
      </c>
      <c r="AK16" s="37">
        <f>VLOOKUP(B16,'KPI Ticketing'!B:V,21,)</f>
        <v/>
      </c>
      <c r="AL16" s="37">
        <f>IF(AK16&gt;=0.9,1,IF(AK16&gt;=0.8,0.9,IF(AK16&gt;=0.7,0.8,IF(AK16&gt;=0.6,0.7,IF(AK16&gt;=0.5,0.6,IF(AK16&gt;=0.4,0.5,IF(AK16&gt;=0.3,0.4,IF(AK16&gt;=0.2,0.3,IF(AK16&gt;=0.1,0.2,0.1)))))))))</f>
        <v/>
      </c>
      <c r="AM16" s="37">
        <f>AL16*0.05</f>
        <v/>
      </c>
      <c r="AN16" s="37">
        <f>VLOOKUP(B16,'KPI Ticketing'!B:Z,25,)</f>
        <v/>
      </c>
      <c r="AO16" s="37">
        <f>IF(AN16&gt;=0.95,1,IF(AN16&gt;=0.9,0.9,IF(AN16&gt;=0.8,0.8,IF(AN16&gt;=0.7,0.7,IF(AN16&gt;=0.6,0.6,IF(AN16&gt;=0.5,0.5,IF(AN16&gt;=0.4,0.4,IF(AN16&gt;=0.3,0.3,IF(AN16&gt;=0.2,0.2,IF(AN16&gt;=0.1,0.1,0.05))))))))))</f>
        <v/>
      </c>
      <c r="AP16" s="37">
        <f>AO16*0.05</f>
        <v/>
      </c>
      <c r="AQ16" s="37">
        <f>VLOOKUP(B16,'KPI Ticketing'!B:AC,28,)</f>
        <v/>
      </c>
      <c r="AR16" s="37">
        <f>IF(AQ16&lt;0.95,0.5,1)</f>
        <v/>
      </c>
      <c r="AS16" s="37">
        <f>AR16*0.01</f>
        <v/>
      </c>
      <c r="AT16" s="37">
        <f>VLOOKUP(B16,'KPI Ticketing'!B:AG,32,)</f>
        <v/>
      </c>
      <c r="AU16" s="37">
        <f>IF(AT16&lt;0.3,0.5,1)</f>
        <v/>
      </c>
      <c r="AV16" s="37">
        <f>AU16*0.01</f>
        <v/>
      </c>
      <c r="AW16" s="38">
        <f>VLOOKUP(B16,'KPI Ticketing'!B:AH,33,)</f>
        <v/>
      </c>
      <c r="AX16" s="38">
        <f>VLOOKUP(B16,'KPI Ticketing'!B:AI,34,)</f>
        <v/>
      </c>
      <c r="AY16" s="38">
        <f>VLOOKUP(B16,'KPI Ticketing'!B:AJ,35,)</f>
        <v/>
      </c>
      <c r="AZ16" s="38">
        <f>VLOOKUP(B16,'KPI Ticketing'!B:AK,36,)</f>
        <v/>
      </c>
      <c r="BA16" s="38">
        <f>VLOOKUP(B16,'KPI Ticketing'!B:AL,37,)</f>
        <v/>
      </c>
      <c r="BB16" s="37">
        <f>IF(AW16&lt;=2,1,IF(AW16&lt;=3,0.7,IF(AW16&lt;=4,0.4,0.1)))</f>
        <v/>
      </c>
      <c r="BC16" s="37">
        <f>IF(AX16&lt;=4,1,IF(AX16&lt;=6,0.5,0.25))</f>
        <v/>
      </c>
      <c r="BD16" s="37">
        <f>IF(AY16&lt;=15,1,IF(AY16&lt;=22.5,0.5,0.25))</f>
        <v/>
      </c>
      <c r="BE16" s="37">
        <f>IF(AZ16&lt;=48,1,IF(AZ16&lt;=72,0.5,0.25))</f>
        <v/>
      </c>
      <c r="BF16" s="37">
        <f>IF(BA16=0, 0, IF(BA16&lt;=96, 1, IF(BA16&lt;=144, 0.5, 0.25)))</f>
        <v/>
      </c>
      <c r="BG16" s="37">
        <f>BB16*0.1</f>
        <v/>
      </c>
      <c r="BH16" s="37">
        <f>BC16*0.05</f>
        <v/>
      </c>
      <c r="BI16" s="37">
        <f>BD16*0.02</f>
        <v/>
      </c>
      <c r="BJ16" s="37">
        <f>BE16*0.01</f>
        <v/>
      </c>
      <c r="BK16" s="37">
        <f>BF16*0.01</f>
        <v/>
      </c>
      <c r="BL16" s="37">
        <f>VLOOKUP(B16,'KPI Ticketing'!B:AT,45,)</f>
        <v/>
      </c>
      <c r="BM16" s="37">
        <f>IF(BL16&gt;=0.8,1,IF(BL16&gt;=0.7,0.9,IF(BL16&gt;=0.6,0.8,IF(BL16&gt;=0.5,0.7,IF(BL16&gt;=0.4,0.6,IF(BL16&gt;=0.3,0.5,IF(BL16&gt;=0.2,0.4,IF(BL16&gt;=0.1,0.3,0.2))))))))</f>
        <v/>
      </c>
      <c r="BN16" s="37">
        <f>BM16*0.03</f>
        <v/>
      </c>
      <c r="BO16" s="37">
        <f>VLOOKUP(B16,'KPI Ticketing'!B:AX,49,)</f>
        <v/>
      </c>
      <c r="BP16" s="37">
        <f>IF(BO16&gt;=0.8,1,IF(BO16&gt;=0.7,0.9,IF(BO16&gt;=0.6,0.8,IF(BO16&gt;=0.5,0.7,IF(BO16&gt;=0.4,0.6,IF(BO16&gt;=0.3,0.5,IF(BO16&gt;=0.2,0.4,IF(BO16&gt;=0.1,0.3,0.2))))))))</f>
        <v/>
      </c>
      <c r="BQ16" s="37">
        <f>BP16*0.02</f>
        <v/>
      </c>
      <c r="BR16" s="37">
        <f>VLOOKUP(B16,'KPI Ticketing'!B:BB,53,)</f>
        <v/>
      </c>
      <c r="BS16" s="37">
        <f>IF(BR16&gt;=0.9,1,IF(BR16&gt;=0.8,0.9,IF(BR16&gt;=0.7,0.8,IF(BR16&gt;=0.6,0.7,IF(BR16&gt;=0.5,0.6,IF(BR16&gt;=0.4,0.5,IF(BR16&gt;=0.3,0.4,IF(BR16&gt;=0.2,0.3,IF(BR16&gt;=0.1,0.2,0.1)))))))))</f>
        <v/>
      </c>
      <c r="BT16" s="37">
        <f>BS16*0.05</f>
        <v/>
      </c>
      <c r="BU16" s="39" t="n">
        <v>0.08</v>
      </c>
      <c r="BV16" s="39" t="n">
        <v>0.06</v>
      </c>
      <c r="BW16" s="39" t="n">
        <v>0.09</v>
      </c>
      <c r="BX16" s="39" t="n">
        <v>0.06</v>
      </c>
    </row>
    <row r="17">
      <c r="A17" t="inlineStr">
        <is>
          <t>R10_Sumbagteng</t>
        </is>
      </c>
      <c r="B17" t="inlineStr">
        <is>
          <t>NOP BUKITTINGGI</t>
        </is>
      </c>
      <c r="C17" s="36">
        <f>RANK(D17,$D$10:$D$43,0)</f>
        <v/>
      </c>
      <c r="D17" s="37">
        <f>(G17*0.35)+(O17*65%)</f>
        <v/>
      </c>
      <c r="E17" s="36">
        <f>IF(D17&gt;=0.95,"Istimewa",IF(D17&gt;0.9,"Baik Sekali",IF(D17&gt;0.85,"Baik",IF(D17&gt;0.8,"Cukup","Kurang"))))</f>
        <v/>
      </c>
      <c r="F17" s="37">
        <f>0.29*0.65</f>
        <v/>
      </c>
      <c r="G17" s="37">
        <f>N17</f>
        <v/>
      </c>
      <c r="H17" s="37">
        <f>VLOOKUP(B17,'KPI Availability'!B:O,14,)</f>
        <v/>
      </c>
      <c r="I17" s="37">
        <f>VLOOKUP(B17,'KPI Availability'!B:P,15,)</f>
        <v/>
      </c>
      <c r="J17" s="37">
        <f>VLOOKUP(B17,'KPI Availability'!B:Q,16,)</f>
        <v/>
      </c>
      <c r="K17" s="37">
        <f>VLOOKUP(B17,'KPI Availability'!B:R,17,)</f>
        <v/>
      </c>
      <c r="L17" s="37">
        <f>VLOOKUP(B17,'KPI Availability'!B:S,18,)</f>
        <v/>
      </c>
      <c r="M17" s="37">
        <f>VLOOKUP(B17,'KPI Availability'!B:T,19,)</f>
        <v/>
      </c>
      <c r="N17" s="37">
        <f>SUM(H17:M17)</f>
        <v/>
      </c>
      <c r="O17" s="37">
        <f>P17+Q17+R17</f>
        <v/>
      </c>
      <c r="P17" s="37">
        <f>SUM(AA17:AD17,AG17,AJ17,AM17,AP17,AS17,AV17)</f>
        <v/>
      </c>
      <c r="Q17" s="37">
        <f>SUM(BG17:BK17,BN17,BQ17,BT17)</f>
        <v/>
      </c>
      <c r="R17" s="37">
        <f>SUM(BU17:BX17)</f>
        <v/>
      </c>
      <c r="S17" s="38">
        <f>VLOOKUP(B17,'KPI Ticketing'!B:C,2,)</f>
        <v/>
      </c>
      <c r="T17" s="38">
        <f>VLOOKUP(B17,'KPI Ticketing'!B:D,3,)</f>
        <v/>
      </c>
      <c r="U17" s="38">
        <f>VLOOKUP(B17,'KPI Ticketing'!B:E,4,)</f>
        <v/>
      </c>
      <c r="V17" s="38">
        <f>VLOOKUP(B17,'KPI Ticketing'!B:F,5,)</f>
        <v/>
      </c>
      <c r="W17" s="37">
        <f>IF(S17&lt;=4,100%,IF(S17&lt;=6,70%,IF(S17&lt;=8,40%,10%)))</f>
        <v/>
      </c>
      <c r="X17" s="37">
        <f>IF(T17&lt;=8,100%,IF(T17&lt;=12,50%,25%))</f>
        <v/>
      </c>
      <c r="Y17" s="37">
        <f>IF(U17&lt;=10,100%,IF(U17&lt;=15,50%,25%))</f>
        <v/>
      </c>
      <c r="Z17" s="37">
        <f>IF(V17&lt;=13,100%,IF(V17&lt;=19,50%,25%))</f>
        <v/>
      </c>
      <c r="AA17" s="37">
        <f>W17*0.13</f>
        <v/>
      </c>
      <c r="AB17" s="37">
        <f>X17*0.06</f>
        <v/>
      </c>
      <c r="AC17" s="37">
        <f>Y17*0.04</f>
        <v/>
      </c>
      <c r="AD17" s="37">
        <f>Z17*0.02</f>
        <v/>
      </c>
      <c r="AE17" s="37">
        <f>VLOOKUP(B17,'KPI Ticketing'!B:N,13,)</f>
        <v/>
      </c>
      <c r="AF17" s="37">
        <f>IF(AE17&gt;=0.8,1,IF(AE17&gt;=0.7,0.9,IF(AE17&gt;=0.6,0.8,IF(AE17&gt;=0.5,0.7,IF(AE17&gt;=0.4,0.6,IF(AE17&gt;=0.3,0.5,IF(AE17&gt;=0.2,0.4,IF(AE17&gt;=0.1,0.3,0.2))))))))</f>
        <v/>
      </c>
      <c r="AG17" s="37">
        <f>AF17*0.03</f>
        <v/>
      </c>
      <c r="AH17" s="37">
        <f>VLOOKUP(B17,'KPI Ticketing'!B:R,17,)</f>
        <v/>
      </c>
      <c r="AI17" s="37">
        <f>IF(AH17&gt;=0.8,1,IF(AH17&gt;=0.7,0.9,IF(AH17&gt;=0.6,0.8,IF(AH17&gt;=0.5,0.7,IF(AH17&gt;=0.4,0.6,IF(AH17&gt;=0.3,0.5,IF(AH17&gt;=0.2,0.4,IF(AH17&gt;=0.1,0.3,0.2))))))))</f>
        <v/>
      </c>
      <c r="AJ17" s="37">
        <f>AI17*0.02</f>
        <v/>
      </c>
      <c r="AK17" s="37">
        <f>VLOOKUP(B17,'KPI Ticketing'!B:V,21,)</f>
        <v/>
      </c>
      <c r="AL17" s="37">
        <f>IF(AK17&gt;=0.9,1,IF(AK17&gt;=0.8,0.9,IF(AK17&gt;=0.7,0.8,IF(AK17&gt;=0.6,0.7,IF(AK17&gt;=0.5,0.6,IF(AK17&gt;=0.4,0.5,IF(AK17&gt;=0.3,0.4,IF(AK17&gt;=0.2,0.3,IF(AK17&gt;=0.1,0.2,0.1)))))))))</f>
        <v/>
      </c>
      <c r="AM17" s="37">
        <f>AL17*0.05</f>
        <v/>
      </c>
      <c r="AN17" s="37">
        <f>VLOOKUP(B17,'KPI Ticketing'!B:Z,25,)</f>
        <v/>
      </c>
      <c r="AO17" s="37">
        <f>IF(AN17&gt;=0.95,1,IF(AN17&gt;=0.9,0.9,IF(AN17&gt;=0.8,0.8,IF(AN17&gt;=0.7,0.7,IF(AN17&gt;=0.6,0.6,IF(AN17&gt;=0.5,0.5,IF(AN17&gt;=0.4,0.4,IF(AN17&gt;=0.3,0.3,IF(AN17&gt;=0.2,0.2,IF(AN17&gt;=0.1,0.1,0.05))))))))))</f>
        <v/>
      </c>
      <c r="AP17" s="37">
        <f>AO17*0.05</f>
        <v/>
      </c>
      <c r="AQ17" s="37">
        <f>VLOOKUP(B17,'KPI Ticketing'!B:AC,28,)</f>
        <v/>
      </c>
      <c r="AR17" s="37">
        <f>IF(AQ17&lt;0.95,0.5,1)</f>
        <v/>
      </c>
      <c r="AS17" s="37">
        <f>AR17*0.01</f>
        <v/>
      </c>
      <c r="AT17" s="37">
        <f>VLOOKUP(B17,'KPI Ticketing'!B:AG,32,)</f>
        <v/>
      </c>
      <c r="AU17" s="37">
        <f>IF(AT17&lt;0.3,0.5,1)</f>
        <v/>
      </c>
      <c r="AV17" s="37">
        <f>AU17*0.01</f>
        <v/>
      </c>
      <c r="AW17" s="38">
        <f>VLOOKUP(B17,'KPI Ticketing'!B:AH,33,)</f>
        <v/>
      </c>
      <c r="AX17" s="38">
        <f>VLOOKUP(B17,'KPI Ticketing'!B:AI,34,)</f>
        <v/>
      </c>
      <c r="AY17" s="38">
        <f>VLOOKUP(B17,'KPI Ticketing'!B:AJ,35,)</f>
        <v/>
      </c>
      <c r="AZ17" s="38">
        <f>VLOOKUP(B17,'KPI Ticketing'!B:AK,36,)</f>
        <v/>
      </c>
      <c r="BA17" s="38">
        <f>VLOOKUP(B17,'KPI Ticketing'!B:AL,37,)</f>
        <v/>
      </c>
      <c r="BB17" s="37">
        <f>IF(AW17&lt;=2,1,IF(AW17&lt;=3,0.7,IF(AW17&lt;=4,0.4,0.1)))</f>
        <v/>
      </c>
      <c r="BC17" s="37">
        <f>IF(AX17&lt;=4,1,IF(AX17&lt;=6,0.5,0.25))</f>
        <v/>
      </c>
      <c r="BD17" s="37">
        <f>IF(AY17&lt;=15,1,IF(AY17&lt;=22.5,0.5,0.25))</f>
        <v/>
      </c>
      <c r="BE17" s="37">
        <f>IF(AZ17&lt;=48,1,IF(AZ17&lt;=72,0.5,0.25))</f>
        <v/>
      </c>
      <c r="BF17" s="37">
        <f>IF(BA17=0, 0, IF(BA17&lt;=96, 1, IF(BA17&lt;=144, 0.5, 0.25)))</f>
        <v/>
      </c>
      <c r="BG17" s="37">
        <f>BB17*0.1</f>
        <v/>
      </c>
      <c r="BH17" s="37">
        <f>BC17*0.05</f>
        <v/>
      </c>
      <c r="BI17" s="37">
        <f>BD17*0.02</f>
        <v/>
      </c>
      <c r="BJ17" s="37">
        <f>BE17*0.01</f>
        <v/>
      </c>
      <c r="BK17" s="37">
        <f>BF17*0.01</f>
        <v/>
      </c>
      <c r="BL17" s="37">
        <f>VLOOKUP(B17,'KPI Ticketing'!B:AT,45,)</f>
        <v/>
      </c>
      <c r="BM17" s="37">
        <f>IF(BL17&gt;=0.8,1,IF(BL17&gt;=0.7,0.9,IF(BL17&gt;=0.6,0.8,IF(BL17&gt;=0.5,0.7,IF(BL17&gt;=0.4,0.6,IF(BL17&gt;=0.3,0.5,IF(BL17&gt;=0.2,0.4,IF(BL17&gt;=0.1,0.3,0.2))))))))</f>
        <v/>
      </c>
      <c r="BN17" s="37">
        <f>BM17*0.03</f>
        <v/>
      </c>
      <c r="BO17" s="37">
        <f>VLOOKUP(B17,'KPI Ticketing'!B:AX,49,)</f>
        <v/>
      </c>
      <c r="BP17" s="37">
        <f>IF(BO17&gt;=0.8,1,IF(BO17&gt;=0.7,0.9,IF(BO17&gt;=0.6,0.8,IF(BO17&gt;=0.5,0.7,IF(BO17&gt;=0.4,0.6,IF(BO17&gt;=0.3,0.5,IF(BO17&gt;=0.2,0.4,IF(BO17&gt;=0.1,0.3,0.2))))))))</f>
        <v/>
      </c>
      <c r="BQ17" s="37">
        <f>BP17*0.02</f>
        <v/>
      </c>
      <c r="BR17" s="37">
        <f>VLOOKUP(B17,'KPI Ticketing'!B:BB,53,)</f>
        <v/>
      </c>
      <c r="BS17" s="37">
        <f>IF(BR17&gt;=0.9,1,IF(BR17&gt;=0.8,0.9,IF(BR17&gt;=0.7,0.8,IF(BR17&gt;=0.6,0.7,IF(BR17&gt;=0.5,0.6,IF(BR17&gt;=0.4,0.5,IF(BR17&gt;=0.3,0.4,IF(BR17&gt;=0.2,0.3,IF(BR17&gt;=0.1,0.2,0.1)))))))))</f>
        <v/>
      </c>
      <c r="BT17" s="37">
        <f>BS17*0.05</f>
        <v/>
      </c>
      <c r="BU17" s="39" t="n">
        <v>0.08</v>
      </c>
      <c r="BV17" s="39" t="n">
        <v>0.06</v>
      </c>
      <c r="BW17" s="39" t="n">
        <v>0.09</v>
      </c>
      <c r="BX17" s="39" t="n">
        <v>0.06</v>
      </c>
    </row>
    <row r="18">
      <c r="A18" t="inlineStr">
        <is>
          <t>R10_Sumbagteng</t>
        </is>
      </c>
      <c r="B18" t="inlineStr">
        <is>
          <t>NOP DUMAI</t>
        </is>
      </c>
      <c r="C18" s="36">
        <f>RANK(D18,$D$10:$D$43,0)</f>
        <v/>
      </c>
      <c r="D18" s="37">
        <f>(G18*0.35)+(O18*65%)</f>
        <v/>
      </c>
      <c r="E18" s="36">
        <f>IF(D18&gt;=0.95,"Istimewa",IF(D18&gt;0.9,"Baik Sekali",IF(D18&gt;0.85,"Baik",IF(D18&gt;0.8,"Cukup","Kurang"))))</f>
        <v/>
      </c>
      <c r="F18" s="37">
        <f>0.29*0.65</f>
        <v/>
      </c>
      <c r="G18" s="37">
        <f>N18</f>
        <v/>
      </c>
      <c r="H18" s="37">
        <f>VLOOKUP(B18,'KPI Availability'!B:O,14,)</f>
        <v/>
      </c>
      <c r="I18" s="37">
        <f>VLOOKUP(B18,'KPI Availability'!B:P,15,)</f>
        <v/>
      </c>
      <c r="J18" s="37">
        <f>VLOOKUP(B18,'KPI Availability'!B:Q,16,)</f>
        <v/>
      </c>
      <c r="K18" s="37">
        <f>VLOOKUP(B18,'KPI Availability'!B:R,17,)</f>
        <v/>
      </c>
      <c r="L18" s="37">
        <f>VLOOKUP(B18,'KPI Availability'!B:S,18,)</f>
        <v/>
      </c>
      <c r="M18" s="37">
        <f>VLOOKUP(B18,'KPI Availability'!B:T,19,)</f>
        <v/>
      </c>
      <c r="N18" s="37">
        <f>SUM(H18:M18)</f>
        <v/>
      </c>
      <c r="O18" s="37">
        <f>P18+Q18+R18</f>
        <v/>
      </c>
      <c r="P18" s="37">
        <f>SUM(AA18:AD18,AG18,AJ18,AM18,AP18,AS18,AV18)</f>
        <v/>
      </c>
      <c r="Q18" s="37">
        <f>SUM(BG18:BK18,BN18,BQ18,BT18)</f>
        <v/>
      </c>
      <c r="R18" s="37">
        <f>SUM(BU18:BX18)</f>
        <v/>
      </c>
      <c r="S18" s="38">
        <f>VLOOKUP(B18,'KPI Ticketing'!B:C,2,)</f>
        <v/>
      </c>
      <c r="T18" s="38">
        <f>VLOOKUP(B18,'KPI Ticketing'!B:D,3,)</f>
        <v/>
      </c>
      <c r="U18" s="38">
        <f>VLOOKUP(B18,'KPI Ticketing'!B:E,4,)</f>
        <v/>
      </c>
      <c r="V18" s="38">
        <f>VLOOKUP(B18,'KPI Ticketing'!B:F,5,)</f>
        <v/>
      </c>
      <c r="W18" s="37">
        <f>IF(S18&lt;=4,100%,IF(S18&lt;=6,70%,IF(S18&lt;=8,40%,10%)))</f>
        <v/>
      </c>
      <c r="X18" s="37">
        <f>IF(T18&lt;=8,100%,IF(T18&lt;=12,50%,25%))</f>
        <v/>
      </c>
      <c r="Y18" s="37">
        <f>IF(U18&lt;=10,100%,IF(U18&lt;=15,50%,25%))</f>
        <v/>
      </c>
      <c r="Z18" s="37">
        <f>IF(V18&lt;=13,100%,IF(V18&lt;=19,50%,25%))</f>
        <v/>
      </c>
      <c r="AA18" s="37">
        <f>W18*0.13</f>
        <v/>
      </c>
      <c r="AB18" s="37">
        <f>X18*0.06</f>
        <v/>
      </c>
      <c r="AC18" s="37">
        <f>Y18*0.04</f>
        <v/>
      </c>
      <c r="AD18" s="37">
        <f>Z18*0.02</f>
        <v/>
      </c>
      <c r="AE18" s="37">
        <f>VLOOKUP(B18,'KPI Ticketing'!B:N,13,)</f>
        <v/>
      </c>
      <c r="AF18" s="37">
        <f>IF(AE18&gt;=0.8,1,IF(AE18&gt;=0.7,0.9,IF(AE18&gt;=0.6,0.8,IF(AE18&gt;=0.5,0.7,IF(AE18&gt;=0.4,0.6,IF(AE18&gt;=0.3,0.5,IF(AE18&gt;=0.2,0.4,IF(AE18&gt;=0.1,0.3,0.2))))))))</f>
        <v/>
      </c>
      <c r="AG18" s="37">
        <f>AF18*0.03</f>
        <v/>
      </c>
      <c r="AH18" s="37">
        <f>VLOOKUP(B18,'KPI Ticketing'!B:R,17,)</f>
        <v/>
      </c>
      <c r="AI18" s="37">
        <f>IF(AH18&gt;=0.8,1,IF(AH18&gt;=0.7,0.9,IF(AH18&gt;=0.6,0.8,IF(AH18&gt;=0.5,0.7,IF(AH18&gt;=0.4,0.6,IF(AH18&gt;=0.3,0.5,IF(AH18&gt;=0.2,0.4,IF(AH18&gt;=0.1,0.3,0.2))))))))</f>
        <v/>
      </c>
      <c r="AJ18" s="37">
        <f>AI18*0.02</f>
        <v/>
      </c>
      <c r="AK18" s="37">
        <f>VLOOKUP(B18,'KPI Ticketing'!B:V,21,)</f>
        <v/>
      </c>
      <c r="AL18" s="37">
        <f>IF(AK18&gt;=0.9,1,IF(AK18&gt;=0.8,0.9,IF(AK18&gt;=0.7,0.8,IF(AK18&gt;=0.6,0.7,IF(AK18&gt;=0.5,0.6,IF(AK18&gt;=0.4,0.5,IF(AK18&gt;=0.3,0.4,IF(AK18&gt;=0.2,0.3,IF(AK18&gt;=0.1,0.2,0.1)))))))))</f>
        <v/>
      </c>
      <c r="AM18" s="37">
        <f>AL18*0.05</f>
        <v/>
      </c>
      <c r="AN18" s="37">
        <f>VLOOKUP(B18,'KPI Ticketing'!B:Z,25,)</f>
        <v/>
      </c>
      <c r="AO18" s="37">
        <f>IF(AN18&gt;=0.95,1,IF(AN18&gt;=0.9,0.9,IF(AN18&gt;=0.8,0.8,IF(AN18&gt;=0.7,0.7,IF(AN18&gt;=0.6,0.6,IF(AN18&gt;=0.5,0.5,IF(AN18&gt;=0.4,0.4,IF(AN18&gt;=0.3,0.3,IF(AN18&gt;=0.2,0.2,IF(AN18&gt;=0.1,0.1,0.05))))))))))</f>
        <v/>
      </c>
      <c r="AP18" s="37">
        <f>AO18*0.05</f>
        <v/>
      </c>
      <c r="AQ18" s="37">
        <f>VLOOKUP(B18,'KPI Ticketing'!B:AC,28,)</f>
        <v/>
      </c>
      <c r="AR18" s="37">
        <f>IF(AQ18&lt;0.95,0.5,1)</f>
        <v/>
      </c>
      <c r="AS18" s="37">
        <f>AR18*0.01</f>
        <v/>
      </c>
      <c r="AT18" s="37">
        <f>VLOOKUP(B18,'KPI Ticketing'!B:AG,32,)</f>
        <v/>
      </c>
      <c r="AU18" s="37">
        <f>IF(AT18&lt;0.3,0.5,1)</f>
        <v/>
      </c>
      <c r="AV18" s="37">
        <f>AU18*0.01</f>
        <v/>
      </c>
      <c r="AW18" s="38">
        <f>VLOOKUP(B18,'KPI Ticketing'!B:AH,33,)</f>
        <v/>
      </c>
      <c r="AX18" s="38">
        <f>VLOOKUP(B18,'KPI Ticketing'!B:AI,34,)</f>
        <v/>
      </c>
      <c r="AY18" s="38">
        <f>VLOOKUP(B18,'KPI Ticketing'!B:AJ,35,)</f>
        <v/>
      </c>
      <c r="AZ18" s="38">
        <f>VLOOKUP(B18,'KPI Ticketing'!B:AK,36,)</f>
        <v/>
      </c>
      <c r="BA18" s="38">
        <f>VLOOKUP(B18,'KPI Ticketing'!B:AL,37,)</f>
        <v/>
      </c>
      <c r="BB18" s="37">
        <f>IF(AW18&lt;=2,1,IF(AW18&lt;=3,0.7,IF(AW18&lt;=4,0.4,0.1)))</f>
        <v/>
      </c>
      <c r="BC18" s="37">
        <f>IF(AX18&lt;=4,1,IF(AX18&lt;=6,0.5,0.25))</f>
        <v/>
      </c>
      <c r="BD18" s="37">
        <f>IF(AY18&lt;=15,1,IF(AY18&lt;=22.5,0.5,0.25))</f>
        <v/>
      </c>
      <c r="BE18" s="37">
        <f>IF(AZ18&lt;=48,1,IF(AZ18&lt;=72,0.5,0.25))</f>
        <v/>
      </c>
      <c r="BF18" s="37">
        <f>IF(BA18=0, 0, IF(BA18&lt;=96, 1, IF(BA18&lt;=144, 0.5, 0.25)))</f>
        <v/>
      </c>
      <c r="BG18" s="37">
        <f>BB18*0.1</f>
        <v/>
      </c>
      <c r="BH18" s="37">
        <f>BC18*0.05</f>
        <v/>
      </c>
      <c r="BI18" s="37">
        <f>BD18*0.02</f>
        <v/>
      </c>
      <c r="BJ18" s="37">
        <f>BE18*0.01</f>
        <v/>
      </c>
      <c r="BK18" s="37">
        <f>BF18*0.01</f>
        <v/>
      </c>
      <c r="BL18" s="37">
        <f>VLOOKUP(B18,'KPI Ticketing'!B:AT,45,)</f>
        <v/>
      </c>
      <c r="BM18" s="37">
        <f>IF(BL18&gt;=0.8,1,IF(BL18&gt;=0.7,0.9,IF(BL18&gt;=0.6,0.8,IF(BL18&gt;=0.5,0.7,IF(BL18&gt;=0.4,0.6,IF(BL18&gt;=0.3,0.5,IF(BL18&gt;=0.2,0.4,IF(BL18&gt;=0.1,0.3,0.2))))))))</f>
        <v/>
      </c>
      <c r="BN18" s="37">
        <f>BM18*0.03</f>
        <v/>
      </c>
      <c r="BO18" s="37">
        <f>VLOOKUP(B18,'KPI Ticketing'!B:AX,49,)</f>
        <v/>
      </c>
      <c r="BP18" s="37">
        <f>IF(BO18&gt;=0.8,1,IF(BO18&gt;=0.7,0.9,IF(BO18&gt;=0.6,0.8,IF(BO18&gt;=0.5,0.7,IF(BO18&gt;=0.4,0.6,IF(BO18&gt;=0.3,0.5,IF(BO18&gt;=0.2,0.4,IF(BO18&gt;=0.1,0.3,0.2))))))))</f>
        <v/>
      </c>
      <c r="BQ18" s="37">
        <f>BP18*0.02</f>
        <v/>
      </c>
      <c r="BR18" s="37">
        <f>VLOOKUP(B18,'KPI Ticketing'!B:BB,53,)</f>
        <v/>
      </c>
      <c r="BS18" s="37">
        <f>IF(BR18&gt;=0.9,1,IF(BR18&gt;=0.8,0.9,IF(BR18&gt;=0.7,0.8,IF(BR18&gt;=0.6,0.7,IF(BR18&gt;=0.5,0.6,IF(BR18&gt;=0.4,0.5,IF(BR18&gt;=0.3,0.4,IF(BR18&gt;=0.2,0.3,IF(BR18&gt;=0.1,0.2,0.1)))))))))</f>
        <v/>
      </c>
      <c r="BT18" s="37">
        <f>BS18*0.05</f>
        <v/>
      </c>
      <c r="BU18" s="39" t="n">
        <v>0.08</v>
      </c>
      <c r="BV18" s="39" t="n">
        <v>0.06</v>
      </c>
      <c r="BW18" s="39" t="n">
        <v>0.09</v>
      </c>
      <c r="BX18" s="39" t="n">
        <v>0.06</v>
      </c>
    </row>
    <row r="19">
      <c r="A19" t="inlineStr">
        <is>
          <t>R10_Sumbagteng</t>
        </is>
      </c>
      <c r="B19" t="inlineStr">
        <is>
          <t>NOP PADANG</t>
        </is>
      </c>
      <c r="C19" s="36">
        <f>RANK(D19,$D$10:$D$43,0)</f>
        <v/>
      </c>
      <c r="D19" s="37">
        <f>(G19*0.35)+(O19*65%)</f>
        <v/>
      </c>
      <c r="E19" s="36">
        <f>IF(D19&gt;=0.95,"Istimewa",IF(D19&gt;0.9,"Baik Sekali",IF(D19&gt;0.85,"Baik",IF(D19&gt;0.8,"Cukup","Kurang"))))</f>
        <v/>
      </c>
      <c r="F19" s="37">
        <f>0.29*0.65</f>
        <v/>
      </c>
      <c r="G19" s="37">
        <f>N19</f>
        <v/>
      </c>
      <c r="H19" s="37">
        <f>VLOOKUP(B19,'KPI Availability'!B:O,14,)</f>
        <v/>
      </c>
      <c r="I19" s="37">
        <f>VLOOKUP(B19,'KPI Availability'!B:P,15,)</f>
        <v/>
      </c>
      <c r="J19" s="37">
        <f>VLOOKUP(B19,'KPI Availability'!B:Q,16,)</f>
        <v/>
      </c>
      <c r="K19" s="37">
        <f>VLOOKUP(B19,'KPI Availability'!B:R,17,)</f>
        <v/>
      </c>
      <c r="L19" s="37">
        <f>VLOOKUP(B19,'KPI Availability'!B:S,18,)</f>
        <v/>
      </c>
      <c r="M19" s="37">
        <f>VLOOKUP(B19,'KPI Availability'!B:T,19,)</f>
        <v/>
      </c>
      <c r="N19" s="37">
        <f>SUM(H19:M19)</f>
        <v/>
      </c>
      <c r="O19" s="37">
        <f>P19+Q19+R19</f>
        <v/>
      </c>
      <c r="P19" s="37">
        <f>SUM(AA19:AD19,AG19,AJ19,AM19,AP19,AS19,AV19)</f>
        <v/>
      </c>
      <c r="Q19" s="37">
        <f>SUM(BG19:BK19,BN19,BQ19,BT19)</f>
        <v/>
      </c>
      <c r="R19" s="37">
        <f>SUM(BU19:BX19)</f>
        <v/>
      </c>
      <c r="S19" s="38">
        <f>VLOOKUP(B19,'KPI Ticketing'!B:C,2,)</f>
        <v/>
      </c>
      <c r="T19" s="38">
        <f>VLOOKUP(B19,'KPI Ticketing'!B:D,3,)</f>
        <v/>
      </c>
      <c r="U19" s="38">
        <f>VLOOKUP(B19,'KPI Ticketing'!B:E,4,)</f>
        <v/>
      </c>
      <c r="V19" s="38">
        <f>VLOOKUP(B19,'KPI Ticketing'!B:F,5,)</f>
        <v/>
      </c>
      <c r="W19" s="37">
        <f>IF(S19&lt;=4,100%,IF(S19&lt;=6,70%,IF(S19&lt;=8,40%,10%)))</f>
        <v/>
      </c>
      <c r="X19" s="37">
        <f>IF(T19&lt;=8,100%,IF(T19&lt;=12,50%,25%))</f>
        <v/>
      </c>
      <c r="Y19" s="37">
        <f>IF(U19&lt;=10,100%,IF(U19&lt;=15,50%,25%))</f>
        <v/>
      </c>
      <c r="Z19" s="37">
        <f>IF(V19&lt;=13,100%,IF(V19&lt;=19,50%,25%))</f>
        <v/>
      </c>
      <c r="AA19" s="37">
        <f>W19*0.13</f>
        <v/>
      </c>
      <c r="AB19" s="37">
        <f>X19*0.06</f>
        <v/>
      </c>
      <c r="AC19" s="37">
        <f>Y19*0.04</f>
        <v/>
      </c>
      <c r="AD19" s="37">
        <f>Z19*0.02</f>
        <v/>
      </c>
      <c r="AE19" s="37">
        <f>VLOOKUP(B19,'KPI Ticketing'!B:N,13,)</f>
        <v/>
      </c>
      <c r="AF19" s="37">
        <f>IF(AE19&gt;=0.8,1,IF(AE19&gt;=0.7,0.9,IF(AE19&gt;=0.6,0.8,IF(AE19&gt;=0.5,0.7,IF(AE19&gt;=0.4,0.6,IF(AE19&gt;=0.3,0.5,IF(AE19&gt;=0.2,0.4,IF(AE19&gt;=0.1,0.3,0.2))))))))</f>
        <v/>
      </c>
      <c r="AG19" s="37">
        <f>AF19*0.03</f>
        <v/>
      </c>
      <c r="AH19" s="37">
        <f>VLOOKUP(B19,'KPI Ticketing'!B:R,17,)</f>
        <v/>
      </c>
      <c r="AI19" s="37">
        <f>IF(AH19&gt;=0.8,1,IF(AH19&gt;=0.7,0.9,IF(AH19&gt;=0.6,0.8,IF(AH19&gt;=0.5,0.7,IF(AH19&gt;=0.4,0.6,IF(AH19&gt;=0.3,0.5,IF(AH19&gt;=0.2,0.4,IF(AH19&gt;=0.1,0.3,0.2))))))))</f>
        <v/>
      </c>
      <c r="AJ19" s="37">
        <f>AI19*0.02</f>
        <v/>
      </c>
      <c r="AK19" s="37">
        <f>VLOOKUP(B19,'KPI Ticketing'!B:V,21,)</f>
        <v/>
      </c>
      <c r="AL19" s="37">
        <f>IF(AK19&gt;=0.9,1,IF(AK19&gt;=0.8,0.9,IF(AK19&gt;=0.7,0.8,IF(AK19&gt;=0.6,0.7,IF(AK19&gt;=0.5,0.6,IF(AK19&gt;=0.4,0.5,IF(AK19&gt;=0.3,0.4,IF(AK19&gt;=0.2,0.3,IF(AK19&gt;=0.1,0.2,0.1)))))))))</f>
        <v/>
      </c>
      <c r="AM19" s="37">
        <f>AL19*0.05</f>
        <v/>
      </c>
      <c r="AN19" s="37">
        <f>VLOOKUP(B19,'KPI Ticketing'!B:Z,25,)</f>
        <v/>
      </c>
      <c r="AO19" s="37">
        <f>IF(AN19&gt;=0.95,1,IF(AN19&gt;=0.9,0.9,IF(AN19&gt;=0.8,0.8,IF(AN19&gt;=0.7,0.7,IF(AN19&gt;=0.6,0.6,IF(AN19&gt;=0.5,0.5,IF(AN19&gt;=0.4,0.4,IF(AN19&gt;=0.3,0.3,IF(AN19&gt;=0.2,0.2,IF(AN19&gt;=0.1,0.1,0.05))))))))))</f>
        <v/>
      </c>
      <c r="AP19" s="37">
        <f>AO19*0.05</f>
        <v/>
      </c>
      <c r="AQ19" s="37">
        <f>VLOOKUP(B19,'KPI Ticketing'!B:AC,28,)</f>
        <v/>
      </c>
      <c r="AR19" s="37">
        <f>IF(AQ19&lt;0.95,0.5,1)</f>
        <v/>
      </c>
      <c r="AS19" s="37">
        <f>AR19*0.01</f>
        <v/>
      </c>
      <c r="AT19" s="37">
        <f>VLOOKUP(B19,'KPI Ticketing'!B:AG,32,)</f>
        <v/>
      </c>
      <c r="AU19" s="37">
        <f>IF(AT19&lt;0.3,0.5,1)</f>
        <v/>
      </c>
      <c r="AV19" s="37">
        <f>AU19*0.01</f>
        <v/>
      </c>
      <c r="AW19" s="38">
        <f>VLOOKUP(B19,'KPI Ticketing'!B:AH,33,)</f>
        <v/>
      </c>
      <c r="AX19" s="38">
        <f>VLOOKUP(B19,'KPI Ticketing'!B:AI,34,)</f>
        <v/>
      </c>
      <c r="AY19" s="38">
        <f>VLOOKUP(B19,'KPI Ticketing'!B:AJ,35,)</f>
        <v/>
      </c>
      <c r="AZ19" s="38">
        <f>VLOOKUP(B19,'KPI Ticketing'!B:AK,36,)</f>
        <v/>
      </c>
      <c r="BA19" s="38">
        <f>VLOOKUP(B19,'KPI Ticketing'!B:AL,37,)</f>
        <v/>
      </c>
      <c r="BB19" s="37">
        <f>IF(AW19&lt;=2,1,IF(AW19&lt;=3,0.7,IF(AW19&lt;=4,0.4,0.1)))</f>
        <v/>
      </c>
      <c r="BC19" s="37">
        <f>IF(AX19&lt;=4,1,IF(AX19&lt;=6,0.5,0.25))</f>
        <v/>
      </c>
      <c r="BD19" s="37">
        <f>IF(AY19&lt;=15,1,IF(AY19&lt;=22.5,0.5,0.25))</f>
        <v/>
      </c>
      <c r="BE19" s="37">
        <f>IF(AZ19&lt;=48,1,IF(AZ19&lt;=72,0.5,0.25))</f>
        <v/>
      </c>
      <c r="BF19" s="37">
        <f>IF(BA19=0, 0, IF(BA19&lt;=96, 1, IF(BA19&lt;=144, 0.5, 0.25)))</f>
        <v/>
      </c>
      <c r="BG19" s="37">
        <f>BB19*0.1</f>
        <v/>
      </c>
      <c r="BH19" s="37">
        <f>BC19*0.05</f>
        <v/>
      </c>
      <c r="BI19" s="37">
        <f>BD19*0.02</f>
        <v/>
      </c>
      <c r="BJ19" s="37">
        <f>BE19*0.01</f>
        <v/>
      </c>
      <c r="BK19" s="37">
        <f>BF19*0.01</f>
        <v/>
      </c>
      <c r="BL19" s="37">
        <f>VLOOKUP(B19,'KPI Ticketing'!B:AT,45,)</f>
        <v/>
      </c>
      <c r="BM19" s="37">
        <f>IF(BL19&gt;=0.8,1,IF(BL19&gt;=0.7,0.9,IF(BL19&gt;=0.6,0.8,IF(BL19&gt;=0.5,0.7,IF(BL19&gt;=0.4,0.6,IF(BL19&gt;=0.3,0.5,IF(BL19&gt;=0.2,0.4,IF(BL19&gt;=0.1,0.3,0.2))))))))</f>
        <v/>
      </c>
      <c r="BN19" s="37">
        <f>BM19*0.03</f>
        <v/>
      </c>
      <c r="BO19" s="37">
        <f>VLOOKUP(B19,'KPI Ticketing'!B:AX,49,)</f>
        <v/>
      </c>
      <c r="BP19" s="37">
        <f>IF(BO19&gt;=0.8,1,IF(BO19&gt;=0.7,0.9,IF(BO19&gt;=0.6,0.8,IF(BO19&gt;=0.5,0.7,IF(BO19&gt;=0.4,0.6,IF(BO19&gt;=0.3,0.5,IF(BO19&gt;=0.2,0.4,IF(BO19&gt;=0.1,0.3,0.2))))))))</f>
        <v/>
      </c>
      <c r="BQ19" s="37">
        <f>BP19*0.02</f>
        <v/>
      </c>
      <c r="BR19" s="37">
        <f>VLOOKUP(B19,'KPI Ticketing'!B:BB,53,)</f>
        <v/>
      </c>
      <c r="BS19" s="37">
        <f>IF(BR19&gt;=0.9,1,IF(BR19&gt;=0.8,0.9,IF(BR19&gt;=0.7,0.8,IF(BR19&gt;=0.6,0.7,IF(BR19&gt;=0.5,0.6,IF(BR19&gt;=0.4,0.5,IF(BR19&gt;=0.3,0.4,IF(BR19&gt;=0.2,0.3,IF(BR19&gt;=0.1,0.2,0.1)))))))))</f>
        <v/>
      </c>
      <c r="BT19" s="37">
        <f>BS19*0.05</f>
        <v/>
      </c>
      <c r="BU19" s="39" t="n">
        <v>0.08</v>
      </c>
      <c r="BV19" s="39" t="n">
        <v>0.06</v>
      </c>
      <c r="BW19" s="39" t="n">
        <v>0.09</v>
      </c>
      <c r="BX19" s="39" t="n">
        <v>0.06</v>
      </c>
    </row>
    <row r="20">
      <c r="A20" t="inlineStr">
        <is>
          <t>R10_Sumbagteng</t>
        </is>
      </c>
      <c r="B20" t="inlineStr">
        <is>
          <t>NOP PEKANBARU</t>
        </is>
      </c>
      <c r="C20" s="36">
        <f>RANK(D20,$D$10:$D$43,0)</f>
        <v/>
      </c>
      <c r="D20" s="37">
        <f>(G20*0.35)+(O20*65%)</f>
        <v/>
      </c>
      <c r="E20" s="36">
        <f>IF(D20&gt;=0.95,"Istimewa",IF(D20&gt;0.9,"Baik Sekali",IF(D20&gt;0.85,"Baik",IF(D20&gt;0.8,"Cukup","Kurang"))))</f>
        <v/>
      </c>
      <c r="F20" s="37">
        <f>0.29*0.65</f>
        <v/>
      </c>
      <c r="G20" s="37">
        <f>N20</f>
        <v/>
      </c>
      <c r="H20" s="37">
        <f>VLOOKUP(B20,'KPI Availability'!B:O,14,)</f>
        <v/>
      </c>
      <c r="I20" s="37">
        <f>VLOOKUP(B20,'KPI Availability'!B:P,15,)</f>
        <v/>
      </c>
      <c r="J20" s="37">
        <f>VLOOKUP(B20,'KPI Availability'!B:Q,16,)</f>
        <v/>
      </c>
      <c r="K20" s="37">
        <f>VLOOKUP(B20,'KPI Availability'!B:R,17,)</f>
        <v/>
      </c>
      <c r="L20" s="37">
        <f>VLOOKUP(B20,'KPI Availability'!B:S,18,)</f>
        <v/>
      </c>
      <c r="M20" s="37">
        <f>VLOOKUP(B20,'KPI Availability'!B:T,19,)</f>
        <v/>
      </c>
      <c r="N20" s="37">
        <f>SUM(H20:M20)</f>
        <v/>
      </c>
      <c r="O20" s="37">
        <f>P20+Q20+R20</f>
        <v/>
      </c>
      <c r="P20" s="37">
        <f>SUM(AA20:AD20,AG20,AJ20,AM20,AP20,AS20,AV20)</f>
        <v/>
      </c>
      <c r="Q20" s="37">
        <f>SUM(BG20:BK20,BN20,BQ20,BT20)</f>
        <v/>
      </c>
      <c r="R20" s="37">
        <f>SUM(BU20:BX20)</f>
        <v/>
      </c>
      <c r="S20" s="38">
        <f>VLOOKUP(B20,'KPI Ticketing'!B:C,2,)</f>
        <v/>
      </c>
      <c r="T20" s="38">
        <f>VLOOKUP(B20,'KPI Ticketing'!B:D,3,)</f>
        <v/>
      </c>
      <c r="U20" s="38">
        <f>VLOOKUP(B20,'KPI Ticketing'!B:E,4,)</f>
        <v/>
      </c>
      <c r="V20" s="38">
        <f>VLOOKUP(B20,'KPI Ticketing'!B:F,5,)</f>
        <v/>
      </c>
      <c r="W20" s="37">
        <f>IF(S20&lt;=4,100%,IF(S20&lt;=6,70%,IF(S20&lt;=8,40%,10%)))</f>
        <v/>
      </c>
      <c r="X20" s="37">
        <f>IF(T20&lt;=8,100%,IF(T20&lt;=12,50%,25%))</f>
        <v/>
      </c>
      <c r="Y20" s="37">
        <f>IF(U20&lt;=10,100%,IF(U20&lt;=15,50%,25%))</f>
        <v/>
      </c>
      <c r="Z20" s="37">
        <f>IF(V20&lt;=13,100%,IF(V20&lt;=19,50%,25%))</f>
        <v/>
      </c>
      <c r="AA20" s="37">
        <f>W20*0.13</f>
        <v/>
      </c>
      <c r="AB20" s="37">
        <f>X20*0.06</f>
        <v/>
      </c>
      <c r="AC20" s="37">
        <f>Y20*0.04</f>
        <v/>
      </c>
      <c r="AD20" s="37">
        <f>Z20*0.02</f>
        <v/>
      </c>
      <c r="AE20" s="37">
        <f>VLOOKUP(B20,'KPI Ticketing'!B:N,13,)</f>
        <v/>
      </c>
      <c r="AF20" s="37">
        <f>IF(AE20&gt;=0.8,1,IF(AE20&gt;=0.7,0.9,IF(AE20&gt;=0.6,0.8,IF(AE20&gt;=0.5,0.7,IF(AE20&gt;=0.4,0.6,IF(AE20&gt;=0.3,0.5,IF(AE20&gt;=0.2,0.4,IF(AE20&gt;=0.1,0.3,0.2))))))))</f>
        <v/>
      </c>
      <c r="AG20" s="37">
        <f>AF20*0.03</f>
        <v/>
      </c>
      <c r="AH20" s="37">
        <f>VLOOKUP(B20,'KPI Ticketing'!B:R,17,)</f>
        <v/>
      </c>
      <c r="AI20" s="37">
        <f>IF(AH20&gt;=0.8,1,IF(AH20&gt;=0.7,0.9,IF(AH20&gt;=0.6,0.8,IF(AH20&gt;=0.5,0.7,IF(AH20&gt;=0.4,0.6,IF(AH20&gt;=0.3,0.5,IF(AH20&gt;=0.2,0.4,IF(AH20&gt;=0.1,0.3,0.2))))))))</f>
        <v/>
      </c>
      <c r="AJ20" s="37">
        <f>AI20*0.02</f>
        <v/>
      </c>
      <c r="AK20" s="37">
        <f>VLOOKUP(B20,'KPI Ticketing'!B:V,21,)</f>
        <v/>
      </c>
      <c r="AL20" s="37">
        <f>IF(AK20&gt;=0.9,1,IF(AK20&gt;=0.8,0.9,IF(AK20&gt;=0.7,0.8,IF(AK20&gt;=0.6,0.7,IF(AK20&gt;=0.5,0.6,IF(AK20&gt;=0.4,0.5,IF(AK20&gt;=0.3,0.4,IF(AK20&gt;=0.2,0.3,IF(AK20&gt;=0.1,0.2,0.1)))))))))</f>
        <v/>
      </c>
      <c r="AM20" s="37">
        <f>AL20*0.05</f>
        <v/>
      </c>
      <c r="AN20" s="37">
        <f>VLOOKUP(B20,'KPI Ticketing'!B:Z,25,)</f>
        <v/>
      </c>
      <c r="AO20" s="37">
        <f>IF(AN20&gt;=0.95,1,IF(AN20&gt;=0.9,0.9,IF(AN20&gt;=0.8,0.8,IF(AN20&gt;=0.7,0.7,IF(AN20&gt;=0.6,0.6,IF(AN20&gt;=0.5,0.5,IF(AN20&gt;=0.4,0.4,IF(AN20&gt;=0.3,0.3,IF(AN20&gt;=0.2,0.2,IF(AN20&gt;=0.1,0.1,0.05))))))))))</f>
        <v/>
      </c>
      <c r="AP20" s="37">
        <f>AO20*0.05</f>
        <v/>
      </c>
      <c r="AQ20" s="37">
        <f>VLOOKUP(B20,'KPI Ticketing'!B:AC,28,)</f>
        <v/>
      </c>
      <c r="AR20" s="37">
        <f>IF(AQ20&lt;0.95,0.5,1)</f>
        <v/>
      </c>
      <c r="AS20" s="37">
        <f>AR20*0.01</f>
        <v/>
      </c>
      <c r="AT20" s="37">
        <f>VLOOKUP(B20,'KPI Ticketing'!B:AG,32,)</f>
        <v/>
      </c>
      <c r="AU20" s="37">
        <f>IF(AT20&lt;0.3,0.5,1)</f>
        <v/>
      </c>
      <c r="AV20" s="37">
        <f>AU20*0.01</f>
        <v/>
      </c>
      <c r="AW20" s="38">
        <f>VLOOKUP(B20,'KPI Ticketing'!B:AH,33,)</f>
        <v/>
      </c>
      <c r="AX20" s="38">
        <f>VLOOKUP(B20,'KPI Ticketing'!B:AI,34,)</f>
        <v/>
      </c>
      <c r="AY20" s="38">
        <f>VLOOKUP(B20,'KPI Ticketing'!B:AJ,35,)</f>
        <v/>
      </c>
      <c r="AZ20" s="38">
        <f>VLOOKUP(B20,'KPI Ticketing'!B:AK,36,)</f>
        <v/>
      </c>
      <c r="BA20" s="38">
        <f>VLOOKUP(B20,'KPI Ticketing'!B:AL,37,)</f>
        <v/>
      </c>
      <c r="BB20" s="37">
        <f>IF(AW20&lt;=2,1,IF(AW20&lt;=3,0.7,IF(AW20&lt;=4,0.4,0.1)))</f>
        <v/>
      </c>
      <c r="BC20" s="37">
        <f>IF(AX20&lt;=4,1,IF(AX20&lt;=6,0.5,0.25))</f>
        <v/>
      </c>
      <c r="BD20" s="37">
        <f>IF(AY20&lt;=15,1,IF(AY20&lt;=22.5,0.5,0.25))</f>
        <v/>
      </c>
      <c r="BE20" s="37">
        <f>IF(AZ20&lt;=48,1,IF(AZ20&lt;=72,0.5,0.25))</f>
        <v/>
      </c>
      <c r="BF20" s="37">
        <f>IF(BA20=0, 0, IF(BA20&lt;=96, 1, IF(BA20&lt;=144, 0.5, 0.25)))</f>
        <v/>
      </c>
      <c r="BG20" s="37">
        <f>BB20*0.1</f>
        <v/>
      </c>
      <c r="BH20" s="37">
        <f>BC20*0.05</f>
        <v/>
      </c>
      <c r="BI20" s="37">
        <f>BD20*0.02</f>
        <v/>
      </c>
      <c r="BJ20" s="37">
        <f>BE20*0.01</f>
        <v/>
      </c>
      <c r="BK20" s="37">
        <f>BF20*0.01</f>
        <v/>
      </c>
      <c r="BL20" s="37">
        <f>VLOOKUP(B20,'KPI Ticketing'!B:AT,45,)</f>
        <v/>
      </c>
      <c r="BM20" s="37">
        <f>IF(BL20&gt;=0.8,1,IF(BL20&gt;=0.7,0.9,IF(BL20&gt;=0.6,0.8,IF(BL20&gt;=0.5,0.7,IF(BL20&gt;=0.4,0.6,IF(BL20&gt;=0.3,0.5,IF(BL20&gt;=0.2,0.4,IF(BL20&gt;=0.1,0.3,0.2))))))))</f>
        <v/>
      </c>
      <c r="BN20" s="37">
        <f>BM20*0.03</f>
        <v/>
      </c>
      <c r="BO20" s="37">
        <f>VLOOKUP(B20,'KPI Ticketing'!B:AX,49,)</f>
        <v/>
      </c>
      <c r="BP20" s="37">
        <f>IF(BO20&gt;=0.8,1,IF(BO20&gt;=0.7,0.9,IF(BO20&gt;=0.6,0.8,IF(BO20&gt;=0.5,0.7,IF(BO20&gt;=0.4,0.6,IF(BO20&gt;=0.3,0.5,IF(BO20&gt;=0.2,0.4,IF(BO20&gt;=0.1,0.3,0.2))))))))</f>
        <v/>
      </c>
      <c r="BQ20" s="37">
        <f>BP20*0.02</f>
        <v/>
      </c>
      <c r="BR20" s="37">
        <f>VLOOKUP(B20,'KPI Ticketing'!B:BB,53,)</f>
        <v/>
      </c>
      <c r="BS20" s="37">
        <f>IF(BR20&gt;=0.9,1,IF(BR20&gt;=0.8,0.9,IF(BR20&gt;=0.7,0.8,IF(BR20&gt;=0.6,0.7,IF(BR20&gt;=0.5,0.6,IF(BR20&gt;=0.4,0.5,IF(BR20&gt;=0.3,0.4,IF(BR20&gt;=0.2,0.3,IF(BR20&gt;=0.1,0.2,0.1)))))))))</f>
        <v/>
      </c>
      <c r="BT20" s="37">
        <f>BS20*0.05</f>
        <v/>
      </c>
      <c r="BU20" s="39" t="n">
        <v>0.08</v>
      </c>
      <c r="BV20" s="39" t="n">
        <v>0.06</v>
      </c>
      <c r="BW20" s="39" t="n">
        <v>0.09</v>
      </c>
      <c r="BX20" s="39" t="n">
        <v>0.06</v>
      </c>
    </row>
    <row r="21">
      <c r="A21" t="inlineStr">
        <is>
          <t>R02_Sumbagsel</t>
        </is>
      </c>
      <c r="B21" t="inlineStr">
        <is>
          <t>NOP BENGKULU</t>
        </is>
      </c>
      <c r="C21" s="36">
        <f>RANK(D21,$D$10:$D$43,0)</f>
        <v/>
      </c>
      <c r="D21" s="37">
        <f>(G21*0.35)+(O21*65%)</f>
        <v/>
      </c>
      <c r="E21" s="36">
        <f>IF(D21&gt;=0.95,"Istimewa",IF(D21&gt;0.9,"Baik Sekali",IF(D21&gt;0.85,"Baik",IF(D21&gt;0.8,"Cukup","Kurang"))))</f>
        <v/>
      </c>
      <c r="F21" s="37">
        <f>0.29*0.65</f>
        <v/>
      </c>
      <c r="G21" s="37">
        <f>N21</f>
        <v/>
      </c>
      <c r="H21" s="37">
        <f>VLOOKUP(B21,'KPI Availability'!B:O,14,)</f>
        <v/>
      </c>
      <c r="I21" s="37">
        <f>VLOOKUP(B21,'KPI Availability'!B:P,15,)</f>
        <v/>
      </c>
      <c r="J21" s="37">
        <f>VLOOKUP(B21,'KPI Availability'!B:Q,16,)</f>
        <v/>
      </c>
      <c r="K21" s="37">
        <f>VLOOKUP(B21,'KPI Availability'!B:R,17,)</f>
        <v/>
      </c>
      <c r="L21" s="37">
        <f>VLOOKUP(B21,'KPI Availability'!B:S,18,)</f>
        <v/>
      </c>
      <c r="M21" s="37">
        <f>VLOOKUP(B21,'KPI Availability'!B:T,19,)</f>
        <v/>
      </c>
      <c r="N21" s="37">
        <f>SUM(H21:M21)</f>
        <v/>
      </c>
      <c r="O21" s="37">
        <f>P21+Q21+R21</f>
        <v/>
      </c>
      <c r="P21" s="37">
        <f>SUM(AA21:AD21,AG21,AJ21,AM21,AP21,AS21,AV21)</f>
        <v/>
      </c>
      <c r="Q21" s="37">
        <f>SUM(BG21:BK21,BN21,BQ21,BT21)</f>
        <v/>
      </c>
      <c r="R21" s="37">
        <f>SUM(BU21:BX21)</f>
        <v/>
      </c>
      <c r="S21" s="38">
        <f>VLOOKUP(B21,'KPI Ticketing'!B:C,2,)</f>
        <v/>
      </c>
      <c r="T21" s="38">
        <f>VLOOKUP(B21,'KPI Ticketing'!B:D,3,)</f>
        <v/>
      </c>
      <c r="U21" s="38">
        <f>VLOOKUP(B21,'KPI Ticketing'!B:E,4,)</f>
        <v/>
      </c>
      <c r="V21" s="38">
        <f>VLOOKUP(B21,'KPI Ticketing'!B:F,5,)</f>
        <v/>
      </c>
      <c r="W21" s="37">
        <f>IF(S21&lt;=4,100%,IF(S21&lt;=6,70%,IF(S21&lt;=8,40%,10%)))</f>
        <v/>
      </c>
      <c r="X21" s="37">
        <f>IF(T21&lt;=8,100%,IF(T21&lt;=12,50%,25%))</f>
        <v/>
      </c>
      <c r="Y21" s="37">
        <f>IF(U21&lt;=10,100%,IF(U21&lt;=15,50%,25%))</f>
        <v/>
      </c>
      <c r="Z21" s="37">
        <f>IF(V21&lt;=13,100%,IF(V21&lt;=19,50%,25%))</f>
        <v/>
      </c>
      <c r="AA21" s="37">
        <f>W21*0.13</f>
        <v/>
      </c>
      <c r="AB21" s="37">
        <f>X21*0.06</f>
        <v/>
      </c>
      <c r="AC21" s="37">
        <f>Y21*0.04</f>
        <v/>
      </c>
      <c r="AD21" s="37">
        <f>Z21*0.02</f>
        <v/>
      </c>
      <c r="AE21" s="37">
        <f>VLOOKUP(B21,'KPI Ticketing'!B:N,13,)</f>
        <v/>
      </c>
      <c r="AF21" s="37">
        <f>IF(AE21&gt;=0.8,1,IF(AE21&gt;=0.7,0.9,IF(AE21&gt;=0.6,0.8,IF(AE21&gt;=0.5,0.7,IF(AE21&gt;=0.4,0.6,IF(AE21&gt;=0.3,0.5,IF(AE21&gt;=0.2,0.4,IF(AE21&gt;=0.1,0.3,0.2))))))))</f>
        <v/>
      </c>
      <c r="AG21" s="37">
        <f>AF21*0.03</f>
        <v/>
      </c>
      <c r="AH21" s="37">
        <f>VLOOKUP(B21,'KPI Ticketing'!B:R,17,)</f>
        <v/>
      </c>
      <c r="AI21" s="37">
        <f>IF(AH21&gt;=0.8,1,IF(AH21&gt;=0.7,0.9,IF(AH21&gt;=0.6,0.8,IF(AH21&gt;=0.5,0.7,IF(AH21&gt;=0.4,0.6,IF(AH21&gt;=0.3,0.5,IF(AH21&gt;=0.2,0.4,IF(AH21&gt;=0.1,0.3,0.2))))))))</f>
        <v/>
      </c>
      <c r="AJ21" s="37">
        <f>AI21*0.02</f>
        <v/>
      </c>
      <c r="AK21" s="37">
        <f>VLOOKUP(B21,'KPI Ticketing'!B:V,21,)</f>
        <v/>
      </c>
      <c r="AL21" s="37">
        <f>IF(AK21&gt;=0.9,1,IF(AK21&gt;=0.8,0.9,IF(AK21&gt;=0.7,0.8,IF(AK21&gt;=0.6,0.7,IF(AK21&gt;=0.5,0.6,IF(AK21&gt;=0.4,0.5,IF(AK21&gt;=0.3,0.4,IF(AK21&gt;=0.2,0.3,IF(AK21&gt;=0.1,0.2,0.1)))))))))</f>
        <v/>
      </c>
      <c r="AM21" s="37">
        <f>AL21*0.05</f>
        <v/>
      </c>
      <c r="AN21" s="37">
        <f>VLOOKUP(B21,'KPI Ticketing'!B:Z,25,)</f>
        <v/>
      </c>
      <c r="AO21" s="37">
        <f>IF(AN21&gt;=0.95,1,IF(AN21&gt;=0.9,0.9,IF(AN21&gt;=0.8,0.8,IF(AN21&gt;=0.7,0.7,IF(AN21&gt;=0.6,0.6,IF(AN21&gt;=0.5,0.5,IF(AN21&gt;=0.4,0.4,IF(AN21&gt;=0.3,0.3,IF(AN21&gt;=0.2,0.2,IF(AN21&gt;=0.1,0.1,0.05))))))))))</f>
        <v/>
      </c>
      <c r="AP21" s="37">
        <f>AO21*0.05</f>
        <v/>
      </c>
      <c r="AQ21" s="37">
        <f>VLOOKUP(B21,'KPI Ticketing'!B:AC,28,)</f>
        <v/>
      </c>
      <c r="AR21" s="37">
        <f>IF(AQ21&lt;0.95,0.5,1)</f>
        <v/>
      </c>
      <c r="AS21" s="37">
        <f>AR21*0.01</f>
        <v/>
      </c>
      <c r="AT21" s="37">
        <f>VLOOKUP(B21,'KPI Ticketing'!B:AG,32,)</f>
        <v/>
      </c>
      <c r="AU21" s="37">
        <f>IF(AT21&lt;0.3,0.5,1)</f>
        <v/>
      </c>
      <c r="AV21" s="37">
        <f>AU21*0.01</f>
        <v/>
      </c>
      <c r="AW21" s="38">
        <f>VLOOKUP(B21,'KPI Ticketing'!B:AH,33,)</f>
        <v/>
      </c>
      <c r="AX21" s="38">
        <f>VLOOKUP(B21,'KPI Ticketing'!B:AI,34,)</f>
        <v/>
      </c>
      <c r="AY21" s="38">
        <f>VLOOKUP(B21,'KPI Ticketing'!B:AJ,35,)</f>
        <v/>
      </c>
      <c r="AZ21" s="38">
        <f>VLOOKUP(B21,'KPI Ticketing'!B:AK,36,)</f>
        <v/>
      </c>
      <c r="BA21" s="38">
        <f>VLOOKUP(B21,'KPI Ticketing'!B:AL,37,)</f>
        <v/>
      </c>
      <c r="BB21" s="37">
        <f>IF(AW21&lt;=2,1,IF(AW21&lt;=3,0.7,IF(AW21&lt;=4,0.4,0.1)))</f>
        <v/>
      </c>
      <c r="BC21" s="37">
        <f>IF(AX21&lt;=4,1,IF(AX21&lt;=6,0.5,0.25))</f>
        <v/>
      </c>
      <c r="BD21" s="37">
        <f>IF(AY21&lt;=15,1,IF(AY21&lt;=22.5,0.5,0.25))</f>
        <v/>
      </c>
      <c r="BE21" s="37">
        <f>IF(AZ21&lt;=48,1,IF(AZ21&lt;=72,0.5,0.25))</f>
        <v/>
      </c>
      <c r="BF21" s="37">
        <f>IF(BA21=0, 0, IF(BA21&lt;=96, 1, IF(BA21&lt;=144, 0.5, 0.25)))</f>
        <v/>
      </c>
      <c r="BG21" s="37">
        <f>BB21*0.1</f>
        <v/>
      </c>
      <c r="BH21" s="37">
        <f>BC21*0.05</f>
        <v/>
      </c>
      <c r="BI21" s="37">
        <f>BD21*0.02</f>
        <v/>
      </c>
      <c r="BJ21" s="37">
        <f>BE21*0.01</f>
        <v/>
      </c>
      <c r="BK21" s="37">
        <f>BF21*0.01</f>
        <v/>
      </c>
      <c r="BL21" s="37">
        <f>VLOOKUP(B21,'KPI Ticketing'!B:AT,45,)</f>
        <v/>
      </c>
      <c r="BM21" s="37">
        <f>IF(BL21&gt;=0.8,1,IF(BL21&gt;=0.7,0.9,IF(BL21&gt;=0.6,0.8,IF(BL21&gt;=0.5,0.7,IF(BL21&gt;=0.4,0.6,IF(BL21&gt;=0.3,0.5,IF(BL21&gt;=0.2,0.4,IF(BL21&gt;=0.1,0.3,0.2))))))))</f>
        <v/>
      </c>
      <c r="BN21" s="37">
        <f>BM21*0.03</f>
        <v/>
      </c>
      <c r="BO21" s="37">
        <f>VLOOKUP(B21,'KPI Ticketing'!B:AX,49,)</f>
        <v/>
      </c>
      <c r="BP21" s="37">
        <f>IF(BO21&gt;=0.8,1,IF(BO21&gt;=0.7,0.9,IF(BO21&gt;=0.6,0.8,IF(BO21&gt;=0.5,0.7,IF(BO21&gt;=0.4,0.6,IF(BO21&gt;=0.3,0.5,IF(BO21&gt;=0.2,0.4,IF(BO21&gt;=0.1,0.3,0.2))))))))</f>
        <v/>
      </c>
      <c r="BQ21" s="37">
        <f>BP21*0.02</f>
        <v/>
      </c>
      <c r="BR21" s="37">
        <f>VLOOKUP(B21,'KPI Ticketing'!B:BB,53,)</f>
        <v/>
      </c>
      <c r="BS21" s="37">
        <f>IF(BR21&gt;=0.9,1,IF(BR21&gt;=0.8,0.9,IF(BR21&gt;=0.7,0.8,IF(BR21&gt;=0.6,0.7,IF(BR21&gt;=0.5,0.6,IF(BR21&gt;=0.4,0.5,IF(BR21&gt;=0.3,0.4,IF(BR21&gt;=0.2,0.3,IF(BR21&gt;=0.1,0.2,0.1)))))))))</f>
        <v/>
      </c>
      <c r="BT21" s="37">
        <f>BS21*0.05</f>
        <v/>
      </c>
      <c r="BU21" s="39" t="n">
        <v>0.08</v>
      </c>
      <c r="BV21" s="39" t="n">
        <v>0.06</v>
      </c>
      <c r="BW21" s="39" t="n">
        <v>0.09</v>
      </c>
      <c r="BX21" s="39" t="n">
        <v>0.06</v>
      </c>
    </row>
    <row r="22">
      <c r="A22" t="inlineStr">
        <is>
          <t>R02_Sumbagsel</t>
        </is>
      </c>
      <c r="B22" t="inlineStr">
        <is>
          <t>NOP JAMBI</t>
        </is>
      </c>
      <c r="C22" s="36">
        <f>RANK(D22,$D$10:$D$43,0)</f>
        <v/>
      </c>
      <c r="D22" s="37">
        <f>(G22*0.35)+(O22*65%)</f>
        <v/>
      </c>
      <c r="E22" s="36">
        <f>IF(D22&gt;=0.95,"Istimewa",IF(D22&gt;0.9,"Baik Sekali",IF(D22&gt;0.85,"Baik",IF(D22&gt;0.8,"Cukup","Kurang"))))</f>
        <v/>
      </c>
      <c r="F22" s="37">
        <f>0.29*0.65</f>
        <v/>
      </c>
      <c r="G22" s="37">
        <f>N22</f>
        <v/>
      </c>
      <c r="H22" s="37">
        <f>VLOOKUP(B22,'KPI Availability'!B:O,14,)</f>
        <v/>
      </c>
      <c r="I22" s="37">
        <f>VLOOKUP(B22,'KPI Availability'!B:P,15,)</f>
        <v/>
      </c>
      <c r="J22" s="37">
        <f>VLOOKUP(B22,'KPI Availability'!B:Q,16,)</f>
        <v/>
      </c>
      <c r="K22" s="37">
        <f>VLOOKUP(B22,'KPI Availability'!B:R,17,)</f>
        <v/>
      </c>
      <c r="L22" s="37">
        <f>VLOOKUP(B22,'KPI Availability'!B:S,18,)</f>
        <v/>
      </c>
      <c r="M22" s="37">
        <f>VLOOKUP(B22,'KPI Availability'!B:T,19,)</f>
        <v/>
      </c>
      <c r="N22" s="37">
        <f>SUM(H22:M22)</f>
        <v/>
      </c>
      <c r="O22" s="37">
        <f>P22+Q22+R22</f>
        <v/>
      </c>
      <c r="P22" s="37">
        <f>SUM(AA22:AD22,AG22,AJ22,AM22,AP22,AS22,AV22)</f>
        <v/>
      </c>
      <c r="Q22" s="37">
        <f>SUM(BG22:BK22,BN22,BQ22,BT22)</f>
        <v/>
      </c>
      <c r="R22" s="37">
        <f>SUM(BU22:BX22)</f>
        <v/>
      </c>
      <c r="S22" s="38">
        <f>VLOOKUP(B22,'KPI Ticketing'!B:C,2,)</f>
        <v/>
      </c>
      <c r="T22" s="38">
        <f>VLOOKUP(B22,'KPI Ticketing'!B:D,3,)</f>
        <v/>
      </c>
      <c r="U22" s="38">
        <f>VLOOKUP(B22,'KPI Ticketing'!B:E,4,)</f>
        <v/>
      </c>
      <c r="V22" s="38">
        <f>VLOOKUP(B22,'KPI Ticketing'!B:F,5,)</f>
        <v/>
      </c>
      <c r="W22" s="37">
        <f>IF(S22&lt;=4,100%,IF(S22&lt;=6,70%,IF(S22&lt;=8,40%,10%)))</f>
        <v/>
      </c>
      <c r="X22" s="37">
        <f>IF(T22&lt;=8,100%,IF(T22&lt;=12,50%,25%))</f>
        <v/>
      </c>
      <c r="Y22" s="37">
        <f>IF(U22&lt;=10,100%,IF(U22&lt;=15,50%,25%))</f>
        <v/>
      </c>
      <c r="Z22" s="37">
        <f>IF(V22&lt;=13,100%,IF(V22&lt;=19,50%,25%))</f>
        <v/>
      </c>
      <c r="AA22" s="37">
        <f>W22*0.13</f>
        <v/>
      </c>
      <c r="AB22" s="37">
        <f>X22*0.06</f>
        <v/>
      </c>
      <c r="AC22" s="37">
        <f>Y22*0.04</f>
        <v/>
      </c>
      <c r="AD22" s="37">
        <f>Z22*0.02</f>
        <v/>
      </c>
      <c r="AE22" s="37">
        <f>VLOOKUP(B22,'KPI Ticketing'!B:N,13,)</f>
        <v/>
      </c>
      <c r="AF22" s="37">
        <f>IF(AE22&gt;=0.8,1,IF(AE22&gt;=0.7,0.9,IF(AE22&gt;=0.6,0.8,IF(AE22&gt;=0.5,0.7,IF(AE22&gt;=0.4,0.6,IF(AE22&gt;=0.3,0.5,IF(AE22&gt;=0.2,0.4,IF(AE22&gt;=0.1,0.3,0.2))))))))</f>
        <v/>
      </c>
      <c r="AG22" s="37">
        <f>AF22*0.03</f>
        <v/>
      </c>
      <c r="AH22" s="37">
        <f>VLOOKUP(B22,'KPI Ticketing'!B:R,17,)</f>
        <v/>
      </c>
      <c r="AI22" s="37">
        <f>IF(AH22&gt;=0.8,1,IF(AH22&gt;=0.7,0.9,IF(AH22&gt;=0.6,0.8,IF(AH22&gt;=0.5,0.7,IF(AH22&gt;=0.4,0.6,IF(AH22&gt;=0.3,0.5,IF(AH22&gt;=0.2,0.4,IF(AH22&gt;=0.1,0.3,0.2))))))))</f>
        <v/>
      </c>
      <c r="AJ22" s="37">
        <f>AI22*0.02</f>
        <v/>
      </c>
      <c r="AK22" s="37">
        <f>VLOOKUP(B22,'KPI Ticketing'!B:V,21,)</f>
        <v/>
      </c>
      <c r="AL22" s="37">
        <f>IF(AK22&gt;=0.9,1,IF(AK22&gt;=0.8,0.9,IF(AK22&gt;=0.7,0.8,IF(AK22&gt;=0.6,0.7,IF(AK22&gt;=0.5,0.6,IF(AK22&gt;=0.4,0.5,IF(AK22&gt;=0.3,0.4,IF(AK22&gt;=0.2,0.3,IF(AK22&gt;=0.1,0.2,0.1)))))))))</f>
        <v/>
      </c>
      <c r="AM22" s="37">
        <f>AL22*0.05</f>
        <v/>
      </c>
      <c r="AN22" s="37">
        <f>VLOOKUP(B22,'KPI Ticketing'!B:Z,25,)</f>
        <v/>
      </c>
      <c r="AO22" s="37">
        <f>IF(AN22&gt;=0.95,1,IF(AN22&gt;=0.9,0.9,IF(AN22&gt;=0.8,0.8,IF(AN22&gt;=0.7,0.7,IF(AN22&gt;=0.6,0.6,IF(AN22&gt;=0.5,0.5,IF(AN22&gt;=0.4,0.4,IF(AN22&gt;=0.3,0.3,IF(AN22&gt;=0.2,0.2,IF(AN22&gt;=0.1,0.1,0.05))))))))))</f>
        <v/>
      </c>
      <c r="AP22" s="37">
        <f>AO22*0.05</f>
        <v/>
      </c>
      <c r="AQ22" s="37">
        <f>VLOOKUP(B22,'KPI Ticketing'!B:AC,28,)</f>
        <v/>
      </c>
      <c r="AR22" s="37">
        <f>IF(AQ22&lt;0.95,0.5,1)</f>
        <v/>
      </c>
      <c r="AS22" s="37">
        <f>AR22*0.01</f>
        <v/>
      </c>
      <c r="AT22" s="37">
        <f>VLOOKUP(B22,'KPI Ticketing'!B:AG,32,)</f>
        <v/>
      </c>
      <c r="AU22" s="37">
        <f>IF(AT22&lt;0.3,0.5,1)</f>
        <v/>
      </c>
      <c r="AV22" s="37">
        <f>AU22*0.01</f>
        <v/>
      </c>
      <c r="AW22" s="38">
        <f>VLOOKUP(B22,'KPI Ticketing'!B:AH,33,)</f>
        <v/>
      </c>
      <c r="AX22" s="38">
        <f>VLOOKUP(B22,'KPI Ticketing'!B:AI,34,)</f>
        <v/>
      </c>
      <c r="AY22" s="38">
        <f>VLOOKUP(B22,'KPI Ticketing'!B:AJ,35,)</f>
        <v/>
      </c>
      <c r="AZ22" s="38">
        <f>VLOOKUP(B22,'KPI Ticketing'!B:AK,36,)</f>
        <v/>
      </c>
      <c r="BA22" s="38">
        <f>VLOOKUP(B22,'KPI Ticketing'!B:AL,37,)</f>
        <v/>
      </c>
      <c r="BB22" s="37">
        <f>IF(AW22&lt;=2,1,IF(AW22&lt;=3,0.7,IF(AW22&lt;=4,0.4,0.1)))</f>
        <v/>
      </c>
      <c r="BC22" s="37">
        <f>IF(AX22&lt;=4,1,IF(AX22&lt;=6,0.5,0.25))</f>
        <v/>
      </c>
      <c r="BD22" s="37">
        <f>IF(AY22&lt;=15,1,IF(AY22&lt;=22.5,0.5,0.25))</f>
        <v/>
      </c>
      <c r="BE22" s="37">
        <f>IF(AZ22&lt;=48,1,IF(AZ22&lt;=72,0.5,0.25))</f>
        <v/>
      </c>
      <c r="BF22" s="37">
        <f>IF(BA22=0, 0, IF(BA22&lt;=96, 1, IF(BA22&lt;=144, 0.5, 0.25)))</f>
        <v/>
      </c>
      <c r="BG22" s="37">
        <f>BB22*0.1</f>
        <v/>
      </c>
      <c r="BH22" s="37">
        <f>BC22*0.05</f>
        <v/>
      </c>
      <c r="BI22" s="37">
        <f>BD22*0.02</f>
        <v/>
      </c>
      <c r="BJ22" s="37">
        <f>BE22*0.01</f>
        <v/>
      </c>
      <c r="BK22" s="37">
        <f>BF22*0.01</f>
        <v/>
      </c>
      <c r="BL22" s="37">
        <f>VLOOKUP(B22,'KPI Ticketing'!B:AT,45,)</f>
        <v/>
      </c>
      <c r="BM22" s="37">
        <f>IF(BL22&gt;=0.8,1,IF(BL22&gt;=0.7,0.9,IF(BL22&gt;=0.6,0.8,IF(BL22&gt;=0.5,0.7,IF(BL22&gt;=0.4,0.6,IF(BL22&gt;=0.3,0.5,IF(BL22&gt;=0.2,0.4,IF(BL22&gt;=0.1,0.3,0.2))))))))</f>
        <v/>
      </c>
      <c r="BN22" s="37">
        <f>BM22*0.03</f>
        <v/>
      </c>
      <c r="BO22" s="37">
        <f>VLOOKUP(B22,'KPI Ticketing'!B:AX,49,)</f>
        <v/>
      </c>
      <c r="BP22" s="37">
        <f>IF(BO22&gt;=0.8,1,IF(BO22&gt;=0.7,0.9,IF(BO22&gt;=0.6,0.8,IF(BO22&gt;=0.5,0.7,IF(BO22&gt;=0.4,0.6,IF(BO22&gt;=0.3,0.5,IF(BO22&gt;=0.2,0.4,IF(BO22&gt;=0.1,0.3,0.2))))))))</f>
        <v/>
      </c>
      <c r="BQ22" s="37">
        <f>BP22*0.02</f>
        <v/>
      </c>
      <c r="BR22" s="37">
        <f>VLOOKUP(B22,'KPI Ticketing'!B:BB,53,)</f>
        <v/>
      </c>
      <c r="BS22" s="37">
        <f>IF(BR22&gt;=0.9,1,IF(BR22&gt;=0.8,0.9,IF(BR22&gt;=0.7,0.8,IF(BR22&gt;=0.6,0.7,IF(BR22&gt;=0.5,0.6,IF(BR22&gt;=0.4,0.5,IF(BR22&gt;=0.3,0.4,IF(BR22&gt;=0.2,0.3,IF(BR22&gt;=0.1,0.2,0.1)))))))))</f>
        <v/>
      </c>
      <c r="BT22" s="37">
        <f>BS22*0.05</f>
        <v/>
      </c>
      <c r="BU22" s="39" t="n">
        <v>0.08</v>
      </c>
      <c r="BV22" s="39" t="n">
        <v>0.06</v>
      </c>
      <c r="BW22" s="39" t="n">
        <v>0.09</v>
      </c>
      <c r="BX22" s="39" t="n">
        <v>0.06</v>
      </c>
    </row>
    <row r="23">
      <c r="A23" t="inlineStr">
        <is>
          <t>R02_Sumbagsel</t>
        </is>
      </c>
      <c r="B23" t="inlineStr">
        <is>
          <t>NOP LAMPUNG</t>
        </is>
      </c>
      <c r="C23" s="36">
        <f>RANK(D23,$D$10:$D$43,0)</f>
        <v/>
      </c>
      <c r="D23" s="37">
        <f>(G23*0.35)+(O23*65%)</f>
        <v/>
      </c>
      <c r="E23" s="36">
        <f>IF(D23&gt;=0.95,"Istimewa",IF(D23&gt;0.9,"Baik Sekali",IF(D23&gt;0.85,"Baik",IF(D23&gt;0.8,"Cukup","Kurang"))))</f>
        <v/>
      </c>
      <c r="F23" s="37">
        <f>0.29*0.65</f>
        <v/>
      </c>
      <c r="G23" s="37">
        <f>N23</f>
        <v/>
      </c>
      <c r="H23" s="37">
        <f>VLOOKUP(B23,'KPI Availability'!B:O,14,)</f>
        <v/>
      </c>
      <c r="I23" s="37">
        <f>VLOOKUP(B23,'KPI Availability'!B:P,15,)</f>
        <v/>
      </c>
      <c r="J23" s="37">
        <f>VLOOKUP(B23,'KPI Availability'!B:Q,16,)</f>
        <v/>
      </c>
      <c r="K23" s="37">
        <f>VLOOKUP(B23,'KPI Availability'!B:R,17,)</f>
        <v/>
      </c>
      <c r="L23" s="37">
        <f>VLOOKUP(B23,'KPI Availability'!B:S,18,)</f>
        <v/>
      </c>
      <c r="M23" s="37">
        <f>VLOOKUP(B23,'KPI Availability'!B:T,19,)</f>
        <v/>
      </c>
      <c r="N23" s="37">
        <f>SUM(H23:M23)</f>
        <v/>
      </c>
      <c r="O23" s="37">
        <f>P23+Q23+R23</f>
        <v/>
      </c>
      <c r="P23" s="37">
        <f>SUM(AA23:AD23,AG23,AJ23,AM23,AP23,AS23,AV23)</f>
        <v/>
      </c>
      <c r="Q23" s="37">
        <f>SUM(BG23:BK23,BN23,BQ23,BT23)</f>
        <v/>
      </c>
      <c r="R23" s="37">
        <f>SUM(BU23:BX23)</f>
        <v/>
      </c>
      <c r="S23" s="38">
        <f>VLOOKUP(B23,'KPI Ticketing'!B:C,2,)</f>
        <v/>
      </c>
      <c r="T23" s="38">
        <f>VLOOKUP(B23,'KPI Ticketing'!B:D,3,)</f>
        <v/>
      </c>
      <c r="U23" s="38">
        <f>VLOOKUP(B23,'KPI Ticketing'!B:E,4,)</f>
        <v/>
      </c>
      <c r="V23" s="38">
        <f>VLOOKUP(B23,'KPI Ticketing'!B:F,5,)</f>
        <v/>
      </c>
      <c r="W23" s="37">
        <f>IF(S23&lt;=4,100%,IF(S23&lt;=6,70%,IF(S23&lt;=8,40%,10%)))</f>
        <v/>
      </c>
      <c r="X23" s="37">
        <f>IF(T23&lt;=8,100%,IF(T23&lt;=12,50%,25%))</f>
        <v/>
      </c>
      <c r="Y23" s="37">
        <f>IF(U23&lt;=10,100%,IF(U23&lt;=15,50%,25%))</f>
        <v/>
      </c>
      <c r="Z23" s="37">
        <f>IF(V23&lt;=13,100%,IF(V23&lt;=19,50%,25%))</f>
        <v/>
      </c>
      <c r="AA23" s="37">
        <f>W23*0.13</f>
        <v/>
      </c>
      <c r="AB23" s="37">
        <f>X23*0.06</f>
        <v/>
      </c>
      <c r="AC23" s="37">
        <f>Y23*0.04</f>
        <v/>
      </c>
      <c r="AD23" s="37">
        <f>Z23*0.02</f>
        <v/>
      </c>
      <c r="AE23" s="37">
        <f>VLOOKUP(B23,'KPI Ticketing'!B:N,13,)</f>
        <v/>
      </c>
      <c r="AF23" s="37">
        <f>IF(AE23&gt;=0.8,1,IF(AE23&gt;=0.7,0.9,IF(AE23&gt;=0.6,0.8,IF(AE23&gt;=0.5,0.7,IF(AE23&gt;=0.4,0.6,IF(AE23&gt;=0.3,0.5,IF(AE23&gt;=0.2,0.4,IF(AE23&gt;=0.1,0.3,0.2))))))))</f>
        <v/>
      </c>
      <c r="AG23" s="37">
        <f>AF23*0.03</f>
        <v/>
      </c>
      <c r="AH23" s="37">
        <f>VLOOKUP(B23,'KPI Ticketing'!B:R,17,)</f>
        <v/>
      </c>
      <c r="AI23" s="37">
        <f>IF(AH23&gt;=0.8,1,IF(AH23&gt;=0.7,0.9,IF(AH23&gt;=0.6,0.8,IF(AH23&gt;=0.5,0.7,IF(AH23&gt;=0.4,0.6,IF(AH23&gt;=0.3,0.5,IF(AH23&gt;=0.2,0.4,IF(AH23&gt;=0.1,0.3,0.2))))))))</f>
        <v/>
      </c>
      <c r="AJ23" s="37">
        <f>AI23*0.02</f>
        <v/>
      </c>
      <c r="AK23" s="37">
        <f>VLOOKUP(B23,'KPI Ticketing'!B:V,21,)</f>
        <v/>
      </c>
      <c r="AL23" s="37">
        <f>IF(AK23&gt;=0.9,1,IF(AK23&gt;=0.8,0.9,IF(AK23&gt;=0.7,0.8,IF(AK23&gt;=0.6,0.7,IF(AK23&gt;=0.5,0.6,IF(AK23&gt;=0.4,0.5,IF(AK23&gt;=0.3,0.4,IF(AK23&gt;=0.2,0.3,IF(AK23&gt;=0.1,0.2,0.1)))))))))</f>
        <v/>
      </c>
      <c r="AM23" s="37">
        <f>AL23*0.05</f>
        <v/>
      </c>
      <c r="AN23" s="37">
        <f>VLOOKUP(B23,'KPI Ticketing'!B:Z,25,)</f>
        <v/>
      </c>
      <c r="AO23" s="37">
        <f>IF(AN23&gt;=0.95,1,IF(AN23&gt;=0.9,0.9,IF(AN23&gt;=0.8,0.8,IF(AN23&gt;=0.7,0.7,IF(AN23&gt;=0.6,0.6,IF(AN23&gt;=0.5,0.5,IF(AN23&gt;=0.4,0.4,IF(AN23&gt;=0.3,0.3,IF(AN23&gt;=0.2,0.2,IF(AN23&gt;=0.1,0.1,0.05))))))))))</f>
        <v/>
      </c>
      <c r="AP23" s="37">
        <f>AO23*0.05</f>
        <v/>
      </c>
      <c r="AQ23" s="37">
        <f>VLOOKUP(B23,'KPI Ticketing'!B:AC,28,)</f>
        <v/>
      </c>
      <c r="AR23" s="37">
        <f>IF(AQ23&lt;0.95,0.5,1)</f>
        <v/>
      </c>
      <c r="AS23" s="37">
        <f>AR23*0.01</f>
        <v/>
      </c>
      <c r="AT23" s="37">
        <f>VLOOKUP(B23,'KPI Ticketing'!B:AG,32,)</f>
        <v/>
      </c>
      <c r="AU23" s="37">
        <f>IF(AT23&lt;0.3,0.5,1)</f>
        <v/>
      </c>
      <c r="AV23" s="37">
        <f>AU23*0.01</f>
        <v/>
      </c>
      <c r="AW23" s="38">
        <f>VLOOKUP(B23,'KPI Ticketing'!B:AH,33,)</f>
        <v/>
      </c>
      <c r="AX23" s="38">
        <f>VLOOKUP(B23,'KPI Ticketing'!B:AI,34,)</f>
        <v/>
      </c>
      <c r="AY23" s="38">
        <f>VLOOKUP(B23,'KPI Ticketing'!B:AJ,35,)</f>
        <v/>
      </c>
      <c r="AZ23" s="38">
        <f>VLOOKUP(B23,'KPI Ticketing'!B:AK,36,)</f>
        <v/>
      </c>
      <c r="BA23" s="38">
        <f>VLOOKUP(B23,'KPI Ticketing'!B:AL,37,)</f>
        <v/>
      </c>
      <c r="BB23" s="37">
        <f>IF(AW23&lt;=2,1,IF(AW23&lt;=3,0.7,IF(AW23&lt;=4,0.4,0.1)))</f>
        <v/>
      </c>
      <c r="BC23" s="37">
        <f>IF(AX23&lt;=4,1,IF(AX23&lt;=6,0.5,0.25))</f>
        <v/>
      </c>
      <c r="BD23" s="37">
        <f>IF(AY23&lt;=15,1,IF(AY23&lt;=22.5,0.5,0.25))</f>
        <v/>
      </c>
      <c r="BE23" s="37">
        <f>IF(AZ23&lt;=48,1,IF(AZ23&lt;=72,0.5,0.25))</f>
        <v/>
      </c>
      <c r="BF23" s="37">
        <f>IF(BA23=0, 0, IF(BA23&lt;=96, 1, IF(BA23&lt;=144, 0.5, 0.25)))</f>
        <v/>
      </c>
      <c r="BG23" s="37">
        <f>BB23*0.1</f>
        <v/>
      </c>
      <c r="BH23" s="37">
        <f>BC23*0.05</f>
        <v/>
      </c>
      <c r="BI23" s="37">
        <f>BD23*0.02</f>
        <v/>
      </c>
      <c r="BJ23" s="37">
        <f>BE23*0.01</f>
        <v/>
      </c>
      <c r="BK23" s="37">
        <f>BF23*0.01</f>
        <v/>
      </c>
      <c r="BL23" s="37">
        <f>VLOOKUP(B23,'KPI Ticketing'!B:AT,45,)</f>
        <v/>
      </c>
      <c r="BM23" s="37">
        <f>IF(BL23&gt;=0.8,1,IF(BL23&gt;=0.7,0.9,IF(BL23&gt;=0.6,0.8,IF(BL23&gt;=0.5,0.7,IF(BL23&gt;=0.4,0.6,IF(BL23&gt;=0.3,0.5,IF(BL23&gt;=0.2,0.4,IF(BL23&gt;=0.1,0.3,0.2))))))))</f>
        <v/>
      </c>
      <c r="BN23" s="37">
        <f>BM23*0.03</f>
        <v/>
      </c>
      <c r="BO23" s="37">
        <f>VLOOKUP(B23,'KPI Ticketing'!B:AX,49,)</f>
        <v/>
      </c>
      <c r="BP23" s="37">
        <f>IF(BO23&gt;=0.8,1,IF(BO23&gt;=0.7,0.9,IF(BO23&gt;=0.6,0.8,IF(BO23&gt;=0.5,0.7,IF(BO23&gt;=0.4,0.6,IF(BO23&gt;=0.3,0.5,IF(BO23&gt;=0.2,0.4,IF(BO23&gt;=0.1,0.3,0.2))))))))</f>
        <v/>
      </c>
      <c r="BQ23" s="37">
        <f>BP23*0.02</f>
        <v/>
      </c>
      <c r="BR23" s="37">
        <f>VLOOKUP(B23,'KPI Ticketing'!B:BB,53,)</f>
        <v/>
      </c>
      <c r="BS23" s="37">
        <f>IF(BR23&gt;=0.9,1,IF(BR23&gt;=0.8,0.9,IF(BR23&gt;=0.7,0.8,IF(BR23&gt;=0.6,0.7,IF(BR23&gt;=0.5,0.6,IF(BR23&gt;=0.4,0.5,IF(BR23&gt;=0.3,0.4,IF(BR23&gt;=0.2,0.3,IF(BR23&gt;=0.1,0.2,0.1)))))))))</f>
        <v/>
      </c>
      <c r="BT23" s="37">
        <f>BS23*0.05</f>
        <v/>
      </c>
      <c r="BU23" s="39" t="n">
        <v>0.08</v>
      </c>
      <c r="BV23" s="39" t="n">
        <v>0.06</v>
      </c>
      <c r="BW23" s="39" t="n">
        <v>0.09</v>
      </c>
      <c r="BX23" s="39" t="n">
        <v>0.06</v>
      </c>
    </row>
    <row r="24">
      <c r="A24" t="inlineStr">
        <is>
          <t>R02_Sumbagsel</t>
        </is>
      </c>
      <c r="B24" t="inlineStr">
        <is>
          <t>NOP MUARA ENIM</t>
        </is>
      </c>
      <c r="C24" s="36">
        <f>RANK(D24,$D$10:$D$43,0)</f>
        <v/>
      </c>
      <c r="D24" s="37">
        <f>(G24*0.35)+(O24*65%)</f>
        <v/>
      </c>
      <c r="E24" s="36">
        <f>IF(D24&gt;=0.95,"Istimewa",IF(D24&gt;0.9,"Baik Sekali",IF(D24&gt;0.85,"Baik",IF(D24&gt;0.8,"Cukup","Kurang"))))</f>
        <v/>
      </c>
      <c r="F24" s="37">
        <f>0.29*0.65</f>
        <v/>
      </c>
      <c r="G24" s="37">
        <f>N24</f>
        <v/>
      </c>
      <c r="H24" s="37">
        <f>VLOOKUP(B24,'KPI Availability'!B:O,14,)</f>
        <v/>
      </c>
      <c r="I24" s="37">
        <f>VLOOKUP(B24,'KPI Availability'!B:P,15,)</f>
        <v/>
      </c>
      <c r="J24" s="37">
        <f>VLOOKUP(B24,'KPI Availability'!B:Q,16,)</f>
        <v/>
      </c>
      <c r="K24" s="37">
        <f>VLOOKUP(B24,'KPI Availability'!B:R,17,)</f>
        <v/>
      </c>
      <c r="L24" s="37">
        <f>VLOOKUP(B24,'KPI Availability'!B:S,18,)</f>
        <v/>
      </c>
      <c r="M24" s="37">
        <f>VLOOKUP(B24,'KPI Availability'!B:T,19,)</f>
        <v/>
      </c>
      <c r="N24" s="37">
        <f>SUM(H24:M24)</f>
        <v/>
      </c>
      <c r="O24" s="37">
        <f>P24+Q24+R24</f>
        <v/>
      </c>
      <c r="P24" s="37">
        <f>SUM(AA24:AD24,AG24,AJ24,AM24,AP24,AS24,AV24)</f>
        <v/>
      </c>
      <c r="Q24" s="37">
        <f>SUM(BG24:BK24,BN24,BQ24,BT24)</f>
        <v/>
      </c>
      <c r="R24" s="37">
        <f>SUM(BU24:BX24)</f>
        <v/>
      </c>
      <c r="S24" s="38">
        <f>VLOOKUP(B24,'KPI Ticketing'!B:C,2,)</f>
        <v/>
      </c>
      <c r="T24" s="38">
        <f>VLOOKUP(B24,'KPI Ticketing'!B:D,3,)</f>
        <v/>
      </c>
      <c r="U24" s="38">
        <f>VLOOKUP(B24,'KPI Ticketing'!B:E,4,)</f>
        <v/>
      </c>
      <c r="V24" s="38">
        <f>VLOOKUP(B24,'KPI Ticketing'!B:F,5,)</f>
        <v/>
      </c>
      <c r="W24" s="37">
        <f>IF(S24&lt;=4,100%,IF(S24&lt;=6,70%,IF(S24&lt;=8,40%,10%)))</f>
        <v/>
      </c>
      <c r="X24" s="37">
        <f>IF(T24&lt;=8,100%,IF(T24&lt;=12,50%,25%))</f>
        <v/>
      </c>
      <c r="Y24" s="37">
        <f>IF(U24&lt;=10,100%,IF(U24&lt;=15,50%,25%))</f>
        <v/>
      </c>
      <c r="Z24" s="37">
        <f>IF(V24&lt;=13,100%,IF(V24&lt;=19,50%,25%))</f>
        <v/>
      </c>
      <c r="AA24" s="37">
        <f>W24*0.13</f>
        <v/>
      </c>
      <c r="AB24" s="37">
        <f>X24*0.06</f>
        <v/>
      </c>
      <c r="AC24" s="37">
        <f>Y24*0.04</f>
        <v/>
      </c>
      <c r="AD24" s="37">
        <f>Z24*0.02</f>
        <v/>
      </c>
      <c r="AE24" s="37">
        <f>VLOOKUP(B24,'KPI Ticketing'!B:N,13,)</f>
        <v/>
      </c>
      <c r="AF24" s="37">
        <f>IF(AE24&gt;=0.8,1,IF(AE24&gt;=0.7,0.9,IF(AE24&gt;=0.6,0.8,IF(AE24&gt;=0.5,0.7,IF(AE24&gt;=0.4,0.6,IF(AE24&gt;=0.3,0.5,IF(AE24&gt;=0.2,0.4,IF(AE24&gt;=0.1,0.3,0.2))))))))</f>
        <v/>
      </c>
      <c r="AG24" s="37">
        <f>AF24*0.03</f>
        <v/>
      </c>
      <c r="AH24" s="37">
        <f>VLOOKUP(B24,'KPI Ticketing'!B:R,17,)</f>
        <v/>
      </c>
      <c r="AI24" s="37">
        <f>IF(AH24&gt;=0.8,1,IF(AH24&gt;=0.7,0.9,IF(AH24&gt;=0.6,0.8,IF(AH24&gt;=0.5,0.7,IF(AH24&gt;=0.4,0.6,IF(AH24&gt;=0.3,0.5,IF(AH24&gt;=0.2,0.4,IF(AH24&gt;=0.1,0.3,0.2))))))))</f>
        <v/>
      </c>
      <c r="AJ24" s="37">
        <f>AI24*0.02</f>
        <v/>
      </c>
      <c r="AK24" s="37">
        <f>VLOOKUP(B24,'KPI Ticketing'!B:V,21,)</f>
        <v/>
      </c>
      <c r="AL24" s="37">
        <f>IF(AK24&gt;=0.9,1,IF(AK24&gt;=0.8,0.9,IF(AK24&gt;=0.7,0.8,IF(AK24&gt;=0.6,0.7,IF(AK24&gt;=0.5,0.6,IF(AK24&gt;=0.4,0.5,IF(AK24&gt;=0.3,0.4,IF(AK24&gt;=0.2,0.3,IF(AK24&gt;=0.1,0.2,0.1)))))))))</f>
        <v/>
      </c>
      <c r="AM24" s="37">
        <f>AL24*0.05</f>
        <v/>
      </c>
      <c r="AN24" s="37">
        <f>VLOOKUP(B24,'KPI Ticketing'!B:Z,25,)</f>
        <v/>
      </c>
      <c r="AO24" s="37">
        <f>IF(AN24&gt;=0.95,1,IF(AN24&gt;=0.9,0.9,IF(AN24&gt;=0.8,0.8,IF(AN24&gt;=0.7,0.7,IF(AN24&gt;=0.6,0.6,IF(AN24&gt;=0.5,0.5,IF(AN24&gt;=0.4,0.4,IF(AN24&gt;=0.3,0.3,IF(AN24&gt;=0.2,0.2,IF(AN24&gt;=0.1,0.1,0.05))))))))))</f>
        <v/>
      </c>
      <c r="AP24" s="37">
        <f>AO24*0.05</f>
        <v/>
      </c>
      <c r="AQ24" s="37">
        <f>VLOOKUP(B24,'KPI Ticketing'!B:AC,28,)</f>
        <v/>
      </c>
      <c r="AR24" s="37">
        <f>IF(AQ24&lt;0.95,0.5,1)</f>
        <v/>
      </c>
      <c r="AS24" s="37">
        <f>AR24*0.01</f>
        <v/>
      </c>
      <c r="AT24" s="37">
        <f>VLOOKUP(B24,'KPI Ticketing'!B:AG,32,)</f>
        <v/>
      </c>
      <c r="AU24" s="37">
        <f>IF(AT24&lt;0.3,0.5,1)</f>
        <v/>
      </c>
      <c r="AV24" s="37">
        <f>AU24*0.01</f>
        <v/>
      </c>
      <c r="AW24" s="38">
        <f>VLOOKUP(B24,'KPI Ticketing'!B:AH,33,)</f>
        <v/>
      </c>
      <c r="AX24" s="38">
        <f>VLOOKUP(B24,'KPI Ticketing'!B:AI,34,)</f>
        <v/>
      </c>
      <c r="AY24" s="38">
        <f>VLOOKUP(B24,'KPI Ticketing'!B:AJ,35,)</f>
        <v/>
      </c>
      <c r="AZ24" s="38">
        <f>VLOOKUP(B24,'KPI Ticketing'!B:AK,36,)</f>
        <v/>
      </c>
      <c r="BA24" s="38">
        <f>VLOOKUP(B24,'KPI Ticketing'!B:AL,37,)</f>
        <v/>
      </c>
      <c r="BB24" s="37">
        <f>IF(AW24&lt;=2,1,IF(AW24&lt;=3,0.7,IF(AW24&lt;=4,0.4,0.1)))</f>
        <v/>
      </c>
      <c r="BC24" s="37">
        <f>IF(AX24&lt;=4,1,IF(AX24&lt;=6,0.5,0.25))</f>
        <v/>
      </c>
      <c r="BD24" s="37">
        <f>IF(AY24&lt;=15,1,IF(AY24&lt;=22.5,0.5,0.25))</f>
        <v/>
      </c>
      <c r="BE24" s="37">
        <f>IF(AZ24&lt;=48,1,IF(AZ24&lt;=72,0.5,0.25))</f>
        <v/>
      </c>
      <c r="BF24" s="37">
        <f>IF(BA24=0, 0, IF(BA24&lt;=96, 1, IF(BA24&lt;=144, 0.5, 0.25)))</f>
        <v/>
      </c>
      <c r="BG24" s="37">
        <f>BB24*0.1</f>
        <v/>
      </c>
      <c r="BH24" s="37">
        <f>BC24*0.05</f>
        <v/>
      </c>
      <c r="BI24" s="37">
        <f>BD24*0.02</f>
        <v/>
      </c>
      <c r="BJ24" s="37">
        <f>BE24*0.01</f>
        <v/>
      </c>
      <c r="BK24" s="37">
        <f>BF24*0.01</f>
        <v/>
      </c>
      <c r="BL24" s="37">
        <f>VLOOKUP(B24,'KPI Ticketing'!B:AT,45,)</f>
        <v/>
      </c>
      <c r="BM24" s="37">
        <f>IF(BL24&gt;=0.8,1,IF(BL24&gt;=0.7,0.9,IF(BL24&gt;=0.6,0.8,IF(BL24&gt;=0.5,0.7,IF(BL24&gt;=0.4,0.6,IF(BL24&gt;=0.3,0.5,IF(BL24&gt;=0.2,0.4,IF(BL24&gt;=0.1,0.3,0.2))))))))</f>
        <v/>
      </c>
      <c r="BN24" s="37">
        <f>BM24*0.03</f>
        <v/>
      </c>
      <c r="BO24" s="37">
        <f>VLOOKUP(B24,'KPI Ticketing'!B:AX,49,)</f>
        <v/>
      </c>
      <c r="BP24" s="37">
        <f>IF(BO24&gt;=0.8,1,IF(BO24&gt;=0.7,0.9,IF(BO24&gt;=0.6,0.8,IF(BO24&gt;=0.5,0.7,IF(BO24&gt;=0.4,0.6,IF(BO24&gt;=0.3,0.5,IF(BO24&gt;=0.2,0.4,IF(BO24&gt;=0.1,0.3,0.2))))))))</f>
        <v/>
      </c>
      <c r="BQ24" s="37">
        <f>BP24*0.02</f>
        <v/>
      </c>
      <c r="BR24" s="37">
        <f>VLOOKUP(B24,'KPI Ticketing'!B:BB,53,)</f>
        <v/>
      </c>
      <c r="BS24" s="37">
        <f>IF(BR24&gt;=0.9,1,IF(BR24&gt;=0.8,0.9,IF(BR24&gt;=0.7,0.8,IF(BR24&gt;=0.6,0.7,IF(BR24&gt;=0.5,0.6,IF(BR24&gt;=0.4,0.5,IF(BR24&gt;=0.3,0.4,IF(BR24&gt;=0.2,0.3,IF(BR24&gt;=0.1,0.2,0.1)))))))))</f>
        <v/>
      </c>
      <c r="BT24" s="37">
        <f>BS24*0.05</f>
        <v/>
      </c>
      <c r="BU24" s="39" t="n">
        <v>0.08</v>
      </c>
      <c r="BV24" s="39" t="n">
        <v>0.06</v>
      </c>
      <c r="BW24" s="39" t="n">
        <v>0.09</v>
      </c>
      <c r="BX24" s="39" t="n">
        <v>0.06</v>
      </c>
    </row>
    <row r="25">
      <c r="A25" t="inlineStr">
        <is>
          <t>R02_Sumbagsel</t>
        </is>
      </c>
      <c r="B25" t="inlineStr">
        <is>
          <t>NOP PALEMBANG</t>
        </is>
      </c>
      <c r="C25" s="36">
        <f>RANK(D25,$D$10:$D$43,0)</f>
        <v/>
      </c>
      <c r="D25" s="37">
        <f>(G25*0.35)+(O25*65%)</f>
        <v/>
      </c>
      <c r="E25" s="36">
        <f>IF(D25&gt;=0.95,"Istimewa",IF(D25&gt;0.9,"Baik Sekali",IF(D25&gt;0.85,"Baik",IF(D25&gt;0.8,"Cukup","Kurang"))))</f>
        <v/>
      </c>
      <c r="F25" s="37">
        <f>0.29*0.65</f>
        <v/>
      </c>
      <c r="G25" s="37">
        <f>N25</f>
        <v/>
      </c>
      <c r="H25" s="37">
        <f>VLOOKUP(B25,'KPI Availability'!B:O,14,)</f>
        <v/>
      </c>
      <c r="I25" s="37">
        <f>VLOOKUP(B25,'KPI Availability'!B:P,15,)</f>
        <v/>
      </c>
      <c r="J25" s="37">
        <f>VLOOKUP(B25,'KPI Availability'!B:Q,16,)</f>
        <v/>
      </c>
      <c r="K25" s="37">
        <f>VLOOKUP(B25,'KPI Availability'!B:R,17,)</f>
        <v/>
      </c>
      <c r="L25" s="37">
        <f>VLOOKUP(B25,'KPI Availability'!B:S,18,)</f>
        <v/>
      </c>
      <c r="M25" s="37">
        <f>VLOOKUP(B25,'KPI Availability'!B:T,19,)</f>
        <v/>
      </c>
      <c r="N25" s="37">
        <f>SUM(H25:M25)</f>
        <v/>
      </c>
      <c r="O25" s="37">
        <f>P25+Q25+R25</f>
        <v/>
      </c>
      <c r="P25" s="37">
        <f>SUM(AA25:AD25,AG25,AJ25,AM25,AP25,AS25,AV25)</f>
        <v/>
      </c>
      <c r="Q25" s="37">
        <f>SUM(BG25:BK25,BN25,BQ25,BT25)</f>
        <v/>
      </c>
      <c r="R25" s="37">
        <f>SUM(BU25:BX25)</f>
        <v/>
      </c>
      <c r="S25" s="38">
        <f>VLOOKUP(B25,'KPI Ticketing'!B:C,2,)</f>
        <v/>
      </c>
      <c r="T25" s="38">
        <f>VLOOKUP(B25,'KPI Ticketing'!B:D,3,)</f>
        <v/>
      </c>
      <c r="U25" s="38">
        <f>VLOOKUP(B25,'KPI Ticketing'!B:E,4,)</f>
        <v/>
      </c>
      <c r="V25" s="38">
        <f>VLOOKUP(B25,'KPI Ticketing'!B:F,5,)</f>
        <v/>
      </c>
      <c r="W25" s="37">
        <f>IF(S25&lt;=4,100%,IF(S25&lt;=6,70%,IF(S25&lt;=8,40%,10%)))</f>
        <v/>
      </c>
      <c r="X25" s="37">
        <f>IF(T25&lt;=8,100%,IF(T25&lt;=12,50%,25%))</f>
        <v/>
      </c>
      <c r="Y25" s="37">
        <f>IF(U25&lt;=10,100%,IF(U25&lt;=15,50%,25%))</f>
        <v/>
      </c>
      <c r="Z25" s="37">
        <f>IF(V25&lt;=13,100%,IF(V25&lt;=19,50%,25%))</f>
        <v/>
      </c>
      <c r="AA25" s="37">
        <f>W25*0.13</f>
        <v/>
      </c>
      <c r="AB25" s="37">
        <f>X25*0.06</f>
        <v/>
      </c>
      <c r="AC25" s="37">
        <f>Y25*0.04</f>
        <v/>
      </c>
      <c r="AD25" s="37">
        <f>Z25*0.02</f>
        <v/>
      </c>
      <c r="AE25" s="37">
        <f>VLOOKUP(B25,'KPI Ticketing'!B:N,13,)</f>
        <v/>
      </c>
      <c r="AF25" s="37">
        <f>IF(AE25&gt;=0.8,1,IF(AE25&gt;=0.7,0.9,IF(AE25&gt;=0.6,0.8,IF(AE25&gt;=0.5,0.7,IF(AE25&gt;=0.4,0.6,IF(AE25&gt;=0.3,0.5,IF(AE25&gt;=0.2,0.4,IF(AE25&gt;=0.1,0.3,0.2))))))))</f>
        <v/>
      </c>
      <c r="AG25" s="37">
        <f>AF25*0.03</f>
        <v/>
      </c>
      <c r="AH25" s="37">
        <f>VLOOKUP(B25,'KPI Ticketing'!B:R,17,)</f>
        <v/>
      </c>
      <c r="AI25" s="37">
        <f>IF(AH25&gt;=0.8,1,IF(AH25&gt;=0.7,0.9,IF(AH25&gt;=0.6,0.8,IF(AH25&gt;=0.5,0.7,IF(AH25&gt;=0.4,0.6,IF(AH25&gt;=0.3,0.5,IF(AH25&gt;=0.2,0.4,IF(AH25&gt;=0.1,0.3,0.2))))))))</f>
        <v/>
      </c>
      <c r="AJ25" s="37">
        <f>AI25*0.02</f>
        <v/>
      </c>
      <c r="AK25" s="37">
        <f>VLOOKUP(B25,'KPI Ticketing'!B:V,21,)</f>
        <v/>
      </c>
      <c r="AL25" s="37">
        <f>IF(AK25&gt;=0.9,1,IF(AK25&gt;=0.8,0.9,IF(AK25&gt;=0.7,0.8,IF(AK25&gt;=0.6,0.7,IF(AK25&gt;=0.5,0.6,IF(AK25&gt;=0.4,0.5,IF(AK25&gt;=0.3,0.4,IF(AK25&gt;=0.2,0.3,IF(AK25&gt;=0.1,0.2,0.1)))))))))</f>
        <v/>
      </c>
      <c r="AM25" s="37">
        <f>AL25*0.05</f>
        <v/>
      </c>
      <c r="AN25" s="37">
        <f>VLOOKUP(B25,'KPI Ticketing'!B:Z,25,)</f>
        <v/>
      </c>
      <c r="AO25" s="37">
        <f>IF(AN25&gt;=0.95,1,IF(AN25&gt;=0.9,0.9,IF(AN25&gt;=0.8,0.8,IF(AN25&gt;=0.7,0.7,IF(AN25&gt;=0.6,0.6,IF(AN25&gt;=0.5,0.5,IF(AN25&gt;=0.4,0.4,IF(AN25&gt;=0.3,0.3,IF(AN25&gt;=0.2,0.2,IF(AN25&gt;=0.1,0.1,0.05))))))))))</f>
        <v/>
      </c>
      <c r="AP25" s="37">
        <f>AO25*0.05</f>
        <v/>
      </c>
      <c r="AQ25" s="37">
        <f>VLOOKUP(B25,'KPI Ticketing'!B:AC,28,)</f>
        <v/>
      </c>
      <c r="AR25" s="37">
        <f>IF(AQ25&lt;0.95,0.5,1)</f>
        <v/>
      </c>
      <c r="AS25" s="37">
        <f>AR25*0.01</f>
        <v/>
      </c>
      <c r="AT25" s="37">
        <f>VLOOKUP(B25,'KPI Ticketing'!B:AG,32,)</f>
        <v/>
      </c>
      <c r="AU25" s="37">
        <f>IF(AT25&lt;0.3,0.5,1)</f>
        <v/>
      </c>
      <c r="AV25" s="37">
        <f>AU25*0.01</f>
        <v/>
      </c>
      <c r="AW25" s="38">
        <f>VLOOKUP(B25,'KPI Ticketing'!B:AH,33,)</f>
        <v/>
      </c>
      <c r="AX25" s="38">
        <f>VLOOKUP(B25,'KPI Ticketing'!B:AI,34,)</f>
        <v/>
      </c>
      <c r="AY25" s="38">
        <f>VLOOKUP(B25,'KPI Ticketing'!B:AJ,35,)</f>
        <v/>
      </c>
      <c r="AZ25" s="38">
        <f>VLOOKUP(B25,'KPI Ticketing'!B:AK,36,)</f>
        <v/>
      </c>
      <c r="BA25" s="38">
        <f>VLOOKUP(B25,'KPI Ticketing'!B:AL,37,)</f>
        <v/>
      </c>
      <c r="BB25" s="37">
        <f>IF(AW25&lt;=2,1,IF(AW25&lt;=3,0.7,IF(AW25&lt;=4,0.4,0.1)))</f>
        <v/>
      </c>
      <c r="BC25" s="37">
        <f>IF(AX25&lt;=4,1,IF(AX25&lt;=6,0.5,0.25))</f>
        <v/>
      </c>
      <c r="BD25" s="37">
        <f>IF(AY25&lt;=15,1,IF(AY25&lt;=22.5,0.5,0.25))</f>
        <v/>
      </c>
      <c r="BE25" s="37">
        <f>IF(AZ25&lt;=48,1,IF(AZ25&lt;=72,0.5,0.25))</f>
        <v/>
      </c>
      <c r="BF25" s="37">
        <f>IF(BA25=0, 0, IF(BA25&lt;=96, 1, IF(BA25&lt;=144, 0.5, 0.25)))</f>
        <v/>
      </c>
      <c r="BG25" s="37">
        <f>BB25*0.1</f>
        <v/>
      </c>
      <c r="BH25" s="37">
        <f>BC25*0.05</f>
        <v/>
      </c>
      <c r="BI25" s="37">
        <f>BD25*0.02</f>
        <v/>
      </c>
      <c r="BJ25" s="37">
        <f>BE25*0.01</f>
        <v/>
      </c>
      <c r="BK25" s="37">
        <f>BF25*0.01</f>
        <v/>
      </c>
      <c r="BL25" s="37">
        <f>VLOOKUP(B25,'KPI Ticketing'!B:AT,45,)</f>
        <v/>
      </c>
      <c r="BM25" s="37">
        <f>IF(BL25&gt;=0.8,1,IF(BL25&gt;=0.7,0.9,IF(BL25&gt;=0.6,0.8,IF(BL25&gt;=0.5,0.7,IF(BL25&gt;=0.4,0.6,IF(BL25&gt;=0.3,0.5,IF(BL25&gt;=0.2,0.4,IF(BL25&gt;=0.1,0.3,0.2))))))))</f>
        <v/>
      </c>
      <c r="BN25" s="37">
        <f>BM25*0.03</f>
        <v/>
      </c>
      <c r="BO25" s="37">
        <f>VLOOKUP(B25,'KPI Ticketing'!B:AX,49,)</f>
        <v/>
      </c>
      <c r="BP25" s="37">
        <f>IF(BO25&gt;=0.8,1,IF(BO25&gt;=0.7,0.9,IF(BO25&gt;=0.6,0.8,IF(BO25&gt;=0.5,0.7,IF(BO25&gt;=0.4,0.6,IF(BO25&gt;=0.3,0.5,IF(BO25&gt;=0.2,0.4,IF(BO25&gt;=0.1,0.3,0.2))))))))</f>
        <v/>
      </c>
      <c r="BQ25" s="37">
        <f>BP25*0.02</f>
        <v/>
      </c>
      <c r="BR25" s="37">
        <f>VLOOKUP(B25,'KPI Ticketing'!B:BB,53,)</f>
        <v/>
      </c>
      <c r="BS25" s="37">
        <f>IF(BR25&gt;=0.9,1,IF(BR25&gt;=0.8,0.9,IF(BR25&gt;=0.7,0.8,IF(BR25&gt;=0.6,0.7,IF(BR25&gt;=0.5,0.6,IF(BR25&gt;=0.4,0.5,IF(BR25&gt;=0.3,0.4,IF(BR25&gt;=0.2,0.3,IF(BR25&gt;=0.1,0.2,0.1)))))))))</f>
        <v/>
      </c>
      <c r="BT25" s="37">
        <f>BS25*0.05</f>
        <v/>
      </c>
      <c r="BU25" s="39" t="n">
        <v>0.08</v>
      </c>
      <c r="BV25" s="39" t="n">
        <v>0.06</v>
      </c>
      <c r="BW25" s="39" t="n">
        <v>0.09</v>
      </c>
      <c r="BX25" s="39" t="n">
        <v>0.06</v>
      </c>
    </row>
    <row r="26">
      <c r="A26" t="inlineStr">
        <is>
          <t>R02_Sumbagsel</t>
        </is>
      </c>
      <c r="B26" t="inlineStr">
        <is>
          <t>NOP PANGKAL PINANG</t>
        </is>
      </c>
      <c r="C26" s="36">
        <f>RANK(D26,$D$10:$D$43,0)</f>
        <v/>
      </c>
      <c r="D26" s="37">
        <f>(G26*0.35)+(O26*65%)</f>
        <v/>
      </c>
      <c r="E26" s="36">
        <f>IF(D26&gt;=0.95,"Istimewa",IF(D26&gt;0.9,"Baik Sekali",IF(D26&gt;0.85,"Baik",IF(D26&gt;0.8,"Cukup","Kurang"))))</f>
        <v/>
      </c>
      <c r="F26" s="37">
        <f>0.29*0.65</f>
        <v/>
      </c>
      <c r="G26" s="37">
        <f>N26</f>
        <v/>
      </c>
      <c r="H26" s="37">
        <f>VLOOKUP(B26,'KPI Availability'!B:O,14,)</f>
        <v/>
      </c>
      <c r="I26" s="37">
        <f>VLOOKUP(B26,'KPI Availability'!B:P,15,)</f>
        <v/>
      </c>
      <c r="J26" s="37">
        <f>VLOOKUP(B26,'KPI Availability'!B:Q,16,)</f>
        <v/>
      </c>
      <c r="K26" s="37">
        <f>VLOOKUP(B26,'KPI Availability'!B:R,17,)</f>
        <v/>
      </c>
      <c r="L26" s="37">
        <f>VLOOKUP(B26,'KPI Availability'!B:S,18,)</f>
        <v/>
      </c>
      <c r="M26" s="37">
        <f>VLOOKUP(B26,'KPI Availability'!B:T,19,)</f>
        <v/>
      </c>
      <c r="N26" s="37">
        <f>SUM(H26:M26)</f>
        <v/>
      </c>
      <c r="O26" s="37">
        <f>P26+Q26+R26</f>
        <v/>
      </c>
      <c r="P26" s="37">
        <f>SUM(AA26:AD26,AG26,AJ26,AM26,AP26,AS26,AV26)</f>
        <v/>
      </c>
      <c r="Q26" s="37">
        <f>SUM(BG26:BK26,BN26,BQ26,BT26)</f>
        <v/>
      </c>
      <c r="R26" s="37">
        <f>SUM(BU26:BX26)</f>
        <v/>
      </c>
      <c r="S26" s="38">
        <f>VLOOKUP(B26,'KPI Ticketing'!B:C,2,)</f>
        <v/>
      </c>
      <c r="T26" s="38">
        <f>VLOOKUP(B26,'KPI Ticketing'!B:D,3,)</f>
        <v/>
      </c>
      <c r="U26" s="38">
        <f>VLOOKUP(B26,'KPI Ticketing'!B:E,4,)</f>
        <v/>
      </c>
      <c r="V26" s="38">
        <f>VLOOKUP(B26,'KPI Ticketing'!B:F,5,)</f>
        <v/>
      </c>
      <c r="W26" s="37">
        <f>IF(S26&lt;=4,100%,IF(S26&lt;=6,70%,IF(S26&lt;=8,40%,10%)))</f>
        <v/>
      </c>
      <c r="X26" s="37">
        <f>IF(T26&lt;=8,100%,IF(T26&lt;=12,50%,25%))</f>
        <v/>
      </c>
      <c r="Y26" s="37">
        <f>IF(U26&lt;=10,100%,IF(U26&lt;=15,50%,25%))</f>
        <v/>
      </c>
      <c r="Z26" s="37">
        <f>IF(V26&lt;=13,100%,IF(V26&lt;=19,50%,25%))</f>
        <v/>
      </c>
      <c r="AA26" s="37">
        <f>W26*0.13</f>
        <v/>
      </c>
      <c r="AB26" s="37">
        <f>X26*0.06</f>
        <v/>
      </c>
      <c r="AC26" s="37">
        <f>Y26*0.04</f>
        <v/>
      </c>
      <c r="AD26" s="37">
        <f>Z26*0.02</f>
        <v/>
      </c>
      <c r="AE26" s="37">
        <f>VLOOKUP(B26,'KPI Ticketing'!B:N,13,)</f>
        <v/>
      </c>
      <c r="AF26" s="37">
        <f>IF(AE26&gt;=0.8,1,IF(AE26&gt;=0.7,0.9,IF(AE26&gt;=0.6,0.8,IF(AE26&gt;=0.5,0.7,IF(AE26&gt;=0.4,0.6,IF(AE26&gt;=0.3,0.5,IF(AE26&gt;=0.2,0.4,IF(AE26&gt;=0.1,0.3,0.2))))))))</f>
        <v/>
      </c>
      <c r="AG26" s="37">
        <f>AF26*0.03</f>
        <v/>
      </c>
      <c r="AH26" s="37">
        <f>VLOOKUP(B26,'KPI Ticketing'!B:R,17,)</f>
        <v/>
      </c>
      <c r="AI26" s="37">
        <f>IF(AH26&gt;=0.8,1,IF(AH26&gt;=0.7,0.9,IF(AH26&gt;=0.6,0.8,IF(AH26&gt;=0.5,0.7,IF(AH26&gt;=0.4,0.6,IF(AH26&gt;=0.3,0.5,IF(AH26&gt;=0.2,0.4,IF(AH26&gt;=0.1,0.3,0.2))))))))</f>
        <v/>
      </c>
      <c r="AJ26" s="37">
        <f>AI26*0.02</f>
        <v/>
      </c>
      <c r="AK26" s="37">
        <f>VLOOKUP(B26,'KPI Ticketing'!B:V,21,)</f>
        <v/>
      </c>
      <c r="AL26" s="37">
        <f>IF(AK26&gt;=0.9,1,IF(AK26&gt;=0.8,0.9,IF(AK26&gt;=0.7,0.8,IF(AK26&gt;=0.6,0.7,IF(AK26&gt;=0.5,0.6,IF(AK26&gt;=0.4,0.5,IF(AK26&gt;=0.3,0.4,IF(AK26&gt;=0.2,0.3,IF(AK26&gt;=0.1,0.2,0.1)))))))))</f>
        <v/>
      </c>
      <c r="AM26" s="37">
        <f>AL26*0.05</f>
        <v/>
      </c>
      <c r="AN26" s="37">
        <f>VLOOKUP(B26,'KPI Ticketing'!B:Z,25,)</f>
        <v/>
      </c>
      <c r="AO26" s="37">
        <f>IF(AN26&gt;=0.95,1,IF(AN26&gt;=0.9,0.9,IF(AN26&gt;=0.8,0.8,IF(AN26&gt;=0.7,0.7,IF(AN26&gt;=0.6,0.6,IF(AN26&gt;=0.5,0.5,IF(AN26&gt;=0.4,0.4,IF(AN26&gt;=0.3,0.3,IF(AN26&gt;=0.2,0.2,IF(AN26&gt;=0.1,0.1,0.05))))))))))</f>
        <v/>
      </c>
      <c r="AP26" s="37">
        <f>AO26*0.05</f>
        <v/>
      </c>
      <c r="AQ26" s="37">
        <f>VLOOKUP(B26,'KPI Ticketing'!B:AC,28,)</f>
        <v/>
      </c>
      <c r="AR26" s="37">
        <f>IF(AQ26&lt;0.95,0.5,1)</f>
        <v/>
      </c>
      <c r="AS26" s="37">
        <f>AR26*0.01</f>
        <v/>
      </c>
      <c r="AT26" s="37">
        <f>VLOOKUP(B26,'KPI Ticketing'!B:AG,32,)</f>
        <v/>
      </c>
      <c r="AU26" s="37">
        <f>IF(AT26&lt;0.3,0.5,1)</f>
        <v/>
      </c>
      <c r="AV26" s="37">
        <f>AU26*0.01</f>
        <v/>
      </c>
      <c r="AW26" s="38">
        <f>VLOOKUP(B26,'KPI Ticketing'!B:AH,33,)</f>
        <v/>
      </c>
      <c r="AX26" s="38">
        <f>VLOOKUP(B26,'KPI Ticketing'!B:AI,34,)</f>
        <v/>
      </c>
      <c r="AY26" s="38">
        <f>VLOOKUP(B26,'KPI Ticketing'!B:AJ,35,)</f>
        <v/>
      </c>
      <c r="AZ26" s="38">
        <f>VLOOKUP(B26,'KPI Ticketing'!B:AK,36,)</f>
        <v/>
      </c>
      <c r="BA26" s="38">
        <f>VLOOKUP(B26,'KPI Ticketing'!B:AL,37,)</f>
        <v/>
      </c>
      <c r="BB26" s="37">
        <f>IF(AW26&lt;=2,1,IF(AW26&lt;=3,0.7,IF(AW26&lt;=4,0.4,0.1)))</f>
        <v/>
      </c>
      <c r="BC26" s="37">
        <f>IF(AX26&lt;=4,1,IF(AX26&lt;=6,0.5,0.25))</f>
        <v/>
      </c>
      <c r="BD26" s="37">
        <f>IF(AY26&lt;=15,1,IF(AY26&lt;=22.5,0.5,0.25))</f>
        <v/>
      </c>
      <c r="BE26" s="37">
        <f>IF(AZ26&lt;=48,1,IF(AZ26&lt;=72,0.5,0.25))</f>
        <v/>
      </c>
      <c r="BF26" s="37">
        <f>IF(BA26=0, 0, IF(BA26&lt;=96, 1, IF(BA26&lt;=144, 0.5, 0.25)))</f>
        <v/>
      </c>
      <c r="BG26" s="37">
        <f>BB26*0.1</f>
        <v/>
      </c>
      <c r="BH26" s="37">
        <f>BC26*0.05</f>
        <v/>
      </c>
      <c r="BI26" s="37">
        <f>BD26*0.02</f>
        <v/>
      </c>
      <c r="BJ26" s="37">
        <f>BE26*0.01</f>
        <v/>
      </c>
      <c r="BK26" s="37">
        <f>BF26*0.01</f>
        <v/>
      </c>
      <c r="BL26" s="37">
        <f>VLOOKUP(B26,'KPI Ticketing'!B:AT,45,)</f>
        <v/>
      </c>
      <c r="BM26" s="37">
        <f>IF(BL26&gt;=0.8,1,IF(BL26&gt;=0.7,0.9,IF(BL26&gt;=0.6,0.8,IF(BL26&gt;=0.5,0.7,IF(BL26&gt;=0.4,0.6,IF(BL26&gt;=0.3,0.5,IF(BL26&gt;=0.2,0.4,IF(BL26&gt;=0.1,0.3,0.2))))))))</f>
        <v/>
      </c>
      <c r="BN26" s="37">
        <f>BM26*0.03</f>
        <v/>
      </c>
      <c r="BO26" s="37">
        <f>VLOOKUP(B26,'KPI Ticketing'!B:AX,49,)</f>
        <v/>
      </c>
      <c r="BP26" s="37">
        <f>IF(BO26&gt;=0.8,1,IF(BO26&gt;=0.7,0.9,IF(BO26&gt;=0.6,0.8,IF(BO26&gt;=0.5,0.7,IF(BO26&gt;=0.4,0.6,IF(BO26&gt;=0.3,0.5,IF(BO26&gt;=0.2,0.4,IF(BO26&gt;=0.1,0.3,0.2))))))))</f>
        <v/>
      </c>
      <c r="BQ26" s="37">
        <f>BP26*0.02</f>
        <v/>
      </c>
      <c r="BR26" s="37">
        <f>VLOOKUP(B26,'KPI Ticketing'!B:BB,53,)</f>
        <v/>
      </c>
      <c r="BS26" s="37">
        <f>IF(BR26&gt;=0.9,1,IF(BR26&gt;=0.8,0.9,IF(BR26&gt;=0.7,0.8,IF(BR26&gt;=0.6,0.7,IF(BR26&gt;=0.5,0.6,IF(BR26&gt;=0.4,0.5,IF(BR26&gt;=0.3,0.4,IF(BR26&gt;=0.2,0.3,IF(BR26&gt;=0.1,0.2,0.1)))))))))</f>
        <v/>
      </c>
      <c r="BT26" s="37">
        <f>BS26*0.05</f>
        <v/>
      </c>
      <c r="BU26" s="39" t="n">
        <v>0.08</v>
      </c>
      <c r="BV26" s="39" t="n">
        <v>0.06</v>
      </c>
      <c r="BW26" s="39" t="n">
        <v>0.09</v>
      </c>
      <c r="BX26" s="39" t="n">
        <v>0.06</v>
      </c>
    </row>
    <row r="27">
      <c r="A27" t="inlineStr">
        <is>
          <t>R05_Jawa Tengah DIY</t>
        </is>
      </c>
      <c r="B27" t="inlineStr">
        <is>
          <t>NOP MAGELANG</t>
        </is>
      </c>
      <c r="C27" s="36">
        <f>RANK(D27,$D$10:$D$43,0)</f>
        <v/>
      </c>
      <c r="D27" s="37">
        <f>(G27*0.35)+(O27*65%)</f>
        <v/>
      </c>
      <c r="E27" s="36">
        <f>IF(D27&gt;=0.95,"Istimewa",IF(D27&gt;0.9,"Baik Sekali",IF(D27&gt;0.85,"Baik",IF(D27&gt;0.8,"Cukup","Kurang"))))</f>
        <v/>
      </c>
      <c r="F27" s="37">
        <f>0.29*0.65</f>
        <v/>
      </c>
      <c r="G27" s="37">
        <f>N27</f>
        <v/>
      </c>
      <c r="H27" s="37">
        <f>VLOOKUP(B27,'KPI Availability'!B:O,14,)</f>
        <v/>
      </c>
      <c r="I27" s="37">
        <f>VLOOKUP(B27,'KPI Availability'!B:P,15,)</f>
        <v/>
      </c>
      <c r="J27" s="37">
        <f>VLOOKUP(B27,'KPI Availability'!B:Q,16,)</f>
        <v/>
      </c>
      <c r="K27" s="37">
        <f>VLOOKUP(B27,'KPI Availability'!B:R,17,)</f>
        <v/>
      </c>
      <c r="L27" s="37">
        <f>VLOOKUP(B27,'KPI Availability'!B:S,18,)</f>
        <v/>
      </c>
      <c r="M27" s="37">
        <f>VLOOKUP(B27,'KPI Availability'!B:T,19,)</f>
        <v/>
      </c>
      <c r="N27" s="37">
        <f>SUM(H27:M27)</f>
        <v/>
      </c>
      <c r="O27" s="37">
        <f>P27+Q27+R27</f>
        <v/>
      </c>
      <c r="P27" s="37">
        <f>SUM(AA27:AD27,AG27,AJ27,AM27,AP27,AS27,AV27)</f>
        <v/>
      </c>
      <c r="Q27" s="37">
        <f>SUM(BG27:BK27,BN27,BQ27,BT27)</f>
        <v/>
      </c>
      <c r="R27" s="37">
        <f>SUM(BU27:BX27)</f>
        <v/>
      </c>
      <c r="S27" s="38">
        <f>VLOOKUP(B27,'KPI Ticketing'!B:C,2,)</f>
        <v/>
      </c>
      <c r="T27" s="38">
        <f>VLOOKUP(B27,'KPI Ticketing'!B:D,3,)</f>
        <v/>
      </c>
      <c r="U27" s="38">
        <f>VLOOKUP(B27,'KPI Ticketing'!B:E,4,)</f>
        <v/>
      </c>
      <c r="V27" s="38">
        <f>VLOOKUP(B27,'KPI Ticketing'!B:F,5,)</f>
        <v/>
      </c>
      <c r="W27" s="37">
        <f>IF(S27&lt;=4,100%,IF(S27&lt;=6,70%,IF(S27&lt;=8,40%,10%)))</f>
        <v/>
      </c>
      <c r="X27" s="37">
        <f>IF(T27&lt;=8,100%,IF(T27&lt;=12,50%,25%))</f>
        <v/>
      </c>
      <c r="Y27" s="37">
        <f>IF(U27&lt;=10,100%,IF(U27&lt;=15,50%,25%))</f>
        <v/>
      </c>
      <c r="Z27" s="37">
        <f>IF(V27&lt;=13,100%,IF(V27&lt;=19,50%,25%))</f>
        <v/>
      </c>
      <c r="AA27" s="37">
        <f>W27*0.13</f>
        <v/>
      </c>
      <c r="AB27" s="37">
        <f>X27*0.06</f>
        <v/>
      </c>
      <c r="AC27" s="37">
        <f>Y27*0.04</f>
        <v/>
      </c>
      <c r="AD27" s="37">
        <f>Z27*0.02</f>
        <v/>
      </c>
      <c r="AE27" s="37">
        <f>VLOOKUP(B27,'KPI Ticketing'!B:N,13,)</f>
        <v/>
      </c>
      <c r="AF27" s="37">
        <f>IF(AE27&gt;=0.8,1,IF(AE27&gt;=0.7,0.9,IF(AE27&gt;=0.6,0.8,IF(AE27&gt;=0.5,0.7,IF(AE27&gt;=0.4,0.6,IF(AE27&gt;=0.3,0.5,IF(AE27&gt;=0.2,0.4,IF(AE27&gt;=0.1,0.3,0.2))))))))</f>
        <v/>
      </c>
      <c r="AG27" s="37">
        <f>AF27*0.03</f>
        <v/>
      </c>
      <c r="AH27" s="37">
        <f>VLOOKUP(B27,'KPI Ticketing'!B:R,17,)</f>
        <v/>
      </c>
      <c r="AI27" s="37">
        <f>IF(AH27&gt;=0.8,1,IF(AH27&gt;=0.7,0.9,IF(AH27&gt;=0.6,0.8,IF(AH27&gt;=0.5,0.7,IF(AH27&gt;=0.4,0.6,IF(AH27&gt;=0.3,0.5,IF(AH27&gt;=0.2,0.4,IF(AH27&gt;=0.1,0.3,0.2))))))))</f>
        <v/>
      </c>
      <c r="AJ27" s="37">
        <f>AI27*0.02</f>
        <v/>
      </c>
      <c r="AK27" s="37">
        <f>VLOOKUP(B27,'KPI Ticketing'!B:V,21,)</f>
        <v/>
      </c>
      <c r="AL27" s="37">
        <f>IF(AK27&gt;=0.9,1,IF(AK27&gt;=0.8,0.9,IF(AK27&gt;=0.7,0.8,IF(AK27&gt;=0.6,0.7,IF(AK27&gt;=0.5,0.6,IF(AK27&gt;=0.4,0.5,IF(AK27&gt;=0.3,0.4,IF(AK27&gt;=0.2,0.3,IF(AK27&gt;=0.1,0.2,0.1)))))))))</f>
        <v/>
      </c>
      <c r="AM27" s="37">
        <f>AL27*0.05</f>
        <v/>
      </c>
      <c r="AN27" s="37">
        <f>VLOOKUP(B27,'KPI Ticketing'!B:Z,25,)</f>
        <v/>
      </c>
      <c r="AO27" s="37">
        <f>IF(AN27&gt;=0.95,1,IF(AN27&gt;=0.9,0.9,IF(AN27&gt;=0.8,0.8,IF(AN27&gt;=0.7,0.7,IF(AN27&gt;=0.6,0.6,IF(AN27&gt;=0.5,0.5,IF(AN27&gt;=0.4,0.4,IF(AN27&gt;=0.3,0.3,IF(AN27&gt;=0.2,0.2,IF(AN27&gt;=0.1,0.1,0.05))))))))))</f>
        <v/>
      </c>
      <c r="AP27" s="37">
        <f>AO27*0.05</f>
        <v/>
      </c>
      <c r="AQ27" s="37">
        <f>VLOOKUP(B27,'KPI Ticketing'!B:AC,28,)</f>
        <v/>
      </c>
      <c r="AR27" s="37">
        <f>IF(AQ27&lt;0.95,0.5,1)</f>
        <v/>
      </c>
      <c r="AS27" s="37">
        <f>AR27*0.01</f>
        <v/>
      </c>
      <c r="AT27" s="37">
        <f>VLOOKUP(B27,'KPI Ticketing'!B:AG,32,)</f>
        <v/>
      </c>
      <c r="AU27" s="37">
        <f>IF(AT27&lt;0.3,0.5,1)</f>
        <v/>
      </c>
      <c r="AV27" s="37">
        <f>AU27*0.01</f>
        <v/>
      </c>
      <c r="AW27" s="38">
        <f>VLOOKUP(B27,'KPI Ticketing'!B:AH,33,)</f>
        <v/>
      </c>
      <c r="AX27" s="38">
        <f>VLOOKUP(B27,'KPI Ticketing'!B:AI,34,)</f>
        <v/>
      </c>
      <c r="AY27" s="38">
        <f>VLOOKUP(B27,'KPI Ticketing'!B:AJ,35,)</f>
        <v/>
      </c>
      <c r="AZ27" s="38">
        <f>VLOOKUP(B27,'KPI Ticketing'!B:AK,36,)</f>
        <v/>
      </c>
      <c r="BA27" s="38">
        <f>VLOOKUP(B27,'KPI Ticketing'!B:AL,37,)</f>
        <v/>
      </c>
      <c r="BB27" s="37">
        <f>IF(AW27&lt;=2,1,IF(AW27&lt;=3,0.7,IF(AW27&lt;=4,0.4,0.1)))</f>
        <v/>
      </c>
      <c r="BC27" s="37">
        <f>IF(AX27&lt;=4,1,IF(AX27&lt;=6,0.5,0.25))</f>
        <v/>
      </c>
      <c r="BD27" s="37">
        <f>IF(AY27&lt;=15,1,IF(AY27&lt;=22.5,0.5,0.25))</f>
        <v/>
      </c>
      <c r="BE27" s="37">
        <f>IF(AZ27&lt;=48,1,IF(AZ27&lt;=72,0.5,0.25))</f>
        <v/>
      </c>
      <c r="BF27" s="37">
        <f>IF(BA27=0, 0, IF(BA27&lt;=96, 1, IF(BA27&lt;=144, 0.5, 0.25)))</f>
        <v/>
      </c>
      <c r="BG27" s="37">
        <f>BB27*0.1</f>
        <v/>
      </c>
      <c r="BH27" s="37">
        <f>BC27*0.05</f>
        <v/>
      </c>
      <c r="BI27" s="37">
        <f>BD27*0.02</f>
        <v/>
      </c>
      <c r="BJ27" s="37">
        <f>BE27*0.01</f>
        <v/>
      </c>
      <c r="BK27" s="37">
        <f>BF27*0.01</f>
        <v/>
      </c>
      <c r="BL27" s="37">
        <f>VLOOKUP(B27,'KPI Ticketing'!B:AT,45,)</f>
        <v/>
      </c>
      <c r="BM27" s="37">
        <f>IF(BL27&gt;=0.8,1,IF(BL27&gt;=0.7,0.9,IF(BL27&gt;=0.6,0.8,IF(BL27&gt;=0.5,0.7,IF(BL27&gt;=0.4,0.6,IF(BL27&gt;=0.3,0.5,IF(BL27&gt;=0.2,0.4,IF(BL27&gt;=0.1,0.3,0.2))))))))</f>
        <v/>
      </c>
      <c r="BN27" s="37">
        <f>BM27*0.03</f>
        <v/>
      </c>
      <c r="BO27" s="37">
        <f>VLOOKUP(B27,'KPI Ticketing'!B:AX,49,)</f>
        <v/>
      </c>
      <c r="BP27" s="37">
        <f>IF(BO27&gt;=0.8,1,IF(BO27&gt;=0.7,0.9,IF(BO27&gt;=0.6,0.8,IF(BO27&gt;=0.5,0.7,IF(BO27&gt;=0.4,0.6,IF(BO27&gt;=0.3,0.5,IF(BO27&gt;=0.2,0.4,IF(BO27&gt;=0.1,0.3,0.2))))))))</f>
        <v/>
      </c>
      <c r="BQ27" s="37">
        <f>BP27*0.02</f>
        <v/>
      </c>
      <c r="BR27" s="37">
        <f>VLOOKUP(B27,'KPI Ticketing'!B:BB,53,)</f>
        <v/>
      </c>
      <c r="BS27" s="37">
        <f>IF(BR27&gt;=0.9,1,IF(BR27&gt;=0.8,0.9,IF(BR27&gt;=0.7,0.8,IF(BR27&gt;=0.6,0.7,IF(BR27&gt;=0.5,0.6,IF(BR27&gt;=0.4,0.5,IF(BR27&gt;=0.3,0.4,IF(BR27&gt;=0.2,0.3,IF(BR27&gt;=0.1,0.2,0.1)))))))))</f>
        <v/>
      </c>
      <c r="BT27" s="37">
        <f>BS27*0.05</f>
        <v/>
      </c>
      <c r="BU27" s="39" t="n">
        <v>0.08</v>
      </c>
      <c r="BV27" s="39" t="n">
        <v>0.06</v>
      </c>
      <c r="BW27" s="39" t="n">
        <v>0.09</v>
      </c>
      <c r="BX27" s="39" t="n">
        <v>0.06</v>
      </c>
    </row>
    <row r="28">
      <c r="A28" t="inlineStr">
        <is>
          <t>R05_Jawa Tengah DIY</t>
        </is>
      </c>
      <c r="B28" t="inlineStr">
        <is>
          <t>NOP PEKALONGAN</t>
        </is>
      </c>
      <c r="C28" s="36">
        <f>RANK(D28,$D$10:$D$43,0)</f>
        <v/>
      </c>
      <c r="D28" s="37">
        <f>(G28*0.35)+(O28*65%)</f>
        <v/>
      </c>
      <c r="E28" s="36">
        <f>IF(D28&gt;=0.95,"Istimewa",IF(D28&gt;0.9,"Baik Sekali",IF(D28&gt;0.85,"Baik",IF(D28&gt;0.8,"Cukup","Kurang"))))</f>
        <v/>
      </c>
      <c r="F28" s="37">
        <f>0.29*0.65</f>
        <v/>
      </c>
      <c r="G28" s="37">
        <f>N28</f>
        <v/>
      </c>
      <c r="H28" s="37">
        <f>VLOOKUP(B28,'KPI Availability'!B:O,14,)</f>
        <v/>
      </c>
      <c r="I28" s="37">
        <f>VLOOKUP(B28,'KPI Availability'!B:P,15,)</f>
        <v/>
      </c>
      <c r="J28" s="37">
        <f>VLOOKUP(B28,'KPI Availability'!B:Q,16,)</f>
        <v/>
      </c>
      <c r="K28" s="37">
        <f>VLOOKUP(B28,'KPI Availability'!B:R,17,)</f>
        <v/>
      </c>
      <c r="L28" s="37">
        <f>VLOOKUP(B28,'KPI Availability'!B:S,18,)</f>
        <v/>
      </c>
      <c r="M28" s="37">
        <f>VLOOKUP(B28,'KPI Availability'!B:T,19,)</f>
        <v/>
      </c>
      <c r="N28" s="37">
        <f>SUM(H28:M28)</f>
        <v/>
      </c>
      <c r="O28" s="37">
        <f>P28+Q28+R28</f>
        <v/>
      </c>
      <c r="P28" s="37">
        <f>SUM(AA28:AD28,AG28,AJ28,AM28,AP28,AS28,AV28)</f>
        <v/>
      </c>
      <c r="Q28" s="37">
        <f>SUM(BG28:BK28,BN28,BQ28,BT28)</f>
        <v/>
      </c>
      <c r="R28" s="37">
        <f>SUM(BU28:BX28)</f>
        <v/>
      </c>
      <c r="S28" s="38">
        <f>VLOOKUP(B28,'KPI Ticketing'!B:C,2,)</f>
        <v/>
      </c>
      <c r="T28" s="38">
        <f>VLOOKUP(B28,'KPI Ticketing'!B:D,3,)</f>
        <v/>
      </c>
      <c r="U28" s="38">
        <f>VLOOKUP(B28,'KPI Ticketing'!B:E,4,)</f>
        <v/>
      </c>
      <c r="V28" s="38">
        <f>VLOOKUP(B28,'KPI Ticketing'!B:F,5,)</f>
        <v/>
      </c>
      <c r="W28" s="37">
        <f>IF(S28&lt;=4,100%,IF(S28&lt;=6,70%,IF(S28&lt;=8,40%,10%)))</f>
        <v/>
      </c>
      <c r="X28" s="37">
        <f>IF(T28&lt;=8,100%,IF(T28&lt;=12,50%,25%))</f>
        <v/>
      </c>
      <c r="Y28" s="37">
        <f>IF(U28&lt;=10,100%,IF(U28&lt;=15,50%,25%))</f>
        <v/>
      </c>
      <c r="Z28" s="37">
        <f>IF(V28&lt;=13,100%,IF(V28&lt;=19,50%,25%))</f>
        <v/>
      </c>
      <c r="AA28" s="37">
        <f>W28*0.13</f>
        <v/>
      </c>
      <c r="AB28" s="37">
        <f>X28*0.06</f>
        <v/>
      </c>
      <c r="AC28" s="37">
        <f>Y28*0.04</f>
        <v/>
      </c>
      <c r="AD28" s="37">
        <f>Z28*0.02</f>
        <v/>
      </c>
      <c r="AE28" s="37">
        <f>VLOOKUP(B28,'KPI Ticketing'!B:N,13,)</f>
        <v/>
      </c>
      <c r="AF28" s="37">
        <f>IF(AE28&gt;=0.8,1,IF(AE28&gt;=0.7,0.9,IF(AE28&gt;=0.6,0.8,IF(AE28&gt;=0.5,0.7,IF(AE28&gt;=0.4,0.6,IF(AE28&gt;=0.3,0.5,IF(AE28&gt;=0.2,0.4,IF(AE28&gt;=0.1,0.3,0.2))))))))</f>
        <v/>
      </c>
      <c r="AG28" s="37">
        <f>AF28*0.03</f>
        <v/>
      </c>
      <c r="AH28" s="37">
        <f>VLOOKUP(B28,'KPI Ticketing'!B:R,17,)</f>
        <v/>
      </c>
      <c r="AI28" s="37">
        <f>IF(AH28&gt;=0.8,1,IF(AH28&gt;=0.7,0.9,IF(AH28&gt;=0.6,0.8,IF(AH28&gt;=0.5,0.7,IF(AH28&gt;=0.4,0.6,IF(AH28&gt;=0.3,0.5,IF(AH28&gt;=0.2,0.4,IF(AH28&gt;=0.1,0.3,0.2))))))))</f>
        <v/>
      </c>
      <c r="AJ28" s="37">
        <f>AI28*0.02</f>
        <v/>
      </c>
      <c r="AK28" s="37">
        <f>VLOOKUP(B28,'KPI Ticketing'!B:V,21,)</f>
        <v/>
      </c>
      <c r="AL28" s="37">
        <f>IF(AK28&gt;=0.9,1,IF(AK28&gt;=0.8,0.9,IF(AK28&gt;=0.7,0.8,IF(AK28&gt;=0.6,0.7,IF(AK28&gt;=0.5,0.6,IF(AK28&gt;=0.4,0.5,IF(AK28&gt;=0.3,0.4,IF(AK28&gt;=0.2,0.3,IF(AK28&gt;=0.1,0.2,0.1)))))))))</f>
        <v/>
      </c>
      <c r="AM28" s="37">
        <f>AL28*0.05</f>
        <v/>
      </c>
      <c r="AN28" s="37">
        <f>VLOOKUP(B28,'KPI Ticketing'!B:Z,25,)</f>
        <v/>
      </c>
      <c r="AO28" s="37">
        <f>IF(AN28&gt;=0.95,1,IF(AN28&gt;=0.9,0.9,IF(AN28&gt;=0.8,0.8,IF(AN28&gt;=0.7,0.7,IF(AN28&gt;=0.6,0.6,IF(AN28&gt;=0.5,0.5,IF(AN28&gt;=0.4,0.4,IF(AN28&gt;=0.3,0.3,IF(AN28&gt;=0.2,0.2,IF(AN28&gt;=0.1,0.1,0.05))))))))))</f>
        <v/>
      </c>
      <c r="AP28" s="37">
        <f>AO28*0.05</f>
        <v/>
      </c>
      <c r="AQ28" s="37">
        <f>VLOOKUP(B28,'KPI Ticketing'!B:AC,28,)</f>
        <v/>
      </c>
      <c r="AR28" s="37">
        <f>IF(AQ28&lt;0.95,0.5,1)</f>
        <v/>
      </c>
      <c r="AS28" s="37">
        <f>AR28*0.01</f>
        <v/>
      </c>
      <c r="AT28" s="37">
        <f>VLOOKUP(B28,'KPI Ticketing'!B:AG,32,)</f>
        <v/>
      </c>
      <c r="AU28" s="37">
        <f>IF(AT28&lt;0.3,0.5,1)</f>
        <v/>
      </c>
      <c r="AV28" s="37">
        <f>AU28*0.01</f>
        <v/>
      </c>
      <c r="AW28" s="38">
        <f>VLOOKUP(B28,'KPI Ticketing'!B:AH,33,)</f>
        <v/>
      </c>
      <c r="AX28" s="38">
        <f>VLOOKUP(B28,'KPI Ticketing'!B:AI,34,)</f>
        <v/>
      </c>
      <c r="AY28" s="38">
        <f>VLOOKUP(B28,'KPI Ticketing'!B:AJ,35,)</f>
        <v/>
      </c>
      <c r="AZ28" s="38">
        <f>VLOOKUP(B28,'KPI Ticketing'!B:AK,36,)</f>
        <v/>
      </c>
      <c r="BA28" s="38">
        <f>VLOOKUP(B28,'KPI Ticketing'!B:AL,37,)</f>
        <v/>
      </c>
      <c r="BB28" s="37">
        <f>IF(AW28&lt;=2,1,IF(AW28&lt;=3,0.7,IF(AW28&lt;=4,0.4,0.1)))</f>
        <v/>
      </c>
      <c r="BC28" s="37">
        <f>IF(AX28&lt;=4,1,IF(AX28&lt;=6,0.5,0.25))</f>
        <v/>
      </c>
      <c r="BD28" s="37">
        <f>IF(AY28&lt;=15,1,IF(AY28&lt;=22.5,0.5,0.25))</f>
        <v/>
      </c>
      <c r="BE28" s="37">
        <f>IF(AZ28&lt;=48,1,IF(AZ28&lt;=72,0.5,0.25))</f>
        <v/>
      </c>
      <c r="BF28" s="37">
        <f>IF(BA28=0, 0, IF(BA28&lt;=96, 1, IF(BA28&lt;=144, 0.5, 0.25)))</f>
        <v/>
      </c>
      <c r="BG28" s="37">
        <f>BB28*0.1</f>
        <v/>
      </c>
      <c r="BH28" s="37">
        <f>BC28*0.05</f>
        <v/>
      </c>
      <c r="BI28" s="37">
        <f>BD28*0.02</f>
        <v/>
      </c>
      <c r="BJ28" s="37">
        <f>BE28*0.01</f>
        <v/>
      </c>
      <c r="BK28" s="37">
        <f>BF28*0.01</f>
        <v/>
      </c>
      <c r="BL28" s="37">
        <f>VLOOKUP(B28,'KPI Ticketing'!B:AT,45,)</f>
        <v/>
      </c>
      <c r="BM28" s="37">
        <f>IF(BL28&gt;=0.8,1,IF(BL28&gt;=0.7,0.9,IF(BL28&gt;=0.6,0.8,IF(BL28&gt;=0.5,0.7,IF(BL28&gt;=0.4,0.6,IF(BL28&gt;=0.3,0.5,IF(BL28&gt;=0.2,0.4,IF(BL28&gt;=0.1,0.3,0.2))))))))</f>
        <v/>
      </c>
      <c r="BN28" s="37">
        <f>BM28*0.03</f>
        <v/>
      </c>
      <c r="BO28" s="37">
        <f>VLOOKUP(B28,'KPI Ticketing'!B:AX,49,)</f>
        <v/>
      </c>
      <c r="BP28" s="37">
        <f>IF(BO28&gt;=0.8,1,IF(BO28&gt;=0.7,0.9,IF(BO28&gt;=0.6,0.8,IF(BO28&gt;=0.5,0.7,IF(BO28&gt;=0.4,0.6,IF(BO28&gt;=0.3,0.5,IF(BO28&gt;=0.2,0.4,IF(BO28&gt;=0.1,0.3,0.2))))))))</f>
        <v/>
      </c>
      <c r="BQ28" s="37">
        <f>BP28*0.02</f>
        <v/>
      </c>
      <c r="BR28" s="37">
        <f>VLOOKUP(B28,'KPI Ticketing'!B:BB,53,)</f>
        <v/>
      </c>
      <c r="BS28" s="37">
        <f>IF(BR28&gt;=0.9,1,IF(BR28&gt;=0.8,0.9,IF(BR28&gt;=0.7,0.8,IF(BR28&gt;=0.6,0.7,IF(BR28&gt;=0.5,0.6,IF(BR28&gt;=0.4,0.5,IF(BR28&gt;=0.3,0.4,IF(BR28&gt;=0.2,0.3,IF(BR28&gt;=0.1,0.2,0.1)))))))))</f>
        <v/>
      </c>
      <c r="BT28" s="37">
        <f>BS28*0.05</f>
        <v/>
      </c>
      <c r="BU28" s="39" t="n">
        <v>0.08</v>
      </c>
      <c r="BV28" s="39" t="n">
        <v>0.06</v>
      </c>
      <c r="BW28" s="39" t="n">
        <v>0.09</v>
      </c>
      <c r="BX28" s="39" t="n">
        <v>0.06</v>
      </c>
    </row>
    <row r="29">
      <c r="A29" t="inlineStr">
        <is>
          <t>R05_Jawa Tengah DIY</t>
        </is>
      </c>
      <c r="B29" t="inlineStr">
        <is>
          <t>NOP PURWOKERTO</t>
        </is>
      </c>
      <c r="C29" s="36">
        <f>RANK(D29,$D$10:$D$43,0)</f>
        <v/>
      </c>
      <c r="D29" s="37">
        <f>(G29*0.35)+(O29*65%)</f>
        <v/>
      </c>
      <c r="E29" s="36">
        <f>IF(D29&gt;=0.95,"Istimewa",IF(D29&gt;0.9,"Baik Sekali",IF(D29&gt;0.85,"Baik",IF(D29&gt;0.8,"Cukup","Kurang"))))</f>
        <v/>
      </c>
      <c r="F29" s="37">
        <f>0.29*0.65</f>
        <v/>
      </c>
      <c r="G29" s="37">
        <f>N29</f>
        <v/>
      </c>
      <c r="H29" s="37">
        <f>VLOOKUP(B29,'KPI Availability'!B:O,14,)</f>
        <v/>
      </c>
      <c r="I29" s="37">
        <f>VLOOKUP(B29,'KPI Availability'!B:P,15,)</f>
        <v/>
      </c>
      <c r="J29" s="37">
        <f>VLOOKUP(B29,'KPI Availability'!B:Q,16,)</f>
        <v/>
      </c>
      <c r="K29" s="37">
        <f>VLOOKUP(B29,'KPI Availability'!B:R,17,)</f>
        <v/>
      </c>
      <c r="L29" s="37">
        <f>VLOOKUP(B29,'KPI Availability'!B:S,18,)</f>
        <v/>
      </c>
      <c r="M29" s="37">
        <f>VLOOKUP(B29,'KPI Availability'!B:T,19,)</f>
        <v/>
      </c>
      <c r="N29" s="37">
        <f>SUM(H29:M29)</f>
        <v/>
      </c>
      <c r="O29" s="37">
        <f>P29+Q29+R29</f>
        <v/>
      </c>
      <c r="P29" s="37">
        <f>SUM(AA29:AD29,AG29,AJ29,AM29,AP29,AS29,AV29)</f>
        <v/>
      </c>
      <c r="Q29" s="37">
        <f>SUM(BG29:BK29,BN29,BQ29,BT29)</f>
        <v/>
      </c>
      <c r="R29" s="37">
        <f>SUM(BU29:BX29)</f>
        <v/>
      </c>
      <c r="S29" s="38">
        <f>VLOOKUP(B29,'KPI Ticketing'!B:C,2,)</f>
        <v/>
      </c>
      <c r="T29" s="38">
        <f>VLOOKUP(B29,'KPI Ticketing'!B:D,3,)</f>
        <v/>
      </c>
      <c r="U29" s="38">
        <f>VLOOKUP(B29,'KPI Ticketing'!B:E,4,)</f>
        <v/>
      </c>
      <c r="V29" s="38">
        <f>VLOOKUP(B29,'KPI Ticketing'!B:F,5,)</f>
        <v/>
      </c>
      <c r="W29" s="37">
        <f>IF(S29&lt;=4,100%,IF(S29&lt;=6,70%,IF(S29&lt;=8,40%,10%)))</f>
        <v/>
      </c>
      <c r="X29" s="37">
        <f>IF(T29&lt;=8,100%,IF(T29&lt;=12,50%,25%))</f>
        <v/>
      </c>
      <c r="Y29" s="37">
        <f>IF(U29&lt;=10,100%,IF(U29&lt;=15,50%,25%))</f>
        <v/>
      </c>
      <c r="Z29" s="37">
        <f>IF(V29&lt;=13,100%,IF(V29&lt;=19,50%,25%))</f>
        <v/>
      </c>
      <c r="AA29" s="37">
        <f>W29*0.13</f>
        <v/>
      </c>
      <c r="AB29" s="37">
        <f>X29*0.06</f>
        <v/>
      </c>
      <c r="AC29" s="37">
        <f>Y29*0.04</f>
        <v/>
      </c>
      <c r="AD29" s="37">
        <f>Z29*0.02</f>
        <v/>
      </c>
      <c r="AE29" s="37">
        <f>VLOOKUP(B29,'KPI Ticketing'!B:N,13,)</f>
        <v/>
      </c>
      <c r="AF29" s="37">
        <f>IF(AE29&gt;=0.8,1,IF(AE29&gt;=0.7,0.9,IF(AE29&gt;=0.6,0.8,IF(AE29&gt;=0.5,0.7,IF(AE29&gt;=0.4,0.6,IF(AE29&gt;=0.3,0.5,IF(AE29&gt;=0.2,0.4,IF(AE29&gt;=0.1,0.3,0.2))))))))</f>
        <v/>
      </c>
      <c r="AG29" s="37">
        <f>AF29*0.03</f>
        <v/>
      </c>
      <c r="AH29" s="37">
        <f>VLOOKUP(B29,'KPI Ticketing'!B:R,17,)</f>
        <v/>
      </c>
      <c r="AI29" s="37">
        <f>IF(AH29&gt;=0.8,1,IF(AH29&gt;=0.7,0.9,IF(AH29&gt;=0.6,0.8,IF(AH29&gt;=0.5,0.7,IF(AH29&gt;=0.4,0.6,IF(AH29&gt;=0.3,0.5,IF(AH29&gt;=0.2,0.4,IF(AH29&gt;=0.1,0.3,0.2))))))))</f>
        <v/>
      </c>
      <c r="AJ29" s="37">
        <f>AI29*0.02</f>
        <v/>
      </c>
      <c r="AK29" s="37">
        <f>VLOOKUP(B29,'KPI Ticketing'!B:V,21,)</f>
        <v/>
      </c>
      <c r="AL29" s="37">
        <f>IF(AK29&gt;=0.9,1,IF(AK29&gt;=0.8,0.9,IF(AK29&gt;=0.7,0.8,IF(AK29&gt;=0.6,0.7,IF(AK29&gt;=0.5,0.6,IF(AK29&gt;=0.4,0.5,IF(AK29&gt;=0.3,0.4,IF(AK29&gt;=0.2,0.3,IF(AK29&gt;=0.1,0.2,0.1)))))))))</f>
        <v/>
      </c>
      <c r="AM29" s="37">
        <f>AL29*0.05</f>
        <v/>
      </c>
      <c r="AN29" s="37">
        <f>VLOOKUP(B29,'KPI Ticketing'!B:Z,25,)</f>
        <v/>
      </c>
      <c r="AO29" s="37">
        <f>IF(AN29&gt;=0.95,1,IF(AN29&gt;=0.9,0.9,IF(AN29&gt;=0.8,0.8,IF(AN29&gt;=0.7,0.7,IF(AN29&gt;=0.6,0.6,IF(AN29&gt;=0.5,0.5,IF(AN29&gt;=0.4,0.4,IF(AN29&gt;=0.3,0.3,IF(AN29&gt;=0.2,0.2,IF(AN29&gt;=0.1,0.1,0.05))))))))))</f>
        <v/>
      </c>
      <c r="AP29" s="37">
        <f>AO29*0.05</f>
        <v/>
      </c>
      <c r="AQ29" s="37">
        <f>VLOOKUP(B29,'KPI Ticketing'!B:AC,28,)</f>
        <v/>
      </c>
      <c r="AR29" s="37">
        <f>IF(AQ29&lt;0.95,0.5,1)</f>
        <v/>
      </c>
      <c r="AS29" s="37">
        <f>AR29*0.01</f>
        <v/>
      </c>
      <c r="AT29" s="37">
        <f>VLOOKUP(B29,'KPI Ticketing'!B:AG,32,)</f>
        <v/>
      </c>
      <c r="AU29" s="37">
        <f>IF(AT29&lt;0.3,0.5,1)</f>
        <v/>
      </c>
      <c r="AV29" s="37">
        <f>AU29*0.01</f>
        <v/>
      </c>
      <c r="AW29" s="38">
        <f>VLOOKUP(B29,'KPI Ticketing'!B:AH,33,)</f>
        <v/>
      </c>
      <c r="AX29" s="38">
        <f>VLOOKUP(B29,'KPI Ticketing'!B:AI,34,)</f>
        <v/>
      </c>
      <c r="AY29" s="38">
        <f>VLOOKUP(B29,'KPI Ticketing'!B:AJ,35,)</f>
        <v/>
      </c>
      <c r="AZ29" s="38">
        <f>VLOOKUP(B29,'KPI Ticketing'!B:AK,36,)</f>
        <v/>
      </c>
      <c r="BA29" s="38">
        <f>VLOOKUP(B29,'KPI Ticketing'!B:AL,37,)</f>
        <v/>
      </c>
      <c r="BB29" s="37">
        <f>IF(AW29&lt;=2,1,IF(AW29&lt;=3,0.7,IF(AW29&lt;=4,0.4,0.1)))</f>
        <v/>
      </c>
      <c r="BC29" s="37">
        <f>IF(AX29&lt;=4,1,IF(AX29&lt;=6,0.5,0.25))</f>
        <v/>
      </c>
      <c r="BD29" s="37">
        <f>IF(AY29&lt;=15,1,IF(AY29&lt;=22.5,0.5,0.25))</f>
        <v/>
      </c>
      <c r="BE29" s="37">
        <f>IF(AZ29&lt;=48,1,IF(AZ29&lt;=72,0.5,0.25))</f>
        <v/>
      </c>
      <c r="BF29" s="37">
        <f>IF(BA29=0, 0, IF(BA29&lt;=96, 1, IF(BA29&lt;=144, 0.5, 0.25)))</f>
        <v/>
      </c>
      <c r="BG29" s="37">
        <f>BB29*0.1</f>
        <v/>
      </c>
      <c r="BH29" s="37">
        <f>BC29*0.05</f>
        <v/>
      </c>
      <c r="BI29" s="37">
        <f>BD29*0.02</f>
        <v/>
      </c>
      <c r="BJ29" s="37">
        <f>BE29*0.01</f>
        <v/>
      </c>
      <c r="BK29" s="37">
        <f>BF29*0.01</f>
        <v/>
      </c>
      <c r="BL29" s="37">
        <f>VLOOKUP(B29,'KPI Ticketing'!B:AT,45,)</f>
        <v/>
      </c>
      <c r="BM29" s="37">
        <f>IF(BL29&gt;=0.8,1,IF(BL29&gt;=0.7,0.9,IF(BL29&gt;=0.6,0.8,IF(BL29&gt;=0.5,0.7,IF(BL29&gt;=0.4,0.6,IF(BL29&gt;=0.3,0.5,IF(BL29&gt;=0.2,0.4,IF(BL29&gt;=0.1,0.3,0.2))))))))</f>
        <v/>
      </c>
      <c r="BN29" s="37">
        <f>BM29*0.03</f>
        <v/>
      </c>
      <c r="BO29" s="37">
        <f>VLOOKUP(B29,'KPI Ticketing'!B:AX,49,)</f>
        <v/>
      </c>
      <c r="BP29" s="37">
        <f>IF(BO29&gt;=0.8,1,IF(BO29&gt;=0.7,0.9,IF(BO29&gt;=0.6,0.8,IF(BO29&gt;=0.5,0.7,IF(BO29&gt;=0.4,0.6,IF(BO29&gt;=0.3,0.5,IF(BO29&gt;=0.2,0.4,IF(BO29&gt;=0.1,0.3,0.2))))))))</f>
        <v/>
      </c>
      <c r="BQ29" s="37">
        <f>BP29*0.02</f>
        <v/>
      </c>
      <c r="BR29" s="37">
        <f>VLOOKUP(B29,'KPI Ticketing'!B:BB,53,)</f>
        <v/>
      </c>
      <c r="BS29" s="37">
        <f>IF(BR29&gt;=0.9,1,IF(BR29&gt;=0.8,0.9,IF(BR29&gt;=0.7,0.8,IF(BR29&gt;=0.6,0.7,IF(BR29&gt;=0.5,0.6,IF(BR29&gt;=0.4,0.5,IF(BR29&gt;=0.3,0.4,IF(BR29&gt;=0.2,0.3,IF(BR29&gt;=0.1,0.2,0.1)))))))))</f>
        <v/>
      </c>
      <c r="BT29" s="37">
        <f>BS29*0.05</f>
        <v/>
      </c>
      <c r="BU29" s="39" t="n">
        <v>0.08</v>
      </c>
      <c r="BV29" s="39" t="n">
        <v>0.06</v>
      </c>
      <c r="BW29" s="39" t="n">
        <v>0.09</v>
      </c>
      <c r="BX29" s="39" t="n">
        <v>0.06</v>
      </c>
    </row>
    <row r="30">
      <c r="A30" t="inlineStr">
        <is>
          <t>R05_Jawa Tengah DIY</t>
        </is>
      </c>
      <c r="B30" t="inlineStr">
        <is>
          <t>NOP SEMARANG</t>
        </is>
      </c>
      <c r="C30" s="36">
        <f>RANK(D30,$D$10:$D$43,0)</f>
        <v/>
      </c>
      <c r="D30" s="37">
        <f>(G30*0.35)+(O30*65%)</f>
        <v/>
      </c>
      <c r="E30" s="36">
        <f>IF(D30&gt;=0.95,"Istimewa",IF(D30&gt;0.9,"Baik Sekali",IF(D30&gt;0.85,"Baik",IF(D30&gt;0.8,"Cukup","Kurang"))))</f>
        <v/>
      </c>
      <c r="F30" s="37">
        <f>0.29*0.65</f>
        <v/>
      </c>
      <c r="G30" s="37">
        <f>N30</f>
        <v/>
      </c>
      <c r="H30" s="37">
        <f>VLOOKUP(B30,'KPI Availability'!B:O,14,)</f>
        <v/>
      </c>
      <c r="I30" s="37">
        <f>VLOOKUP(B30,'KPI Availability'!B:P,15,)</f>
        <v/>
      </c>
      <c r="J30" s="37">
        <f>VLOOKUP(B30,'KPI Availability'!B:Q,16,)</f>
        <v/>
      </c>
      <c r="K30" s="37">
        <f>VLOOKUP(B30,'KPI Availability'!B:R,17,)</f>
        <v/>
      </c>
      <c r="L30" s="37">
        <f>VLOOKUP(B30,'KPI Availability'!B:S,18,)</f>
        <v/>
      </c>
      <c r="M30" s="37">
        <f>VLOOKUP(B30,'KPI Availability'!B:T,19,)</f>
        <v/>
      </c>
      <c r="N30" s="37">
        <f>SUM(H30:M30)</f>
        <v/>
      </c>
      <c r="O30" s="37">
        <f>P30+Q30+R30</f>
        <v/>
      </c>
      <c r="P30" s="37">
        <f>SUM(AA30:AD30,AG30,AJ30,AM30,AP30,AS30,AV30)</f>
        <v/>
      </c>
      <c r="Q30" s="37">
        <f>SUM(BG30:BK30,BN30,BQ30,BT30)</f>
        <v/>
      </c>
      <c r="R30" s="37">
        <f>SUM(BU30:BX30)</f>
        <v/>
      </c>
      <c r="S30" s="38">
        <f>VLOOKUP(B30,'KPI Ticketing'!B:C,2,)</f>
        <v/>
      </c>
      <c r="T30" s="38">
        <f>VLOOKUP(B30,'KPI Ticketing'!B:D,3,)</f>
        <v/>
      </c>
      <c r="U30" s="38">
        <f>VLOOKUP(B30,'KPI Ticketing'!B:E,4,)</f>
        <v/>
      </c>
      <c r="V30" s="38">
        <f>VLOOKUP(B30,'KPI Ticketing'!B:F,5,)</f>
        <v/>
      </c>
      <c r="W30" s="37">
        <f>IF(S30&lt;=4,100%,IF(S30&lt;=6,70%,IF(S30&lt;=8,40%,10%)))</f>
        <v/>
      </c>
      <c r="X30" s="37">
        <f>IF(T30&lt;=8,100%,IF(T30&lt;=12,50%,25%))</f>
        <v/>
      </c>
      <c r="Y30" s="37">
        <f>IF(U30&lt;=10,100%,IF(U30&lt;=15,50%,25%))</f>
        <v/>
      </c>
      <c r="Z30" s="37">
        <f>IF(V30&lt;=13,100%,IF(V30&lt;=19,50%,25%))</f>
        <v/>
      </c>
      <c r="AA30" s="37">
        <f>W30*0.13</f>
        <v/>
      </c>
      <c r="AB30" s="37">
        <f>X30*0.06</f>
        <v/>
      </c>
      <c r="AC30" s="37">
        <f>Y30*0.04</f>
        <v/>
      </c>
      <c r="AD30" s="37">
        <f>Z30*0.02</f>
        <v/>
      </c>
      <c r="AE30" s="37">
        <f>VLOOKUP(B30,'KPI Ticketing'!B:N,13,)</f>
        <v/>
      </c>
      <c r="AF30" s="37">
        <f>IF(AE30&gt;=0.8,1,IF(AE30&gt;=0.7,0.9,IF(AE30&gt;=0.6,0.8,IF(AE30&gt;=0.5,0.7,IF(AE30&gt;=0.4,0.6,IF(AE30&gt;=0.3,0.5,IF(AE30&gt;=0.2,0.4,IF(AE30&gt;=0.1,0.3,0.2))))))))</f>
        <v/>
      </c>
      <c r="AG30" s="37">
        <f>AF30*0.03</f>
        <v/>
      </c>
      <c r="AH30" s="37">
        <f>VLOOKUP(B30,'KPI Ticketing'!B:R,17,)</f>
        <v/>
      </c>
      <c r="AI30" s="37">
        <f>IF(AH30&gt;=0.8,1,IF(AH30&gt;=0.7,0.9,IF(AH30&gt;=0.6,0.8,IF(AH30&gt;=0.5,0.7,IF(AH30&gt;=0.4,0.6,IF(AH30&gt;=0.3,0.5,IF(AH30&gt;=0.2,0.4,IF(AH30&gt;=0.1,0.3,0.2))))))))</f>
        <v/>
      </c>
      <c r="AJ30" s="37">
        <f>AI30*0.02</f>
        <v/>
      </c>
      <c r="AK30" s="37">
        <f>VLOOKUP(B30,'KPI Ticketing'!B:V,21,)</f>
        <v/>
      </c>
      <c r="AL30" s="37">
        <f>IF(AK30&gt;=0.9,1,IF(AK30&gt;=0.8,0.9,IF(AK30&gt;=0.7,0.8,IF(AK30&gt;=0.6,0.7,IF(AK30&gt;=0.5,0.6,IF(AK30&gt;=0.4,0.5,IF(AK30&gt;=0.3,0.4,IF(AK30&gt;=0.2,0.3,IF(AK30&gt;=0.1,0.2,0.1)))))))))</f>
        <v/>
      </c>
      <c r="AM30" s="37">
        <f>AL30*0.05</f>
        <v/>
      </c>
      <c r="AN30" s="37">
        <f>VLOOKUP(B30,'KPI Ticketing'!B:Z,25,)</f>
        <v/>
      </c>
      <c r="AO30" s="37">
        <f>IF(AN30&gt;=0.95,1,IF(AN30&gt;=0.9,0.9,IF(AN30&gt;=0.8,0.8,IF(AN30&gt;=0.7,0.7,IF(AN30&gt;=0.6,0.6,IF(AN30&gt;=0.5,0.5,IF(AN30&gt;=0.4,0.4,IF(AN30&gt;=0.3,0.3,IF(AN30&gt;=0.2,0.2,IF(AN30&gt;=0.1,0.1,0.05))))))))))</f>
        <v/>
      </c>
      <c r="AP30" s="37">
        <f>AO30*0.05</f>
        <v/>
      </c>
      <c r="AQ30" s="37">
        <f>VLOOKUP(B30,'KPI Ticketing'!B:AC,28,)</f>
        <v/>
      </c>
      <c r="AR30" s="37">
        <f>IF(AQ30&lt;0.95,0.5,1)</f>
        <v/>
      </c>
      <c r="AS30" s="37">
        <f>AR30*0.01</f>
        <v/>
      </c>
      <c r="AT30" s="37">
        <f>VLOOKUP(B30,'KPI Ticketing'!B:AG,32,)</f>
        <v/>
      </c>
      <c r="AU30" s="37">
        <f>IF(AT30&lt;0.3,0.5,1)</f>
        <v/>
      </c>
      <c r="AV30" s="37">
        <f>AU30*0.01</f>
        <v/>
      </c>
      <c r="AW30" s="38">
        <f>VLOOKUP(B30,'KPI Ticketing'!B:AH,33,)</f>
        <v/>
      </c>
      <c r="AX30" s="38">
        <f>VLOOKUP(B30,'KPI Ticketing'!B:AI,34,)</f>
        <v/>
      </c>
      <c r="AY30" s="38">
        <f>VLOOKUP(B30,'KPI Ticketing'!B:AJ,35,)</f>
        <v/>
      </c>
      <c r="AZ30" s="38">
        <f>VLOOKUP(B30,'KPI Ticketing'!B:AK,36,)</f>
        <v/>
      </c>
      <c r="BA30" s="38">
        <f>VLOOKUP(B30,'KPI Ticketing'!B:AL,37,)</f>
        <v/>
      </c>
      <c r="BB30" s="37">
        <f>IF(AW30&lt;=2,1,IF(AW30&lt;=3,0.7,IF(AW30&lt;=4,0.4,0.1)))</f>
        <v/>
      </c>
      <c r="BC30" s="37">
        <f>IF(AX30&lt;=4,1,IF(AX30&lt;=6,0.5,0.25))</f>
        <v/>
      </c>
      <c r="BD30" s="37">
        <f>IF(AY30&lt;=15,1,IF(AY30&lt;=22.5,0.5,0.25))</f>
        <v/>
      </c>
      <c r="BE30" s="37">
        <f>IF(AZ30&lt;=48,1,IF(AZ30&lt;=72,0.5,0.25))</f>
        <v/>
      </c>
      <c r="BF30" s="37">
        <f>IF(BA30=0, 0, IF(BA30&lt;=96, 1, IF(BA30&lt;=144, 0.5, 0.25)))</f>
        <v/>
      </c>
      <c r="BG30" s="37">
        <f>BB30*0.1</f>
        <v/>
      </c>
      <c r="BH30" s="37">
        <f>BC30*0.05</f>
        <v/>
      </c>
      <c r="BI30" s="37">
        <f>BD30*0.02</f>
        <v/>
      </c>
      <c r="BJ30" s="37">
        <f>BE30*0.01</f>
        <v/>
      </c>
      <c r="BK30" s="37">
        <f>BF30*0.01</f>
        <v/>
      </c>
      <c r="BL30" s="37">
        <f>VLOOKUP(B30,'KPI Ticketing'!B:AT,45,)</f>
        <v/>
      </c>
      <c r="BM30" s="37">
        <f>IF(BL30&gt;=0.8,1,IF(BL30&gt;=0.7,0.9,IF(BL30&gt;=0.6,0.8,IF(BL30&gt;=0.5,0.7,IF(BL30&gt;=0.4,0.6,IF(BL30&gt;=0.3,0.5,IF(BL30&gt;=0.2,0.4,IF(BL30&gt;=0.1,0.3,0.2))))))))</f>
        <v/>
      </c>
      <c r="BN30" s="37">
        <f>BM30*0.03</f>
        <v/>
      </c>
      <c r="BO30" s="37">
        <f>VLOOKUP(B30,'KPI Ticketing'!B:AX,49,)</f>
        <v/>
      </c>
      <c r="BP30" s="37">
        <f>IF(BO30&gt;=0.8,1,IF(BO30&gt;=0.7,0.9,IF(BO30&gt;=0.6,0.8,IF(BO30&gt;=0.5,0.7,IF(BO30&gt;=0.4,0.6,IF(BO30&gt;=0.3,0.5,IF(BO30&gt;=0.2,0.4,IF(BO30&gt;=0.1,0.3,0.2))))))))</f>
        <v/>
      </c>
      <c r="BQ30" s="37">
        <f>BP30*0.02</f>
        <v/>
      </c>
      <c r="BR30" s="37">
        <f>VLOOKUP(B30,'KPI Ticketing'!B:BB,53,)</f>
        <v/>
      </c>
      <c r="BS30" s="37">
        <f>IF(BR30&gt;=0.9,1,IF(BR30&gt;=0.8,0.9,IF(BR30&gt;=0.7,0.8,IF(BR30&gt;=0.6,0.7,IF(BR30&gt;=0.5,0.6,IF(BR30&gt;=0.4,0.5,IF(BR30&gt;=0.3,0.4,IF(BR30&gt;=0.2,0.3,IF(BR30&gt;=0.1,0.2,0.1)))))))))</f>
        <v/>
      </c>
      <c r="BT30" s="37">
        <f>BS30*0.05</f>
        <v/>
      </c>
      <c r="BU30" s="39" t="n">
        <v>0.08</v>
      </c>
      <c r="BV30" s="39" t="n">
        <v>0.06</v>
      </c>
      <c r="BW30" s="39" t="n">
        <v>0.09</v>
      </c>
      <c r="BX30" s="39" t="n">
        <v>0.06</v>
      </c>
    </row>
    <row r="31">
      <c r="A31" t="inlineStr">
        <is>
          <t>R05_Jawa Tengah DIY</t>
        </is>
      </c>
      <c r="B31" t="inlineStr">
        <is>
          <t>NOP SURAKARTA</t>
        </is>
      </c>
      <c r="C31" s="36">
        <f>RANK(D31,$D$10:$D$43,0)</f>
        <v/>
      </c>
      <c r="D31" s="37">
        <f>(G31*0.35)+(O31*65%)</f>
        <v/>
      </c>
      <c r="E31" s="36">
        <f>IF(D31&gt;=0.95,"Istimewa",IF(D31&gt;0.9,"Baik Sekali",IF(D31&gt;0.85,"Baik",IF(D31&gt;0.8,"Cukup","Kurang"))))</f>
        <v/>
      </c>
      <c r="F31" s="37">
        <f>0.29*0.65</f>
        <v/>
      </c>
      <c r="G31" s="37">
        <f>N31</f>
        <v/>
      </c>
      <c r="H31" s="37">
        <f>VLOOKUP(B31,'KPI Availability'!B:O,14,)</f>
        <v/>
      </c>
      <c r="I31" s="37">
        <f>VLOOKUP(B31,'KPI Availability'!B:P,15,)</f>
        <v/>
      </c>
      <c r="J31" s="37">
        <f>VLOOKUP(B31,'KPI Availability'!B:Q,16,)</f>
        <v/>
      </c>
      <c r="K31" s="37">
        <f>VLOOKUP(B31,'KPI Availability'!B:R,17,)</f>
        <v/>
      </c>
      <c r="L31" s="37">
        <f>VLOOKUP(B31,'KPI Availability'!B:S,18,)</f>
        <v/>
      </c>
      <c r="M31" s="37">
        <f>VLOOKUP(B31,'KPI Availability'!B:T,19,)</f>
        <v/>
      </c>
      <c r="N31" s="37">
        <f>SUM(H31:M31)</f>
        <v/>
      </c>
      <c r="O31" s="37">
        <f>P31+Q31+R31</f>
        <v/>
      </c>
      <c r="P31" s="37">
        <f>SUM(AA31:AD31,AG31,AJ31,AM31,AP31,AS31,AV31)</f>
        <v/>
      </c>
      <c r="Q31" s="37">
        <f>SUM(BG31:BK31,BN31,BQ31,BT31)</f>
        <v/>
      </c>
      <c r="R31" s="37">
        <f>SUM(BU31:BX31)</f>
        <v/>
      </c>
      <c r="S31" s="38">
        <f>VLOOKUP(B31,'KPI Ticketing'!B:C,2,)</f>
        <v/>
      </c>
      <c r="T31" s="38">
        <f>VLOOKUP(B31,'KPI Ticketing'!B:D,3,)</f>
        <v/>
      </c>
      <c r="U31" s="38">
        <f>VLOOKUP(B31,'KPI Ticketing'!B:E,4,)</f>
        <v/>
      </c>
      <c r="V31" s="38">
        <f>VLOOKUP(B31,'KPI Ticketing'!B:F,5,)</f>
        <v/>
      </c>
      <c r="W31" s="37">
        <f>IF(S31&lt;=4,100%,IF(S31&lt;=6,70%,IF(S31&lt;=8,40%,10%)))</f>
        <v/>
      </c>
      <c r="X31" s="37">
        <f>IF(T31&lt;=8,100%,IF(T31&lt;=12,50%,25%))</f>
        <v/>
      </c>
      <c r="Y31" s="37">
        <f>IF(U31&lt;=10,100%,IF(U31&lt;=15,50%,25%))</f>
        <v/>
      </c>
      <c r="Z31" s="37">
        <f>IF(V31&lt;=13,100%,IF(V31&lt;=19,50%,25%))</f>
        <v/>
      </c>
      <c r="AA31" s="37">
        <f>W31*0.13</f>
        <v/>
      </c>
      <c r="AB31" s="37">
        <f>X31*0.06</f>
        <v/>
      </c>
      <c r="AC31" s="37">
        <f>Y31*0.04</f>
        <v/>
      </c>
      <c r="AD31" s="37">
        <f>Z31*0.02</f>
        <v/>
      </c>
      <c r="AE31" s="37">
        <f>VLOOKUP(B31,'KPI Ticketing'!B:N,13,)</f>
        <v/>
      </c>
      <c r="AF31" s="37">
        <f>IF(AE31&gt;=0.8,1,IF(AE31&gt;=0.7,0.9,IF(AE31&gt;=0.6,0.8,IF(AE31&gt;=0.5,0.7,IF(AE31&gt;=0.4,0.6,IF(AE31&gt;=0.3,0.5,IF(AE31&gt;=0.2,0.4,IF(AE31&gt;=0.1,0.3,0.2))))))))</f>
        <v/>
      </c>
      <c r="AG31" s="37">
        <f>AF31*0.03</f>
        <v/>
      </c>
      <c r="AH31" s="37">
        <f>VLOOKUP(B31,'KPI Ticketing'!B:R,17,)</f>
        <v/>
      </c>
      <c r="AI31" s="37">
        <f>IF(AH31&gt;=0.8,1,IF(AH31&gt;=0.7,0.9,IF(AH31&gt;=0.6,0.8,IF(AH31&gt;=0.5,0.7,IF(AH31&gt;=0.4,0.6,IF(AH31&gt;=0.3,0.5,IF(AH31&gt;=0.2,0.4,IF(AH31&gt;=0.1,0.3,0.2))))))))</f>
        <v/>
      </c>
      <c r="AJ31" s="37">
        <f>AI31*0.02</f>
        <v/>
      </c>
      <c r="AK31" s="37">
        <f>VLOOKUP(B31,'KPI Ticketing'!B:V,21,)</f>
        <v/>
      </c>
      <c r="AL31" s="37">
        <f>IF(AK31&gt;=0.9,1,IF(AK31&gt;=0.8,0.9,IF(AK31&gt;=0.7,0.8,IF(AK31&gt;=0.6,0.7,IF(AK31&gt;=0.5,0.6,IF(AK31&gt;=0.4,0.5,IF(AK31&gt;=0.3,0.4,IF(AK31&gt;=0.2,0.3,IF(AK31&gt;=0.1,0.2,0.1)))))))))</f>
        <v/>
      </c>
      <c r="AM31" s="37">
        <f>AL31*0.05</f>
        <v/>
      </c>
      <c r="AN31" s="37">
        <f>VLOOKUP(B31,'KPI Ticketing'!B:Z,25,)</f>
        <v/>
      </c>
      <c r="AO31" s="37">
        <f>IF(AN31&gt;=0.95,1,IF(AN31&gt;=0.9,0.9,IF(AN31&gt;=0.8,0.8,IF(AN31&gt;=0.7,0.7,IF(AN31&gt;=0.6,0.6,IF(AN31&gt;=0.5,0.5,IF(AN31&gt;=0.4,0.4,IF(AN31&gt;=0.3,0.3,IF(AN31&gt;=0.2,0.2,IF(AN31&gt;=0.1,0.1,0.05))))))))))</f>
        <v/>
      </c>
      <c r="AP31" s="37">
        <f>AO31*0.05</f>
        <v/>
      </c>
      <c r="AQ31" s="37">
        <f>VLOOKUP(B31,'KPI Ticketing'!B:AC,28,)</f>
        <v/>
      </c>
      <c r="AR31" s="37">
        <f>IF(AQ31&lt;0.95,0.5,1)</f>
        <v/>
      </c>
      <c r="AS31" s="37">
        <f>AR31*0.01</f>
        <v/>
      </c>
      <c r="AT31" s="37">
        <f>VLOOKUP(B31,'KPI Ticketing'!B:AG,32,)</f>
        <v/>
      </c>
      <c r="AU31" s="37">
        <f>IF(AT31&lt;0.3,0.5,1)</f>
        <v/>
      </c>
      <c r="AV31" s="37">
        <f>AU31*0.01</f>
        <v/>
      </c>
      <c r="AW31" s="38">
        <f>VLOOKUP(B31,'KPI Ticketing'!B:AH,33,)</f>
        <v/>
      </c>
      <c r="AX31" s="38">
        <f>VLOOKUP(B31,'KPI Ticketing'!B:AI,34,)</f>
        <v/>
      </c>
      <c r="AY31" s="38">
        <f>VLOOKUP(B31,'KPI Ticketing'!B:AJ,35,)</f>
        <v/>
      </c>
      <c r="AZ31" s="38">
        <f>VLOOKUP(B31,'KPI Ticketing'!B:AK,36,)</f>
        <v/>
      </c>
      <c r="BA31" s="38">
        <f>VLOOKUP(B31,'KPI Ticketing'!B:AL,37,)</f>
        <v/>
      </c>
      <c r="BB31" s="37">
        <f>IF(AW31&lt;=2,1,IF(AW31&lt;=3,0.7,IF(AW31&lt;=4,0.4,0.1)))</f>
        <v/>
      </c>
      <c r="BC31" s="37">
        <f>IF(AX31&lt;=4,1,IF(AX31&lt;=6,0.5,0.25))</f>
        <v/>
      </c>
      <c r="BD31" s="37">
        <f>IF(AY31&lt;=15,1,IF(AY31&lt;=22.5,0.5,0.25))</f>
        <v/>
      </c>
      <c r="BE31" s="37">
        <f>IF(AZ31&lt;=48,1,IF(AZ31&lt;=72,0.5,0.25))</f>
        <v/>
      </c>
      <c r="BF31" s="37">
        <f>IF(BA31=0, 0, IF(BA31&lt;=96, 1, IF(BA31&lt;=144, 0.5, 0.25)))</f>
        <v/>
      </c>
      <c r="BG31" s="37">
        <f>BB31*0.1</f>
        <v/>
      </c>
      <c r="BH31" s="37">
        <f>BC31*0.05</f>
        <v/>
      </c>
      <c r="BI31" s="37">
        <f>BD31*0.02</f>
        <v/>
      </c>
      <c r="BJ31" s="37">
        <f>BE31*0.01</f>
        <v/>
      </c>
      <c r="BK31" s="37">
        <f>BF31*0.01</f>
        <v/>
      </c>
      <c r="BL31" s="37">
        <f>VLOOKUP(B31,'KPI Ticketing'!B:AT,45,)</f>
        <v/>
      </c>
      <c r="BM31" s="37">
        <f>IF(BL31&gt;=0.8,1,IF(BL31&gt;=0.7,0.9,IF(BL31&gt;=0.6,0.8,IF(BL31&gt;=0.5,0.7,IF(BL31&gt;=0.4,0.6,IF(BL31&gt;=0.3,0.5,IF(BL31&gt;=0.2,0.4,IF(BL31&gt;=0.1,0.3,0.2))))))))</f>
        <v/>
      </c>
      <c r="BN31" s="37">
        <f>BM31*0.03</f>
        <v/>
      </c>
      <c r="BO31" s="37">
        <f>VLOOKUP(B31,'KPI Ticketing'!B:AX,49,)</f>
        <v/>
      </c>
      <c r="BP31" s="37">
        <f>IF(BO31&gt;=0.8,1,IF(BO31&gt;=0.7,0.9,IF(BO31&gt;=0.6,0.8,IF(BO31&gt;=0.5,0.7,IF(BO31&gt;=0.4,0.6,IF(BO31&gt;=0.3,0.5,IF(BO31&gt;=0.2,0.4,IF(BO31&gt;=0.1,0.3,0.2))))))))</f>
        <v/>
      </c>
      <c r="BQ31" s="37">
        <f>BP31*0.02</f>
        <v/>
      </c>
      <c r="BR31" s="37">
        <f>VLOOKUP(B31,'KPI Ticketing'!B:BB,53,)</f>
        <v/>
      </c>
      <c r="BS31" s="37">
        <f>IF(BR31&gt;=0.9,1,IF(BR31&gt;=0.8,0.9,IF(BR31&gt;=0.7,0.8,IF(BR31&gt;=0.6,0.7,IF(BR31&gt;=0.5,0.6,IF(BR31&gt;=0.4,0.5,IF(BR31&gt;=0.3,0.4,IF(BR31&gt;=0.2,0.3,IF(BR31&gt;=0.1,0.2,0.1)))))))))</f>
        <v/>
      </c>
      <c r="BT31" s="37">
        <f>BS31*0.05</f>
        <v/>
      </c>
      <c r="BU31" s="39" t="n">
        <v>0.08</v>
      </c>
      <c r="BV31" s="39" t="n">
        <v>0.06</v>
      </c>
      <c r="BW31" s="39" t="n">
        <v>0.09</v>
      </c>
      <c r="BX31" s="39" t="n">
        <v>0.06</v>
      </c>
    </row>
    <row r="32">
      <c r="A32" t="inlineStr">
        <is>
          <t>R05_Jawa Tengah DIY</t>
        </is>
      </c>
      <c r="B32" t="inlineStr">
        <is>
          <t>NOP YOGYAKARTA</t>
        </is>
      </c>
      <c r="C32" s="36">
        <f>RANK(D32,$D$10:$D$43,0)</f>
        <v/>
      </c>
      <c r="D32" s="37">
        <f>(G32*0.35)+(O32*65%)</f>
        <v/>
      </c>
      <c r="E32" s="36">
        <f>IF(D32&gt;=0.95,"Istimewa",IF(D32&gt;0.9,"Baik Sekali",IF(D32&gt;0.85,"Baik",IF(D32&gt;0.8,"Cukup","Kurang"))))</f>
        <v/>
      </c>
      <c r="F32" s="37">
        <f>0.29*0.65</f>
        <v/>
      </c>
      <c r="G32" s="37">
        <f>N32</f>
        <v/>
      </c>
      <c r="H32" s="37">
        <f>VLOOKUP(B32,'KPI Availability'!B:O,14,)</f>
        <v/>
      </c>
      <c r="I32" s="37">
        <f>VLOOKUP(B32,'KPI Availability'!B:P,15,)</f>
        <v/>
      </c>
      <c r="J32" s="37">
        <f>VLOOKUP(B32,'KPI Availability'!B:Q,16,)</f>
        <v/>
      </c>
      <c r="K32" s="37">
        <f>VLOOKUP(B32,'KPI Availability'!B:R,17,)</f>
        <v/>
      </c>
      <c r="L32" s="37">
        <f>VLOOKUP(B32,'KPI Availability'!B:S,18,)</f>
        <v/>
      </c>
      <c r="M32" s="37">
        <f>VLOOKUP(B32,'KPI Availability'!B:T,19,)</f>
        <v/>
      </c>
      <c r="N32" s="37">
        <f>SUM(H32:M32)</f>
        <v/>
      </c>
      <c r="O32" s="37">
        <f>P32+Q32+R32</f>
        <v/>
      </c>
      <c r="P32" s="37">
        <f>SUM(AA32:AD32,AG32,AJ32,AM32,AP32,AS32,AV32)</f>
        <v/>
      </c>
      <c r="Q32" s="37">
        <f>SUM(BG32:BK32,BN32,BQ32,BT32)</f>
        <v/>
      </c>
      <c r="R32" s="37">
        <f>SUM(BU32:BX32)</f>
        <v/>
      </c>
      <c r="S32" s="38">
        <f>VLOOKUP(B32,'KPI Ticketing'!B:C,2,)</f>
        <v/>
      </c>
      <c r="T32" s="38">
        <f>VLOOKUP(B32,'KPI Ticketing'!B:D,3,)</f>
        <v/>
      </c>
      <c r="U32" s="38">
        <f>VLOOKUP(B32,'KPI Ticketing'!B:E,4,)</f>
        <v/>
      </c>
      <c r="V32" s="38">
        <f>VLOOKUP(B32,'KPI Ticketing'!B:F,5,)</f>
        <v/>
      </c>
      <c r="W32" s="37">
        <f>IF(S32&lt;=4,100%,IF(S32&lt;=6,70%,IF(S32&lt;=8,40%,10%)))</f>
        <v/>
      </c>
      <c r="X32" s="37">
        <f>IF(T32&lt;=8,100%,IF(T32&lt;=12,50%,25%))</f>
        <v/>
      </c>
      <c r="Y32" s="37">
        <f>IF(U32&lt;=10,100%,IF(U32&lt;=15,50%,25%))</f>
        <v/>
      </c>
      <c r="Z32" s="37">
        <f>IF(V32&lt;=13,100%,IF(V32&lt;=19,50%,25%))</f>
        <v/>
      </c>
      <c r="AA32" s="37">
        <f>W32*0.13</f>
        <v/>
      </c>
      <c r="AB32" s="37">
        <f>X32*0.06</f>
        <v/>
      </c>
      <c r="AC32" s="37">
        <f>Y32*0.04</f>
        <v/>
      </c>
      <c r="AD32" s="37">
        <f>Z32*0.02</f>
        <v/>
      </c>
      <c r="AE32" s="37">
        <f>VLOOKUP(B32,'KPI Ticketing'!B:N,13,)</f>
        <v/>
      </c>
      <c r="AF32" s="37">
        <f>IF(AE32&gt;=0.8,1,IF(AE32&gt;=0.7,0.9,IF(AE32&gt;=0.6,0.8,IF(AE32&gt;=0.5,0.7,IF(AE32&gt;=0.4,0.6,IF(AE32&gt;=0.3,0.5,IF(AE32&gt;=0.2,0.4,IF(AE32&gt;=0.1,0.3,0.2))))))))</f>
        <v/>
      </c>
      <c r="AG32" s="37">
        <f>AF32*0.03</f>
        <v/>
      </c>
      <c r="AH32" s="37">
        <f>VLOOKUP(B32,'KPI Ticketing'!B:R,17,)</f>
        <v/>
      </c>
      <c r="AI32" s="37">
        <f>IF(AH32&gt;=0.8,1,IF(AH32&gt;=0.7,0.9,IF(AH32&gt;=0.6,0.8,IF(AH32&gt;=0.5,0.7,IF(AH32&gt;=0.4,0.6,IF(AH32&gt;=0.3,0.5,IF(AH32&gt;=0.2,0.4,IF(AH32&gt;=0.1,0.3,0.2))))))))</f>
        <v/>
      </c>
      <c r="AJ32" s="37">
        <f>AI32*0.02</f>
        <v/>
      </c>
      <c r="AK32" s="37">
        <f>VLOOKUP(B32,'KPI Ticketing'!B:V,21,)</f>
        <v/>
      </c>
      <c r="AL32" s="37">
        <f>IF(AK32&gt;=0.9,1,IF(AK32&gt;=0.8,0.9,IF(AK32&gt;=0.7,0.8,IF(AK32&gt;=0.6,0.7,IF(AK32&gt;=0.5,0.6,IF(AK32&gt;=0.4,0.5,IF(AK32&gt;=0.3,0.4,IF(AK32&gt;=0.2,0.3,IF(AK32&gt;=0.1,0.2,0.1)))))))))</f>
        <v/>
      </c>
      <c r="AM32" s="37">
        <f>AL32*0.05</f>
        <v/>
      </c>
      <c r="AN32" s="37">
        <f>VLOOKUP(B32,'KPI Ticketing'!B:Z,25,)</f>
        <v/>
      </c>
      <c r="AO32" s="37">
        <f>IF(AN32&gt;=0.95,1,IF(AN32&gt;=0.9,0.9,IF(AN32&gt;=0.8,0.8,IF(AN32&gt;=0.7,0.7,IF(AN32&gt;=0.6,0.6,IF(AN32&gt;=0.5,0.5,IF(AN32&gt;=0.4,0.4,IF(AN32&gt;=0.3,0.3,IF(AN32&gt;=0.2,0.2,IF(AN32&gt;=0.1,0.1,0.05))))))))))</f>
        <v/>
      </c>
      <c r="AP32" s="37">
        <f>AO32*0.05</f>
        <v/>
      </c>
      <c r="AQ32" s="37">
        <f>VLOOKUP(B32,'KPI Ticketing'!B:AC,28,)</f>
        <v/>
      </c>
      <c r="AR32" s="37">
        <f>IF(AQ32&lt;0.95,0.5,1)</f>
        <v/>
      </c>
      <c r="AS32" s="37">
        <f>AR32*0.01</f>
        <v/>
      </c>
      <c r="AT32" s="37">
        <f>VLOOKUP(B32,'KPI Ticketing'!B:AG,32,)</f>
        <v/>
      </c>
      <c r="AU32" s="37">
        <f>IF(AT32&lt;0.3,0.5,1)</f>
        <v/>
      </c>
      <c r="AV32" s="37">
        <f>AU32*0.01</f>
        <v/>
      </c>
      <c r="AW32" s="38">
        <f>VLOOKUP(B32,'KPI Ticketing'!B:AH,33,)</f>
        <v/>
      </c>
      <c r="AX32" s="38">
        <f>VLOOKUP(B32,'KPI Ticketing'!B:AI,34,)</f>
        <v/>
      </c>
      <c r="AY32" s="38">
        <f>VLOOKUP(B32,'KPI Ticketing'!B:AJ,35,)</f>
        <v/>
      </c>
      <c r="AZ32" s="38">
        <f>VLOOKUP(B32,'KPI Ticketing'!B:AK,36,)</f>
        <v/>
      </c>
      <c r="BA32" s="38">
        <f>VLOOKUP(B32,'KPI Ticketing'!B:AL,37,)</f>
        <v/>
      </c>
      <c r="BB32" s="37">
        <f>IF(AW32&lt;=2,1,IF(AW32&lt;=3,0.7,IF(AW32&lt;=4,0.4,0.1)))</f>
        <v/>
      </c>
      <c r="BC32" s="37">
        <f>IF(AX32&lt;=4,1,IF(AX32&lt;=6,0.5,0.25))</f>
        <v/>
      </c>
      <c r="BD32" s="37">
        <f>IF(AY32&lt;=15,1,IF(AY32&lt;=22.5,0.5,0.25))</f>
        <v/>
      </c>
      <c r="BE32" s="37">
        <f>IF(AZ32&lt;=48,1,IF(AZ32&lt;=72,0.5,0.25))</f>
        <v/>
      </c>
      <c r="BF32" s="37">
        <f>IF(BA32=0, 0, IF(BA32&lt;=96, 1, IF(BA32&lt;=144, 0.5, 0.25)))</f>
        <v/>
      </c>
      <c r="BG32" s="37">
        <f>BB32*0.1</f>
        <v/>
      </c>
      <c r="BH32" s="37">
        <f>BC32*0.05</f>
        <v/>
      </c>
      <c r="BI32" s="37">
        <f>BD32*0.02</f>
        <v/>
      </c>
      <c r="BJ32" s="37">
        <f>BE32*0.01</f>
        <v/>
      </c>
      <c r="BK32" s="37">
        <f>BF32*0.01</f>
        <v/>
      </c>
      <c r="BL32" s="37">
        <f>VLOOKUP(B32,'KPI Ticketing'!B:AT,45,)</f>
        <v/>
      </c>
      <c r="BM32" s="37">
        <f>IF(BL32&gt;=0.8,1,IF(BL32&gt;=0.7,0.9,IF(BL32&gt;=0.6,0.8,IF(BL32&gt;=0.5,0.7,IF(BL32&gt;=0.4,0.6,IF(BL32&gt;=0.3,0.5,IF(BL32&gt;=0.2,0.4,IF(BL32&gt;=0.1,0.3,0.2))))))))</f>
        <v/>
      </c>
      <c r="BN32" s="37">
        <f>BM32*0.03</f>
        <v/>
      </c>
      <c r="BO32" s="37">
        <f>VLOOKUP(B32,'KPI Ticketing'!B:AX,49,)</f>
        <v/>
      </c>
      <c r="BP32" s="37">
        <f>IF(BO32&gt;=0.8,1,IF(BO32&gt;=0.7,0.9,IF(BO32&gt;=0.6,0.8,IF(BO32&gt;=0.5,0.7,IF(BO32&gt;=0.4,0.6,IF(BO32&gt;=0.3,0.5,IF(BO32&gt;=0.2,0.4,IF(BO32&gt;=0.1,0.3,0.2))))))))</f>
        <v/>
      </c>
      <c r="BQ32" s="37">
        <f>BP32*0.02</f>
        <v/>
      </c>
      <c r="BR32" s="37">
        <f>VLOOKUP(B32,'KPI Ticketing'!B:BB,53,)</f>
        <v/>
      </c>
      <c r="BS32" s="37">
        <f>IF(BR32&gt;=0.9,1,IF(BR32&gt;=0.8,0.9,IF(BR32&gt;=0.7,0.8,IF(BR32&gt;=0.6,0.7,IF(BR32&gt;=0.5,0.6,IF(BR32&gt;=0.4,0.5,IF(BR32&gt;=0.3,0.4,IF(BR32&gt;=0.2,0.3,IF(BR32&gt;=0.1,0.2,0.1)))))))))</f>
        <v/>
      </c>
      <c r="BT32" s="37">
        <f>BS32*0.05</f>
        <v/>
      </c>
      <c r="BU32" s="39" t="n">
        <v>0.08</v>
      </c>
      <c r="BV32" s="39" t="n">
        <v>0.06</v>
      </c>
      <c r="BW32" s="39" t="n">
        <v>0.09</v>
      </c>
      <c r="BX32" s="39" t="n">
        <v>0.06</v>
      </c>
    </row>
    <row r="33">
      <c r="A33" t="inlineStr">
        <is>
          <t>R06_Jawa Timur</t>
        </is>
      </c>
      <c r="B33" t="inlineStr">
        <is>
          <t>NOP JEMBER</t>
        </is>
      </c>
      <c r="C33" s="36">
        <f>RANK(D33,$D$10:$D$43,0)</f>
        <v/>
      </c>
      <c r="D33" s="37">
        <f>(G33*0.35)+(O33*65%)</f>
        <v/>
      </c>
      <c r="E33" s="36">
        <f>IF(D33&gt;=0.95,"Istimewa",IF(D33&gt;0.9,"Baik Sekali",IF(D33&gt;0.85,"Baik",IF(D33&gt;0.8,"Cukup","Kurang"))))</f>
        <v/>
      </c>
      <c r="F33" s="37">
        <f>0.29*0.65</f>
        <v/>
      </c>
      <c r="G33" s="37">
        <f>N33</f>
        <v/>
      </c>
      <c r="H33" s="37">
        <f>VLOOKUP(B33,'KPI Availability'!B:O,14,)</f>
        <v/>
      </c>
      <c r="I33" s="37">
        <f>VLOOKUP(B33,'KPI Availability'!B:P,15,)</f>
        <v/>
      </c>
      <c r="J33" s="37">
        <f>VLOOKUP(B33,'KPI Availability'!B:Q,16,)</f>
        <v/>
      </c>
      <c r="K33" s="37">
        <f>VLOOKUP(B33,'KPI Availability'!B:R,17,)</f>
        <v/>
      </c>
      <c r="L33" s="37">
        <f>VLOOKUP(B33,'KPI Availability'!B:S,18,)</f>
        <v/>
      </c>
      <c r="M33" s="37">
        <f>VLOOKUP(B33,'KPI Availability'!B:T,19,)</f>
        <v/>
      </c>
      <c r="N33" s="37">
        <f>SUM(H33:M33)</f>
        <v/>
      </c>
      <c r="O33" s="37">
        <f>P33+Q33+R33</f>
        <v/>
      </c>
      <c r="P33" s="37">
        <f>SUM(AA33:AD33,AG33,AJ33,AM33,AP33,AS33,AV33)</f>
        <v/>
      </c>
      <c r="Q33" s="37">
        <f>SUM(BG33:BK33,BN33,BQ33,BT33)</f>
        <v/>
      </c>
      <c r="R33" s="37">
        <f>SUM(BU33:BX33)</f>
        <v/>
      </c>
      <c r="S33" s="38">
        <f>VLOOKUP(B33,'KPI Ticketing'!B:C,2,)</f>
        <v/>
      </c>
      <c r="T33" s="38">
        <f>VLOOKUP(B33,'KPI Ticketing'!B:D,3,)</f>
        <v/>
      </c>
      <c r="U33" s="38">
        <f>VLOOKUP(B33,'KPI Ticketing'!B:E,4,)</f>
        <v/>
      </c>
      <c r="V33" s="38">
        <f>VLOOKUP(B33,'KPI Ticketing'!B:F,5,)</f>
        <v/>
      </c>
      <c r="W33" s="37">
        <f>IF(S33&lt;=4,100%,IF(S33&lt;=6,70%,IF(S33&lt;=8,40%,10%)))</f>
        <v/>
      </c>
      <c r="X33" s="37">
        <f>IF(T33&lt;=8,100%,IF(T33&lt;=12,50%,25%))</f>
        <v/>
      </c>
      <c r="Y33" s="37">
        <f>IF(U33&lt;=10,100%,IF(U33&lt;=15,50%,25%))</f>
        <v/>
      </c>
      <c r="Z33" s="37">
        <f>IF(V33&lt;=13,100%,IF(V33&lt;=19,50%,25%))</f>
        <v/>
      </c>
      <c r="AA33" s="37">
        <f>W33*0.13</f>
        <v/>
      </c>
      <c r="AB33" s="37">
        <f>X33*0.06</f>
        <v/>
      </c>
      <c r="AC33" s="37">
        <f>Y33*0.04</f>
        <v/>
      </c>
      <c r="AD33" s="37">
        <f>Z33*0.02</f>
        <v/>
      </c>
      <c r="AE33" s="37">
        <f>VLOOKUP(B33,'KPI Ticketing'!B:N,13,)</f>
        <v/>
      </c>
      <c r="AF33" s="37">
        <f>IF(AE33&gt;=0.8,1,IF(AE33&gt;=0.7,0.9,IF(AE33&gt;=0.6,0.8,IF(AE33&gt;=0.5,0.7,IF(AE33&gt;=0.4,0.6,IF(AE33&gt;=0.3,0.5,IF(AE33&gt;=0.2,0.4,IF(AE33&gt;=0.1,0.3,0.2))))))))</f>
        <v/>
      </c>
      <c r="AG33" s="37">
        <f>AF33*0.03</f>
        <v/>
      </c>
      <c r="AH33" s="37">
        <f>VLOOKUP(B33,'KPI Ticketing'!B:R,17,)</f>
        <v/>
      </c>
      <c r="AI33" s="37">
        <f>IF(AH33&gt;=0.8,1,IF(AH33&gt;=0.7,0.9,IF(AH33&gt;=0.6,0.8,IF(AH33&gt;=0.5,0.7,IF(AH33&gt;=0.4,0.6,IF(AH33&gt;=0.3,0.5,IF(AH33&gt;=0.2,0.4,IF(AH33&gt;=0.1,0.3,0.2))))))))</f>
        <v/>
      </c>
      <c r="AJ33" s="37">
        <f>AI33*0.02</f>
        <v/>
      </c>
      <c r="AK33" s="37">
        <f>VLOOKUP(B33,'KPI Ticketing'!B:V,21,)</f>
        <v/>
      </c>
      <c r="AL33" s="37">
        <f>IF(AK33&gt;=0.9,1,IF(AK33&gt;=0.8,0.9,IF(AK33&gt;=0.7,0.8,IF(AK33&gt;=0.6,0.7,IF(AK33&gt;=0.5,0.6,IF(AK33&gt;=0.4,0.5,IF(AK33&gt;=0.3,0.4,IF(AK33&gt;=0.2,0.3,IF(AK33&gt;=0.1,0.2,0.1)))))))))</f>
        <v/>
      </c>
      <c r="AM33" s="37">
        <f>AL33*0.05</f>
        <v/>
      </c>
      <c r="AN33" s="37">
        <f>VLOOKUP(B33,'KPI Ticketing'!B:Z,25,)</f>
        <v/>
      </c>
      <c r="AO33" s="37">
        <f>IF(AN33&gt;=0.95,1,IF(AN33&gt;=0.9,0.9,IF(AN33&gt;=0.8,0.8,IF(AN33&gt;=0.7,0.7,IF(AN33&gt;=0.6,0.6,IF(AN33&gt;=0.5,0.5,IF(AN33&gt;=0.4,0.4,IF(AN33&gt;=0.3,0.3,IF(AN33&gt;=0.2,0.2,IF(AN33&gt;=0.1,0.1,0.05))))))))))</f>
        <v/>
      </c>
      <c r="AP33" s="37">
        <f>AO33*0.05</f>
        <v/>
      </c>
      <c r="AQ33" s="37">
        <f>VLOOKUP(B33,'KPI Ticketing'!B:AC,28,)</f>
        <v/>
      </c>
      <c r="AR33" s="37">
        <f>IF(AQ33&lt;0.95,0.5,1)</f>
        <v/>
      </c>
      <c r="AS33" s="37">
        <f>AR33*0.01</f>
        <v/>
      </c>
      <c r="AT33" s="37">
        <f>VLOOKUP(B33,'KPI Ticketing'!B:AG,32,)</f>
        <v/>
      </c>
      <c r="AU33" s="37">
        <f>IF(AT33&lt;0.3,0.5,1)</f>
        <v/>
      </c>
      <c r="AV33" s="37">
        <f>AU33*0.01</f>
        <v/>
      </c>
      <c r="AW33" s="38">
        <f>VLOOKUP(B33,'KPI Ticketing'!B:AH,33,)</f>
        <v/>
      </c>
      <c r="AX33" s="38">
        <f>VLOOKUP(B33,'KPI Ticketing'!B:AI,34,)</f>
        <v/>
      </c>
      <c r="AY33" s="38">
        <f>VLOOKUP(B33,'KPI Ticketing'!B:AJ,35,)</f>
        <v/>
      </c>
      <c r="AZ33" s="38">
        <f>VLOOKUP(B33,'KPI Ticketing'!B:AK,36,)</f>
        <v/>
      </c>
      <c r="BA33" s="38">
        <f>VLOOKUP(B33,'KPI Ticketing'!B:AL,37,)</f>
        <v/>
      </c>
      <c r="BB33" s="37">
        <f>IF(AW33&lt;=2,1,IF(AW33&lt;=3,0.7,IF(AW33&lt;=4,0.4,0.1)))</f>
        <v/>
      </c>
      <c r="BC33" s="37">
        <f>IF(AX33&lt;=4,1,IF(AX33&lt;=6,0.5,0.25))</f>
        <v/>
      </c>
      <c r="BD33" s="37">
        <f>IF(AY33&lt;=15,1,IF(AY33&lt;=22.5,0.5,0.25))</f>
        <v/>
      </c>
      <c r="BE33" s="37">
        <f>IF(AZ33&lt;=48,1,IF(AZ33&lt;=72,0.5,0.25))</f>
        <v/>
      </c>
      <c r="BF33" s="37">
        <f>IF(BA33=0, 0, IF(BA33&lt;=96, 1, IF(BA33&lt;=144, 0.5, 0.25)))</f>
        <v/>
      </c>
      <c r="BG33" s="37">
        <f>BB33*0.1</f>
        <v/>
      </c>
      <c r="BH33" s="37">
        <f>BC33*0.05</f>
        <v/>
      </c>
      <c r="BI33" s="37">
        <f>BD33*0.02</f>
        <v/>
      </c>
      <c r="BJ33" s="37">
        <f>BE33*0.01</f>
        <v/>
      </c>
      <c r="BK33" s="37">
        <f>BF33*0.01</f>
        <v/>
      </c>
      <c r="BL33" s="37">
        <f>VLOOKUP(B33,'KPI Ticketing'!B:AT,45,)</f>
        <v/>
      </c>
      <c r="BM33" s="37">
        <f>IF(BL33&gt;=0.8,1,IF(BL33&gt;=0.7,0.9,IF(BL33&gt;=0.6,0.8,IF(BL33&gt;=0.5,0.7,IF(BL33&gt;=0.4,0.6,IF(BL33&gt;=0.3,0.5,IF(BL33&gt;=0.2,0.4,IF(BL33&gt;=0.1,0.3,0.2))))))))</f>
        <v/>
      </c>
      <c r="BN33" s="37">
        <f>BM33*0.03</f>
        <v/>
      </c>
      <c r="BO33" s="37">
        <f>VLOOKUP(B33,'KPI Ticketing'!B:AX,49,)</f>
        <v/>
      </c>
      <c r="BP33" s="37">
        <f>IF(BO33&gt;=0.8,1,IF(BO33&gt;=0.7,0.9,IF(BO33&gt;=0.6,0.8,IF(BO33&gt;=0.5,0.7,IF(BO33&gt;=0.4,0.6,IF(BO33&gt;=0.3,0.5,IF(BO33&gt;=0.2,0.4,IF(BO33&gt;=0.1,0.3,0.2))))))))</f>
        <v/>
      </c>
      <c r="BQ33" s="37">
        <f>BP33*0.02</f>
        <v/>
      </c>
      <c r="BR33" s="37">
        <f>VLOOKUP(B33,'KPI Ticketing'!B:BB,53,)</f>
        <v/>
      </c>
      <c r="BS33" s="37">
        <f>IF(BR33&gt;=0.9,1,IF(BR33&gt;=0.8,0.9,IF(BR33&gt;=0.7,0.8,IF(BR33&gt;=0.6,0.7,IF(BR33&gt;=0.5,0.6,IF(BR33&gt;=0.4,0.5,IF(BR33&gt;=0.3,0.4,IF(BR33&gt;=0.2,0.3,IF(BR33&gt;=0.1,0.2,0.1)))))))))</f>
        <v/>
      </c>
      <c r="BT33" s="37">
        <f>BS33*0.05</f>
        <v/>
      </c>
      <c r="BU33" s="39" t="n">
        <v>0.08</v>
      </c>
      <c r="BV33" s="39" t="n">
        <v>0.06</v>
      </c>
      <c r="BW33" s="39" t="n">
        <v>0.09</v>
      </c>
      <c r="BX33" s="39" t="n">
        <v>0.06</v>
      </c>
    </row>
    <row r="34">
      <c r="A34" t="inlineStr">
        <is>
          <t>R06_Jawa Timur</t>
        </is>
      </c>
      <c r="B34" t="inlineStr">
        <is>
          <t>NOP KEDIRI</t>
        </is>
      </c>
      <c r="C34" s="36">
        <f>RANK(D34,$D$10:$D$43,0)</f>
        <v/>
      </c>
      <c r="D34" s="37">
        <f>(G34*0.35)+(O34*65%)</f>
        <v/>
      </c>
      <c r="E34" s="36">
        <f>IF(D34&gt;=0.95,"Istimewa",IF(D34&gt;0.9,"Baik Sekali",IF(D34&gt;0.85,"Baik",IF(D34&gt;0.8,"Cukup","Kurang"))))</f>
        <v/>
      </c>
      <c r="F34" s="37">
        <f>0.29*0.65</f>
        <v/>
      </c>
      <c r="G34" s="37">
        <f>N34</f>
        <v/>
      </c>
      <c r="H34" s="37">
        <f>VLOOKUP(B34,'KPI Availability'!B:O,14,)</f>
        <v/>
      </c>
      <c r="I34" s="37">
        <f>VLOOKUP(B34,'KPI Availability'!B:P,15,)</f>
        <v/>
      </c>
      <c r="J34" s="37">
        <f>VLOOKUP(B34,'KPI Availability'!B:Q,16,)</f>
        <v/>
      </c>
      <c r="K34" s="37">
        <f>VLOOKUP(B34,'KPI Availability'!B:R,17,)</f>
        <v/>
      </c>
      <c r="L34" s="37">
        <f>VLOOKUP(B34,'KPI Availability'!B:S,18,)</f>
        <v/>
      </c>
      <c r="M34" s="37">
        <f>VLOOKUP(B34,'KPI Availability'!B:T,19,)</f>
        <v/>
      </c>
      <c r="N34" s="37">
        <f>SUM(H34:M34)</f>
        <v/>
      </c>
      <c r="O34" s="37">
        <f>P34+Q34+R34</f>
        <v/>
      </c>
      <c r="P34" s="37">
        <f>SUM(AA34:AD34,AG34,AJ34,AM34,AP34,AS34,AV34)</f>
        <v/>
      </c>
      <c r="Q34" s="37">
        <f>SUM(BG34:BK34,BN34,BQ34,BT34)</f>
        <v/>
      </c>
      <c r="R34" s="37">
        <f>SUM(BU34:BX34)</f>
        <v/>
      </c>
      <c r="S34" s="38">
        <f>VLOOKUP(B34,'KPI Ticketing'!B:C,2,)</f>
        <v/>
      </c>
      <c r="T34" s="38">
        <f>VLOOKUP(B34,'KPI Ticketing'!B:D,3,)</f>
        <v/>
      </c>
      <c r="U34" s="38">
        <f>VLOOKUP(B34,'KPI Ticketing'!B:E,4,)</f>
        <v/>
      </c>
      <c r="V34" s="38">
        <f>VLOOKUP(B34,'KPI Ticketing'!B:F,5,)</f>
        <v/>
      </c>
      <c r="W34" s="37">
        <f>IF(S34&lt;=4,100%,IF(S34&lt;=6,70%,IF(S34&lt;=8,40%,10%)))</f>
        <v/>
      </c>
      <c r="X34" s="37">
        <f>IF(T34&lt;=8,100%,IF(T34&lt;=12,50%,25%))</f>
        <v/>
      </c>
      <c r="Y34" s="37">
        <f>IF(U34&lt;=10,100%,IF(U34&lt;=15,50%,25%))</f>
        <v/>
      </c>
      <c r="Z34" s="37">
        <f>IF(V34&lt;=13,100%,IF(V34&lt;=19,50%,25%))</f>
        <v/>
      </c>
      <c r="AA34" s="37">
        <f>W34*0.13</f>
        <v/>
      </c>
      <c r="AB34" s="37">
        <f>X34*0.06</f>
        <v/>
      </c>
      <c r="AC34" s="37">
        <f>Y34*0.04</f>
        <v/>
      </c>
      <c r="AD34" s="37">
        <f>Z34*0.02</f>
        <v/>
      </c>
      <c r="AE34" s="37">
        <f>VLOOKUP(B34,'KPI Ticketing'!B:N,13,)</f>
        <v/>
      </c>
      <c r="AF34" s="37">
        <f>IF(AE34&gt;=0.8,1,IF(AE34&gt;=0.7,0.9,IF(AE34&gt;=0.6,0.8,IF(AE34&gt;=0.5,0.7,IF(AE34&gt;=0.4,0.6,IF(AE34&gt;=0.3,0.5,IF(AE34&gt;=0.2,0.4,IF(AE34&gt;=0.1,0.3,0.2))))))))</f>
        <v/>
      </c>
      <c r="AG34" s="37">
        <f>AF34*0.03</f>
        <v/>
      </c>
      <c r="AH34" s="37">
        <f>VLOOKUP(B34,'KPI Ticketing'!B:R,17,)</f>
        <v/>
      </c>
      <c r="AI34" s="37">
        <f>IF(AH34&gt;=0.8,1,IF(AH34&gt;=0.7,0.9,IF(AH34&gt;=0.6,0.8,IF(AH34&gt;=0.5,0.7,IF(AH34&gt;=0.4,0.6,IF(AH34&gt;=0.3,0.5,IF(AH34&gt;=0.2,0.4,IF(AH34&gt;=0.1,0.3,0.2))))))))</f>
        <v/>
      </c>
      <c r="AJ34" s="37">
        <f>AI34*0.02</f>
        <v/>
      </c>
      <c r="AK34" s="37">
        <f>VLOOKUP(B34,'KPI Ticketing'!B:V,21,)</f>
        <v/>
      </c>
      <c r="AL34" s="37">
        <f>IF(AK34&gt;=0.9,1,IF(AK34&gt;=0.8,0.9,IF(AK34&gt;=0.7,0.8,IF(AK34&gt;=0.6,0.7,IF(AK34&gt;=0.5,0.6,IF(AK34&gt;=0.4,0.5,IF(AK34&gt;=0.3,0.4,IF(AK34&gt;=0.2,0.3,IF(AK34&gt;=0.1,0.2,0.1)))))))))</f>
        <v/>
      </c>
      <c r="AM34" s="37">
        <f>AL34*0.05</f>
        <v/>
      </c>
      <c r="AN34" s="37">
        <f>VLOOKUP(B34,'KPI Ticketing'!B:Z,25,)</f>
        <v/>
      </c>
      <c r="AO34" s="37">
        <f>IF(AN34&gt;=0.95,1,IF(AN34&gt;=0.9,0.9,IF(AN34&gt;=0.8,0.8,IF(AN34&gt;=0.7,0.7,IF(AN34&gt;=0.6,0.6,IF(AN34&gt;=0.5,0.5,IF(AN34&gt;=0.4,0.4,IF(AN34&gt;=0.3,0.3,IF(AN34&gt;=0.2,0.2,IF(AN34&gt;=0.1,0.1,0.05))))))))))</f>
        <v/>
      </c>
      <c r="AP34" s="37">
        <f>AO34*0.05</f>
        <v/>
      </c>
      <c r="AQ34" s="37">
        <f>VLOOKUP(B34,'KPI Ticketing'!B:AC,28,)</f>
        <v/>
      </c>
      <c r="AR34" s="37">
        <f>IF(AQ34&lt;0.95,0.5,1)</f>
        <v/>
      </c>
      <c r="AS34" s="37">
        <f>AR34*0.01</f>
        <v/>
      </c>
      <c r="AT34" s="37">
        <f>VLOOKUP(B34,'KPI Ticketing'!B:AG,32,)</f>
        <v/>
      </c>
      <c r="AU34" s="37">
        <f>IF(AT34&lt;0.3,0.5,1)</f>
        <v/>
      </c>
      <c r="AV34" s="37">
        <f>AU34*0.01</f>
        <v/>
      </c>
      <c r="AW34" s="38">
        <f>VLOOKUP(B34,'KPI Ticketing'!B:AH,33,)</f>
        <v/>
      </c>
      <c r="AX34" s="38">
        <f>VLOOKUP(B34,'KPI Ticketing'!B:AI,34,)</f>
        <v/>
      </c>
      <c r="AY34" s="38">
        <f>VLOOKUP(B34,'KPI Ticketing'!B:AJ,35,)</f>
        <v/>
      </c>
      <c r="AZ34" s="38">
        <f>VLOOKUP(B34,'KPI Ticketing'!B:AK,36,)</f>
        <v/>
      </c>
      <c r="BA34" s="38">
        <f>VLOOKUP(B34,'KPI Ticketing'!B:AL,37,)</f>
        <v/>
      </c>
      <c r="BB34" s="37">
        <f>IF(AW34&lt;=2,1,IF(AW34&lt;=3,0.7,IF(AW34&lt;=4,0.4,0.1)))</f>
        <v/>
      </c>
      <c r="BC34" s="37">
        <f>IF(AX34&lt;=4,1,IF(AX34&lt;=6,0.5,0.25))</f>
        <v/>
      </c>
      <c r="BD34" s="37">
        <f>IF(AY34&lt;=15,1,IF(AY34&lt;=22.5,0.5,0.25))</f>
        <v/>
      </c>
      <c r="BE34" s="37">
        <f>IF(AZ34&lt;=48,1,IF(AZ34&lt;=72,0.5,0.25))</f>
        <v/>
      </c>
      <c r="BF34" s="37">
        <f>IF(BA34=0, 0, IF(BA34&lt;=96, 1, IF(BA34&lt;=144, 0.5, 0.25)))</f>
        <v/>
      </c>
      <c r="BG34" s="37">
        <f>BB34*0.1</f>
        <v/>
      </c>
      <c r="BH34" s="37">
        <f>BC34*0.05</f>
        <v/>
      </c>
      <c r="BI34" s="37">
        <f>BD34*0.02</f>
        <v/>
      </c>
      <c r="BJ34" s="37">
        <f>BE34*0.01</f>
        <v/>
      </c>
      <c r="BK34" s="37">
        <f>BF34*0.01</f>
        <v/>
      </c>
      <c r="BL34" s="37">
        <f>VLOOKUP(B34,'KPI Ticketing'!B:AT,45,)</f>
        <v/>
      </c>
      <c r="BM34" s="37">
        <f>IF(BL34&gt;=0.8,1,IF(BL34&gt;=0.7,0.9,IF(BL34&gt;=0.6,0.8,IF(BL34&gt;=0.5,0.7,IF(BL34&gt;=0.4,0.6,IF(BL34&gt;=0.3,0.5,IF(BL34&gt;=0.2,0.4,IF(BL34&gt;=0.1,0.3,0.2))))))))</f>
        <v/>
      </c>
      <c r="BN34" s="37">
        <f>BM34*0.03</f>
        <v/>
      </c>
      <c r="BO34" s="37">
        <f>VLOOKUP(B34,'KPI Ticketing'!B:AX,49,)</f>
        <v/>
      </c>
      <c r="BP34" s="37">
        <f>IF(BO34&gt;=0.8,1,IF(BO34&gt;=0.7,0.9,IF(BO34&gt;=0.6,0.8,IF(BO34&gt;=0.5,0.7,IF(BO34&gt;=0.4,0.6,IF(BO34&gt;=0.3,0.5,IF(BO34&gt;=0.2,0.4,IF(BO34&gt;=0.1,0.3,0.2))))))))</f>
        <v/>
      </c>
      <c r="BQ34" s="37">
        <f>BP34*0.02</f>
        <v/>
      </c>
      <c r="BR34" s="37">
        <f>VLOOKUP(B34,'KPI Ticketing'!B:BB,53,)</f>
        <v/>
      </c>
      <c r="BS34" s="37">
        <f>IF(BR34&gt;=0.9,1,IF(BR34&gt;=0.8,0.9,IF(BR34&gt;=0.7,0.8,IF(BR34&gt;=0.6,0.7,IF(BR34&gt;=0.5,0.6,IF(BR34&gt;=0.4,0.5,IF(BR34&gt;=0.3,0.4,IF(BR34&gt;=0.2,0.3,IF(BR34&gt;=0.1,0.2,0.1)))))))))</f>
        <v/>
      </c>
      <c r="BT34" s="37">
        <f>BS34*0.05</f>
        <v/>
      </c>
      <c r="BU34" s="39" t="n">
        <v>0.08</v>
      </c>
      <c r="BV34" s="39" t="n">
        <v>0.06</v>
      </c>
      <c r="BW34" s="39" t="n">
        <v>0.09</v>
      </c>
      <c r="BX34" s="39" t="n">
        <v>0.06</v>
      </c>
    </row>
    <row r="35">
      <c r="A35" t="inlineStr">
        <is>
          <t>R06_Jawa Timur</t>
        </is>
      </c>
      <c r="B35" t="inlineStr">
        <is>
          <t>NOP LAMONGAN</t>
        </is>
      </c>
      <c r="C35" s="36">
        <f>RANK(D35,$D$10:$D$43,0)</f>
        <v/>
      </c>
      <c r="D35" s="37">
        <f>(G35*0.35)+(O35*65%)</f>
        <v/>
      </c>
      <c r="E35" s="36">
        <f>IF(D35&gt;=0.95,"Istimewa",IF(D35&gt;0.9,"Baik Sekali",IF(D35&gt;0.85,"Baik",IF(D35&gt;0.8,"Cukup","Kurang"))))</f>
        <v/>
      </c>
      <c r="F35" s="37">
        <f>0.29*0.65</f>
        <v/>
      </c>
      <c r="G35" s="37">
        <f>N35</f>
        <v/>
      </c>
      <c r="H35" s="37">
        <f>VLOOKUP(B35,'KPI Availability'!B:O,14,)</f>
        <v/>
      </c>
      <c r="I35" s="37">
        <f>VLOOKUP(B35,'KPI Availability'!B:P,15,)</f>
        <v/>
      </c>
      <c r="J35" s="37">
        <f>VLOOKUP(B35,'KPI Availability'!B:Q,16,)</f>
        <v/>
      </c>
      <c r="K35" s="37">
        <f>VLOOKUP(B35,'KPI Availability'!B:R,17,)</f>
        <v/>
      </c>
      <c r="L35" s="37">
        <f>VLOOKUP(B35,'KPI Availability'!B:S,18,)</f>
        <v/>
      </c>
      <c r="M35" s="37">
        <f>VLOOKUP(B35,'KPI Availability'!B:T,19,)</f>
        <v/>
      </c>
      <c r="N35" s="37">
        <f>SUM(H35:M35)</f>
        <v/>
      </c>
      <c r="O35" s="37">
        <f>P35+Q35+R35</f>
        <v/>
      </c>
      <c r="P35" s="37">
        <f>SUM(AA35:AD35,AG35,AJ35,AM35,AP35,AS35,AV35)</f>
        <v/>
      </c>
      <c r="Q35" s="37">
        <f>SUM(BG35:BK35,BN35,BQ35,BT35)</f>
        <v/>
      </c>
      <c r="R35" s="37">
        <f>SUM(BU35:BX35)</f>
        <v/>
      </c>
      <c r="S35" s="38">
        <f>VLOOKUP(B35,'KPI Ticketing'!B:C,2,)</f>
        <v/>
      </c>
      <c r="T35" s="38">
        <f>VLOOKUP(B35,'KPI Ticketing'!B:D,3,)</f>
        <v/>
      </c>
      <c r="U35" s="38">
        <f>VLOOKUP(B35,'KPI Ticketing'!B:E,4,)</f>
        <v/>
      </c>
      <c r="V35" s="38">
        <f>VLOOKUP(B35,'KPI Ticketing'!B:F,5,)</f>
        <v/>
      </c>
      <c r="W35" s="37">
        <f>IF(S35&lt;=4,100%,IF(S35&lt;=6,70%,IF(S35&lt;=8,40%,10%)))</f>
        <v/>
      </c>
      <c r="X35" s="37">
        <f>IF(T35&lt;=8,100%,IF(T35&lt;=12,50%,25%))</f>
        <v/>
      </c>
      <c r="Y35" s="37">
        <f>IF(U35&lt;=10,100%,IF(U35&lt;=15,50%,25%))</f>
        <v/>
      </c>
      <c r="Z35" s="37">
        <f>IF(V35&lt;=13,100%,IF(V35&lt;=19,50%,25%))</f>
        <v/>
      </c>
      <c r="AA35" s="37">
        <f>W35*0.13</f>
        <v/>
      </c>
      <c r="AB35" s="37">
        <f>X35*0.06</f>
        <v/>
      </c>
      <c r="AC35" s="37">
        <f>Y35*0.04</f>
        <v/>
      </c>
      <c r="AD35" s="37">
        <f>Z35*0.02</f>
        <v/>
      </c>
      <c r="AE35" s="37">
        <f>VLOOKUP(B35,'KPI Ticketing'!B:N,13,)</f>
        <v/>
      </c>
      <c r="AF35" s="37">
        <f>IF(AE35&gt;=0.8,1,IF(AE35&gt;=0.7,0.9,IF(AE35&gt;=0.6,0.8,IF(AE35&gt;=0.5,0.7,IF(AE35&gt;=0.4,0.6,IF(AE35&gt;=0.3,0.5,IF(AE35&gt;=0.2,0.4,IF(AE35&gt;=0.1,0.3,0.2))))))))</f>
        <v/>
      </c>
      <c r="AG35" s="37">
        <f>AF35*0.03</f>
        <v/>
      </c>
      <c r="AH35" s="37">
        <f>VLOOKUP(B35,'KPI Ticketing'!B:R,17,)</f>
        <v/>
      </c>
      <c r="AI35" s="37">
        <f>IF(AH35&gt;=0.8,1,IF(AH35&gt;=0.7,0.9,IF(AH35&gt;=0.6,0.8,IF(AH35&gt;=0.5,0.7,IF(AH35&gt;=0.4,0.6,IF(AH35&gt;=0.3,0.5,IF(AH35&gt;=0.2,0.4,IF(AH35&gt;=0.1,0.3,0.2))))))))</f>
        <v/>
      </c>
      <c r="AJ35" s="37">
        <f>AI35*0.02</f>
        <v/>
      </c>
      <c r="AK35" s="37">
        <f>VLOOKUP(B35,'KPI Ticketing'!B:V,21,)</f>
        <v/>
      </c>
      <c r="AL35" s="37">
        <f>IF(AK35&gt;=0.9,1,IF(AK35&gt;=0.8,0.9,IF(AK35&gt;=0.7,0.8,IF(AK35&gt;=0.6,0.7,IF(AK35&gt;=0.5,0.6,IF(AK35&gt;=0.4,0.5,IF(AK35&gt;=0.3,0.4,IF(AK35&gt;=0.2,0.3,IF(AK35&gt;=0.1,0.2,0.1)))))))))</f>
        <v/>
      </c>
      <c r="AM35" s="37">
        <f>AL35*0.05</f>
        <v/>
      </c>
      <c r="AN35" s="37">
        <f>VLOOKUP(B35,'KPI Ticketing'!B:Z,25,)</f>
        <v/>
      </c>
      <c r="AO35" s="37">
        <f>IF(AN35&gt;=0.95,1,IF(AN35&gt;=0.9,0.9,IF(AN35&gt;=0.8,0.8,IF(AN35&gt;=0.7,0.7,IF(AN35&gt;=0.6,0.6,IF(AN35&gt;=0.5,0.5,IF(AN35&gt;=0.4,0.4,IF(AN35&gt;=0.3,0.3,IF(AN35&gt;=0.2,0.2,IF(AN35&gt;=0.1,0.1,0.05))))))))))</f>
        <v/>
      </c>
      <c r="AP35" s="37">
        <f>AO35*0.05</f>
        <v/>
      </c>
      <c r="AQ35" s="37">
        <f>VLOOKUP(B35,'KPI Ticketing'!B:AC,28,)</f>
        <v/>
      </c>
      <c r="AR35" s="37">
        <f>IF(AQ35&lt;0.95,0.5,1)</f>
        <v/>
      </c>
      <c r="AS35" s="37">
        <f>AR35*0.01</f>
        <v/>
      </c>
      <c r="AT35" s="37">
        <f>VLOOKUP(B35,'KPI Ticketing'!B:AG,32,)</f>
        <v/>
      </c>
      <c r="AU35" s="37">
        <f>IF(AT35&lt;0.3,0.5,1)</f>
        <v/>
      </c>
      <c r="AV35" s="37">
        <f>AU35*0.01</f>
        <v/>
      </c>
      <c r="AW35" s="38">
        <f>VLOOKUP(B35,'KPI Ticketing'!B:AH,33,)</f>
        <v/>
      </c>
      <c r="AX35" s="38">
        <f>VLOOKUP(B35,'KPI Ticketing'!B:AI,34,)</f>
        <v/>
      </c>
      <c r="AY35" s="38">
        <f>VLOOKUP(B35,'KPI Ticketing'!B:AJ,35,)</f>
        <v/>
      </c>
      <c r="AZ35" s="38">
        <f>VLOOKUP(B35,'KPI Ticketing'!B:AK,36,)</f>
        <v/>
      </c>
      <c r="BA35" s="38">
        <f>VLOOKUP(B35,'KPI Ticketing'!B:AL,37,)</f>
        <v/>
      </c>
      <c r="BB35" s="37">
        <f>IF(AW35&lt;=2,1,IF(AW35&lt;=3,0.7,IF(AW35&lt;=4,0.4,0.1)))</f>
        <v/>
      </c>
      <c r="BC35" s="37">
        <f>IF(AX35&lt;=4,1,IF(AX35&lt;=6,0.5,0.25))</f>
        <v/>
      </c>
      <c r="BD35" s="37">
        <f>IF(AY35&lt;=15,1,IF(AY35&lt;=22.5,0.5,0.25))</f>
        <v/>
      </c>
      <c r="BE35" s="37">
        <f>IF(AZ35&lt;=48,1,IF(AZ35&lt;=72,0.5,0.25))</f>
        <v/>
      </c>
      <c r="BF35" s="37">
        <f>IF(BA35=0, 0, IF(BA35&lt;=96, 1, IF(BA35&lt;=144, 0.5, 0.25)))</f>
        <v/>
      </c>
      <c r="BG35" s="37">
        <f>BB35*0.1</f>
        <v/>
      </c>
      <c r="BH35" s="37">
        <f>BC35*0.05</f>
        <v/>
      </c>
      <c r="BI35" s="37">
        <f>BD35*0.02</f>
        <v/>
      </c>
      <c r="BJ35" s="37">
        <f>BE35*0.01</f>
        <v/>
      </c>
      <c r="BK35" s="37">
        <f>BF35*0.01</f>
        <v/>
      </c>
      <c r="BL35" s="37">
        <f>VLOOKUP(B35,'KPI Ticketing'!B:AT,45,)</f>
        <v/>
      </c>
      <c r="BM35" s="37">
        <f>IF(BL35&gt;=0.8,1,IF(BL35&gt;=0.7,0.9,IF(BL35&gt;=0.6,0.8,IF(BL35&gt;=0.5,0.7,IF(BL35&gt;=0.4,0.6,IF(BL35&gt;=0.3,0.5,IF(BL35&gt;=0.2,0.4,IF(BL35&gt;=0.1,0.3,0.2))))))))</f>
        <v/>
      </c>
      <c r="BN35" s="37">
        <f>BM35*0.03</f>
        <v/>
      </c>
      <c r="BO35" s="37">
        <f>VLOOKUP(B35,'KPI Ticketing'!B:AX,49,)</f>
        <v/>
      </c>
      <c r="BP35" s="37">
        <f>IF(BO35&gt;=0.8,1,IF(BO35&gt;=0.7,0.9,IF(BO35&gt;=0.6,0.8,IF(BO35&gt;=0.5,0.7,IF(BO35&gt;=0.4,0.6,IF(BO35&gt;=0.3,0.5,IF(BO35&gt;=0.2,0.4,IF(BO35&gt;=0.1,0.3,0.2))))))))</f>
        <v/>
      </c>
      <c r="BQ35" s="37">
        <f>BP35*0.02</f>
        <v/>
      </c>
      <c r="BR35" s="37">
        <f>VLOOKUP(B35,'KPI Ticketing'!B:BB,53,)</f>
        <v/>
      </c>
      <c r="BS35" s="37">
        <f>IF(BR35&gt;=0.9,1,IF(BR35&gt;=0.8,0.9,IF(BR35&gt;=0.7,0.8,IF(BR35&gt;=0.6,0.7,IF(BR35&gt;=0.5,0.6,IF(BR35&gt;=0.4,0.5,IF(BR35&gt;=0.3,0.4,IF(BR35&gt;=0.2,0.3,IF(BR35&gt;=0.1,0.2,0.1)))))))))</f>
        <v/>
      </c>
      <c r="BT35" s="37">
        <f>BS35*0.05</f>
        <v/>
      </c>
      <c r="BU35" s="39" t="n">
        <v>0.08</v>
      </c>
      <c r="BV35" s="39" t="n">
        <v>0.06</v>
      </c>
      <c r="BW35" s="39" t="n">
        <v>0.09</v>
      </c>
      <c r="BX35" s="39" t="n">
        <v>0.06</v>
      </c>
    </row>
    <row r="36">
      <c r="A36" t="inlineStr">
        <is>
          <t>R06_Jawa Timur</t>
        </is>
      </c>
      <c r="B36" t="inlineStr">
        <is>
          <t>NOP MADIUN</t>
        </is>
      </c>
      <c r="C36" s="36">
        <f>RANK(D36,$D$10:$D$43,0)</f>
        <v/>
      </c>
      <c r="D36" s="37">
        <f>(G36*0.35)+(O36*65%)</f>
        <v/>
      </c>
      <c r="E36" s="36">
        <f>IF(D36&gt;=0.95,"Istimewa",IF(D36&gt;0.9,"Baik Sekali",IF(D36&gt;0.85,"Baik",IF(D36&gt;0.8,"Cukup","Kurang"))))</f>
        <v/>
      </c>
      <c r="F36" s="37">
        <f>0.29*0.65</f>
        <v/>
      </c>
      <c r="G36" s="37">
        <f>N36</f>
        <v/>
      </c>
      <c r="H36" s="37">
        <f>VLOOKUP(B36,'KPI Availability'!B:O,14,)</f>
        <v/>
      </c>
      <c r="I36" s="37">
        <f>VLOOKUP(B36,'KPI Availability'!B:P,15,)</f>
        <v/>
      </c>
      <c r="J36" s="37">
        <f>VLOOKUP(B36,'KPI Availability'!B:Q,16,)</f>
        <v/>
      </c>
      <c r="K36" s="37">
        <f>VLOOKUP(B36,'KPI Availability'!B:R,17,)</f>
        <v/>
      </c>
      <c r="L36" s="37">
        <f>VLOOKUP(B36,'KPI Availability'!B:S,18,)</f>
        <v/>
      </c>
      <c r="M36" s="37">
        <f>VLOOKUP(B36,'KPI Availability'!B:T,19,)</f>
        <v/>
      </c>
      <c r="N36" s="37">
        <f>SUM(H36:M36)</f>
        <v/>
      </c>
      <c r="O36" s="37">
        <f>P36+Q36+R36</f>
        <v/>
      </c>
      <c r="P36" s="37">
        <f>SUM(AA36:AD36,AG36,AJ36,AM36,AP36,AS36,AV36)</f>
        <v/>
      </c>
      <c r="Q36" s="37">
        <f>SUM(BG36:BK36,BN36,BQ36,BT36)</f>
        <v/>
      </c>
      <c r="R36" s="37">
        <f>SUM(BU36:BX36)</f>
        <v/>
      </c>
      <c r="S36" s="38">
        <f>VLOOKUP(B36,'KPI Ticketing'!B:C,2,)</f>
        <v/>
      </c>
      <c r="T36" s="38">
        <f>VLOOKUP(B36,'KPI Ticketing'!B:D,3,)</f>
        <v/>
      </c>
      <c r="U36" s="38">
        <f>VLOOKUP(B36,'KPI Ticketing'!B:E,4,)</f>
        <v/>
      </c>
      <c r="V36" s="38">
        <f>VLOOKUP(B36,'KPI Ticketing'!B:F,5,)</f>
        <v/>
      </c>
      <c r="W36" s="37">
        <f>IF(S36&lt;=4,100%,IF(S36&lt;=6,70%,IF(S36&lt;=8,40%,10%)))</f>
        <v/>
      </c>
      <c r="X36" s="37">
        <f>IF(T36&lt;=8,100%,IF(T36&lt;=12,50%,25%))</f>
        <v/>
      </c>
      <c r="Y36" s="37">
        <f>IF(U36&lt;=10,100%,IF(U36&lt;=15,50%,25%))</f>
        <v/>
      </c>
      <c r="Z36" s="37">
        <f>IF(V36&lt;=13,100%,IF(V36&lt;=19,50%,25%))</f>
        <v/>
      </c>
      <c r="AA36" s="37">
        <f>W36*0.13</f>
        <v/>
      </c>
      <c r="AB36" s="37">
        <f>X36*0.06</f>
        <v/>
      </c>
      <c r="AC36" s="37">
        <f>Y36*0.04</f>
        <v/>
      </c>
      <c r="AD36" s="37">
        <f>Z36*0.02</f>
        <v/>
      </c>
      <c r="AE36" s="37">
        <f>VLOOKUP(B36,'KPI Ticketing'!B:N,13,)</f>
        <v/>
      </c>
      <c r="AF36" s="37">
        <f>IF(AE36&gt;=0.8,1,IF(AE36&gt;=0.7,0.9,IF(AE36&gt;=0.6,0.8,IF(AE36&gt;=0.5,0.7,IF(AE36&gt;=0.4,0.6,IF(AE36&gt;=0.3,0.5,IF(AE36&gt;=0.2,0.4,IF(AE36&gt;=0.1,0.3,0.2))))))))</f>
        <v/>
      </c>
      <c r="AG36" s="37">
        <f>AF36*0.03</f>
        <v/>
      </c>
      <c r="AH36" s="37">
        <f>VLOOKUP(B36,'KPI Ticketing'!B:R,17,)</f>
        <v/>
      </c>
      <c r="AI36" s="37">
        <f>IF(AH36&gt;=0.8,1,IF(AH36&gt;=0.7,0.9,IF(AH36&gt;=0.6,0.8,IF(AH36&gt;=0.5,0.7,IF(AH36&gt;=0.4,0.6,IF(AH36&gt;=0.3,0.5,IF(AH36&gt;=0.2,0.4,IF(AH36&gt;=0.1,0.3,0.2))))))))</f>
        <v/>
      </c>
      <c r="AJ36" s="37">
        <f>AI36*0.02</f>
        <v/>
      </c>
      <c r="AK36" s="37">
        <f>VLOOKUP(B36,'KPI Ticketing'!B:V,21,)</f>
        <v/>
      </c>
      <c r="AL36" s="37">
        <f>IF(AK36&gt;=0.9,1,IF(AK36&gt;=0.8,0.9,IF(AK36&gt;=0.7,0.8,IF(AK36&gt;=0.6,0.7,IF(AK36&gt;=0.5,0.6,IF(AK36&gt;=0.4,0.5,IF(AK36&gt;=0.3,0.4,IF(AK36&gt;=0.2,0.3,IF(AK36&gt;=0.1,0.2,0.1)))))))))</f>
        <v/>
      </c>
      <c r="AM36" s="37">
        <f>AL36*0.05</f>
        <v/>
      </c>
      <c r="AN36" s="37">
        <f>VLOOKUP(B36,'KPI Ticketing'!B:Z,25,)</f>
        <v/>
      </c>
      <c r="AO36" s="37">
        <f>IF(AN36&gt;=0.95,1,IF(AN36&gt;=0.9,0.9,IF(AN36&gt;=0.8,0.8,IF(AN36&gt;=0.7,0.7,IF(AN36&gt;=0.6,0.6,IF(AN36&gt;=0.5,0.5,IF(AN36&gt;=0.4,0.4,IF(AN36&gt;=0.3,0.3,IF(AN36&gt;=0.2,0.2,IF(AN36&gt;=0.1,0.1,0.05))))))))))</f>
        <v/>
      </c>
      <c r="AP36" s="37">
        <f>AO36*0.05</f>
        <v/>
      </c>
      <c r="AQ36" s="37">
        <f>VLOOKUP(B36,'KPI Ticketing'!B:AC,28,)</f>
        <v/>
      </c>
      <c r="AR36" s="37">
        <f>IF(AQ36&lt;0.95,0.5,1)</f>
        <v/>
      </c>
      <c r="AS36" s="37">
        <f>AR36*0.01</f>
        <v/>
      </c>
      <c r="AT36" s="37">
        <f>VLOOKUP(B36,'KPI Ticketing'!B:AG,32,)</f>
        <v/>
      </c>
      <c r="AU36" s="37">
        <f>IF(AT36&lt;0.3,0.5,1)</f>
        <v/>
      </c>
      <c r="AV36" s="37">
        <f>AU36*0.01</f>
        <v/>
      </c>
      <c r="AW36" s="38">
        <f>VLOOKUP(B36,'KPI Ticketing'!B:AH,33,)</f>
        <v/>
      </c>
      <c r="AX36" s="38">
        <f>VLOOKUP(B36,'KPI Ticketing'!B:AI,34,)</f>
        <v/>
      </c>
      <c r="AY36" s="38">
        <f>VLOOKUP(B36,'KPI Ticketing'!B:AJ,35,)</f>
        <v/>
      </c>
      <c r="AZ36" s="38">
        <f>VLOOKUP(B36,'KPI Ticketing'!B:AK,36,)</f>
        <v/>
      </c>
      <c r="BA36" s="38">
        <f>VLOOKUP(B36,'KPI Ticketing'!B:AL,37,)</f>
        <v/>
      </c>
      <c r="BB36" s="37">
        <f>IF(AW36&lt;=2,1,IF(AW36&lt;=3,0.7,IF(AW36&lt;=4,0.4,0.1)))</f>
        <v/>
      </c>
      <c r="BC36" s="37">
        <f>IF(AX36&lt;=4,1,IF(AX36&lt;=6,0.5,0.25))</f>
        <v/>
      </c>
      <c r="BD36" s="37">
        <f>IF(AY36&lt;=15,1,IF(AY36&lt;=22.5,0.5,0.25))</f>
        <v/>
      </c>
      <c r="BE36" s="37">
        <f>IF(AZ36&lt;=48,1,IF(AZ36&lt;=72,0.5,0.25))</f>
        <v/>
      </c>
      <c r="BF36" s="37">
        <f>IF(BA36=0, 0, IF(BA36&lt;=96, 1, IF(BA36&lt;=144, 0.5, 0.25)))</f>
        <v/>
      </c>
      <c r="BG36" s="37">
        <f>BB36*0.1</f>
        <v/>
      </c>
      <c r="BH36" s="37">
        <f>BC36*0.05</f>
        <v/>
      </c>
      <c r="BI36" s="37">
        <f>BD36*0.02</f>
        <v/>
      </c>
      <c r="BJ36" s="37">
        <f>BE36*0.01</f>
        <v/>
      </c>
      <c r="BK36" s="37">
        <f>BF36*0.01</f>
        <v/>
      </c>
      <c r="BL36" s="37">
        <f>VLOOKUP(B36,'KPI Ticketing'!B:AT,45,)</f>
        <v/>
      </c>
      <c r="BM36" s="37">
        <f>IF(BL36&gt;=0.8,1,IF(BL36&gt;=0.7,0.9,IF(BL36&gt;=0.6,0.8,IF(BL36&gt;=0.5,0.7,IF(BL36&gt;=0.4,0.6,IF(BL36&gt;=0.3,0.5,IF(BL36&gt;=0.2,0.4,IF(BL36&gt;=0.1,0.3,0.2))))))))</f>
        <v/>
      </c>
      <c r="BN36" s="37">
        <f>BM36*0.03</f>
        <v/>
      </c>
      <c r="BO36" s="37">
        <f>VLOOKUP(B36,'KPI Ticketing'!B:AX,49,)</f>
        <v/>
      </c>
      <c r="BP36" s="37">
        <f>IF(BO36&gt;=0.8,1,IF(BO36&gt;=0.7,0.9,IF(BO36&gt;=0.6,0.8,IF(BO36&gt;=0.5,0.7,IF(BO36&gt;=0.4,0.6,IF(BO36&gt;=0.3,0.5,IF(BO36&gt;=0.2,0.4,IF(BO36&gt;=0.1,0.3,0.2))))))))</f>
        <v/>
      </c>
      <c r="BQ36" s="37">
        <f>BP36*0.02</f>
        <v/>
      </c>
      <c r="BR36" s="37">
        <f>VLOOKUP(B36,'KPI Ticketing'!B:BB,53,)</f>
        <v/>
      </c>
      <c r="BS36" s="37">
        <f>IF(BR36&gt;=0.9,1,IF(BR36&gt;=0.8,0.9,IF(BR36&gt;=0.7,0.8,IF(BR36&gt;=0.6,0.7,IF(BR36&gt;=0.5,0.6,IF(BR36&gt;=0.4,0.5,IF(BR36&gt;=0.3,0.4,IF(BR36&gt;=0.2,0.3,IF(BR36&gt;=0.1,0.2,0.1)))))))))</f>
        <v/>
      </c>
      <c r="BT36" s="37">
        <f>BS36*0.05</f>
        <v/>
      </c>
      <c r="BU36" s="39" t="n">
        <v>0.08</v>
      </c>
      <c r="BV36" s="39" t="n">
        <v>0.06</v>
      </c>
      <c r="BW36" s="39" t="n">
        <v>0.09</v>
      </c>
      <c r="BX36" s="39" t="n">
        <v>0.06</v>
      </c>
    </row>
    <row r="37">
      <c r="A37" t="inlineStr">
        <is>
          <t>R06_Jawa Timur</t>
        </is>
      </c>
      <c r="B37" t="inlineStr">
        <is>
          <t>NOP MALANG</t>
        </is>
      </c>
      <c r="C37" s="36">
        <f>RANK(D37,$D$10:$D$43,0)</f>
        <v/>
      </c>
      <c r="D37" s="37">
        <f>(G37*0.35)+(O37*65%)</f>
        <v/>
      </c>
      <c r="E37" s="36">
        <f>IF(D37&gt;=0.95,"Istimewa",IF(D37&gt;0.9,"Baik Sekali",IF(D37&gt;0.85,"Baik",IF(D37&gt;0.8,"Cukup","Kurang"))))</f>
        <v/>
      </c>
      <c r="F37" s="37">
        <f>0.29*0.65</f>
        <v/>
      </c>
      <c r="G37" s="37">
        <f>N37</f>
        <v/>
      </c>
      <c r="H37" s="37">
        <f>VLOOKUP(B37,'KPI Availability'!B:O,14,)</f>
        <v/>
      </c>
      <c r="I37" s="37">
        <f>VLOOKUP(B37,'KPI Availability'!B:P,15,)</f>
        <v/>
      </c>
      <c r="J37" s="37">
        <f>VLOOKUP(B37,'KPI Availability'!B:Q,16,)</f>
        <v/>
      </c>
      <c r="K37" s="37">
        <f>VLOOKUP(B37,'KPI Availability'!B:R,17,)</f>
        <v/>
      </c>
      <c r="L37" s="37">
        <f>VLOOKUP(B37,'KPI Availability'!B:S,18,)</f>
        <v/>
      </c>
      <c r="M37" s="37">
        <f>VLOOKUP(B37,'KPI Availability'!B:T,19,)</f>
        <v/>
      </c>
      <c r="N37" s="37">
        <f>SUM(H37:M37)</f>
        <v/>
      </c>
      <c r="O37" s="37">
        <f>P37+Q37+R37</f>
        <v/>
      </c>
      <c r="P37" s="37">
        <f>SUM(AA37:AD37,AG37,AJ37,AM37,AP37,AS37,AV37)</f>
        <v/>
      </c>
      <c r="Q37" s="37">
        <f>SUM(BG37:BK37,BN37,BQ37,BT37)</f>
        <v/>
      </c>
      <c r="R37" s="37">
        <f>SUM(BU37:BX37)</f>
        <v/>
      </c>
      <c r="S37" s="38">
        <f>VLOOKUP(B37,'KPI Ticketing'!B:C,2,)</f>
        <v/>
      </c>
      <c r="T37" s="38">
        <f>VLOOKUP(B37,'KPI Ticketing'!B:D,3,)</f>
        <v/>
      </c>
      <c r="U37" s="38">
        <f>VLOOKUP(B37,'KPI Ticketing'!B:E,4,)</f>
        <v/>
      </c>
      <c r="V37" s="38">
        <f>VLOOKUP(B37,'KPI Ticketing'!B:F,5,)</f>
        <v/>
      </c>
      <c r="W37" s="37">
        <f>IF(S37&lt;=4,100%,IF(S37&lt;=6,70%,IF(S37&lt;=8,40%,10%)))</f>
        <v/>
      </c>
      <c r="X37" s="37">
        <f>IF(T37&lt;=8,100%,IF(T37&lt;=12,50%,25%))</f>
        <v/>
      </c>
      <c r="Y37" s="37">
        <f>IF(U37&lt;=10,100%,IF(U37&lt;=15,50%,25%))</f>
        <v/>
      </c>
      <c r="Z37" s="37">
        <f>IF(V37&lt;=13,100%,IF(V37&lt;=19,50%,25%))</f>
        <v/>
      </c>
      <c r="AA37" s="37">
        <f>W37*0.13</f>
        <v/>
      </c>
      <c r="AB37" s="37">
        <f>X37*0.06</f>
        <v/>
      </c>
      <c r="AC37" s="37">
        <f>Y37*0.04</f>
        <v/>
      </c>
      <c r="AD37" s="37">
        <f>Z37*0.02</f>
        <v/>
      </c>
      <c r="AE37" s="37">
        <f>VLOOKUP(B37,'KPI Ticketing'!B:N,13,)</f>
        <v/>
      </c>
      <c r="AF37" s="37">
        <f>IF(AE37&gt;=0.8,1,IF(AE37&gt;=0.7,0.9,IF(AE37&gt;=0.6,0.8,IF(AE37&gt;=0.5,0.7,IF(AE37&gt;=0.4,0.6,IF(AE37&gt;=0.3,0.5,IF(AE37&gt;=0.2,0.4,IF(AE37&gt;=0.1,0.3,0.2))))))))</f>
        <v/>
      </c>
      <c r="AG37" s="37">
        <f>AF37*0.03</f>
        <v/>
      </c>
      <c r="AH37" s="37">
        <f>VLOOKUP(B37,'KPI Ticketing'!B:R,17,)</f>
        <v/>
      </c>
      <c r="AI37" s="37">
        <f>IF(AH37&gt;=0.8,1,IF(AH37&gt;=0.7,0.9,IF(AH37&gt;=0.6,0.8,IF(AH37&gt;=0.5,0.7,IF(AH37&gt;=0.4,0.6,IF(AH37&gt;=0.3,0.5,IF(AH37&gt;=0.2,0.4,IF(AH37&gt;=0.1,0.3,0.2))))))))</f>
        <v/>
      </c>
      <c r="AJ37" s="37">
        <f>AI37*0.02</f>
        <v/>
      </c>
      <c r="AK37" s="37">
        <f>VLOOKUP(B37,'KPI Ticketing'!B:V,21,)</f>
        <v/>
      </c>
      <c r="AL37" s="37">
        <f>IF(AK37&gt;=0.9,1,IF(AK37&gt;=0.8,0.9,IF(AK37&gt;=0.7,0.8,IF(AK37&gt;=0.6,0.7,IF(AK37&gt;=0.5,0.6,IF(AK37&gt;=0.4,0.5,IF(AK37&gt;=0.3,0.4,IF(AK37&gt;=0.2,0.3,IF(AK37&gt;=0.1,0.2,0.1)))))))))</f>
        <v/>
      </c>
      <c r="AM37" s="37">
        <f>AL37*0.05</f>
        <v/>
      </c>
      <c r="AN37" s="37">
        <f>VLOOKUP(B37,'KPI Ticketing'!B:Z,25,)</f>
        <v/>
      </c>
      <c r="AO37" s="37">
        <f>IF(AN37&gt;=0.95,1,IF(AN37&gt;=0.9,0.9,IF(AN37&gt;=0.8,0.8,IF(AN37&gt;=0.7,0.7,IF(AN37&gt;=0.6,0.6,IF(AN37&gt;=0.5,0.5,IF(AN37&gt;=0.4,0.4,IF(AN37&gt;=0.3,0.3,IF(AN37&gt;=0.2,0.2,IF(AN37&gt;=0.1,0.1,0.05))))))))))</f>
        <v/>
      </c>
      <c r="AP37" s="37">
        <f>AO37*0.05</f>
        <v/>
      </c>
      <c r="AQ37" s="37">
        <f>VLOOKUP(B37,'KPI Ticketing'!B:AC,28,)</f>
        <v/>
      </c>
      <c r="AR37" s="37">
        <f>IF(AQ37&lt;0.95,0.5,1)</f>
        <v/>
      </c>
      <c r="AS37" s="37">
        <f>AR37*0.01</f>
        <v/>
      </c>
      <c r="AT37" s="37">
        <f>VLOOKUP(B37,'KPI Ticketing'!B:AG,32,)</f>
        <v/>
      </c>
      <c r="AU37" s="37">
        <f>IF(AT37&lt;0.3,0.5,1)</f>
        <v/>
      </c>
      <c r="AV37" s="37">
        <f>AU37*0.01</f>
        <v/>
      </c>
      <c r="AW37" s="38">
        <f>VLOOKUP(B37,'KPI Ticketing'!B:AH,33,)</f>
        <v/>
      </c>
      <c r="AX37" s="38">
        <f>VLOOKUP(B37,'KPI Ticketing'!B:AI,34,)</f>
        <v/>
      </c>
      <c r="AY37" s="38">
        <f>VLOOKUP(B37,'KPI Ticketing'!B:AJ,35,)</f>
        <v/>
      </c>
      <c r="AZ37" s="38">
        <f>VLOOKUP(B37,'KPI Ticketing'!B:AK,36,)</f>
        <v/>
      </c>
      <c r="BA37" s="38">
        <f>VLOOKUP(B37,'KPI Ticketing'!B:AL,37,)</f>
        <v/>
      </c>
      <c r="BB37" s="37">
        <f>IF(AW37&lt;=2,1,IF(AW37&lt;=3,0.7,IF(AW37&lt;=4,0.4,0.1)))</f>
        <v/>
      </c>
      <c r="BC37" s="37">
        <f>IF(AX37&lt;=4,1,IF(AX37&lt;=6,0.5,0.25))</f>
        <v/>
      </c>
      <c r="BD37" s="37">
        <f>IF(AY37&lt;=15,1,IF(AY37&lt;=22.5,0.5,0.25))</f>
        <v/>
      </c>
      <c r="BE37" s="37">
        <f>IF(AZ37&lt;=48,1,IF(AZ37&lt;=72,0.5,0.25))</f>
        <v/>
      </c>
      <c r="BF37" s="37">
        <f>IF(BA37=0, 0, IF(BA37&lt;=96, 1, IF(BA37&lt;=144, 0.5, 0.25)))</f>
        <v/>
      </c>
      <c r="BG37" s="37">
        <f>BB37*0.1</f>
        <v/>
      </c>
      <c r="BH37" s="37">
        <f>BC37*0.05</f>
        <v/>
      </c>
      <c r="BI37" s="37">
        <f>BD37*0.02</f>
        <v/>
      </c>
      <c r="BJ37" s="37">
        <f>BE37*0.01</f>
        <v/>
      </c>
      <c r="BK37" s="37">
        <f>BF37*0.01</f>
        <v/>
      </c>
      <c r="BL37" s="37">
        <f>VLOOKUP(B37,'KPI Ticketing'!B:AT,45,)</f>
        <v/>
      </c>
      <c r="BM37" s="37">
        <f>IF(BL37&gt;=0.8,1,IF(BL37&gt;=0.7,0.9,IF(BL37&gt;=0.6,0.8,IF(BL37&gt;=0.5,0.7,IF(BL37&gt;=0.4,0.6,IF(BL37&gt;=0.3,0.5,IF(BL37&gt;=0.2,0.4,IF(BL37&gt;=0.1,0.3,0.2))))))))</f>
        <v/>
      </c>
      <c r="BN37" s="37">
        <f>BM37*0.03</f>
        <v/>
      </c>
      <c r="BO37" s="37">
        <f>VLOOKUP(B37,'KPI Ticketing'!B:AX,49,)</f>
        <v/>
      </c>
      <c r="BP37" s="37">
        <f>IF(BO37&gt;=0.8,1,IF(BO37&gt;=0.7,0.9,IF(BO37&gt;=0.6,0.8,IF(BO37&gt;=0.5,0.7,IF(BO37&gt;=0.4,0.6,IF(BO37&gt;=0.3,0.5,IF(BO37&gt;=0.2,0.4,IF(BO37&gt;=0.1,0.3,0.2))))))))</f>
        <v/>
      </c>
      <c r="BQ37" s="37">
        <f>BP37*0.02</f>
        <v/>
      </c>
      <c r="BR37" s="37">
        <f>VLOOKUP(B37,'KPI Ticketing'!B:BB,53,)</f>
        <v/>
      </c>
      <c r="BS37" s="37">
        <f>IF(BR37&gt;=0.9,1,IF(BR37&gt;=0.8,0.9,IF(BR37&gt;=0.7,0.8,IF(BR37&gt;=0.6,0.7,IF(BR37&gt;=0.5,0.6,IF(BR37&gt;=0.4,0.5,IF(BR37&gt;=0.3,0.4,IF(BR37&gt;=0.2,0.3,IF(BR37&gt;=0.1,0.2,0.1)))))))))</f>
        <v/>
      </c>
      <c r="BT37" s="37">
        <f>BS37*0.05</f>
        <v/>
      </c>
      <c r="BU37" s="39" t="n">
        <v>0.08</v>
      </c>
      <c r="BV37" s="39" t="n">
        <v>0.06</v>
      </c>
      <c r="BW37" s="39" t="n">
        <v>0.09</v>
      </c>
      <c r="BX37" s="39" t="n">
        <v>0.06</v>
      </c>
    </row>
    <row r="38">
      <c r="A38" t="inlineStr">
        <is>
          <t>R06_Jawa Timur</t>
        </is>
      </c>
      <c r="B38" t="inlineStr">
        <is>
          <t>NOP SIDOARJO</t>
        </is>
      </c>
      <c r="C38" s="36">
        <f>RANK(D38,$D$10:$D$43,0)</f>
        <v/>
      </c>
      <c r="D38" s="37">
        <f>(G38*0.35)+(O38*65%)</f>
        <v/>
      </c>
      <c r="E38" s="36">
        <f>IF(D38&gt;=0.95,"Istimewa",IF(D38&gt;0.9,"Baik Sekali",IF(D38&gt;0.85,"Baik",IF(D38&gt;0.8,"Cukup","Kurang"))))</f>
        <v/>
      </c>
      <c r="F38" s="37">
        <f>0.29*0.65</f>
        <v/>
      </c>
      <c r="G38" s="37">
        <f>N38</f>
        <v/>
      </c>
      <c r="H38" s="37">
        <f>VLOOKUP(B38,'KPI Availability'!B:O,14,)</f>
        <v/>
      </c>
      <c r="I38" s="37">
        <f>VLOOKUP(B38,'KPI Availability'!B:P,15,)</f>
        <v/>
      </c>
      <c r="J38" s="37">
        <f>VLOOKUP(B38,'KPI Availability'!B:Q,16,)</f>
        <v/>
      </c>
      <c r="K38" s="37">
        <f>VLOOKUP(B38,'KPI Availability'!B:R,17,)</f>
        <v/>
      </c>
      <c r="L38" s="37">
        <f>VLOOKUP(B38,'KPI Availability'!B:S,18,)</f>
        <v/>
      </c>
      <c r="M38" s="37">
        <f>VLOOKUP(B38,'KPI Availability'!B:T,19,)</f>
        <v/>
      </c>
      <c r="N38" s="37">
        <f>SUM(H38:M38)</f>
        <v/>
      </c>
      <c r="O38" s="37">
        <f>P38+Q38+R38</f>
        <v/>
      </c>
      <c r="P38" s="37">
        <f>SUM(AA38:AD38,AG38,AJ38,AM38,AP38,AS38,AV38)</f>
        <v/>
      </c>
      <c r="Q38" s="37">
        <f>SUM(BG38:BK38,BN38,BQ38,BT38)</f>
        <v/>
      </c>
      <c r="R38" s="37">
        <f>SUM(BU38:BX38)</f>
        <v/>
      </c>
      <c r="S38" s="38">
        <f>VLOOKUP(B38,'KPI Ticketing'!B:C,2,)</f>
        <v/>
      </c>
      <c r="T38" s="38">
        <f>VLOOKUP(B38,'KPI Ticketing'!B:D,3,)</f>
        <v/>
      </c>
      <c r="U38" s="38">
        <f>VLOOKUP(B38,'KPI Ticketing'!B:E,4,)</f>
        <v/>
      </c>
      <c r="V38" s="38">
        <f>VLOOKUP(B38,'KPI Ticketing'!B:F,5,)</f>
        <v/>
      </c>
      <c r="W38" s="37">
        <f>IF(S38&lt;=4,100%,IF(S38&lt;=6,70%,IF(S38&lt;=8,40%,10%)))</f>
        <v/>
      </c>
      <c r="X38" s="37">
        <f>IF(T38&lt;=8,100%,IF(T38&lt;=12,50%,25%))</f>
        <v/>
      </c>
      <c r="Y38" s="37">
        <f>IF(U38&lt;=10,100%,IF(U38&lt;=15,50%,25%))</f>
        <v/>
      </c>
      <c r="Z38" s="37">
        <f>IF(V38&lt;=13,100%,IF(V38&lt;=19,50%,25%))</f>
        <v/>
      </c>
      <c r="AA38" s="37">
        <f>W38*0.13</f>
        <v/>
      </c>
      <c r="AB38" s="37">
        <f>X38*0.06</f>
        <v/>
      </c>
      <c r="AC38" s="37">
        <f>Y38*0.04</f>
        <v/>
      </c>
      <c r="AD38" s="37">
        <f>Z38*0.02</f>
        <v/>
      </c>
      <c r="AE38" s="37">
        <f>VLOOKUP(B38,'KPI Ticketing'!B:N,13,)</f>
        <v/>
      </c>
      <c r="AF38" s="37">
        <f>IF(AE38&gt;=0.8,1,IF(AE38&gt;=0.7,0.9,IF(AE38&gt;=0.6,0.8,IF(AE38&gt;=0.5,0.7,IF(AE38&gt;=0.4,0.6,IF(AE38&gt;=0.3,0.5,IF(AE38&gt;=0.2,0.4,IF(AE38&gt;=0.1,0.3,0.2))))))))</f>
        <v/>
      </c>
      <c r="AG38" s="37">
        <f>AF38*0.03</f>
        <v/>
      </c>
      <c r="AH38" s="37">
        <f>VLOOKUP(B38,'KPI Ticketing'!B:R,17,)</f>
        <v/>
      </c>
      <c r="AI38" s="37">
        <f>IF(AH38&gt;=0.8,1,IF(AH38&gt;=0.7,0.9,IF(AH38&gt;=0.6,0.8,IF(AH38&gt;=0.5,0.7,IF(AH38&gt;=0.4,0.6,IF(AH38&gt;=0.3,0.5,IF(AH38&gt;=0.2,0.4,IF(AH38&gt;=0.1,0.3,0.2))))))))</f>
        <v/>
      </c>
      <c r="AJ38" s="37">
        <f>AI38*0.02</f>
        <v/>
      </c>
      <c r="AK38" s="37">
        <f>VLOOKUP(B38,'KPI Ticketing'!B:V,21,)</f>
        <v/>
      </c>
      <c r="AL38" s="37">
        <f>IF(AK38&gt;=0.9,1,IF(AK38&gt;=0.8,0.9,IF(AK38&gt;=0.7,0.8,IF(AK38&gt;=0.6,0.7,IF(AK38&gt;=0.5,0.6,IF(AK38&gt;=0.4,0.5,IF(AK38&gt;=0.3,0.4,IF(AK38&gt;=0.2,0.3,IF(AK38&gt;=0.1,0.2,0.1)))))))))</f>
        <v/>
      </c>
      <c r="AM38" s="37">
        <f>AL38*0.05</f>
        <v/>
      </c>
      <c r="AN38" s="37">
        <f>VLOOKUP(B38,'KPI Ticketing'!B:Z,25,)</f>
        <v/>
      </c>
      <c r="AO38" s="37">
        <f>IF(AN38&gt;=0.95,1,IF(AN38&gt;=0.9,0.9,IF(AN38&gt;=0.8,0.8,IF(AN38&gt;=0.7,0.7,IF(AN38&gt;=0.6,0.6,IF(AN38&gt;=0.5,0.5,IF(AN38&gt;=0.4,0.4,IF(AN38&gt;=0.3,0.3,IF(AN38&gt;=0.2,0.2,IF(AN38&gt;=0.1,0.1,0.05))))))))))</f>
        <v/>
      </c>
      <c r="AP38" s="37">
        <f>AO38*0.05</f>
        <v/>
      </c>
      <c r="AQ38" s="37">
        <f>VLOOKUP(B38,'KPI Ticketing'!B:AC,28,)</f>
        <v/>
      </c>
      <c r="AR38" s="37">
        <f>IF(AQ38&lt;0.95,0.5,1)</f>
        <v/>
      </c>
      <c r="AS38" s="37">
        <f>AR38*0.01</f>
        <v/>
      </c>
      <c r="AT38" s="37">
        <f>VLOOKUP(B38,'KPI Ticketing'!B:AG,32,)</f>
        <v/>
      </c>
      <c r="AU38" s="37">
        <f>IF(AT38&lt;0.3,0.5,1)</f>
        <v/>
      </c>
      <c r="AV38" s="37">
        <f>AU38*0.01</f>
        <v/>
      </c>
      <c r="AW38" s="38">
        <f>VLOOKUP(B38,'KPI Ticketing'!B:AH,33,)</f>
        <v/>
      </c>
      <c r="AX38" s="38">
        <f>VLOOKUP(B38,'KPI Ticketing'!B:AI,34,)</f>
        <v/>
      </c>
      <c r="AY38" s="38">
        <f>VLOOKUP(B38,'KPI Ticketing'!B:AJ,35,)</f>
        <v/>
      </c>
      <c r="AZ38" s="38">
        <f>VLOOKUP(B38,'KPI Ticketing'!B:AK,36,)</f>
        <v/>
      </c>
      <c r="BA38" s="38">
        <f>VLOOKUP(B38,'KPI Ticketing'!B:AL,37,)</f>
        <v/>
      </c>
      <c r="BB38" s="37">
        <f>IF(AW38&lt;=2,1,IF(AW38&lt;=3,0.7,IF(AW38&lt;=4,0.4,0.1)))</f>
        <v/>
      </c>
      <c r="BC38" s="37">
        <f>IF(AX38&lt;=4,1,IF(AX38&lt;=6,0.5,0.25))</f>
        <v/>
      </c>
      <c r="BD38" s="37">
        <f>IF(AY38&lt;=15,1,IF(AY38&lt;=22.5,0.5,0.25))</f>
        <v/>
      </c>
      <c r="BE38" s="37">
        <f>IF(AZ38&lt;=48,1,IF(AZ38&lt;=72,0.5,0.25))</f>
        <v/>
      </c>
      <c r="BF38" s="37">
        <f>IF(BA38=0, 0, IF(BA38&lt;=96, 1, IF(BA38&lt;=144, 0.5, 0.25)))</f>
        <v/>
      </c>
      <c r="BG38" s="37">
        <f>BB38*0.1</f>
        <v/>
      </c>
      <c r="BH38" s="37">
        <f>BC38*0.05</f>
        <v/>
      </c>
      <c r="BI38" s="37">
        <f>BD38*0.02</f>
        <v/>
      </c>
      <c r="BJ38" s="37">
        <f>BE38*0.01</f>
        <v/>
      </c>
      <c r="BK38" s="37">
        <f>BF38*0.01</f>
        <v/>
      </c>
      <c r="BL38" s="37">
        <f>VLOOKUP(B38,'KPI Ticketing'!B:AT,45,)</f>
        <v/>
      </c>
      <c r="BM38" s="37">
        <f>IF(BL38&gt;=0.8,1,IF(BL38&gt;=0.7,0.9,IF(BL38&gt;=0.6,0.8,IF(BL38&gt;=0.5,0.7,IF(BL38&gt;=0.4,0.6,IF(BL38&gt;=0.3,0.5,IF(BL38&gt;=0.2,0.4,IF(BL38&gt;=0.1,0.3,0.2))))))))</f>
        <v/>
      </c>
      <c r="BN38" s="37">
        <f>BM38*0.03</f>
        <v/>
      </c>
      <c r="BO38" s="37">
        <f>VLOOKUP(B38,'KPI Ticketing'!B:AX,49,)</f>
        <v/>
      </c>
      <c r="BP38" s="37">
        <f>IF(BO38&gt;=0.8,1,IF(BO38&gt;=0.7,0.9,IF(BO38&gt;=0.6,0.8,IF(BO38&gt;=0.5,0.7,IF(BO38&gt;=0.4,0.6,IF(BO38&gt;=0.3,0.5,IF(BO38&gt;=0.2,0.4,IF(BO38&gt;=0.1,0.3,0.2))))))))</f>
        <v/>
      </c>
      <c r="BQ38" s="37">
        <f>BP38*0.02</f>
        <v/>
      </c>
      <c r="BR38" s="37">
        <f>VLOOKUP(B38,'KPI Ticketing'!B:BB,53,)</f>
        <v/>
      </c>
      <c r="BS38" s="37">
        <f>IF(BR38&gt;=0.9,1,IF(BR38&gt;=0.8,0.9,IF(BR38&gt;=0.7,0.8,IF(BR38&gt;=0.6,0.7,IF(BR38&gt;=0.5,0.6,IF(BR38&gt;=0.4,0.5,IF(BR38&gt;=0.3,0.4,IF(BR38&gt;=0.2,0.3,IF(BR38&gt;=0.1,0.2,0.1)))))))))</f>
        <v/>
      </c>
      <c r="BT38" s="37">
        <f>BS38*0.05</f>
        <v/>
      </c>
      <c r="BU38" s="39" t="n">
        <v>0.08</v>
      </c>
      <c r="BV38" s="39" t="n">
        <v>0.06</v>
      </c>
      <c r="BW38" s="39" t="n">
        <v>0.09</v>
      </c>
      <c r="BX38" s="39" t="n">
        <v>0.06</v>
      </c>
    </row>
    <row r="39">
      <c r="A39" t="inlineStr">
        <is>
          <t>R06_Jawa Timur</t>
        </is>
      </c>
      <c r="B39" t="inlineStr">
        <is>
          <t>NOP SURABAYA</t>
        </is>
      </c>
      <c r="C39" s="36">
        <f>RANK(D39,$D$10:$D$43,0)</f>
        <v/>
      </c>
      <c r="D39" s="37">
        <f>(G39*0.35)+(O39*65%)</f>
        <v/>
      </c>
      <c r="E39" s="36">
        <f>IF(D39&gt;=0.95,"Istimewa",IF(D39&gt;0.9,"Baik Sekali",IF(D39&gt;0.85,"Baik",IF(D39&gt;0.8,"Cukup","Kurang"))))</f>
        <v/>
      </c>
      <c r="F39" s="37">
        <f>0.29*0.65</f>
        <v/>
      </c>
      <c r="G39" s="37">
        <f>N39</f>
        <v/>
      </c>
      <c r="H39" s="37">
        <f>VLOOKUP(B39,'KPI Availability'!B:O,14,)</f>
        <v/>
      </c>
      <c r="I39" s="37">
        <f>VLOOKUP(B39,'KPI Availability'!B:P,15,)</f>
        <v/>
      </c>
      <c r="J39" s="37">
        <f>VLOOKUP(B39,'KPI Availability'!B:Q,16,)</f>
        <v/>
      </c>
      <c r="K39" s="37">
        <f>VLOOKUP(B39,'KPI Availability'!B:R,17,)</f>
        <v/>
      </c>
      <c r="L39" s="37">
        <f>VLOOKUP(B39,'KPI Availability'!B:S,18,)</f>
        <v/>
      </c>
      <c r="M39" s="37">
        <f>VLOOKUP(B39,'KPI Availability'!B:T,19,)</f>
        <v/>
      </c>
      <c r="N39" s="37">
        <f>SUM(H39:M39)</f>
        <v/>
      </c>
      <c r="O39" s="37">
        <f>P39+Q39+R39</f>
        <v/>
      </c>
      <c r="P39" s="37">
        <f>SUM(AA39:AD39,AG39,AJ39,AM39,AP39,AS39,AV39)</f>
        <v/>
      </c>
      <c r="Q39" s="37">
        <f>SUM(BG39:BK39,BN39,BQ39,BT39)</f>
        <v/>
      </c>
      <c r="R39" s="37">
        <f>SUM(BU39:BX39)</f>
        <v/>
      </c>
      <c r="S39" s="38">
        <f>VLOOKUP(B39,'KPI Ticketing'!B:C,2,)</f>
        <v/>
      </c>
      <c r="T39" s="38">
        <f>VLOOKUP(B39,'KPI Ticketing'!B:D,3,)</f>
        <v/>
      </c>
      <c r="U39" s="38">
        <f>VLOOKUP(B39,'KPI Ticketing'!B:E,4,)</f>
        <v/>
      </c>
      <c r="V39" s="38">
        <f>VLOOKUP(B39,'KPI Ticketing'!B:F,5,)</f>
        <v/>
      </c>
      <c r="W39" s="37">
        <f>IF(S39&lt;=4,100%,IF(S39&lt;=6,70%,IF(S39&lt;=8,40%,10%)))</f>
        <v/>
      </c>
      <c r="X39" s="37">
        <f>IF(T39&lt;=8,100%,IF(T39&lt;=12,50%,25%))</f>
        <v/>
      </c>
      <c r="Y39" s="37">
        <f>IF(U39&lt;=10,100%,IF(U39&lt;=15,50%,25%))</f>
        <v/>
      </c>
      <c r="Z39" s="37">
        <f>IF(V39&lt;=13,100%,IF(V39&lt;=19,50%,25%))</f>
        <v/>
      </c>
      <c r="AA39" s="37">
        <f>W39*0.13</f>
        <v/>
      </c>
      <c r="AB39" s="37">
        <f>X39*0.06</f>
        <v/>
      </c>
      <c r="AC39" s="37">
        <f>Y39*0.04</f>
        <v/>
      </c>
      <c r="AD39" s="37">
        <f>Z39*0.02</f>
        <v/>
      </c>
      <c r="AE39" s="37">
        <f>VLOOKUP(B39,'KPI Ticketing'!B:N,13,)</f>
        <v/>
      </c>
      <c r="AF39" s="37">
        <f>IF(AE39&gt;=0.8,1,IF(AE39&gt;=0.7,0.9,IF(AE39&gt;=0.6,0.8,IF(AE39&gt;=0.5,0.7,IF(AE39&gt;=0.4,0.6,IF(AE39&gt;=0.3,0.5,IF(AE39&gt;=0.2,0.4,IF(AE39&gt;=0.1,0.3,0.2))))))))</f>
        <v/>
      </c>
      <c r="AG39" s="37">
        <f>AF39*0.03</f>
        <v/>
      </c>
      <c r="AH39" s="37">
        <f>VLOOKUP(B39,'KPI Ticketing'!B:R,17,)</f>
        <v/>
      </c>
      <c r="AI39" s="37">
        <f>IF(AH39&gt;=0.8,1,IF(AH39&gt;=0.7,0.9,IF(AH39&gt;=0.6,0.8,IF(AH39&gt;=0.5,0.7,IF(AH39&gt;=0.4,0.6,IF(AH39&gt;=0.3,0.5,IF(AH39&gt;=0.2,0.4,IF(AH39&gt;=0.1,0.3,0.2))))))))</f>
        <v/>
      </c>
      <c r="AJ39" s="37">
        <f>AI39*0.02</f>
        <v/>
      </c>
      <c r="AK39" s="37">
        <f>VLOOKUP(B39,'KPI Ticketing'!B:V,21,)</f>
        <v/>
      </c>
      <c r="AL39" s="37">
        <f>IF(AK39&gt;=0.9,1,IF(AK39&gt;=0.8,0.9,IF(AK39&gt;=0.7,0.8,IF(AK39&gt;=0.6,0.7,IF(AK39&gt;=0.5,0.6,IF(AK39&gt;=0.4,0.5,IF(AK39&gt;=0.3,0.4,IF(AK39&gt;=0.2,0.3,IF(AK39&gt;=0.1,0.2,0.1)))))))))</f>
        <v/>
      </c>
      <c r="AM39" s="37">
        <f>AL39*0.05</f>
        <v/>
      </c>
      <c r="AN39" s="37">
        <f>VLOOKUP(B39,'KPI Ticketing'!B:Z,25,)</f>
        <v/>
      </c>
      <c r="AO39" s="37">
        <f>IF(AN39&gt;=0.95,1,IF(AN39&gt;=0.9,0.9,IF(AN39&gt;=0.8,0.8,IF(AN39&gt;=0.7,0.7,IF(AN39&gt;=0.6,0.6,IF(AN39&gt;=0.5,0.5,IF(AN39&gt;=0.4,0.4,IF(AN39&gt;=0.3,0.3,IF(AN39&gt;=0.2,0.2,IF(AN39&gt;=0.1,0.1,0.05))))))))))</f>
        <v/>
      </c>
      <c r="AP39" s="37">
        <f>AO39*0.05</f>
        <v/>
      </c>
      <c r="AQ39" s="37">
        <f>VLOOKUP(B39,'KPI Ticketing'!B:AC,28,)</f>
        <v/>
      </c>
      <c r="AR39" s="37">
        <f>IF(AQ39&lt;0.95,0.5,1)</f>
        <v/>
      </c>
      <c r="AS39" s="37">
        <f>AR39*0.01</f>
        <v/>
      </c>
      <c r="AT39" s="37">
        <f>VLOOKUP(B39,'KPI Ticketing'!B:AG,32,)</f>
        <v/>
      </c>
      <c r="AU39" s="37">
        <f>IF(AT39&lt;0.3,0.5,1)</f>
        <v/>
      </c>
      <c r="AV39" s="37">
        <f>AU39*0.01</f>
        <v/>
      </c>
      <c r="AW39" s="38">
        <f>VLOOKUP(B39,'KPI Ticketing'!B:AH,33,)</f>
        <v/>
      </c>
      <c r="AX39" s="38">
        <f>VLOOKUP(B39,'KPI Ticketing'!B:AI,34,)</f>
        <v/>
      </c>
      <c r="AY39" s="38">
        <f>VLOOKUP(B39,'KPI Ticketing'!B:AJ,35,)</f>
        <v/>
      </c>
      <c r="AZ39" s="38">
        <f>VLOOKUP(B39,'KPI Ticketing'!B:AK,36,)</f>
        <v/>
      </c>
      <c r="BA39" s="38">
        <f>VLOOKUP(B39,'KPI Ticketing'!B:AL,37,)</f>
        <v/>
      </c>
      <c r="BB39" s="37">
        <f>IF(AW39&lt;=2,1,IF(AW39&lt;=3,0.7,IF(AW39&lt;=4,0.4,0.1)))</f>
        <v/>
      </c>
      <c r="BC39" s="37">
        <f>IF(AX39&lt;=4,1,IF(AX39&lt;=6,0.5,0.25))</f>
        <v/>
      </c>
      <c r="BD39" s="37">
        <f>IF(AY39&lt;=15,1,IF(AY39&lt;=22.5,0.5,0.25))</f>
        <v/>
      </c>
      <c r="BE39" s="37">
        <f>IF(AZ39&lt;=48,1,IF(AZ39&lt;=72,0.5,0.25))</f>
        <v/>
      </c>
      <c r="BF39" s="37">
        <f>IF(BA39=0, 0, IF(BA39&lt;=96, 1, IF(BA39&lt;=144, 0.5, 0.25)))</f>
        <v/>
      </c>
      <c r="BG39" s="37">
        <f>BB39*0.1</f>
        <v/>
      </c>
      <c r="BH39" s="37">
        <f>BC39*0.05</f>
        <v/>
      </c>
      <c r="BI39" s="37">
        <f>BD39*0.02</f>
        <v/>
      </c>
      <c r="BJ39" s="37">
        <f>BE39*0.01</f>
        <v/>
      </c>
      <c r="BK39" s="37">
        <f>BF39*0.01</f>
        <v/>
      </c>
      <c r="BL39" s="37">
        <f>VLOOKUP(B39,'KPI Ticketing'!B:AT,45,)</f>
        <v/>
      </c>
      <c r="BM39" s="37">
        <f>IF(BL39&gt;=0.8,1,IF(BL39&gt;=0.7,0.9,IF(BL39&gt;=0.6,0.8,IF(BL39&gt;=0.5,0.7,IF(BL39&gt;=0.4,0.6,IF(BL39&gt;=0.3,0.5,IF(BL39&gt;=0.2,0.4,IF(BL39&gt;=0.1,0.3,0.2))))))))</f>
        <v/>
      </c>
      <c r="BN39" s="37">
        <f>BM39*0.03</f>
        <v/>
      </c>
      <c r="BO39" s="37">
        <f>VLOOKUP(B39,'KPI Ticketing'!B:AX,49,)</f>
        <v/>
      </c>
      <c r="BP39" s="37">
        <f>IF(BO39&gt;=0.8,1,IF(BO39&gt;=0.7,0.9,IF(BO39&gt;=0.6,0.8,IF(BO39&gt;=0.5,0.7,IF(BO39&gt;=0.4,0.6,IF(BO39&gt;=0.3,0.5,IF(BO39&gt;=0.2,0.4,IF(BO39&gt;=0.1,0.3,0.2))))))))</f>
        <v/>
      </c>
      <c r="BQ39" s="37">
        <f>BP39*0.02</f>
        <v/>
      </c>
      <c r="BR39" s="37">
        <f>VLOOKUP(B39,'KPI Ticketing'!B:BB,53,)</f>
        <v/>
      </c>
      <c r="BS39" s="37">
        <f>IF(BR39&gt;=0.9,1,IF(BR39&gt;=0.8,0.9,IF(BR39&gt;=0.7,0.8,IF(BR39&gt;=0.6,0.7,IF(BR39&gt;=0.5,0.6,IF(BR39&gt;=0.4,0.5,IF(BR39&gt;=0.3,0.4,IF(BR39&gt;=0.2,0.3,IF(BR39&gt;=0.1,0.2,0.1)))))))))</f>
        <v/>
      </c>
      <c r="BT39" s="37">
        <f>BS39*0.05</f>
        <v/>
      </c>
      <c r="BU39" s="39" t="n">
        <v>0.08</v>
      </c>
      <c r="BV39" s="39" t="n">
        <v>0.06</v>
      </c>
      <c r="BW39" s="39" t="n">
        <v>0.09</v>
      </c>
      <c r="BX39" s="39" t="n">
        <v>0.06</v>
      </c>
    </row>
    <row r="40">
      <c r="A40" t="inlineStr">
        <is>
          <t>R07_Bali Nusra</t>
        </is>
      </c>
      <c r="B40" t="inlineStr">
        <is>
          <t>NOP DENPASAR</t>
        </is>
      </c>
      <c r="C40" s="36">
        <f>RANK(D40,$D$10:$D$43,0)</f>
        <v/>
      </c>
      <c r="D40" s="37">
        <f>(G40*0.35)+(O40*65%)</f>
        <v/>
      </c>
      <c r="E40" s="36">
        <f>IF(D40&gt;=0.95,"Istimewa",IF(D40&gt;0.9,"Baik Sekali",IF(D40&gt;0.85,"Baik",IF(D40&gt;0.8,"Cukup","Kurang"))))</f>
        <v/>
      </c>
      <c r="F40" s="37">
        <f>0.29*0.65</f>
        <v/>
      </c>
      <c r="G40" s="37">
        <f>N40</f>
        <v/>
      </c>
      <c r="H40" s="37">
        <f>VLOOKUP(B40,'KPI Availability'!B:O,14,)</f>
        <v/>
      </c>
      <c r="I40" s="37">
        <f>VLOOKUP(B40,'KPI Availability'!B:P,15,)</f>
        <v/>
      </c>
      <c r="J40" s="37">
        <f>VLOOKUP(B40,'KPI Availability'!B:Q,16,)</f>
        <v/>
      </c>
      <c r="K40" s="37">
        <f>VLOOKUP(B40,'KPI Availability'!B:R,17,)</f>
        <v/>
      </c>
      <c r="L40" s="37">
        <f>VLOOKUP(B40,'KPI Availability'!B:S,18,)</f>
        <v/>
      </c>
      <c r="M40" s="37">
        <f>VLOOKUP(B40,'KPI Availability'!B:T,19,)</f>
        <v/>
      </c>
      <c r="N40" s="37">
        <f>SUM(H40:M40)</f>
        <v/>
      </c>
      <c r="O40" s="37">
        <f>P40+Q40+R40</f>
        <v/>
      </c>
      <c r="P40" s="37">
        <f>SUM(AA40:AD40,AG40,AJ40,AM40,AP40,AS40,AV40)</f>
        <v/>
      </c>
      <c r="Q40" s="37">
        <f>SUM(BG40:BK40,BN40,BQ40,BT40)</f>
        <v/>
      </c>
      <c r="R40" s="37">
        <f>SUM(BU40:BX40)</f>
        <v/>
      </c>
      <c r="S40" s="38">
        <f>VLOOKUP(B40,'KPI Ticketing'!B:C,2,)</f>
        <v/>
      </c>
      <c r="T40" s="38">
        <f>VLOOKUP(B40,'KPI Ticketing'!B:D,3,)</f>
        <v/>
      </c>
      <c r="U40" s="38">
        <f>VLOOKUP(B40,'KPI Ticketing'!B:E,4,)</f>
        <v/>
      </c>
      <c r="V40" s="38">
        <f>VLOOKUP(B40,'KPI Ticketing'!B:F,5,)</f>
        <v/>
      </c>
      <c r="W40" s="37">
        <f>IF(S40&lt;=4,100%,IF(S40&lt;=6,70%,IF(S40&lt;=8,40%,10%)))</f>
        <v/>
      </c>
      <c r="X40" s="37">
        <f>IF(T40&lt;=8,100%,IF(T40&lt;=12,50%,25%))</f>
        <v/>
      </c>
      <c r="Y40" s="37">
        <f>IF(U40&lt;=10,100%,IF(U40&lt;=15,50%,25%))</f>
        <v/>
      </c>
      <c r="Z40" s="37">
        <f>IF(V40&lt;=13,100%,IF(V40&lt;=19,50%,25%))</f>
        <v/>
      </c>
      <c r="AA40" s="37">
        <f>W40*0.13</f>
        <v/>
      </c>
      <c r="AB40" s="37">
        <f>X40*0.06</f>
        <v/>
      </c>
      <c r="AC40" s="37">
        <f>Y40*0.04</f>
        <v/>
      </c>
      <c r="AD40" s="37">
        <f>Z40*0.02</f>
        <v/>
      </c>
      <c r="AE40" s="37">
        <f>VLOOKUP(B40,'KPI Ticketing'!B:N,13,)</f>
        <v/>
      </c>
      <c r="AF40" s="37">
        <f>IF(AE40&gt;=0.8,1,IF(AE40&gt;=0.7,0.9,IF(AE40&gt;=0.6,0.8,IF(AE40&gt;=0.5,0.7,IF(AE40&gt;=0.4,0.6,IF(AE40&gt;=0.3,0.5,IF(AE40&gt;=0.2,0.4,IF(AE40&gt;=0.1,0.3,0.2))))))))</f>
        <v/>
      </c>
      <c r="AG40" s="37">
        <f>AF40*0.03</f>
        <v/>
      </c>
      <c r="AH40" s="37">
        <f>VLOOKUP(B40,'KPI Ticketing'!B:R,17,)</f>
        <v/>
      </c>
      <c r="AI40" s="37">
        <f>IF(AH40&gt;=0.8,1,IF(AH40&gt;=0.7,0.9,IF(AH40&gt;=0.6,0.8,IF(AH40&gt;=0.5,0.7,IF(AH40&gt;=0.4,0.6,IF(AH40&gt;=0.3,0.5,IF(AH40&gt;=0.2,0.4,IF(AH40&gt;=0.1,0.3,0.2))))))))</f>
        <v/>
      </c>
      <c r="AJ40" s="37">
        <f>AI40*0.02</f>
        <v/>
      </c>
      <c r="AK40" s="37">
        <f>VLOOKUP(B40,'KPI Ticketing'!B:V,21,)</f>
        <v/>
      </c>
      <c r="AL40" s="37">
        <f>IF(AK40&gt;=0.9,1,IF(AK40&gt;=0.8,0.9,IF(AK40&gt;=0.7,0.8,IF(AK40&gt;=0.6,0.7,IF(AK40&gt;=0.5,0.6,IF(AK40&gt;=0.4,0.5,IF(AK40&gt;=0.3,0.4,IF(AK40&gt;=0.2,0.3,IF(AK40&gt;=0.1,0.2,0.1)))))))))</f>
        <v/>
      </c>
      <c r="AM40" s="37">
        <f>AL40*0.05</f>
        <v/>
      </c>
      <c r="AN40" s="37">
        <f>VLOOKUP(B40,'KPI Ticketing'!B:Z,25,)</f>
        <v/>
      </c>
      <c r="AO40" s="37">
        <f>IF(AN40&gt;=0.95,1,IF(AN40&gt;=0.9,0.9,IF(AN40&gt;=0.8,0.8,IF(AN40&gt;=0.7,0.7,IF(AN40&gt;=0.6,0.6,IF(AN40&gt;=0.5,0.5,IF(AN40&gt;=0.4,0.4,IF(AN40&gt;=0.3,0.3,IF(AN40&gt;=0.2,0.2,IF(AN40&gt;=0.1,0.1,0.05))))))))))</f>
        <v/>
      </c>
      <c r="AP40" s="37">
        <f>AO40*0.05</f>
        <v/>
      </c>
      <c r="AQ40" s="37">
        <f>VLOOKUP(B40,'KPI Ticketing'!B:AC,28,)</f>
        <v/>
      </c>
      <c r="AR40" s="37">
        <f>IF(AQ40&lt;0.95,0.5,1)</f>
        <v/>
      </c>
      <c r="AS40" s="37">
        <f>AR40*0.01</f>
        <v/>
      </c>
      <c r="AT40" s="37">
        <f>VLOOKUP(B40,'KPI Ticketing'!B:AG,32,)</f>
        <v/>
      </c>
      <c r="AU40" s="37">
        <f>IF(AT40&lt;0.3,0.5,1)</f>
        <v/>
      </c>
      <c r="AV40" s="37">
        <f>AU40*0.01</f>
        <v/>
      </c>
      <c r="AW40" s="38">
        <f>VLOOKUP(B40,'KPI Ticketing'!B:AH,33,)</f>
        <v/>
      </c>
      <c r="AX40" s="38">
        <f>VLOOKUP(B40,'KPI Ticketing'!B:AI,34,)</f>
        <v/>
      </c>
      <c r="AY40" s="38">
        <f>VLOOKUP(B40,'KPI Ticketing'!B:AJ,35,)</f>
        <v/>
      </c>
      <c r="AZ40" s="38">
        <f>VLOOKUP(B40,'KPI Ticketing'!B:AK,36,)</f>
        <v/>
      </c>
      <c r="BA40" s="38">
        <f>VLOOKUP(B40,'KPI Ticketing'!B:AL,37,)</f>
        <v/>
      </c>
      <c r="BB40" s="37">
        <f>IF(AW40&lt;=2,1,IF(AW40&lt;=3,0.7,IF(AW40&lt;=4,0.4,0.1)))</f>
        <v/>
      </c>
      <c r="BC40" s="37">
        <f>IF(AX40&lt;=4,1,IF(AX40&lt;=6,0.5,0.25))</f>
        <v/>
      </c>
      <c r="BD40" s="37">
        <f>IF(AY40&lt;=15,1,IF(AY40&lt;=22.5,0.5,0.25))</f>
        <v/>
      </c>
      <c r="BE40" s="37">
        <f>IF(AZ40&lt;=48,1,IF(AZ40&lt;=72,0.5,0.25))</f>
        <v/>
      </c>
      <c r="BF40" s="37">
        <f>IF(BA40=0, 0, IF(BA40&lt;=96, 1, IF(BA40&lt;=144, 0.5, 0.25)))</f>
        <v/>
      </c>
      <c r="BG40" s="37">
        <f>BB40*0.1</f>
        <v/>
      </c>
      <c r="BH40" s="37">
        <f>BC40*0.05</f>
        <v/>
      </c>
      <c r="BI40" s="37">
        <f>BD40*0.02</f>
        <v/>
      </c>
      <c r="BJ40" s="37">
        <f>BE40*0.01</f>
        <v/>
      </c>
      <c r="BK40" s="37">
        <f>BF40*0.01</f>
        <v/>
      </c>
      <c r="BL40" s="37">
        <f>VLOOKUP(B40,'KPI Ticketing'!B:AT,45,)</f>
        <v/>
      </c>
      <c r="BM40" s="37">
        <f>IF(BL40&gt;=0.8,1,IF(BL40&gt;=0.7,0.9,IF(BL40&gt;=0.6,0.8,IF(BL40&gt;=0.5,0.7,IF(BL40&gt;=0.4,0.6,IF(BL40&gt;=0.3,0.5,IF(BL40&gt;=0.2,0.4,IF(BL40&gt;=0.1,0.3,0.2))))))))</f>
        <v/>
      </c>
      <c r="BN40" s="37">
        <f>BM40*0.03</f>
        <v/>
      </c>
      <c r="BO40" s="37">
        <f>VLOOKUP(B40,'KPI Ticketing'!B:AX,49,)</f>
        <v/>
      </c>
      <c r="BP40" s="37">
        <f>IF(BO40&gt;=0.8,1,IF(BO40&gt;=0.7,0.9,IF(BO40&gt;=0.6,0.8,IF(BO40&gt;=0.5,0.7,IF(BO40&gt;=0.4,0.6,IF(BO40&gt;=0.3,0.5,IF(BO40&gt;=0.2,0.4,IF(BO40&gt;=0.1,0.3,0.2))))))))</f>
        <v/>
      </c>
      <c r="BQ40" s="37">
        <f>BP40*0.02</f>
        <v/>
      </c>
      <c r="BR40" s="37">
        <f>VLOOKUP(B40,'KPI Ticketing'!B:BB,53,)</f>
        <v/>
      </c>
      <c r="BS40" s="37">
        <f>IF(BR40&gt;=0.9,1,IF(BR40&gt;=0.8,0.9,IF(BR40&gt;=0.7,0.8,IF(BR40&gt;=0.6,0.7,IF(BR40&gt;=0.5,0.6,IF(BR40&gt;=0.4,0.5,IF(BR40&gt;=0.3,0.4,IF(BR40&gt;=0.2,0.3,IF(BR40&gt;=0.1,0.2,0.1)))))))))</f>
        <v/>
      </c>
      <c r="BT40" s="37">
        <f>BS40*0.05</f>
        <v/>
      </c>
      <c r="BU40" s="39" t="n">
        <v>0.08</v>
      </c>
      <c r="BV40" s="39" t="n">
        <v>0.06</v>
      </c>
      <c r="BW40" s="39" t="n">
        <v>0.09</v>
      </c>
      <c r="BX40" s="39" t="n">
        <v>0.06</v>
      </c>
    </row>
    <row r="41">
      <c r="A41" t="inlineStr">
        <is>
          <t>R07_Bali Nusra</t>
        </is>
      </c>
      <c r="B41" t="inlineStr">
        <is>
          <t>NOP FLORES</t>
        </is>
      </c>
      <c r="C41" s="36">
        <f>RANK(D41,$D$10:$D$43,0)</f>
        <v/>
      </c>
      <c r="D41" s="37">
        <f>(G41*0.35)+(O41*65%)</f>
        <v/>
      </c>
      <c r="E41" s="36">
        <f>IF(D41&gt;=0.95,"Istimewa",IF(D41&gt;0.9,"Baik Sekali",IF(D41&gt;0.85,"Baik",IF(D41&gt;0.8,"Cukup","Kurang"))))</f>
        <v/>
      </c>
      <c r="F41" s="37">
        <f>0.29*0.65</f>
        <v/>
      </c>
      <c r="G41" s="37">
        <f>N41</f>
        <v/>
      </c>
      <c r="H41" s="37">
        <f>VLOOKUP(B41,'KPI Availability'!B:O,14,)</f>
        <v/>
      </c>
      <c r="I41" s="37">
        <f>VLOOKUP(B41,'KPI Availability'!B:P,15,)</f>
        <v/>
      </c>
      <c r="J41" s="37">
        <f>VLOOKUP(B41,'KPI Availability'!B:Q,16,)</f>
        <v/>
      </c>
      <c r="K41" s="37">
        <f>VLOOKUP(B41,'KPI Availability'!B:R,17,)</f>
        <v/>
      </c>
      <c r="L41" s="37">
        <f>VLOOKUP(B41,'KPI Availability'!B:S,18,)</f>
        <v/>
      </c>
      <c r="M41" s="37">
        <f>VLOOKUP(B41,'KPI Availability'!B:T,19,)</f>
        <v/>
      </c>
      <c r="N41" s="37">
        <f>SUM(H41:M41)</f>
        <v/>
      </c>
      <c r="O41" s="37">
        <f>P41+Q41+R41</f>
        <v/>
      </c>
      <c r="P41" s="37">
        <f>SUM(AA41:AD41,AG41,AJ41,AM41,AP41,AS41,AV41)</f>
        <v/>
      </c>
      <c r="Q41" s="37">
        <f>SUM(BG41:BK41,BN41,BQ41,BT41)</f>
        <v/>
      </c>
      <c r="R41" s="37">
        <f>SUM(BU41:BX41)</f>
        <v/>
      </c>
      <c r="S41" s="38">
        <f>VLOOKUP(B41,'KPI Ticketing'!B:C,2,)</f>
        <v/>
      </c>
      <c r="T41" s="38">
        <f>VLOOKUP(B41,'KPI Ticketing'!B:D,3,)</f>
        <v/>
      </c>
      <c r="U41" s="38">
        <f>VLOOKUP(B41,'KPI Ticketing'!B:E,4,)</f>
        <v/>
      </c>
      <c r="V41" s="38">
        <f>VLOOKUP(B41,'KPI Ticketing'!B:F,5,)</f>
        <v/>
      </c>
      <c r="W41" s="37">
        <f>IF(S41&lt;=4,100%,IF(S41&lt;=6,70%,IF(S41&lt;=8,40%,10%)))</f>
        <v/>
      </c>
      <c r="X41" s="37">
        <f>IF(T41&lt;=8,100%,IF(T41&lt;=12,50%,25%))</f>
        <v/>
      </c>
      <c r="Y41" s="37">
        <f>IF(U41&lt;=10,100%,IF(U41&lt;=15,50%,25%))</f>
        <v/>
      </c>
      <c r="Z41" s="37">
        <f>IF(V41&lt;=13,100%,IF(V41&lt;=19,50%,25%))</f>
        <v/>
      </c>
      <c r="AA41" s="37">
        <f>W41*0.13</f>
        <v/>
      </c>
      <c r="AB41" s="37">
        <f>X41*0.06</f>
        <v/>
      </c>
      <c r="AC41" s="37">
        <f>Y41*0.04</f>
        <v/>
      </c>
      <c r="AD41" s="37">
        <f>Z41*0.02</f>
        <v/>
      </c>
      <c r="AE41" s="37">
        <f>VLOOKUP(B41,'KPI Ticketing'!B:N,13,)</f>
        <v/>
      </c>
      <c r="AF41" s="37">
        <f>IF(AE41&gt;=0.8,1,IF(AE41&gt;=0.7,0.9,IF(AE41&gt;=0.6,0.8,IF(AE41&gt;=0.5,0.7,IF(AE41&gt;=0.4,0.6,IF(AE41&gt;=0.3,0.5,IF(AE41&gt;=0.2,0.4,IF(AE41&gt;=0.1,0.3,0.2))))))))</f>
        <v/>
      </c>
      <c r="AG41" s="37">
        <f>AF41*0.03</f>
        <v/>
      </c>
      <c r="AH41" s="37">
        <f>VLOOKUP(B41,'KPI Ticketing'!B:R,17,)</f>
        <v/>
      </c>
      <c r="AI41" s="37">
        <f>IF(AH41&gt;=0.8,1,IF(AH41&gt;=0.7,0.9,IF(AH41&gt;=0.6,0.8,IF(AH41&gt;=0.5,0.7,IF(AH41&gt;=0.4,0.6,IF(AH41&gt;=0.3,0.5,IF(AH41&gt;=0.2,0.4,IF(AH41&gt;=0.1,0.3,0.2))))))))</f>
        <v/>
      </c>
      <c r="AJ41" s="37">
        <f>AI41*0.02</f>
        <v/>
      </c>
      <c r="AK41" s="37">
        <f>VLOOKUP(B41,'KPI Ticketing'!B:V,21,)</f>
        <v/>
      </c>
      <c r="AL41" s="37">
        <f>IF(AK41&gt;=0.9,1,IF(AK41&gt;=0.8,0.9,IF(AK41&gt;=0.7,0.8,IF(AK41&gt;=0.6,0.7,IF(AK41&gt;=0.5,0.6,IF(AK41&gt;=0.4,0.5,IF(AK41&gt;=0.3,0.4,IF(AK41&gt;=0.2,0.3,IF(AK41&gt;=0.1,0.2,0.1)))))))))</f>
        <v/>
      </c>
      <c r="AM41" s="37">
        <f>AL41*0.05</f>
        <v/>
      </c>
      <c r="AN41" s="37">
        <f>VLOOKUP(B41,'KPI Ticketing'!B:Z,25,)</f>
        <v/>
      </c>
      <c r="AO41" s="37">
        <f>IF(AN41&gt;=0.95,1,IF(AN41&gt;=0.9,0.9,IF(AN41&gt;=0.8,0.8,IF(AN41&gt;=0.7,0.7,IF(AN41&gt;=0.6,0.6,IF(AN41&gt;=0.5,0.5,IF(AN41&gt;=0.4,0.4,IF(AN41&gt;=0.3,0.3,IF(AN41&gt;=0.2,0.2,IF(AN41&gt;=0.1,0.1,0.05))))))))))</f>
        <v/>
      </c>
      <c r="AP41" s="37">
        <f>AO41*0.05</f>
        <v/>
      </c>
      <c r="AQ41" s="37">
        <f>VLOOKUP(B41,'KPI Ticketing'!B:AC,28,)</f>
        <v/>
      </c>
      <c r="AR41" s="37">
        <f>IF(AQ41&lt;0.95,0.5,1)</f>
        <v/>
      </c>
      <c r="AS41" s="37">
        <f>AR41*0.01</f>
        <v/>
      </c>
      <c r="AT41" s="37">
        <f>VLOOKUP(B41,'KPI Ticketing'!B:AG,32,)</f>
        <v/>
      </c>
      <c r="AU41" s="37">
        <f>IF(AT41&lt;0.3,0.5,1)</f>
        <v/>
      </c>
      <c r="AV41" s="37">
        <f>AU41*0.01</f>
        <v/>
      </c>
      <c r="AW41" s="38">
        <f>VLOOKUP(B41,'KPI Ticketing'!B:AH,33,)</f>
        <v/>
      </c>
      <c r="AX41" s="38">
        <f>VLOOKUP(B41,'KPI Ticketing'!B:AI,34,)</f>
        <v/>
      </c>
      <c r="AY41" s="38">
        <f>VLOOKUP(B41,'KPI Ticketing'!B:AJ,35,)</f>
        <v/>
      </c>
      <c r="AZ41" s="38">
        <f>VLOOKUP(B41,'KPI Ticketing'!B:AK,36,)</f>
        <v/>
      </c>
      <c r="BA41" s="38">
        <f>VLOOKUP(B41,'KPI Ticketing'!B:AL,37,)</f>
        <v/>
      </c>
      <c r="BB41" s="37">
        <f>IF(AW41&lt;=2,1,IF(AW41&lt;=3,0.7,IF(AW41&lt;=4,0.4,0.1)))</f>
        <v/>
      </c>
      <c r="BC41" s="37">
        <f>IF(AX41&lt;=4,1,IF(AX41&lt;=6,0.5,0.25))</f>
        <v/>
      </c>
      <c r="BD41" s="37">
        <f>IF(AY41&lt;=15,1,IF(AY41&lt;=22.5,0.5,0.25))</f>
        <v/>
      </c>
      <c r="BE41" s="37">
        <f>IF(AZ41&lt;=48,1,IF(AZ41&lt;=72,0.5,0.25))</f>
        <v/>
      </c>
      <c r="BF41" s="37">
        <f>IF(BA41=0, 0, IF(BA41&lt;=96, 1, IF(BA41&lt;=144, 0.5, 0.25)))</f>
        <v/>
      </c>
      <c r="BG41" s="37">
        <f>BB41*0.1</f>
        <v/>
      </c>
      <c r="BH41" s="37">
        <f>BC41*0.05</f>
        <v/>
      </c>
      <c r="BI41" s="37">
        <f>BD41*0.02</f>
        <v/>
      </c>
      <c r="BJ41" s="37">
        <f>BE41*0.01</f>
        <v/>
      </c>
      <c r="BK41" s="37">
        <f>BF41*0.01</f>
        <v/>
      </c>
      <c r="BL41" s="37">
        <f>VLOOKUP(B41,'KPI Ticketing'!B:AT,45,)</f>
        <v/>
      </c>
      <c r="BM41" s="37">
        <f>IF(BL41&gt;=0.8,1,IF(BL41&gt;=0.7,0.9,IF(BL41&gt;=0.6,0.8,IF(BL41&gt;=0.5,0.7,IF(BL41&gt;=0.4,0.6,IF(BL41&gt;=0.3,0.5,IF(BL41&gt;=0.2,0.4,IF(BL41&gt;=0.1,0.3,0.2))))))))</f>
        <v/>
      </c>
      <c r="BN41" s="37">
        <f>BM41*0.03</f>
        <v/>
      </c>
      <c r="BO41" s="37">
        <f>VLOOKUP(B41,'KPI Ticketing'!B:AX,49,)</f>
        <v/>
      </c>
      <c r="BP41" s="37">
        <f>IF(BO41&gt;=0.8,1,IF(BO41&gt;=0.7,0.9,IF(BO41&gt;=0.6,0.8,IF(BO41&gt;=0.5,0.7,IF(BO41&gt;=0.4,0.6,IF(BO41&gt;=0.3,0.5,IF(BO41&gt;=0.2,0.4,IF(BO41&gt;=0.1,0.3,0.2))))))))</f>
        <v/>
      </c>
      <c r="BQ41" s="37">
        <f>BP41*0.02</f>
        <v/>
      </c>
      <c r="BR41" s="37">
        <f>VLOOKUP(B41,'KPI Ticketing'!B:BB,53,)</f>
        <v/>
      </c>
      <c r="BS41" s="37">
        <f>IF(BR41&gt;=0.9,1,IF(BR41&gt;=0.8,0.9,IF(BR41&gt;=0.7,0.8,IF(BR41&gt;=0.6,0.7,IF(BR41&gt;=0.5,0.6,IF(BR41&gt;=0.4,0.5,IF(BR41&gt;=0.3,0.4,IF(BR41&gt;=0.2,0.3,IF(BR41&gt;=0.1,0.2,0.1)))))))))</f>
        <v/>
      </c>
      <c r="BT41" s="37">
        <f>BS41*0.05</f>
        <v/>
      </c>
      <c r="BU41" s="39" t="n">
        <v>0.08</v>
      </c>
      <c r="BV41" s="39" t="n">
        <v>0.06</v>
      </c>
      <c r="BW41" s="39" t="n">
        <v>0.09</v>
      </c>
      <c r="BX41" s="39" t="n">
        <v>0.06</v>
      </c>
    </row>
    <row r="42">
      <c r="A42" t="inlineStr">
        <is>
          <t>R07_Bali Nusra</t>
        </is>
      </c>
      <c r="B42" t="inlineStr">
        <is>
          <t>NOP KUPANG</t>
        </is>
      </c>
      <c r="C42" s="36">
        <f>RANK(D42,$D$10:$D$43,0)</f>
        <v/>
      </c>
      <c r="D42" s="37">
        <f>(G42*0.35)+(O42*65%)</f>
        <v/>
      </c>
      <c r="E42" s="36">
        <f>IF(D42&gt;=0.95,"Istimewa",IF(D42&gt;0.9,"Baik Sekali",IF(D42&gt;0.85,"Baik",IF(D42&gt;0.8,"Cukup","Kurang"))))</f>
        <v/>
      </c>
      <c r="F42" s="37">
        <f>0.29*0.65</f>
        <v/>
      </c>
      <c r="G42" s="37">
        <f>N42</f>
        <v/>
      </c>
      <c r="H42" s="37">
        <f>VLOOKUP(B42,'KPI Availability'!B:O,14,)</f>
        <v/>
      </c>
      <c r="I42" s="37">
        <f>VLOOKUP(B42,'KPI Availability'!B:P,15,)</f>
        <v/>
      </c>
      <c r="J42" s="37">
        <f>VLOOKUP(B42,'KPI Availability'!B:Q,16,)</f>
        <v/>
      </c>
      <c r="K42" s="37">
        <f>VLOOKUP(B42,'KPI Availability'!B:R,17,)</f>
        <v/>
      </c>
      <c r="L42" s="37">
        <f>VLOOKUP(B42,'KPI Availability'!B:S,18,)</f>
        <v/>
      </c>
      <c r="M42" s="37">
        <f>VLOOKUP(B42,'KPI Availability'!B:T,19,)</f>
        <v/>
      </c>
      <c r="N42" s="37">
        <f>SUM(H42:M42)</f>
        <v/>
      </c>
      <c r="O42" s="37">
        <f>P42+Q42+R42</f>
        <v/>
      </c>
      <c r="P42" s="37">
        <f>SUM(AA42:AD42,AG42,AJ42,AM42,AP42,AS42,AV42)</f>
        <v/>
      </c>
      <c r="Q42" s="37">
        <f>SUM(BG42:BK42,BN42,BQ42,BT42)</f>
        <v/>
      </c>
      <c r="R42" s="37">
        <f>SUM(BU42:BX42)</f>
        <v/>
      </c>
      <c r="S42" s="38">
        <f>VLOOKUP(B42,'KPI Ticketing'!B:C,2,)</f>
        <v/>
      </c>
      <c r="T42" s="38">
        <f>VLOOKUP(B42,'KPI Ticketing'!B:D,3,)</f>
        <v/>
      </c>
      <c r="U42" s="38">
        <f>VLOOKUP(B42,'KPI Ticketing'!B:E,4,)</f>
        <v/>
      </c>
      <c r="V42" s="38">
        <f>VLOOKUP(B42,'KPI Ticketing'!B:F,5,)</f>
        <v/>
      </c>
      <c r="W42" s="37">
        <f>IF(S42&lt;=4,100%,IF(S42&lt;=6,70%,IF(S42&lt;=8,40%,10%)))</f>
        <v/>
      </c>
      <c r="X42" s="37">
        <f>IF(T42&lt;=8,100%,IF(T42&lt;=12,50%,25%))</f>
        <v/>
      </c>
      <c r="Y42" s="37">
        <f>IF(U42&lt;=10,100%,IF(U42&lt;=15,50%,25%))</f>
        <v/>
      </c>
      <c r="Z42" s="37">
        <f>IF(V42&lt;=13,100%,IF(V42&lt;=19,50%,25%))</f>
        <v/>
      </c>
      <c r="AA42" s="37">
        <f>W42*0.13</f>
        <v/>
      </c>
      <c r="AB42" s="37">
        <f>X42*0.06</f>
        <v/>
      </c>
      <c r="AC42" s="37">
        <f>Y42*0.04</f>
        <v/>
      </c>
      <c r="AD42" s="37">
        <f>Z42*0.02</f>
        <v/>
      </c>
      <c r="AE42" s="37">
        <f>VLOOKUP(B42,'KPI Ticketing'!B:N,13,)</f>
        <v/>
      </c>
      <c r="AF42" s="37">
        <f>IF(AE42&gt;=0.8,1,IF(AE42&gt;=0.7,0.9,IF(AE42&gt;=0.6,0.8,IF(AE42&gt;=0.5,0.7,IF(AE42&gt;=0.4,0.6,IF(AE42&gt;=0.3,0.5,IF(AE42&gt;=0.2,0.4,IF(AE42&gt;=0.1,0.3,0.2))))))))</f>
        <v/>
      </c>
      <c r="AG42" s="37">
        <f>AF42*0.03</f>
        <v/>
      </c>
      <c r="AH42" s="37">
        <f>VLOOKUP(B42,'KPI Ticketing'!B:R,17,)</f>
        <v/>
      </c>
      <c r="AI42" s="37">
        <f>IF(AH42&gt;=0.8,1,IF(AH42&gt;=0.7,0.9,IF(AH42&gt;=0.6,0.8,IF(AH42&gt;=0.5,0.7,IF(AH42&gt;=0.4,0.6,IF(AH42&gt;=0.3,0.5,IF(AH42&gt;=0.2,0.4,IF(AH42&gt;=0.1,0.3,0.2))))))))</f>
        <v/>
      </c>
      <c r="AJ42" s="37">
        <f>AI42*0.02</f>
        <v/>
      </c>
      <c r="AK42" s="37">
        <f>VLOOKUP(B42,'KPI Ticketing'!B:V,21,)</f>
        <v/>
      </c>
      <c r="AL42" s="37">
        <f>IF(AK42&gt;=0.9,1,IF(AK42&gt;=0.8,0.9,IF(AK42&gt;=0.7,0.8,IF(AK42&gt;=0.6,0.7,IF(AK42&gt;=0.5,0.6,IF(AK42&gt;=0.4,0.5,IF(AK42&gt;=0.3,0.4,IF(AK42&gt;=0.2,0.3,IF(AK42&gt;=0.1,0.2,0.1)))))))))</f>
        <v/>
      </c>
      <c r="AM42" s="37">
        <f>AL42*0.05</f>
        <v/>
      </c>
      <c r="AN42" s="37">
        <f>VLOOKUP(B42,'KPI Ticketing'!B:Z,25,)</f>
        <v/>
      </c>
      <c r="AO42" s="37">
        <f>IF(AN42&gt;=0.95,1,IF(AN42&gt;=0.9,0.9,IF(AN42&gt;=0.8,0.8,IF(AN42&gt;=0.7,0.7,IF(AN42&gt;=0.6,0.6,IF(AN42&gt;=0.5,0.5,IF(AN42&gt;=0.4,0.4,IF(AN42&gt;=0.3,0.3,IF(AN42&gt;=0.2,0.2,IF(AN42&gt;=0.1,0.1,0.05))))))))))</f>
        <v/>
      </c>
      <c r="AP42" s="37">
        <f>AO42*0.05</f>
        <v/>
      </c>
      <c r="AQ42" s="37">
        <f>VLOOKUP(B42,'KPI Ticketing'!B:AC,28,)</f>
        <v/>
      </c>
      <c r="AR42" s="37">
        <f>IF(AQ42&lt;0.95,0.5,1)</f>
        <v/>
      </c>
      <c r="AS42" s="37">
        <f>AR42*0.01</f>
        <v/>
      </c>
      <c r="AT42" s="37">
        <f>VLOOKUP(B42,'KPI Ticketing'!B:AG,32,)</f>
        <v/>
      </c>
      <c r="AU42" s="37">
        <f>IF(AT42&lt;0.3,0.5,1)</f>
        <v/>
      </c>
      <c r="AV42" s="37">
        <f>AU42*0.01</f>
        <v/>
      </c>
      <c r="AW42" s="38">
        <f>VLOOKUP(B42,'KPI Ticketing'!B:AH,33,)</f>
        <v/>
      </c>
      <c r="AX42" s="38">
        <f>VLOOKUP(B42,'KPI Ticketing'!B:AI,34,)</f>
        <v/>
      </c>
      <c r="AY42" s="38">
        <f>VLOOKUP(B42,'KPI Ticketing'!B:AJ,35,)</f>
        <v/>
      </c>
      <c r="AZ42" s="38">
        <f>VLOOKUP(B42,'KPI Ticketing'!B:AK,36,)</f>
        <v/>
      </c>
      <c r="BA42" s="38">
        <f>VLOOKUP(B42,'KPI Ticketing'!B:AL,37,)</f>
        <v/>
      </c>
      <c r="BB42" s="37">
        <f>IF(AW42&lt;=2,1,IF(AW42&lt;=3,0.7,IF(AW42&lt;=4,0.4,0.1)))</f>
        <v/>
      </c>
      <c r="BC42" s="37">
        <f>IF(AX42&lt;=4,1,IF(AX42&lt;=6,0.5,0.25))</f>
        <v/>
      </c>
      <c r="BD42" s="37">
        <f>IF(AY42&lt;=15,1,IF(AY42&lt;=22.5,0.5,0.25))</f>
        <v/>
      </c>
      <c r="BE42" s="37">
        <f>IF(AZ42&lt;=48,1,IF(AZ42&lt;=72,0.5,0.25))</f>
        <v/>
      </c>
      <c r="BF42" s="37">
        <f>IF(BA42=0, 0, IF(BA42&lt;=96, 1, IF(BA42&lt;=144, 0.5, 0.25)))</f>
        <v/>
      </c>
      <c r="BG42" s="37">
        <f>BB42*0.1</f>
        <v/>
      </c>
      <c r="BH42" s="37">
        <f>BC42*0.05</f>
        <v/>
      </c>
      <c r="BI42" s="37">
        <f>BD42*0.02</f>
        <v/>
      </c>
      <c r="BJ42" s="37">
        <f>BE42*0.01</f>
        <v/>
      </c>
      <c r="BK42" s="37">
        <f>BF42*0.01</f>
        <v/>
      </c>
      <c r="BL42" s="37">
        <f>VLOOKUP(B42,'KPI Ticketing'!B:AT,45,)</f>
        <v/>
      </c>
      <c r="BM42" s="37">
        <f>IF(BL42&gt;=0.8,1,IF(BL42&gt;=0.7,0.9,IF(BL42&gt;=0.6,0.8,IF(BL42&gt;=0.5,0.7,IF(BL42&gt;=0.4,0.6,IF(BL42&gt;=0.3,0.5,IF(BL42&gt;=0.2,0.4,IF(BL42&gt;=0.1,0.3,0.2))))))))</f>
        <v/>
      </c>
      <c r="BN42" s="37">
        <f>BM42*0.03</f>
        <v/>
      </c>
      <c r="BO42" s="37">
        <f>VLOOKUP(B42,'KPI Ticketing'!B:AX,49,)</f>
        <v/>
      </c>
      <c r="BP42" s="37">
        <f>IF(BO42&gt;=0.8,1,IF(BO42&gt;=0.7,0.9,IF(BO42&gt;=0.6,0.8,IF(BO42&gt;=0.5,0.7,IF(BO42&gt;=0.4,0.6,IF(BO42&gt;=0.3,0.5,IF(BO42&gt;=0.2,0.4,IF(BO42&gt;=0.1,0.3,0.2))))))))</f>
        <v/>
      </c>
      <c r="BQ42" s="37">
        <f>BP42*0.02</f>
        <v/>
      </c>
      <c r="BR42" s="37">
        <f>VLOOKUP(B42,'KPI Ticketing'!B:BB,53,)</f>
        <v/>
      </c>
      <c r="BS42" s="37">
        <f>IF(BR42&gt;=0.9,1,IF(BR42&gt;=0.8,0.9,IF(BR42&gt;=0.7,0.8,IF(BR42&gt;=0.6,0.7,IF(BR42&gt;=0.5,0.6,IF(BR42&gt;=0.4,0.5,IF(BR42&gt;=0.3,0.4,IF(BR42&gt;=0.2,0.3,IF(BR42&gt;=0.1,0.2,0.1)))))))))</f>
        <v/>
      </c>
      <c r="BT42" s="37">
        <f>BS42*0.05</f>
        <v/>
      </c>
      <c r="BU42" s="39" t="n">
        <v>0.08</v>
      </c>
      <c r="BV42" s="39" t="n">
        <v>0.06</v>
      </c>
      <c r="BW42" s="39" t="n">
        <v>0.09</v>
      </c>
      <c r="BX42" s="39" t="n">
        <v>0.06</v>
      </c>
    </row>
    <row r="43">
      <c r="A43" t="inlineStr">
        <is>
          <t>R07_Bali Nusra</t>
        </is>
      </c>
      <c r="B43" t="inlineStr">
        <is>
          <t>NOP MATARAM</t>
        </is>
      </c>
      <c r="C43" s="36">
        <f>RANK(D43,$D$10:$D$43,0)</f>
        <v/>
      </c>
      <c r="D43" s="37">
        <f>(G43*0.35)+(O43*65%)</f>
        <v/>
      </c>
      <c r="E43" s="36">
        <f>IF(D43&gt;=0.95,"Istimewa",IF(D43&gt;0.9,"Baik Sekali",IF(D43&gt;0.85,"Baik",IF(D43&gt;0.8,"Cukup","Kurang"))))</f>
        <v/>
      </c>
      <c r="F43" s="37">
        <f>0.29*0.65</f>
        <v/>
      </c>
      <c r="G43" s="37">
        <f>N43</f>
        <v/>
      </c>
      <c r="H43" s="37">
        <f>VLOOKUP(B43,'KPI Availability'!B:O,14,)</f>
        <v/>
      </c>
      <c r="I43" s="37">
        <f>VLOOKUP(B43,'KPI Availability'!B:P,15,)</f>
        <v/>
      </c>
      <c r="J43" s="37">
        <f>VLOOKUP(B43,'KPI Availability'!B:Q,16,)</f>
        <v/>
      </c>
      <c r="K43" s="37">
        <f>VLOOKUP(B43,'KPI Availability'!B:R,17,)</f>
        <v/>
      </c>
      <c r="L43" s="37">
        <f>VLOOKUP(B43,'KPI Availability'!B:S,18,)</f>
        <v/>
      </c>
      <c r="M43" s="37">
        <f>VLOOKUP(B43,'KPI Availability'!B:T,19,)</f>
        <v/>
      </c>
      <c r="N43" s="37">
        <f>SUM(H43:M43)</f>
        <v/>
      </c>
      <c r="O43" s="37">
        <f>P43+Q43+R43</f>
        <v/>
      </c>
      <c r="P43" s="37">
        <f>SUM(AA43:AD43,AG43,AJ43,AM43,AP43,AS43,AV43)</f>
        <v/>
      </c>
      <c r="Q43" s="37">
        <f>SUM(BG43:BK43,BN43,BQ43,BT43)</f>
        <v/>
      </c>
      <c r="R43" s="37">
        <f>SUM(BU43:BX43)</f>
        <v/>
      </c>
      <c r="S43" s="38">
        <f>VLOOKUP(B43,'KPI Ticketing'!B:C,2,)</f>
        <v/>
      </c>
      <c r="T43" s="38">
        <f>VLOOKUP(B43,'KPI Ticketing'!B:D,3,)</f>
        <v/>
      </c>
      <c r="U43" s="38">
        <f>VLOOKUP(B43,'KPI Ticketing'!B:E,4,)</f>
        <v/>
      </c>
      <c r="V43" s="38">
        <f>VLOOKUP(B43,'KPI Ticketing'!B:F,5,)</f>
        <v/>
      </c>
      <c r="W43" s="37">
        <f>IF(S43&lt;=4,100%,IF(S43&lt;=6,70%,IF(S43&lt;=8,40%,10%)))</f>
        <v/>
      </c>
      <c r="X43" s="37">
        <f>IF(T43&lt;=8,100%,IF(T43&lt;=12,50%,25%))</f>
        <v/>
      </c>
      <c r="Y43" s="37">
        <f>IF(U43&lt;=10,100%,IF(U43&lt;=15,50%,25%))</f>
        <v/>
      </c>
      <c r="Z43" s="37">
        <f>IF(V43&lt;=13,100%,IF(V43&lt;=19,50%,25%))</f>
        <v/>
      </c>
      <c r="AA43" s="37">
        <f>W43*0.13</f>
        <v/>
      </c>
      <c r="AB43" s="37">
        <f>X43*0.06</f>
        <v/>
      </c>
      <c r="AC43" s="37">
        <f>Y43*0.04</f>
        <v/>
      </c>
      <c r="AD43" s="37">
        <f>Z43*0.02</f>
        <v/>
      </c>
      <c r="AE43" s="37">
        <f>VLOOKUP(B43,'KPI Ticketing'!B:N,13,)</f>
        <v/>
      </c>
      <c r="AF43" s="37">
        <f>IF(AE43&gt;=0.8,1,IF(AE43&gt;=0.7,0.9,IF(AE43&gt;=0.6,0.8,IF(AE43&gt;=0.5,0.7,IF(AE43&gt;=0.4,0.6,IF(AE43&gt;=0.3,0.5,IF(AE43&gt;=0.2,0.4,IF(AE43&gt;=0.1,0.3,0.2))))))))</f>
        <v/>
      </c>
      <c r="AG43" s="37">
        <f>AF43*0.03</f>
        <v/>
      </c>
      <c r="AH43" s="37">
        <f>VLOOKUP(B43,'KPI Ticketing'!B:R,17,)</f>
        <v/>
      </c>
      <c r="AI43" s="37">
        <f>IF(AH43&gt;=0.8,1,IF(AH43&gt;=0.7,0.9,IF(AH43&gt;=0.6,0.8,IF(AH43&gt;=0.5,0.7,IF(AH43&gt;=0.4,0.6,IF(AH43&gt;=0.3,0.5,IF(AH43&gt;=0.2,0.4,IF(AH43&gt;=0.1,0.3,0.2))))))))</f>
        <v/>
      </c>
      <c r="AJ43" s="37">
        <f>AI43*0.02</f>
        <v/>
      </c>
      <c r="AK43" s="37">
        <f>VLOOKUP(B43,'KPI Ticketing'!B:V,21,)</f>
        <v/>
      </c>
      <c r="AL43" s="37">
        <f>IF(AK43&gt;=0.9,1,IF(AK43&gt;=0.8,0.9,IF(AK43&gt;=0.7,0.8,IF(AK43&gt;=0.6,0.7,IF(AK43&gt;=0.5,0.6,IF(AK43&gt;=0.4,0.5,IF(AK43&gt;=0.3,0.4,IF(AK43&gt;=0.2,0.3,IF(AK43&gt;=0.1,0.2,0.1)))))))))</f>
        <v/>
      </c>
      <c r="AM43" s="37">
        <f>AL43*0.05</f>
        <v/>
      </c>
      <c r="AN43" s="37">
        <f>VLOOKUP(B43,'KPI Ticketing'!B:Z,25,)</f>
        <v/>
      </c>
      <c r="AO43" s="37">
        <f>IF(AN43&gt;=0.95,1,IF(AN43&gt;=0.9,0.9,IF(AN43&gt;=0.8,0.8,IF(AN43&gt;=0.7,0.7,IF(AN43&gt;=0.6,0.6,IF(AN43&gt;=0.5,0.5,IF(AN43&gt;=0.4,0.4,IF(AN43&gt;=0.3,0.3,IF(AN43&gt;=0.2,0.2,IF(AN43&gt;=0.1,0.1,0.05))))))))))</f>
        <v/>
      </c>
      <c r="AP43" s="37">
        <f>AO43*0.05</f>
        <v/>
      </c>
      <c r="AQ43" s="37">
        <f>VLOOKUP(B43,'KPI Ticketing'!B:AC,28,)</f>
        <v/>
      </c>
      <c r="AR43" s="37">
        <f>IF(AQ43&lt;0.95,0.5,1)</f>
        <v/>
      </c>
      <c r="AS43" s="37">
        <f>AR43*0.01</f>
        <v/>
      </c>
      <c r="AT43" s="37">
        <f>VLOOKUP(B43,'KPI Ticketing'!B:AG,32,)</f>
        <v/>
      </c>
      <c r="AU43" s="37">
        <f>IF(AT43&lt;0.3,0.5,1)</f>
        <v/>
      </c>
      <c r="AV43" s="37">
        <f>AU43*0.01</f>
        <v/>
      </c>
      <c r="AW43" s="38">
        <f>VLOOKUP(B43,'KPI Ticketing'!B:AH,33,)</f>
        <v/>
      </c>
      <c r="AX43" s="38">
        <f>VLOOKUP(B43,'KPI Ticketing'!B:AI,34,)</f>
        <v/>
      </c>
      <c r="AY43" s="38">
        <f>VLOOKUP(B43,'KPI Ticketing'!B:AJ,35,)</f>
        <v/>
      </c>
      <c r="AZ43" s="38">
        <f>VLOOKUP(B43,'KPI Ticketing'!B:AK,36,)</f>
        <v/>
      </c>
      <c r="BA43" s="38">
        <f>VLOOKUP(B43,'KPI Ticketing'!B:AL,37,)</f>
        <v/>
      </c>
      <c r="BB43" s="37">
        <f>IF(AW43&lt;=2,1,IF(AW43&lt;=3,0.7,IF(AW43&lt;=4,0.4,0.1)))</f>
        <v/>
      </c>
      <c r="BC43" s="37">
        <f>IF(AX43&lt;=4,1,IF(AX43&lt;=6,0.5,0.25))</f>
        <v/>
      </c>
      <c r="BD43" s="37">
        <f>IF(AY43&lt;=15,1,IF(AY43&lt;=22.5,0.5,0.25))</f>
        <v/>
      </c>
      <c r="BE43" s="37">
        <f>IF(AZ43&lt;=48,1,IF(AZ43&lt;=72,0.5,0.25))</f>
        <v/>
      </c>
      <c r="BF43" s="37">
        <f>IF(BA43=0, 0, IF(BA43&lt;=96, 1, IF(BA43&lt;=144, 0.5, 0.25)))</f>
        <v/>
      </c>
      <c r="BG43" s="37">
        <f>BB43*0.1</f>
        <v/>
      </c>
      <c r="BH43" s="37">
        <f>BC43*0.05</f>
        <v/>
      </c>
      <c r="BI43" s="37">
        <f>BD43*0.02</f>
        <v/>
      </c>
      <c r="BJ43" s="37">
        <f>BE43*0.01</f>
        <v/>
      </c>
      <c r="BK43" s="37">
        <f>BF43*0.01</f>
        <v/>
      </c>
      <c r="BL43" s="37">
        <f>VLOOKUP(B43,'KPI Ticketing'!B:AT,45,)</f>
        <v/>
      </c>
      <c r="BM43" s="37">
        <f>IF(BL43&gt;=0.8,1,IF(BL43&gt;=0.7,0.9,IF(BL43&gt;=0.6,0.8,IF(BL43&gt;=0.5,0.7,IF(BL43&gt;=0.4,0.6,IF(BL43&gt;=0.3,0.5,IF(BL43&gt;=0.2,0.4,IF(BL43&gt;=0.1,0.3,0.2))))))))</f>
        <v/>
      </c>
      <c r="BN43" s="37">
        <f>BM43*0.03</f>
        <v/>
      </c>
      <c r="BO43" s="37">
        <f>VLOOKUP(B43,'KPI Ticketing'!B:AX,49,)</f>
        <v/>
      </c>
      <c r="BP43" s="37">
        <f>IF(BO43&gt;=0.8,1,IF(BO43&gt;=0.7,0.9,IF(BO43&gt;=0.6,0.8,IF(BO43&gt;=0.5,0.7,IF(BO43&gt;=0.4,0.6,IF(BO43&gt;=0.3,0.5,IF(BO43&gt;=0.2,0.4,IF(BO43&gt;=0.1,0.3,0.2))))))))</f>
        <v/>
      </c>
      <c r="BQ43" s="37">
        <f>BP43*0.02</f>
        <v/>
      </c>
      <c r="BR43" s="37">
        <f>VLOOKUP(B43,'KPI Ticketing'!B:BB,53,)</f>
        <v/>
      </c>
      <c r="BS43" s="37">
        <f>IF(BR43&gt;=0.9,1,IF(BR43&gt;=0.8,0.9,IF(BR43&gt;=0.7,0.8,IF(BR43&gt;=0.6,0.7,IF(BR43&gt;=0.5,0.6,IF(BR43&gt;=0.4,0.5,IF(BR43&gt;=0.3,0.4,IF(BR43&gt;=0.2,0.3,IF(BR43&gt;=0.1,0.2,0.1)))))))))</f>
        <v/>
      </c>
      <c r="BT43" s="37">
        <f>BS43*0.05</f>
        <v/>
      </c>
      <c r="BU43" s="39" t="n">
        <v>0.08</v>
      </c>
      <c r="BV43" s="39" t="n">
        <v>0.06</v>
      </c>
      <c r="BW43" s="39" t="n">
        <v>0.09</v>
      </c>
      <c r="BX43" s="39" t="n">
        <v>0.06</v>
      </c>
    </row>
  </sheetData>
  <mergeCells count="87">
    <mergeCell ref="BF9"/>
    <mergeCell ref="Q8:Q9"/>
    <mergeCell ref="BH9"/>
    <mergeCell ref="BS8:BS9"/>
    <mergeCell ref="BU8:BU9"/>
    <mergeCell ref="C7:C9"/>
    <mergeCell ref="AE8:AE9"/>
    <mergeCell ref="E7:E9"/>
    <mergeCell ref="AD9"/>
    <mergeCell ref="BB8:BF8"/>
    <mergeCell ref="O7:R7"/>
    <mergeCell ref="AQ8:AQ9"/>
    <mergeCell ref="AS8:AS9"/>
    <mergeCell ref="B7:B9"/>
    <mergeCell ref="AW9"/>
    <mergeCell ref="H8:H9"/>
    <mergeCell ref="AY9"/>
    <mergeCell ref="J8:J9"/>
    <mergeCell ref="BL8:BL9"/>
    <mergeCell ref="D7:D9"/>
    <mergeCell ref="AW7:BT7"/>
    <mergeCell ref="BK9"/>
    <mergeCell ref="BN8:BN9"/>
    <mergeCell ref="BX8:BX9"/>
    <mergeCell ref="W9"/>
    <mergeCell ref="AW8:BA8"/>
    <mergeCell ref="AH8:AH9"/>
    <mergeCell ref="BB9"/>
    <mergeCell ref="AJ8:AJ9"/>
    <mergeCell ref="AT8:AT9"/>
    <mergeCell ref="AV8:AV9"/>
    <mergeCell ref="X9"/>
    <mergeCell ref="Z9"/>
    <mergeCell ref="BJ9"/>
    <mergeCell ref="M8:M9"/>
    <mergeCell ref="BD9"/>
    <mergeCell ref="O8:O9"/>
    <mergeCell ref="AG8:AG9"/>
    <mergeCell ref="BO8:BO9"/>
    <mergeCell ref="AI8:AI9"/>
    <mergeCell ref="BQ8:BQ9"/>
    <mergeCell ref="A7:A9"/>
    <mergeCell ref="BE9"/>
    <mergeCell ref="AM8:AM9"/>
    <mergeCell ref="BG9"/>
    <mergeCell ref="R8:R9"/>
    <mergeCell ref="AO8:AO9"/>
    <mergeCell ref="H7:N7"/>
    <mergeCell ref="S9"/>
    <mergeCell ref="AC9"/>
    <mergeCell ref="AP8:AP9"/>
    <mergeCell ref="W8:Z8"/>
    <mergeCell ref="AR8:AR9"/>
    <mergeCell ref="BG8:BK8"/>
    <mergeCell ref="AA8:AD8"/>
    <mergeCell ref="BT8:BT9"/>
    <mergeCell ref="BV8:BV9"/>
    <mergeCell ref="AX9"/>
    <mergeCell ref="I8:I9"/>
    <mergeCell ref="F7:F9"/>
    <mergeCell ref="K8:K9"/>
    <mergeCell ref="AZ9"/>
    <mergeCell ref="BW8:BW9"/>
    <mergeCell ref="T9"/>
    <mergeCell ref="V9"/>
    <mergeCell ref="G7:G9"/>
    <mergeCell ref="AK8:AK9"/>
    <mergeCell ref="AU8:AU9"/>
    <mergeCell ref="S7:AV7"/>
    <mergeCell ref="BM8:BM9"/>
    <mergeCell ref="BI9"/>
    <mergeCell ref="BU7:BX7"/>
    <mergeCell ref="BA9"/>
    <mergeCell ref="L8:L9"/>
    <mergeCell ref="U9"/>
    <mergeCell ref="N8:N9"/>
    <mergeCell ref="BC9"/>
    <mergeCell ref="P8:P9"/>
    <mergeCell ref="BP8:BP9"/>
    <mergeCell ref="Y9"/>
    <mergeCell ref="AA9"/>
    <mergeCell ref="AL8:AL9"/>
    <mergeCell ref="S8:V8"/>
    <mergeCell ref="AN8:AN9"/>
    <mergeCell ref="AF8:AF9"/>
    <mergeCell ref="AB9"/>
    <mergeCell ref="BR8:BR9"/>
  </mergeCells>
  <conditionalFormatting sqref="E10:E43">
    <cfRule type="expression" priority="1" dxfId="0">
      <formula>E10:E43="Baik Sekali"</formula>
    </cfRule>
    <cfRule type="expression" priority="2" dxfId="1">
      <formula>E10:E43="Baik"</formula>
    </cfRule>
    <cfRule type="expression" priority="3" dxfId="2">
      <formula>E10:E43="Cukup"</formula>
    </cfRule>
    <cfRule type="expression" priority="4" dxfId="3">
      <formula>E10:E43="Istimewa"</formula>
    </cfRule>
    <cfRule type="expression" priority="5" dxfId="4">
      <formula>E10:E43="Kurang"</formula>
    </cfRule>
  </conditionalFormatting>
  <conditionalFormatting sqref="O10:O43">
    <cfRule type="expression" priority="6" dxfId="5">
      <formula>O10&lt;0.85</formula>
    </cfRule>
  </conditionalFormatting>
  <conditionalFormatting sqref="P10:P43">
    <cfRule type="expression" priority="7" dxfId="5">
      <formula>P10&lt;0.357</formula>
    </cfRule>
  </conditionalFormatting>
  <conditionalFormatting sqref="Q10:Q43">
    <cfRule type="expression" priority="8" dxfId="5">
      <formula>Q10&lt;0.2465</formula>
    </cfRule>
  </conditionalFormatting>
  <conditionalFormatting sqref="R10:R43">
    <cfRule type="expression" priority="9" dxfId="5">
      <formula>R10&lt;0.2465</formula>
    </cfRule>
  </conditionalFormatting>
  <conditionalFormatting sqref="S10:S43">
    <cfRule type="expression" priority="10" dxfId="6">
      <formula>S10&gt;4</formula>
    </cfRule>
  </conditionalFormatting>
  <conditionalFormatting sqref="T10:T43">
    <cfRule type="expression" priority="11" dxfId="6">
      <formula>T10&gt;8</formula>
    </cfRule>
  </conditionalFormatting>
  <conditionalFormatting sqref="U10:U43">
    <cfRule type="expression" priority="12" dxfId="6">
      <formula>U10&gt;10</formula>
    </cfRule>
  </conditionalFormatting>
  <conditionalFormatting sqref="V10:V43">
    <cfRule type="expression" priority="13" dxfId="6">
      <formula>V10&gt;13</formula>
    </cfRule>
  </conditionalFormatting>
  <conditionalFormatting sqref="AE10:AE43">
    <cfRule type="expression" priority="14" dxfId="7">
      <formula>AE10&lt;0.30</formula>
    </cfRule>
  </conditionalFormatting>
  <conditionalFormatting sqref="AH10:AH43">
    <cfRule type="expression" priority="15" dxfId="7">
      <formula>AH10&lt;0.30</formula>
    </cfRule>
  </conditionalFormatting>
  <conditionalFormatting sqref="AK10:AK43">
    <cfRule type="expression" priority="16" dxfId="7">
      <formula>AK10&lt;0.40</formula>
    </cfRule>
  </conditionalFormatting>
  <conditionalFormatting sqref="AN10:AN43">
    <cfRule type="expression" priority="17" dxfId="7">
      <formula>AN10&lt;0.50</formula>
    </cfRule>
  </conditionalFormatting>
  <conditionalFormatting sqref="AQ10:AQ43">
    <cfRule type="expression" priority="18" dxfId="7">
      <formula>AQ10&lt;0.95</formula>
    </cfRule>
  </conditionalFormatting>
  <conditionalFormatting sqref="AT10:AT43">
    <cfRule type="expression" priority="19" dxfId="7">
      <formula>AT10&lt;0.30</formula>
    </cfRule>
  </conditionalFormatting>
  <conditionalFormatting sqref="AW10:AW43">
    <cfRule type="expression" priority="20" dxfId="6">
      <formula>AW10&gt;2</formula>
    </cfRule>
  </conditionalFormatting>
  <conditionalFormatting sqref="AX10:AX43">
    <cfRule type="expression" priority="21" dxfId="6">
      <formula>AX10&gt;4</formula>
    </cfRule>
  </conditionalFormatting>
  <conditionalFormatting sqref="AY10:AY43">
    <cfRule type="expression" priority="22" dxfId="6">
      <formula>AY10&gt;15</formula>
    </cfRule>
  </conditionalFormatting>
  <conditionalFormatting sqref="AZ10:AZ43">
    <cfRule type="expression" priority="23" dxfId="6">
      <formula>AZ10&gt;48</formula>
    </cfRule>
  </conditionalFormatting>
  <conditionalFormatting sqref="BA10:BA43">
    <cfRule type="expression" priority="24" dxfId="6">
      <formula>BA10&gt;96</formula>
    </cfRule>
  </conditionalFormatting>
  <conditionalFormatting sqref="BL10:BL43">
    <cfRule type="expression" priority="25" dxfId="7">
      <formula>BL10&lt;0.30</formula>
    </cfRule>
  </conditionalFormatting>
  <conditionalFormatting sqref="BO10:BO43">
    <cfRule type="expression" priority="26" dxfId="7">
      <formula>BO10&lt;0.30</formula>
    </cfRule>
  </conditionalFormatting>
  <conditionalFormatting sqref="BS10:BS43">
    <cfRule type="expression" priority="27" dxfId="7">
      <formula>BS10&lt;0.40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40" t="n"/>
      <c r="B1" s="40" t="n"/>
    </row>
    <row r="2">
      <c r="C2" s="3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32523"/>
    <outlinePr summaryBelow="1" summaryRight="1"/>
    <pageSetUpPr/>
  </sheetPr>
  <dimension ref="A1:BB3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0" customWidth="1" min="4" max="4"/>
    <col width="20" customWidth="1" min="5" max="5"/>
    <col width="20" customWidth="1" min="6" max="6"/>
    <col width="9" customWidth="1" min="7" max="7"/>
    <col width="7" customWidth="1" min="8" max="8"/>
    <col width="13" customWidth="1" min="9" max="9"/>
    <col width="21" customWidth="1" min="10" max="10"/>
    <col width="14" customWidth="1" min="11" max="11"/>
    <col width="12" customWidth="1" min="12" max="12"/>
    <col width="15" customWidth="1" min="13" max="13"/>
    <col width="21" customWidth="1" min="14" max="14"/>
    <col width="13" customWidth="1" min="15" max="15"/>
    <col width="11" customWidth="1" min="16" max="16"/>
    <col width="14" customWidth="1" min="17" max="17"/>
    <col width="21" customWidth="1" min="18" max="18"/>
    <col width="12" customWidth="1" min="19" max="19"/>
    <col width="10" customWidth="1" min="20" max="20"/>
    <col width="15" customWidth="1" min="21" max="21"/>
    <col width="21" customWidth="1" min="22" max="22"/>
    <col width="17" customWidth="1" min="23" max="23"/>
    <col width="15" customWidth="1" min="24" max="24"/>
    <col width="15" customWidth="1" min="25" max="25"/>
    <col width="21" customWidth="1" min="26" max="26"/>
    <col width="12" customWidth="1" min="27" max="27"/>
    <col width="12" customWidth="1" min="28" max="28"/>
    <col width="20" customWidth="1" min="29" max="29"/>
    <col width="10" customWidth="1" min="30" max="30"/>
    <col width="8" customWidth="1" min="31" max="31"/>
    <col width="12" customWidth="1" min="32" max="32"/>
    <col width="21" customWidth="1" min="33" max="33"/>
    <col width="22" customWidth="1" min="34" max="34"/>
    <col width="20" customWidth="1" min="35" max="35"/>
    <col width="20" customWidth="1" min="36" max="36"/>
    <col width="20" customWidth="1" min="37" max="37"/>
    <col width="21" customWidth="1" min="38" max="38"/>
    <col width="14" customWidth="1" min="39" max="39"/>
    <col width="13" customWidth="1" min="40" max="40"/>
    <col width="19" customWidth="1" min="41" max="41"/>
    <col width="21" customWidth="1" min="42" max="42"/>
    <col width="14" customWidth="1" min="43" max="43"/>
    <col width="12" customWidth="1" min="44" max="44"/>
    <col width="15" customWidth="1" min="45" max="45"/>
    <col width="21" customWidth="1" min="46" max="46"/>
    <col width="13" customWidth="1" min="47" max="47"/>
    <col width="11" customWidth="1" min="48" max="48"/>
    <col width="14" customWidth="1" min="49" max="49"/>
    <col width="21" customWidth="1" min="50" max="50"/>
    <col width="12" customWidth="1" min="51" max="51"/>
    <col width="10" customWidth="1" min="52" max="52"/>
    <col width="21" customWidth="1" min="53" max="53"/>
    <col width="21" customWidth="1" min="54" max="54"/>
  </cols>
  <sheetData>
    <row r="1">
      <c r="A1" s="41" t="inlineStr">
        <is>
          <t>Regional</t>
        </is>
      </c>
      <c r="B1" s="41" t="inlineStr">
        <is>
          <t>NOP</t>
        </is>
      </c>
      <c r="C1" s="42" t="inlineStr">
        <is>
          <t>IM-MTTRP90-Critical</t>
        </is>
      </c>
      <c r="D1" s="42" t="inlineStr">
        <is>
          <t>IM-MTTRP90-Major</t>
        </is>
      </c>
      <c r="E1" s="42" t="inlineStr">
        <is>
          <t>IM-MTTRP90-Minor</t>
        </is>
      </c>
      <c r="F1" s="42" t="inlineStr">
        <is>
          <t>IM-MTTRP90-Low</t>
        </is>
      </c>
      <c r="G1" s="43" t="inlineStr">
        <is>
          <t>IM-unTO</t>
        </is>
      </c>
      <c r="H1" s="43" t="inlineStr">
        <is>
          <t>IM-TO</t>
        </is>
      </c>
      <c r="I1" s="43" t="inlineStr">
        <is>
          <t>IM-TO-Total</t>
        </is>
      </c>
      <c r="J1" s="42" t="inlineStr">
        <is>
          <t>IM-%TO</t>
        </is>
      </c>
      <c r="K1" s="43" t="inlineStr">
        <is>
          <t>IM-unTO-High</t>
        </is>
      </c>
      <c r="L1" s="43" t="inlineStr">
        <is>
          <t>IM-TO-High</t>
        </is>
      </c>
      <c r="M1" s="43" t="inlineStr">
        <is>
          <t>IM-High-Total</t>
        </is>
      </c>
      <c r="N1" s="42" t="inlineStr">
        <is>
          <t>IM-High-%TO</t>
        </is>
      </c>
      <c r="O1" s="43" t="inlineStr">
        <is>
          <t>IM-unTO-Low</t>
        </is>
      </c>
      <c r="P1" s="43" t="inlineStr">
        <is>
          <t>IM-TO-Low</t>
        </is>
      </c>
      <c r="Q1" s="43" t="inlineStr">
        <is>
          <t>IM-Low-Total</t>
        </is>
      </c>
      <c r="R1" s="42" t="inlineStr">
        <is>
          <t>IM-Low-%TO</t>
        </is>
      </c>
      <c r="S1" s="43" t="inlineStr">
        <is>
          <t>IM-NoVisit</t>
        </is>
      </c>
      <c r="T1" s="43" t="inlineStr">
        <is>
          <t>IM-Visit</t>
        </is>
      </c>
      <c r="U1" s="43" t="inlineStr">
        <is>
          <t>IM-Visitation</t>
        </is>
      </c>
      <c r="V1" s="42" t="inlineStr">
        <is>
          <t>IM-%Visit</t>
        </is>
      </c>
      <c r="W1" s="43" t="inlineStr">
        <is>
          <t>IM-Top5-NoVisit</t>
        </is>
      </c>
      <c r="X1" s="43" t="inlineStr">
        <is>
          <t>IM-Top5-Visit</t>
        </is>
      </c>
      <c r="Y1" s="43" t="inlineStr">
        <is>
          <t>IM-Top5-Total</t>
        </is>
      </c>
      <c r="Z1" s="42" t="inlineStr">
        <is>
          <t>IM-%Top5</t>
        </is>
      </c>
      <c r="AA1" s="43" t="inlineStr">
        <is>
          <t>IM-Closing</t>
        </is>
      </c>
      <c r="AB1" s="43" t="inlineStr">
        <is>
          <t>IM-Total_x</t>
        </is>
      </c>
      <c r="AC1" s="42" t="inlineStr">
        <is>
          <t>IM-%Closing</t>
        </is>
      </c>
      <c r="AD1" s="43" t="inlineStr">
        <is>
          <t>IM-NoRCA</t>
        </is>
      </c>
      <c r="AE1" s="43" t="inlineStr">
        <is>
          <t>IM-RCA</t>
        </is>
      </c>
      <c r="AF1" s="43" t="inlineStr">
        <is>
          <t>IM-Total_y</t>
        </is>
      </c>
      <c r="AG1" s="42" t="inlineStr">
        <is>
          <t>IM-%RCA</t>
        </is>
      </c>
      <c r="AH1" s="44" t="inlineStr">
        <is>
          <t>EM-MTTRP90-Critical</t>
        </is>
      </c>
      <c r="AI1" s="44" t="inlineStr">
        <is>
          <t>EM-MTTRP90-Major</t>
        </is>
      </c>
      <c r="AJ1" s="44" t="inlineStr">
        <is>
          <t>EM-MTTRP90-Minor</t>
        </is>
      </c>
      <c r="AK1" s="44" t="inlineStr">
        <is>
          <t>EM-MTTRP90-Low</t>
        </is>
      </c>
      <c r="AL1" s="44" t="inlineStr">
        <is>
          <t>EM-MTTRP90-Very Low</t>
        </is>
      </c>
      <c r="AM1" s="45" t="inlineStr">
        <is>
          <t>EM-AutoClear</t>
        </is>
      </c>
      <c r="AN1" s="45" t="inlineStr">
        <is>
          <t>EM-Takeover</t>
        </is>
      </c>
      <c r="AO1" s="45" t="inlineStr">
        <is>
          <t>EM_Total_Takeover</t>
        </is>
      </c>
      <c r="AP1" s="44" t="inlineStr">
        <is>
          <t>EM_Percent_Takeover</t>
        </is>
      </c>
      <c r="AQ1" s="45" t="inlineStr">
        <is>
          <t>EM-unTO-High</t>
        </is>
      </c>
      <c r="AR1" s="45" t="inlineStr">
        <is>
          <t>EM-TO-High</t>
        </is>
      </c>
      <c r="AS1" s="45" t="inlineStr">
        <is>
          <t>EM-High-Total</t>
        </is>
      </c>
      <c r="AT1" s="44" t="inlineStr">
        <is>
          <t>EM-High-%TO</t>
        </is>
      </c>
      <c r="AU1" s="45" t="inlineStr">
        <is>
          <t>EM-unTO-Low</t>
        </is>
      </c>
      <c r="AV1" s="45" t="inlineStr">
        <is>
          <t>EM-TO-Low</t>
        </is>
      </c>
      <c r="AW1" s="45" t="inlineStr">
        <is>
          <t>EM-Low-Total</t>
        </is>
      </c>
      <c r="AX1" s="44" t="inlineStr">
        <is>
          <t>EM-Low-%TO</t>
        </is>
      </c>
      <c r="AY1" s="45" t="inlineStr">
        <is>
          <t>EM-NoVisit</t>
        </is>
      </c>
      <c r="AZ1" s="45" t="inlineStr">
        <is>
          <t>EM-Visit</t>
        </is>
      </c>
      <c r="BA1" s="45" t="inlineStr">
        <is>
          <t>EM-Visitation-Total</t>
        </is>
      </c>
      <c r="BB1" s="44" t="inlineStr">
        <is>
          <t>EM-%Visit</t>
        </is>
      </c>
    </row>
    <row r="2">
      <c r="A2" t="inlineStr">
        <is>
          <t>R01_Sumbagut</t>
        </is>
      </c>
      <c r="B2" t="inlineStr">
        <is>
          <t>NOP ACEH</t>
        </is>
      </c>
      <c r="C2" s="46" t="n">
        <v>3.051</v>
      </c>
      <c r="D2" s="46" t="n">
        <v>3.568000000000001</v>
      </c>
      <c r="E2" s="47" t="n">
        <v>4.68</v>
      </c>
      <c r="F2" s="47" t="n">
        <v>7.432000000000007</v>
      </c>
      <c r="G2" s="36" t="n">
        <v>305</v>
      </c>
      <c r="H2" s="36" t="n">
        <v>1910</v>
      </c>
      <c r="I2" s="36" t="n">
        <v>2215</v>
      </c>
      <c r="J2" s="48" t="n">
        <v>0.8623024830699775</v>
      </c>
      <c r="K2" s="36" t="n">
        <v>77</v>
      </c>
      <c r="L2" s="36" t="n">
        <v>345</v>
      </c>
      <c r="M2" s="36" t="n">
        <v>422</v>
      </c>
      <c r="N2" s="48" t="n">
        <v>0.8175355450236966</v>
      </c>
      <c r="O2" s="36" t="n">
        <v>228</v>
      </c>
      <c r="P2" s="36" t="n">
        <v>1565</v>
      </c>
      <c r="Q2" s="36" t="n">
        <v>1793</v>
      </c>
      <c r="R2" s="48" t="n">
        <v>0.8728388176240937</v>
      </c>
      <c r="S2" s="36" t="n">
        <v>175</v>
      </c>
      <c r="T2" s="36" t="n">
        <v>170</v>
      </c>
      <c r="U2" s="36" t="n">
        <v>345</v>
      </c>
      <c r="V2" s="48" t="n">
        <v>0.4927536231884058</v>
      </c>
      <c r="W2" s="36" t="n">
        <v>169</v>
      </c>
      <c r="X2" s="36" t="n">
        <v>161</v>
      </c>
      <c r="Y2" s="36" t="n">
        <v>330</v>
      </c>
      <c r="Z2" s="48" t="n">
        <v>0.4878787878787879</v>
      </c>
      <c r="AA2" s="36" t="n">
        <v>2180</v>
      </c>
      <c r="AB2" s="36" t="n">
        <v>2215</v>
      </c>
      <c r="AC2" s="48" t="n">
        <v>0.9841986455981941</v>
      </c>
      <c r="AD2" s="36" t="n">
        <v>1444</v>
      </c>
      <c r="AE2" s="36" t="n">
        <v>771</v>
      </c>
      <c r="AF2" s="36" t="n">
        <v>2215</v>
      </c>
      <c r="AG2" s="48" t="n">
        <v>0.3480812641083522</v>
      </c>
      <c r="AH2" s="49" t="n">
        <v>1.248000000000001</v>
      </c>
      <c r="AI2" s="49" t="n">
        <v>4.178999999999999</v>
      </c>
      <c r="AJ2" s="49" t="n">
        <v>50.24900000000005</v>
      </c>
      <c r="AK2" s="49" t="n">
        <v>81.25</v>
      </c>
      <c r="AL2" s="49" t="n">
        <v>0</v>
      </c>
      <c r="AM2" s="36" t="n">
        <v>566</v>
      </c>
      <c r="AN2" s="36" t="n">
        <v>3064</v>
      </c>
      <c r="AO2" s="36" t="n">
        <v>3630</v>
      </c>
      <c r="AP2" s="50" t="n">
        <v>0.8440771349862259</v>
      </c>
      <c r="AQ2" s="36" t="n">
        <v>320</v>
      </c>
      <c r="AR2" s="36" t="n">
        <v>649</v>
      </c>
      <c r="AS2" s="36" t="n">
        <v>969</v>
      </c>
      <c r="AT2" s="50" t="n">
        <v>0.6697626418988648</v>
      </c>
      <c r="AU2" s="36" t="n">
        <v>238</v>
      </c>
      <c r="AV2" s="36" t="n">
        <v>2362</v>
      </c>
      <c r="AW2" s="36" t="n">
        <v>2600</v>
      </c>
      <c r="AX2" s="50" t="n">
        <v>0.9084615384615384</v>
      </c>
      <c r="AY2" s="36" t="n">
        <v>483</v>
      </c>
      <c r="AZ2" s="36" t="n">
        <v>166</v>
      </c>
      <c r="BA2" s="36" t="n">
        <v>649</v>
      </c>
      <c r="BB2" s="50" t="n">
        <v>0.2557781201848999</v>
      </c>
    </row>
    <row r="3">
      <c r="A3" t="inlineStr">
        <is>
          <t>R01_Sumbagut</t>
        </is>
      </c>
      <c r="B3" t="inlineStr">
        <is>
          <t>NOP BINJAI</t>
        </is>
      </c>
      <c r="C3" s="46" t="n">
        <v>3.67</v>
      </c>
      <c r="D3" s="46" t="n">
        <v>4.718000000000001</v>
      </c>
      <c r="E3" s="47" t="n">
        <v>5.461000000000001</v>
      </c>
      <c r="F3" s="47" t="n">
        <v>5.864000000000001</v>
      </c>
      <c r="G3" s="36" t="n">
        <v>432</v>
      </c>
      <c r="H3" s="36" t="n">
        <v>648</v>
      </c>
      <c r="I3" s="36" t="n">
        <v>1080</v>
      </c>
      <c r="J3" s="48" t="n">
        <v>0.6</v>
      </c>
      <c r="K3" s="36" t="n">
        <v>85</v>
      </c>
      <c r="L3" s="36" t="n">
        <v>149</v>
      </c>
      <c r="M3" s="36" t="n">
        <v>234</v>
      </c>
      <c r="N3" s="48" t="n">
        <v>0.6367521367521367</v>
      </c>
      <c r="O3" s="36" t="n">
        <v>347</v>
      </c>
      <c r="P3" s="36" t="n">
        <v>499</v>
      </c>
      <c r="Q3" s="36" t="n">
        <v>846</v>
      </c>
      <c r="R3" s="48" t="n">
        <v>0.5898345153664303</v>
      </c>
      <c r="S3" s="36" t="n">
        <v>88</v>
      </c>
      <c r="T3" s="36" t="n">
        <v>61</v>
      </c>
      <c r="U3" s="36" t="n">
        <v>149</v>
      </c>
      <c r="V3" s="48" t="n">
        <v>0.4093959731543624</v>
      </c>
      <c r="W3" s="36" t="n">
        <v>88</v>
      </c>
      <c r="X3" s="36" t="n">
        <v>61</v>
      </c>
      <c r="Y3" s="36" t="n">
        <v>149</v>
      </c>
      <c r="Z3" s="48" t="n">
        <v>0.4093959731543624</v>
      </c>
      <c r="AA3" s="36" t="n">
        <v>1067</v>
      </c>
      <c r="AB3" s="36" t="n">
        <v>1080</v>
      </c>
      <c r="AC3" s="48" t="n">
        <v>0.9879629629629629</v>
      </c>
      <c r="AD3" s="36" t="n">
        <v>795</v>
      </c>
      <c r="AE3" s="36" t="n">
        <v>285</v>
      </c>
      <c r="AF3" s="36" t="n">
        <v>1080</v>
      </c>
      <c r="AG3" s="48" t="n">
        <v>0.2638888888888889</v>
      </c>
      <c r="AH3" s="49" t="n">
        <v>0.154</v>
      </c>
      <c r="AI3" s="49" t="n">
        <v>3.409</v>
      </c>
      <c r="AJ3" s="49" t="n">
        <v>35.284</v>
      </c>
      <c r="AK3" s="49" t="n">
        <v>65.925</v>
      </c>
      <c r="AL3" s="49" t="n">
        <v>0</v>
      </c>
      <c r="AM3" s="36" t="n">
        <v>479</v>
      </c>
      <c r="AN3" s="36" t="n">
        <v>1070</v>
      </c>
      <c r="AO3" s="36" t="n">
        <v>1549</v>
      </c>
      <c r="AP3" s="50" t="n">
        <v>0.6907682375726275</v>
      </c>
      <c r="AQ3" s="36" t="n">
        <v>237</v>
      </c>
      <c r="AR3" s="36" t="n">
        <v>298</v>
      </c>
      <c r="AS3" s="36" t="n">
        <v>535</v>
      </c>
      <c r="AT3" s="50" t="n">
        <v>0.5570093457943925</v>
      </c>
      <c r="AU3" s="36" t="n">
        <v>211</v>
      </c>
      <c r="AV3" s="36" t="n">
        <v>722</v>
      </c>
      <c r="AW3" s="36" t="n">
        <v>933</v>
      </c>
      <c r="AX3" s="50" t="n">
        <v>0.7738478027867095</v>
      </c>
      <c r="AY3" s="36" t="n">
        <v>166</v>
      </c>
      <c r="AZ3" s="36" t="n">
        <v>132</v>
      </c>
      <c r="BA3" s="36" t="n">
        <v>298</v>
      </c>
      <c r="BB3" s="50" t="n">
        <v>0.4429530201342282</v>
      </c>
    </row>
    <row r="4">
      <c r="A4" t="inlineStr">
        <is>
          <t>R01_Sumbagut</t>
        </is>
      </c>
      <c r="B4" t="inlineStr">
        <is>
          <t>NOP MEDAN</t>
        </is>
      </c>
      <c r="C4" s="46" t="n">
        <v>2.68</v>
      </c>
      <c r="D4" s="46" t="n">
        <v>5.24</v>
      </c>
      <c r="E4" s="47" t="n">
        <v>4.157000000000001</v>
      </c>
      <c r="F4" s="47" t="n">
        <v>7.95</v>
      </c>
      <c r="G4" s="36" t="n">
        <v>598</v>
      </c>
      <c r="H4" s="36" t="n">
        <v>418</v>
      </c>
      <c r="I4" s="36" t="n">
        <v>1016</v>
      </c>
      <c r="J4" s="48" t="n">
        <v>0.4114173228346457</v>
      </c>
      <c r="K4" s="36" t="n">
        <v>153</v>
      </c>
      <c r="L4" s="36" t="n">
        <v>159</v>
      </c>
      <c r="M4" s="36" t="n">
        <v>312</v>
      </c>
      <c r="N4" s="48" t="n">
        <v>0.5096153846153846</v>
      </c>
      <c r="O4" s="36" t="n">
        <v>445</v>
      </c>
      <c r="P4" s="36" t="n">
        <v>259</v>
      </c>
      <c r="Q4" s="36" t="n">
        <v>704</v>
      </c>
      <c r="R4" s="48" t="n">
        <v>0.3678977272727273</v>
      </c>
      <c r="S4" s="36" t="n">
        <v>44</v>
      </c>
      <c r="T4" s="36" t="n">
        <v>115</v>
      </c>
      <c r="U4" s="36" t="n">
        <v>159</v>
      </c>
      <c r="V4" s="48" t="n">
        <v>0.7232704402515723</v>
      </c>
      <c r="W4" s="36" t="n">
        <v>42</v>
      </c>
      <c r="X4" s="36" t="n">
        <v>114</v>
      </c>
      <c r="Y4" s="36" t="n">
        <v>156</v>
      </c>
      <c r="Z4" s="48" t="n">
        <v>0.7307692307692307</v>
      </c>
      <c r="AA4" s="36" t="n">
        <v>994</v>
      </c>
      <c r="AB4" s="36" t="n">
        <v>1016</v>
      </c>
      <c r="AC4" s="48" t="n">
        <v>0.9783464566929134</v>
      </c>
      <c r="AD4" s="36" t="n">
        <v>778</v>
      </c>
      <c r="AE4" s="36" t="n">
        <v>238</v>
      </c>
      <c r="AF4" s="36" t="n">
        <v>1016</v>
      </c>
      <c r="AG4" s="48" t="n">
        <v>0.234251968503937</v>
      </c>
      <c r="AH4" s="49" t="n">
        <v>0</v>
      </c>
      <c r="AI4" s="49" t="n">
        <v>4.937999999999999</v>
      </c>
      <c r="AJ4" s="49" t="n">
        <v>16.3</v>
      </c>
      <c r="AK4" s="49" t="n">
        <v>4.738000000000004</v>
      </c>
      <c r="AL4" s="49" t="n">
        <v>0</v>
      </c>
      <c r="AM4" s="36" t="n">
        <v>662</v>
      </c>
      <c r="AN4" s="36" t="n">
        <v>311</v>
      </c>
      <c r="AO4" s="36" t="n">
        <v>973</v>
      </c>
      <c r="AP4" s="50" t="n">
        <v>0.3196300102774923</v>
      </c>
      <c r="AQ4" s="36" t="n">
        <v>237</v>
      </c>
      <c r="AR4" s="36" t="n">
        <v>48</v>
      </c>
      <c r="AS4" s="36" t="n">
        <v>285</v>
      </c>
      <c r="AT4" s="50" t="n">
        <v>0.1684210526315789</v>
      </c>
      <c r="AU4" s="36" t="n">
        <v>374</v>
      </c>
      <c r="AV4" s="36" t="n">
        <v>255</v>
      </c>
      <c r="AW4" s="36" t="n">
        <v>629</v>
      </c>
      <c r="AX4" s="50" t="n">
        <v>0.4054054054054054</v>
      </c>
      <c r="AY4" s="36" t="n">
        <v>8</v>
      </c>
      <c r="AZ4" s="36" t="n">
        <v>40</v>
      </c>
      <c r="BA4" s="36" t="n">
        <v>48</v>
      </c>
      <c r="BB4" s="50" t="n">
        <v>0.8333333333333334</v>
      </c>
    </row>
    <row r="5">
      <c r="A5" t="inlineStr">
        <is>
          <t>R01_Sumbagut</t>
        </is>
      </c>
      <c r="B5" t="inlineStr">
        <is>
          <t>NOP PADANG SIDEMPUAN</t>
        </is>
      </c>
      <c r="C5" s="46" t="n">
        <v>3.846</v>
      </c>
      <c r="D5" s="46" t="n">
        <v>5.832</v>
      </c>
      <c r="E5" s="47" t="n">
        <v>6.085</v>
      </c>
      <c r="F5" s="47" t="n">
        <v>7.3</v>
      </c>
      <c r="G5" s="36" t="n">
        <v>812</v>
      </c>
      <c r="H5" s="36" t="n">
        <v>644</v>
      </c>
      <c r="I5" s="36" t="n">
        <v>1456</v>
      </c>
      <c r="J5" s="48" t="n">
        <v>0.4423076923076923</v>
      </c>
      <c r="K5" s="36" t="n">
        <v>50</v>
      </c>
      <c r="L5" s="36" t="n">
        <v>119</v>
      </c>
      <c r="M5" s="36" t="n">
        <v>169</v>
      </c>
      <c r="N5" s="48" t="n">
        <v>0.7041420118343196</v>
      </c>
      <c r="O5" s="36" t="n">
        <v>762</v>
      </c>
      <c r="P5" s="36" t="n">
        <v>525</v>
      </c>
      <c r="Q5" s="36" t="n">
        <v>1287</v>
      </c>
      <c r="R5" s="48" t="n">
        <v>0.4079254079254079</v>
      </c>
      <c r="S5" s="36" t="n">
        <v>60</v>
      </c>
      <c r="T5" s="36" t="n">
        <v>59</v>
      </c>
      <c r="U5" s="36" t="n">
        <v>119</v>
      </c>
      <c r="V5" s="48" t="n">
        <v>0.4957983193277311</v>
      </c>
      <c r="W5" s="36" t="n">
        <v>58</v>
      </c>
      <c r="X5" s="36" t="n">
        <v>59</v>
      </c>
      <c r="Y5" s="36" t="n">
        <v>117</v>
      </c>
      <c r="Z5" s="48" t="n">
        <v>0.5042735042735043</v>
      </c>
      <c r="AA5" s="36" t="n">
        <v>1427</v>
      </c>
      <c r="AB5" s="36" t="n">
        <v>1456</v>
      </c>
      <c r="AC5" s="48" t="n">
        <v>0.9800824175824175</v>
      </c>
      <c r="AD5" s="36" t="n">
        <v>1214</v>
      </c>
      <c r="AE5" s="36" t="n">
        <v>242</v>
      </c>
      <c r="AF5" s="36" t="n">
        <v>1456</v>
      </c>
      <c r="AG5" s="48" t="n">
        <v>0.1662087912087912</v>
      </c>
      <c r="AH5" s="49" t="n">
        <v>0.16</v>
      </c>
      <c r="AI5" s="49" t="n">
        <v>3.071000000000001</v>
      </c>
      <c r="AJ5" s="49" t="n">
        <v>8.576000000000002</v>
      </c>
      <c r="AK5" s="49" t="n">
        <v>35.06399999999999</v>
      </c>
      <c r="AL5" s="49" t="n">
        <v>0</v>
      </c>
      <c r="AM5" s="36" t="n">
        <v>1168</v>
      </c>
      <c r="AN5" s="36" t="n">
        <v>2052</v>
      </c>
      <c r="AO5" s="36" t="n">
        <v>3220</v>
      </c>
      <c r="AP5" s="50" t="n">
        <v>0.6372670807453417</v>
      </c>
      <c r="AQ5" s="36" t="n">
        <v>485</v>
      </c>
      <c r="AR5" s="36" t="n">
        <v>946</v>
      </c>
      <c r="AS5" s="36" t="n">
        <v>1431</v>
      </c>
      <c r="AT5" s="50" t="n">
        <v>0.6610761705101328</v>
      </c>
      <c r="AU5" s="36" t="n">
        <v>670</v>
      </c>
      <c r="AV5" s="36" t="n">
        <v>1080</v>
      </c>
      <c r="AW5" s="36" t="n">
        <v>1750</v>
      </c>
      <c r="AX5" s="50" t="n">
        <v>0.6171428571428571</v>
      </c>
      <c r="AY5" s="36" t="n">
        <v>441</v>
      </c>
      <c r="AZ5" s="36" t="n">
        <v>505</v>
      </c>
      <c r="BA5" s="36" t="n">
        <v>946</v>
      </c>
      <c r="BB5" s="50" t="n">
        <v>0.5338266384778013</v>
      </c>
    </row>
    <row r="6">
      <c r="A6" t="inlineStr">
        <is>
          <t>R01_Sumbagut</t>
        </is>
      </c>
      <c r="B6" t="inlineStr">
        <is>
          <t>NOP PEMATANG SIANTAR</t>
        </is>
      </c>
      <c r="C6" s="46" t="n">
        <v>8.258000000000001</v>
      </c>
      <c r="D6" s="46" t="n">
        <v>5.550000000000003</v>
      </c>
      <c r="E6" s="47" t="n">
        <v>5</v>
      </c>
      <c r="F6" s="47" t="n">
        <v>7.182</v>
      </c>
      <c r="G6" s="36" t="n">
        <v>1041</v>
      </c>
      <c r="H6" s="36" t="n">
        <v>1033</v>
      </c>
      <c r="I6" s="36" t="n">
        <v>2074</v>
      </c>
      <c r="J6" s="48" t="n">
        <v>0.4980713596914175</v>
      </c>
      <c r="K6" s="36" t="n">
        <v>117</v>
      </c>
      <c r="L6" s="36" t="n">
        <v>337</v>
      </c>
      <c r="M6" s="36" t="n">
        <v>454</v>
      </c>
      <c r="N6" s="48" t="n">
        <v>0.7422907488986784</v>
      </c>
      <c r="O6" s="36" t="n">
        <v>924</v>
      </c>
      <c r="P6" s="36" t="n">
        <v>696</v>
      </c>
      <c r="Q6" s="36" t="n">
        <v>1620</v>
      </c>
      <c r="R6" s="48" t="n">
        <v>0.4296296296296296</v>
      </c>
      <c r="S6" s="36" t="n">
        <v>200</v>
      </c>
      <c r="T6" s="36" t="n">
        <v>137</v>
      </c>
      <c r="U6" s="36" t="n">
        <v>337</v>
      </c>
      <c r="V6" s="48" t="n">
        <v>0.4065281899109792</v>
      </c>
      <c r="W6" s="36" t="n">
        <v>194</v>
      </c>
      <c r="X6" s="36" t="n">
        <v>134</v>
      </c>
      <c r="Y6" s="36" t="n">
        <v>328</v>
      </c>
      <c r="Z6" s="48" t="n">
        <v>0.4085365853658536</v>
      </c>
      <c r="AA6" s="36" t="n">
        <v>1976</v>
      </c>
      <c r="AB6" s="36" t="n">
        <v>2074</v>
      </c>
      <c r="AC6" s="48" t="n">
        <v>0.95274831243973</v>
      </c>
      <c r="AD6" s="36" t="n">
        <v>1557</v>
      </c>
      <c r="AE6" s="36" t="n">
        <v>517</v>
      </c>
      <c r="AF6" s="36" t="n">
        <v>2074</v>
      </c>
      <c r="AG6" s="48" t="n">
        <v>0.2492767598842816</v>
      </c>
      <c r="AH6" s="49" t="n">
        <v>2.351999999999998</v>
      </c>
      <c r="AI6" s="49" t="n">
        <v>4.433000000000001</v>
      </c>
      <c r="AJ6" s="49" t="n">
        <v>36.48</v>
      </c>
      <c r="AK6" s="49" t="n">
        <v>60.345</v>
      </c>
      <c r="AL6" s="49" t="n">
        <v>0</v>
      </c>
      <c r="AM6" s="36" t="n">
        <v>858</v>
      </c>
      <c r="AN6" s="36" t="n">
        <v>1522</v>
      </c>
      <c r="AO6" s="36" t="n">
        <v>2380</v>
      </c>
      <c r="AP6" s="50" t="n">
        <v>0.6394957983193277</v>
      </c>
      <c r="AQ6" s="36" t="n">
        <v>275</v>
      </c>
      <c r="AR6" s="36" t="n">
        <v>663</v>
      </c>
      <c r="AS6" s="36" t="n">
        <v>938</v>
      </c>
      <c r="AT6" s="50" t="n">
        <v>0.7068230277185501</v>
      </c>
      <c r="AU6" s="36" t="n">
        <v>522</v>
      </c>
      <c r="AV6" s="36" t="n">
        <v>810</v>
      </c>
      <c r="AW6" s="36" t="n">
        <v>1332</v>
      </c>
      <c r="AX6" s="50" t="n">
        <v>0.6081081081081081</v>
      </c>
      <c r="AY6" s="36" t="n">
        <v>309</v>
      </c>
      <c r="AZ6" s="36" t="n">
        <v>354</v>
      </c>
      <c r="BA6" s="36" t="n">
        <v>663</v>
      </c>
      <c r="BB6" s="50" t="n">
        <v>0.5339366515837104</v>
      </c>
    </row>
    <row r="7">
      <c r="A7" t="inlineStr">
        <is>
          <t>R01_Sumbagut</t>
        </is>
      </c>
      <c r="B7" t="inlineStr">
        <is>
          <t>NOP RANTAU PRAPAT</t>
        </is>
      </c>
      <c r="C7" s="46" t="n">
        <v>4.13</v>
      </c>
      <c r="D7" s="46" t="n">
        <v>3.326000000000001</v>
      </c>
      <c r="E7" s="47" t="n">
        <v>4.45</v>
      </c>
      <c r="F7" s="47" t="n">
        <v>5.61</v>
      </c>
      <c r="G7" s="36" t="n">
        <v>1420</v>
      </c>
      <c r="H7" s="36" t="n">
        <v>979</v>
      </c>
      <c r="I7" s="36" t="n">
        <v>2399</v>
      </c>
      <c r="J7" s="48" t="n">
        <v>0.4080867027928303</v>
      </c>
      <c r="K7" s="36" t="n">
        <v>241</v>
      </c>
      <c r="L7" s="36" t="n">
        <v>168</v>
      </c>
      <c r="M7" s="36" t="n">
        <v>409</v>
      </c>
      <c r="N7" s="48" t="n">
        <v>0.410757946210269</v>
      </c>
      <c r="O7" s="36" t="n">
        <v>1179</v>
      </c>
      <c r="P7" s="36" t="n">
        <v>811</v>
      </c>
      <c r="Q7" s="36" t="n">
        <v>1990</v>
      </c>
      <c r="R7" s="48" t="n">
        <v>0.4075376884422111</v>
      </c>
      <c r="S7" s="36" t="n">
        <v>68</v>
      </c>
      <c r="T7" s="36" t="n">
        <v>100</v>
      </c>
      <c r="U7" s="36" t="n">
        <v>168</v>
      </c>
      <c r="V7" s="48" t="n">
        <v>0.5952380952380952</v>
      </c>
      <c r="W7" s="36" t="n">
        <v>68</v>
      </c>
      <c r="X7" s="36" t="n">
        <v>100</v>
      </c>
      <c r="Y7" s="36" t="n">
        <v>168</v>
      </c>
      <c r="Z7" s="48" t="n">
        <v>0.5952380952380952</v>
      </c>
      <c r="AA7" s="36" t="n">
        <v>2295</v>
      </c>
      <c r="AB7" s="36" t="n">
        <v>2399</v>
      </c>
      <c r="AC7" s="48" t="n">
        <v>0.9566486035848271</v>
      </c>
      <c r="AD7" s="36" t="n">
        <v>1888</v>
      </c>
      <c r="AE7" s="36" t="n">
        <v>511</v>
      </c>
      <c r="AF7" s="36" t="n">
        <v>2399</v>
      </c>
      <c r="AG7" s="48" t="n">
        <v>0.2130054189245519</v>
      </c>
      <c r="AH7" s="49" t="n">
        <v>0.08699999999999997</v>
      </c>
      <c r="AI7" s="49" t="n">
        <v>3.9</v>
      </c>
      <c r="AJ7" s="49" t="n">
        <v>23.40200000000001</v>
      </c>
      <c r="AK7" s="49" t="n">
        <v>58.37600000000003</v>
      </c>
      <c r="AL7" s="49" t="n">
        <v>0</v>
      </c>
      <c r="AM7" s="36" t="n">
        <v>2578</v>
      </c>
      <c r="AN7" s="36" t="n">
        <v>626</v>
      </c>
      <c r="AO7" s="36" t="n">
        <v>3204</v>
      </c>
      <c r="AP7" s="50" t="n">
        <v>0.1953807740324594</v>
      </c>
      <c r="AQ7" s="36" t="n">
        <v>489</v>
      </c>
      <c r="AR7" s="36" t="n">
        <v>180</v>
      </c>
      <c r="AS7" s="36" t="n">
        <v>669</v>
      </c>
      <c r="AT7" s="50" t="n">
        <v>0.2690582959641256</v>
      </c>
      <c r="AU7" s="36" t="n">
        <v>2020</v>
      </c>
      <c r="AV7" s="36" t="n">
        <v>403</v>
      </c>
      <c r="AW7" s="36" t="n">
        <v>2423</v>
      </c>
      <c r="AX7" s="50" t="n">
        <v>0.1663227404044573</v>
      </c>
      <c r="AY7" s="36" t="n">
        <v>91</v>
      </c>
      <c r="AZ7" s="36" t="n">
        <v>89</v>
      </c>
      <c r="BA7" s="36" t="n">
        <v>180</v>
      </c>
      <c r="BB7" s="50" t="n">
        <v>0.4944444444444445</v>
      </c>
    </row>
    <row r="8">
      <c r="A8" t="inlineStr">
        <is>
          <t>R10_Sumbagteng</t>
        </is>
      </c>
      <c r="B8" t="inlineStr">
        <is>
          <t>NOP BATAM</t>
        </is>
      </c>
      <c r="C8" s="46" t="n">
        <v>3.474000000000002</v>
      </c>
      <c r="D8" s="46" t="n">
        <v>8.167000000000005</v>
      </c>
      <c r="E8" s="47" t="n">
        <v>6.837000000000013</v>
      </c>
      <c r="F8" s="47" t="n">
        <v>8.713000000000003</v>
      </c>
      <c r="G8" s="36" t="n">
        <v>834</v>
      </c>
      <c r="H8" s="36" t="n">
        <v>947</v>
      </c>
      <c r="I8" s="36" t="n">
        <v>1781</v>
      </c>
      <c r="J8" s="48" t="n">
        <v>0.5317237507018528</v>
      </c>
      <c r="K8" s="36" t="n">
        <v>105</v>
      </c>
      <c r="L8" s="36" t="n">
        <v>208</v>
      </c>
      <c r="M8" s="36" t="n">
        <v>313</v>
      </c>
      <c r="N8" s="48" t="n">
        <v>0.6645367412140575</v>
      </c>
      <c r="O8" s="36" t="n">
        <v>729</v>
      </c>
      <c r="P8" s="36" t="n">
        <v>739</v>
      </c>
      <c r="Q8" s="36" t="n">
        <v>1468</v>
      </c>
      <c r="R8" s="48" t="n">
        <v>0.5034059945504087</v>
      </c>
      <c r="S8" s="36" t="n">
        <v>51</v>
      </c>
      <c r="T8" s="36" t="n">
        <v>157</v>
      </c>
      <c r="U8" s="36" t="n">
        <v>208</v>
      </c>
      <c r="V8" s="48" t="n">
        <v>0.7548076923076923</v>
      </c>
      <c r="W8" s="36" t="n">
        <v>50</v>
      </c>
      <c r="X8" s="36" t="n">
        <v>156</v>
      </c>
      <c r="Y8" s="36" t="n">
        <v>206</v>
      </c>
      <c r="Z8" s="48" t="n">
        <v>0.7572815533980582</v>
      </c>
      <c r="AA8" s="36" t="n">
        <v>1746</v>
      </c>
      <c r="AB8" s="36" t="n">
        <v>1781</v>
      </c>
      <c r="AC8" s="48" t="n">
        <v>0.9803481190342505</v>
      </c>
      <c r="AD8" s="36" t="n">
        <v>1131</v>
      </c>
      <c r="AE8" s="36" t="n">
        <v>650</v>
      </c>
      <c r="AF8" s="36" t="n">
        <v>1781</v>
      </c>
      <c r="AG8" s="48" t="n">
        <v>0.364963503649635</v>
      </c>
      <c r="AH8" s="49" t="n">
        <v>0.71</v>
      </c>
      <c r="AI8" s="49" t="n">
        <v>9.349999999999989</v>
      </c>
      <c r="AJ8" s="49" t="n">
        <v>49.23999999999999</v>
      </c>
      <c r="AK8" s="49" t="n">
        <v>94.60199999999998</v>
      </c>
      <c r="AL8" s="49" t="n">
        <v>0</v>
      </c>
      <c r="AM8" s="36" t="n">
        <v>2917</v>
      </c>
      <c r="AN8" s="36" t="n">
        <v>1401</v>
      </c>
      <c r="AO8" s="36" t="n">
        <v>4318</v>
      </c>
      <c r="AP8" s="50" t="n">
        <v>0.3244557665585919</v>
      </c>
      <c r="AQ8" s="36" t="n">
        <v>649</v>
      </c>
      <c r="AR8" s="36" t="n">
        <v>575</v>
      </c>
      <c r="AS8" s="36" t="n">
        <v>1224</v>
      </c>
      <c r="AT8" s="50" t="n">
        <v>0.4697712418300654</v>
      </c>
      <c r="AU8" s="36" t="n">
        <v>2246</v>
      </c>
      <c r="AV8" s="36" t="n">
        <v>802</v>
      </c>
      <c r="AW8" s="36" t="n">
        <v>3048</v>
      </c>
      <c r="AX8" s="50" t="n">
        <v>0.2631233595800525</v>
      </c>
      <c r="AY8" s="36" t="n">
        <v>105</v>
      </c>
      <c r="AZ8" s="36" t="n">
        <v>470</v>
      </c>
      <c r="BA8" s="36" t="n">
        <v>575</v>
      </c>
      <c r="BB8" s="50" t="n">
        <v>0.8173913043478261</v>
      </c>
    </row>
    <row r="9">
      <c r="A9" t="inlineStr">
        <is>
          <t>R10_Sumbagteng</t>
        </is>
      </c>
      <c r="B9" t="inlineStr">
        <is>
          <t>NOP BUKITTINGGI</t>
        </is>
      </c>
      <c r="C9" s="46" t="n">
        <v>1.8</v>
      </c>
      <c r="D9" s="46" t="n">
        <v>3.534000000000004</v>
      </c>
      <c r="E9" s="47" t="n">
        <v>3.266000000000001</v>
      </c>
      <c r="F9" s="47" t="n">
        <v>4.374999999999999</v>
      </c>
      <c r="G9" s="36" t="n">
        <v>377</v>
      </c>
      <c r="H9" s="36" t="n">
        <v>777</v>
      </c>
      <c r="I9" s="36" t="n">
        <v>1154</v>
      </c>
      <c r="J9" s="48" t="n">
        <v>0.6733102253032929</v>
      </c>
      <c r="K9" s="36" t="n">
        <v>56</v>
      </c>
      <c r="L9" s="36" t="n">
        <v>195</v>
      </c>
      <c r="M9" s="36" t="n">
        <v>251</v>
      </c>
      <c r="N9" s="48" t="n">
        <v>0.7768924302788844</v>
      </c>
      <c r="O9" s="36" t="n">
        <v>321</v>
      </c>
      <c r="P9" s="36" t="n">
        <v>582</v>
      </c>
      <c r="Q9" s="36" t="n">
        <v>903</v>
      </c>
      <c r="R9" s="48" t="n">
        <v>0.6445182724252492</v>
      </c>
      <c r="S9" s="36" t="n">
        <v>77</v>
      </c>
      <c r="T9" s="36" t="n">
        <v>118</v>
      </c>
      <c r="U9" s="36" t="n">
        <v>195</v>
      </c>
      <c r="V9" s="48" t="n">
        <v>0.6051282051282051</v>
      </c>
      <c r="W9" s="36" t="n">
        <v>71</v>
      </c>
      <c r="X9" s="36" t="n">
        <v>118</v>
      </c>
      <c r="Y9" s="36" t="n">
        <v>189</v>
      </c>
      <c r="Z9" s="48" t="n">
        <v>0.6243386243386243</v>
      </c>
      <c r="AA9" s="36" t="n">
        <v>1059</v>
      </c>
      <c r="AB9" s="36" t="n">
        <v>1154</v>
      </c>
      <c r="AC9" s="48" t="n">
        <v>0.9176776429809359</v>
      </c>
      <c r="AD9" s="36" t="n">
        <v>769</v>
      </c>
      <c r="AE9" s="36" t="n">
        <v>385</v>
      </c>
      <c r="AF9" s="36" t="n">
        <v>1154</v>
      </c>
      <c r="AG9" s="48" t="n">
        <v>0.3336221837088388</v>
      </c>
      <c r="AH9" s="49" t="n">
        <v>0.9349999999999996</v>
      </c>
      <c r="AI9" s="49" t="n">
        <v>4.733999999999999</v>
      </c>
      <c r="AJ9" s="49" t="n">
        <v>59.996</v>
      </c>
      <c r="AK9" s="49" t="n">
        <v>70.39</v>
      </c>
      <c r="AL9" s="49" t="n">
        <v>0</v>
      </c>
      <c r="AM9" s="36" t="n">
        <v>691</v>
      </c>
      <c r="AN9" s="36" t="n">
        <v>918</v>
      </c>
      <c r="AO9" s="36" t="n">
        <v>1609</v>
      </c>
      <c r="AP9" s="50" t="n">
        <v>0.5705407085146054</v>
      </c>
      <c r="AQ9" s="36" t="n">
        <v>55</v>
      </c>
      <c r="AR9" s="36" t="n">
        <v>198</v>
      </c>
      <c r="AS9" s="36" t="n">
        <v>253</v>
      </c>
      <c r="AT9" s="50" t="n">
        <v>0.7826086956521739</v>
      </c>
      <c r="AU9" s="36" t="n">
        <v>617</v>
      </c>
      <c r="AV9" s="36" t="n">
        <v>697</v>
      </c>
      <c r="AW9" s="36" t="n">
        <v>1314</v>
      </c>
      <c r="AX9" s="50" t="n">
        <v>0.530441400304414</v>
      </c>
      <c r="AY9" s="36" t="n">
        <v>80</v>
      </c>
      <c r="AZ9" s="36" t="n">
        <v>118</v>
      </c>
      <c r="BA9" s="36" t="n">
        <v>198</v>
      </c>
      <c r="BB9" s="50" t="n">
        <v>0.5959595959595959</v>
      </c>
    </row>
    <row r="10">
      <c r="A10" t="inlineStr">
        <is>
          <t>R10_Sumbagteng</t>
        </is>
      </c>
      <c r="B10" t="inlineStr">
        <is>
          <t>NOP DUMAI</t>
        </is>
      </c>
      <c r="C10" s="46" t="n">
        <v>2.625</v>
      </c>
      <c r="D10" s="46" t="n">
        <v>5.734000000000001</v>
      </c>
      <c r="E10" s="47" t="n">
        <v>4.46</v>
      </c>
      <c r="F10" s="47" t="n">
        <v>6.11</v>
      </c>
      <c r="G10" s="36" t="n">
        <v>1409</v>
      </c>
      <c r="H10" s="36" t="n">
        <v>1504</v>
      </c>
      <c r="I10" s="36" t="n">
        <v>2913</v>
      </c>
      <c r="J10" s="48" t="n">
        <v>0.516306213525575</v>
      </c>
      <c r="K10" s="36" t="n">
        <v>280</v>
      </c>
      <c r="L10" s="36" t="n">
        <v>490</v>
      </c>
      <c r="M10" s="36" t="n">
        <v>770</v>
      </c>
      <c r="N10" s="48" t="n">
        <v>0.6363636363636364</v>
      </c>
      <c r="O10" s="36" t="n">
        <v>1129</v>
      </c>
      <c r="P10" s="36" t="n">
        <v>1014</v>
      </c>
      <c r="Q10" s="36" t="n">
        <v>2143</v>
      </c>
      <c r="R10" s="48" t="n">
        <v>0.4731684554363043</v>
      </c>
      <c r="S10" s="36" t="n">
        <v>145</v>
      </c>
      <c r="T10" s="36" t="n">
        <v>345</v>
      </c>
      <c r="U10" s="36" t="n">
        <v>490</v>
      </c>
      <c r="V10" s="48" t="n">
        <v>0.7040816326530612</v>
      </c>
      <c r="W10" s="36" t="n">
        <v>138</v>
      </c>
      <c r="X10" s="36" t="n">
        <v>343</v>
      </c>
      <c r="Y10" s="36" t="n">
        <v>481</v>
      </c>
      <c r="Z10" s="48" t="n">
        <v>0.7130977130977131</v>
      </c>
      <c r="AA10" s="36" t="n">
        <v>2738</v>
      </c>
      <c r="AB10" s="36" t="n">
        <v>2913</v>
      </c>
      <c r="AC10" s="48" t="n">
        <v>0.9399244764847237</v>
      </c>
      <c r="AD10" s="36" t="n">
        <v>2083</v>
      </c>
      <c r="AE10" s="36" t="n">
        <v>830</v>
      </c>
      <c r="AF10" s="36" t="n">
        <v>2913</v>
      </c>
      <c r="AG10" s="48" t="n">
        <v>0.2849296258153107</v>
      </c>
      <c r="AH10" s="49" t="n">
        <v>0.1400000000000001</v>
      </c>
      <c r="AI10" s="49" t="n">
        <v>8.521000000000001</v>
      </c>
      <c r="AJ10" s="49" t="n">
        <v>46.73100000000001</v>
      </c>
      <c r="AK10" s="49" t="n">
        <v>84.96700000000008</v>
      </c>
      <c r="AL10" s="49" t="n">
        <v>0</v>
      </c>
      <c r="AM10" s="36" t="n">
        <v>4250</v>
      </c>
      <c r="AN10" s="36" t="n">
        <v>1382</v>
      </c>
      <c r="AO10" s="36" t="n">
        <v>5632</v>
      </c>
      <c r="AP10" s="50" t="n">
        <v>0.2453835227272727</v>
      </c>
      <c r="AQ10" s="36" t="n">
        <v>868</v>
      </c>
      <c r="AR10" s="36" t="n">
        <v>540</v>
      </c>
      <c r="AS10" s="36" t="n">
        <v>1408</v>
      </c>
      <c r="AT10" s="50" t="n">
        <v>0.3835227272727273</v>
      </c>
      <c r="AU10" s="36" t="n">
        <v>3353</v>
      </c>
      <c r="AV10" s="36" t="n">
        <v>835</v>
      </c>
      <c r="AW10" s="36" t="n">
        <v>4188</v>
      </c>
      <c r="AX10" s="50" t="n">
        <v>0.1993791786055396</v>
      </c>
      <c r="AY10" s="36" t="n">
        <v>49</v>
      </c>
      <c r="AZ10" s="36" t="n">
        <v>491</v>
      </c>
      <c r="BA10" s="36" t="n">
        <v>540</v>
      </c>
      <c r="BB10" s="50" t="n">
        <v>0.9092592592592592</v>
      </c>
    </row>
    <row r="11">
      <c r="A11" t="inlineStr">
        <is>
          <t>R10_Sumbagteng</t>
        </is>
      </c>
      <c r="B11" t="inlineStr">
        <is>
          <t>NOP PADANG</t>
        </is>
      </c>
      <c r="C11" s="46" t="n">
        <v>1.507</v>
      </c>
      <c r="D11" s="46" t="n">
        <v>4.02</v>
      </c>
      <c r="E11" s="47" t="n">
        <v>4.178</v>
      </c>
      <c r="F11" s="47" t="n">
        <v>4.445</v>
      </c>
      <c r="G11" s="36" t="n">
        <v>345</v>
      </c>
      <c r="H11" s="36" t="n">
        <v>625</v>
      </c>
      <c r="I11" s="36" t="n">
        <v>970</v>
      </c>
      <c r="J11" s="48" t="n">
        <v>0.6443298969072165</v>
      </c>
      <c r="K11" s="36" t="n">
        <v>23</v>
      </c>
      <c r="L11" s="36" t="n">
        <v>47</v>
      </c>
      <c r="M11" s="36" t="n">
        <v>70</v>
      </c>
      <c r="N11" s="48" t="n">
        <v>0.6714285714285714</v>
      </c>
      <c r="O11" s="36" t="n">
        <v>322</v>
      </c>
      <c r="P11" s="36" t="n">
        <v>578</v>
      </c>
      <c r="Q11" s="36" t="n">
        <v>900</v>
      </c>
      <c r="R11" s="48" t="n">
        <v>0.6422222222222222</v>
      </c>
      <c r="S11" s="36" t="n">
        <v>14</v>
      </c>
      <c r="T11" s="36" t="n">
        <v>33</v>
      </c>
      <c r="U11" s="36" t="n">
        <v>47</v>
      </c>
      <c r="V11" s="48" t="n">
        <v>0.7021276595744681</v>
      </c>
      <c r="W11" s="36" t="n">
        <v>14</v>
      </c>
      <c r="X11" s="36" t="n">
        <v>33</v>
      </c>
      <c r="Y11" s="36" t="n">
        <v>47</v>
      </c>
      <c r="Z11" s="48" t="n">
        <v>0.7021276595744681</v>
      </c>
      <c r="AA11" s="36" t="n">
        <v>891</v>
      </c>
      <c r="AB11" s="36" t="n">
        <v>970</v>
      </c>
      <c r="AC11" s="48" t="n">
        <v>0.9185567010309278</v>
      </c>
      <c r="AD11" s="36" t="n">
        <v>695</v>
      </c>
      <c r="AE11" s="36" t="n">
        <v>275</v>
      </c>
      <c r="AF11" s="36" t="n">
        <v>970</v>
      </c>
      <c r="AG11" s="48" t="n">
        <v>0.2835051546391752</v>
      </c>
      <c r="AH11" s="49" t="n">
        <v>6.804000000000014</v>
      </c>
      <c r="AI11" s="49" t="n">
        <v>5.615</v>
      </c>
      <c r="AJ11" s="49" t="n">
        <v>50.105</v>
      </c>
      <c r="AK11" s="49" t="n">
        <v>92.61499999999999</v>
      </c>
      <c r="AL11" s="49" t="n">
        <v>0</v>
      </c>
      <c r="AM11" s="36" t="n">
        <v>309</v>
      </c>
      <c r="AN11" s="36" t="n">
        <v>1208</v>
      </c>
      <c r="AO11" s="36" t="n">
        <v>1517</v>
      </c>
      <c r="AP11" s="50" t="n">
        <v>0.7963085036255768</v>
      </c>
      <c r="AQ11" s="36" t="n">
        <v>170</v>
      </c>
      <c r="AR11" s="36" t="n">
        <v>288</v>
      </c>
      <c r="AS11" s="36" t="n">
        <v>458</v>
      </c>
      <c r="AT11" s="50" t="n">
        <v>0.62882096069869</v>
      </c>
      <c r="AU11" s="36" t="n">
        <v>138</v>
      </c>
      <c r="AV11" s="36" t="n">
        <v>906</v>
      </c>
      <c r="AW11" s="36" t="n">
        <v>1044</v>
      </c>
      <c r="AX11" s="50" t="n">
        <v>0.867816091954023</v>
      </c>
      <c r="AY11" s="36" t="n">
        <v>81</v>
      </c>
      <c r="AZ11" s="36" t="n">
        <v>207</v>
      </c>
      <c r="BA11" s="36" t="n">
        <v>288</v>
      </c>
      <c r="BB11" s="50" t="n">
        <v>0.71875</v>
      </c>
    </row>
    <row r="12">
      <c r="A12" t="inlineStr">
        <is>
          <t>R10_Sumbagteng</t>
        </is>
      </c>
      <c r="B12" t="inlineStr">
        <is>
          <t>NOP PEKANBARU</t>
        </is>
      </c>
      <c r="C12" s="46" t="n">
        <v>3.448</v>
      </c>
      <c r="D12" s="46" t="n">
        <v>5.49</v>
      </c>
      <c r="E12" s="47" t="n">
        <v>4.08</v>
      </c>
      <c r="F12" s="47" t="n">
        <v>6.678000000000003</v>
      </c>
      <c r="G12" s="36" t="n">
        <v>1300</v>
      </c>
      <c r="H12" s="36" t="n">
        <v>1070</v>
      </c>
      <c r="I12" s="36" t="n">
        <v>2370</v>
      </c>
      <c r="J12" s="48" t="n">
        <v>0.4514767932489451</v>
      </c>
      <c r="K12" s="36" t="n">
        <v>222</v>
      </c>
      <c r="L12" s="36" t="n">
        <v>170</v>
      </c>
      <c r="M12" s="36" t="n">
        <v>392</v>
      </c>
      <c r="N12" s="48" t="n">
        <v>0.4336734693877551</v>
      </c>
      <c r="O12" s="36" t="n">
        <v>1078</v>
      </c>
      <c r="P12" s="36" t="n">
        <v>900</v>
      </c>
      <c r="Q12" s="36" t="n">
        <v>1978</v>
      </c>
      <c r="R12" s="48" t="n">
        <v>0.455005055611729</v>
      </c>
      <c r="S12" s="36" t="n">
        <v>50</v>
      </c>
      <c r="T12" s="36" t="n">
        <v>120</v>
      </c>
      <c r="U12" s="36" t="n">
        <v>170</v>
      </c>
      <c r="V12" s="48" t="n">
        <v>0.7058823529411765</v>
      </c>
      <c r="W12" s="36" t="n">
        <v>49</v>
      </c>
      <c r="X12" s="36" t="n">
        <v>120</v>
      </c>
      <c r="Y12" s="36" t="n">
        <v>169</v>
      </c>
      <c r="Z12" s="48" t="n">
        <v>0.7100591715976331</v>
      </c>
      <c r="AA12" s="36" t="n">
        <v>2178</v>
      </c>
      <c r="AB12" s="36" t="n">
        <v>2370</v>
      </c>
      <c r="AC12" s="48" t="n">
        <v>0.9189873417721519</v>
      </c>
      <c r="AD12" s="36" t="n">
        <v>1808</v>
      </c>
      <c r="AE12" s="36" t="n">
        <v>562</v>
      </c>
      <c r="AF12" s="36" t="n">
        <v>2370</v>
      </c>
      <c r="AG12" s="48" t="n">
        <v>0.2371308016877637</v>
      </c>
      <c r="AH12" s="49" t="n">
        <v>0.1259999999999999</v>
      </c>
      <c r="AI12" s="49" t="n">
        <v>5.294000000000006</v>
      </c>
      <c r="AJ12" s="49" t="n">
        <v>38.06</v>
      </c>
      <c r="AK12" s="49" t="n">
        <v>59.38100000000001</v>
      </c>
      <c r="AL12" s="49" t="n">
        <v>0</v>
      </c>
      <c r="AM12" s="36" t="n">
        <v>3102</v>
      </c>
      <c r="AN12" s="36" t="n">
        <v>1326</v>
      </c>
      <c r="AO12" s="36" t="n">
        <v>4428</v>
      </c>
      <c r="AP12" s="50" t="n">
        <v>0.2994579945799458</v>
      </c>
      <c r="AQ12" s="36" t="n">
        <v>849</v>
      </c>
      <c r="AR12" s="36" t="n">
        <v>503</v>
      </c>
      <c r="AS12" s="36" t="n">
        <v>1352</v>
      </c>
      <c r="AT12" s="50" t="n">
        <v>0.3720414201183432</v>
      </c>
      <c r="AU12" s="36" t="n">
        <v>2208</v>
      </c>
      <c r="AV12" s="36" t="n">
        <v>797</v>
      </c>
      <c r="AW12" s="36" t="n">
        <v>3005</v>
      </c>
      <c r="AX12" s="50" t="n">
        <v>0.26522462562396</v>
      </c>
      <c r="AY12" s="36" t="n">
        <v>89</v>
      </c>
      <c r="AZ12" s="36" t="n">
        <v>414</v>
      </c>
      <c r="BA12" s="36" t="n">
        <v>503</v>
      </c>
      <c r="BB12" s="50" t="n">
        <v>0.8230616302186878</v>
      </c>
    </row>
    <row r="13">
      <c r="A13" t="inlineStr">
        <is>
          <t>R02_Sumbagsel</t>
        </is>
      </c>
      <c r="B13" t="inlineStr">
        <is>
          <t>NOP BENGKULU</t>
        </is>
      </c>
      <c r="C13" s="46" t="n">
        <v>3.64</v>
      </c>
      <c r="D13" s="46" t="n">
        <v>5.668000000000001</v>
      </c>
      <c r="E13" s="47" t="n">
        <v>4.743000000000007</v>
      </c>
      <c r="F13" s="47" t="n">
        <v>6.33</v>
      </c>
      <c r="G13" s="36" t="n">
        <v>809</v>
      </c>
      <c r="H13" s="36" t="n">
        <v>629</v>
      </c>
      <c r="I13" s="36" t="n">
        <v>1438</v>
      </c>
      <c r="J13" s="48" t="n">
        <v>0.437413073713491</v>
      </c>
      <c r="K13" s="36" t="n">
        <v>196</v>
      </c>
      <c r="L13" s="36" t="n">
        <v>192</v>
      </c>
      <c r="M13" s="36" t="n">
        <v>388</v>
      </c>
      <c r="N13" s="48" t="n">
        <v>0.4948453608247423</v>
      </c>
      <c r="O13" s="36" t="n">
        <v>613</v>
      </c>
      <c r="P13" s="36" t="n">
        <v>437</v>
      </c>
      <c r="Q13" s="36" t="n">
        <v>1050</v>
      </c>
      <c r="R13" s="48" t="n">
        <v>0.4161904761904762</v>
      </c>
      <c r="S13" s="36" t="n">
        <v>60</v>
      </c>
      <c r="T13" s="36" t="n">
        <v>132</v>
      </c>
      <c r="U13" s="36" t="n">
        <v>192</v>
      </c>
      <c r="V13" s="48" t="n">
        <v>0.6875</v>
      </c>
      <c r="W13" s="36" t="n">
        <v>60</v>
      </c>
      <c r="X13" s="36" t="n">
        <v>132</v>
      </c>
      <c r="Y13" s="36" t="n">
        <v>192</v>
      </c>
      <c r="Z13" s="48" t="n">
        <v>0.6875</v>
      </c>
      <c r="AA13" s="36" t="n">
        <v>1402</v>
      </c>
      <c r="AB13" s="36" t="n">
        <v>1438</v>
      </c>
      <c r="AC13" s="48" t="n">
        <v>0.9749652294853964</v>
      </c>
      <c r="AD13" s="36" t="n">
        <v>1039</v>
      </c>
      <c r="AE13" s="36" t="n">
        <v>399</v>
      </c>
      <c r="AF13" s="36" t="n">
        <v>1438</v>
      </c>
      <c r="AG13" s="48" t="n">
        <v>0.2774687065368567</v>
      </c>
      <c r="AH13" s="49" t="n">
        <v>0</v>
      </c>
      <c r="AI13" s="49" t="n">
        <v>4.778</v>
      </c>
      <c r="AJ13" s="49" t="n">
        <v>7.069000000000002</v>
      </c>
      <c r="AK13" s="49" t="n">
        <v>5</v>
      </c>
      <c r="AL13" s="49" t="n">
        <v>0</v>
      </c>
      <c r="AM13" s="36" t="n">
        <v>1369</v>
      </c>
      <c r="AN13" s="36" t="n">
        <v>1417</v>
      </c>
      <c r="AO13" s="36" t="n">
        <v>2786</v>
      </c>
      <c r="AP13" s="50" t="n">
        <v>0.5086145010768126</v>
      </c>
      <c r="AQ13" s="36" t="n">
        <v>930</v>
      </c>
      <c r="AR13" s="36" t="n">
        <v>763</v>
      </c>
      <c r="AS13" s="36" t="n">
        <v>1693</v>
      </c>
      <c r="AT13" s="50" t="n">
        <v>0.4506792675723568</v>
      </c>
      <c r="AU13" s="36" t="n">
        <v>380</v>
      </c>
      <c r="AV13" s="36" t="n">
        <v>552</v>
      </c>
      <c r="AW13" s="36" t="n">
        <v>932</v>
      </c>
      <c r="AX13" s="50" t="n">
        <v>0.592274678111588</v>
      </c>
      <c r="AY13" s="36" t="n">
        <v>104</v>
      </c>
      <c r="AZ13" s="36" t="n">
        <v>659</v>
      </c>
      <c r="BA13" s="36" t="n">
        <v>763</v>
      </c>
      <c r="BB13" s="50" t="n">
        <v>0.8636959370904325</v>
      </c>
    </row>
    <row r="14">
      <c r="A14" t="inlineStr">
        <is>
          <t>R02_Sumbagsel</t>
        </is>
      </c>
      <c r="B14" t="inlineStr">
        <is>
          <t>NOP JAMBI</t>
        </is>
      </c>
      <c r="C14" s="46" t="n">
        <v>4.86</v>
      </c>
      <c r="D14" s="46" t="n">
        <v>4.5</v>
      </c>
      <c r="E14" s="47" t="n">
        <v>4.156000000000001</v>
      </c>
      <c r="F14" s="47" t="n">
        <v>5.426000000000001</v>
      </c>
      <c r="G14" s="36" t="n">
        <v>1496</v>
      </c>
      <c r="H14" s="36" t="n">
        <v>637</v>
      </c>
      <c r="I14" s="36" t="n">
        <v>2133</v>
      </c>
      <c r="J14" s="48" t="n">
        <v>0.2986404125644632</v>
      </c>
      <c r="K14" s="36" t="n">
        <v>439</v>
      </c>
      <c r="L14" s="36" t="n">
        <v>208</v>
      </c>
      <c r="M14" s="36" t="n">
        <v>647</v>
      </c>
      <c r="N14" s="48" t="n">
        <v>0.321483771251932</v>
      </c>
      <c r="O14" s="36" t="n">
        <v>1057</v>
      </c>
      <c r="P14" s="36" t="n">
        <v>429</v>
      </c>
      <c r="Q14" s="36" t="n">
        <v>1486</v>
      </c>
      <c r="R14" s="48" t="n">
        <v>0.2886944818304172</v>
      </c>
      <c r="S14" s="36" t="n">
        <v>95</v>
      </c>
      <c r="T14" s="36" t="n">
        <v>113</v>
      </c>
      <c r="U14" s="36" t="n">
        <v>208</v>
      </c>
      <c r="V14" s="48" t="n">
        <v>0.5432692307692307</v>
      </c>
      <c r="W14" s="36" t="n">
        <v>92</v>
      </c>
      <c r="X14" s="36" t="n">
        <v>113</v>
      </c>
      <c r="Y14" s="36" t="n">
        <v>205</v>
      </c>
      <c r="Z14" s="48" t="n">
        <v>0.551219512195122</v>
      </c>
      <c r="AA14" s="36" t="n">
        <v>1985</v>
      </c>
      <c r="AB14" s="36" t="n">
        <v>2133</v>
      </c>
      <c r="AC14" s="48" t="n">
        <v>0.9306141584622597</v>
      </c>
      <c r="AD14" s="36" t="n">
        <v>1828</v>
      </c>
      <c r="AE14" s="36" t="n">
        <v>305</v>
      </c>
      <c r="AF14" s="36" t="n">
        <v>2133</v>
      </c>
      <c r="AG14" s="48" t="n">
        <v>0.142991092358181</v>
      </c>
      <c r="AH14" s="49" t="n">
        <v>0</v>
      </c>
      <c r="AI14" s="49" t="n">
        <v>3.745999999999999</v>
      </c>
      <c r="AJ14" s="49" t="n">
        <v>9.629</v>
      </c>
      <c r="AK14" s="49" t="n">
        <v>19.005</v>
      </c>
      <c r="AL14" s="49" t="n">
        <v>0</v>
      </c>
      <c r="AM14" s="36" t="n">
        <v>2550</v>
      </c>
      <c r="AN14" s="36" t="n">
        <v>591</v>
      </c>
      <c r="AO14" s="36" t="n">
        <v>3141</v>
      </c>
      <c r="AP14" s="50" t="n">
        <v>0.1881566380133715</v>
      </c>
      <c r="AQ14" s="36" t="n">
        <v>1468</v>
      </c>
      <c r="AR14" s="36" t="n">
        <v>270</v>
      </c>
      <c r="AS14" s="36" t="n">
        <v>1738</v>
      </c>
      <c r="AT14" s="50" t="n">
        <v>0.1553509781357883</v>
      </c>
      <c r="AU14" s="36" t="n">
        <v>853</v>
      </c>
      <c r="AV14" s="36" t="n">
        <v>275</v>
      </c>
      <c r="AW14" s="36" t="n">
        <v>1128</v>
      </c>
      <c r="AX14" s="50" t="n">
        <v>0.2437943262411348</v>
      </c>
      <c r="AY14" s="36" t="n">
        <v>97</v>
      </c>
      <c r="AZ14" s="36" t="n">
        <v>173</v>
      </c>
      <c r="BA14" s="36" t="n">
        <v>270</v>
      </c>
      <c r="BB14" s="50" t="n">
        <v>0.6407407407407407</v>
      </c>
    </row>
    <row r="15">
      <c r="A15" t="inlineStr">
        <is>
          <t>R02_Sumbagsel</t>
        </is>
      </c>
      <c r="B15" t="inlineStr">
        <is>
          <t>NOP LAMPUNG</t>
        </is>
      </c>
      <c r="C15" s="46" t="n">
        <v>4.967</v>
      </c>
      <c r="D15" s="46" t="n">
        <v>3.160000000000015</v>
      </c>
      <c r="E15" s="47" t="n">
        <v>4.06</v>
      </c>
      <c r="F15" s="47" t="n">
        <v>4.19</v>
      </c>
      <c r="G15" s="36" t="n">
        <v>352</v>
      </c>
      <c r="H15" s="36" t="n">
        <v>432</v>
      </c>
      <c r="I15" s="36" t="n">
        <v>784</v>
      </c>
      <c r="J15" s="48" t="n">
        <v>0.5510204081632653</v>
      </c>
      <c r="K15" s="36" t="n">
        <v>37</v>
      </c>
      <c r="L15" s="36" t="n">
        <v>132</v>
      </c>
      <c r="M15" s="36" t="n">
        <v>169</v>
      </c>
      <c r="N15" s="48" t="n">
        <v>0.7810650887573964</v>
      </c>
      <c r="O15" s="36" t="n">
        <v>315</v>
      </c>
      <c r="P15" s="36" t="n">
        <v>300</v>
      </c>
      <c r="Q15" s="36" t="n">
        <v>615</v>
      </c>
      <c r="R15" s="48" t="n">
        <v>0.4878048780487805</v>
      </c>
      <c r="S15" s="36" t="n">
        <v>29</v>
      </c>
      <c r="T15" s="36" t="n">
        <v>103</v>
      </c>
      <c r="U15" s="36" t="n">
        <v>132</v>
      </c>
      <c r="V15" s="48" t="n">
        <v>0.7803030303030303</v>
      </c>
      <c r="W15" s="36" t="n">
        <v>29</v>
      </c>
      <c r="X15" s="36" t="n">
        <v>102</v>
      </c>
      <c r="Y15" s="36" t="n">
        <v>131</v>
      </c>
      <c r="Z15" s="48" t="n">
        <v>0.7786259541984732</v>
      </c>
      <c r="AA15" s="36" t="n">
        <v>772</v>
      </c>
      <c r="AB15" s="36" t="n">
        <v>784</v>
      </c>
      <c r="AC15" s="48" t="n">
        <v>0.9846938775510204</v>
      </c>
      <c r="AD15" s="36" t="n">
        <v>470</v>
      </c>
      <c r="AE15" s="36" t="n">
        <v>314</v>
      </c>
      <c r="AF15" s="36" t="n">
        <v>784</v>
      </c>
      <c r="AG15" s="48" t="n">
        <v>0.4005102040816326</v>
      </c>
      <c r="AH15" s="49" t="n">
        <v>0.036</v>
      </c>
      <c r="AI15" s="49" t="n">
        <v>5.354999999999993</v>
      </c>
      <c r="AJ15" s="49" t="n">
        <v>3.942000000000003</v>
      </c>
      <c r="AK15" s="49" t="n">
        <v>31.81</v>
      </c>
      <c r="AL15" s="49" t="n">
        <v>0</v>
      </c>
      <c r="AM15" s="36" t="n">
        <v>167</v>
      </c>
      <c r="AN15" s="36" t="n">
        <v>1472</v>
      </c>
      <c r="AO15" s="36" t="n">
        <v>1639</v>
      </c>
      <c r="AP15" s="50" t="n">
        <v>0.8981086028065893</v>
      </c>
      <c r="AQ15" s="36" t="n">
        <v>49</v>
      </c>
      <c r="AR15" s="36" t="n">
        <v>330</v>
      </c>
      <c r="AS15" s="36" t="n">
        <v>379</v>
      </c>
      <c r="AT15" s="50" t="n">
        <v>0.8707124010554089</v>
      </c>
      <c r="AU15" s="36" t="n">
        <v>100</v>
      </c>
      <c r="AV15" s="36" t="n">
        <v>1090</v>
      </c>
      <c r="AW15" s="36" t="n">
        <v>1190</v>
      </c>
      <c r="AX15" s="50" t="n">
        <v>0.9159663865546218</v>
      </c>
      <c r="AY15" s="36" t="n">
        <v>45</v>
      </c>
      <c r="AZ15" s="36" t="n">
        <v>285</v>
      </c>
      <c r="BA15" s="36" t="n">
        <v>330</v>
      </c>
      <c r="BB15" s="50" t="n">
        <v>0.8636363636363636</v>
      </c>
    </row>
    <row r="16">
      <c r="A16" t="inlineStr">
        <is>
          <t>R02_Sumbagsel</t>
        </is>
      </c>
      <c r="B16" t="inlineStr">
        <is>
          <t>NOP MUARA ENIM</t>
        </is>
      </c>
      <c r="C16" s="46" t="n">
        <v>3.96</v>
      </c>
      <c r="D16" s="46" t="n">
        <v>4.303000000000001</v>
      </c>
      <c r="E16" s="47" t="n">
        <v>4.476000000000002</v>
      </c>
      <c r="F16" s="47" t="n">
        <v>5.756000000000003</v>
      </c>
      <c r="G16" s="36" t="n">
        <v>1180</v>
      </c>
      <c r="H16" s="36" t="n">
        <v>611</v>
      </c>
      <c r="I16" s="36" t="n">
        <v>1791</v>
      </c>
      <c r="J16" s="48" t="n">
        <v>0.3411501954215522</v>
      </c>
      <c r="K16" s="36" t="n">
        <v>152</v>
      </c>
      <c r="L16" s="36" t="n">
        <v>121</v>
      </c>
      <c r="M16" s="36" t="n">
        <v>273</v>
      </c>
      <c r="N16" s="48" t="n">
        <v>0.4432234432234432</v>
      </c>
      <c r="O16" s="36" t="n">
        <v>1028</v>
      </c>
      <c r="P16" s="36" t="n">
        <v>490</v>
      </c>
      <c r="Q16" s="36" t="n">
        <v>1518</v>
      </c>
      <c r="R16" s="48" t="n">
        <v>0.3227931488801054</v>
      </c>
      <c r="S16" s="36" t="n">
        <v>38</v>
      </c>
      <c r="T16" s="36" t="n">
        <v>83</v>
      </c>
      <c r="U16" s="36" t="n">
        <v>121</v>
      </c>
      <c r="V16" s="48" t="n">
        <v>0.6859504132231405</v>
      </c>
      <c r="W16" s="36" t="n">
        <v>35</v>
      </c>
      <c r="X16" s="36" t="n">
        <v>83</v>
      </c>
      <c r="Y16" s="36" t="n">
        <v>118</v>
      </c>
      <c r="Z16" s="48" t="n">
        <v>0.7033898305084746</v>
      </c>
      <c r="AA16" s="36" t="n">
        <v>1689</v>
      </c>
      <c r="AB16" s="36" t="n">
        <v>1791</v>
      </c>
      <c r="AC16" s="48" t="n">
        <v>0.9430485762144054</v>
      </c>
      <c r="AD16" s="36" t="n">
        <v>1484</v>
      </c>
      <c r="AE16" s="36" t="n">
        <v>307</v>
      </c>
      <c r="AF16" s="36" t="n">
        <v>1791</v>
      </c>
      <c r="AG16" s="48" t="n">
        <v>0.1714126186487996</v>
      </c>
      <c r="AH16" s="49" t="n">
        <v>0</v>
      </c>
      <c r="AI16" s="49" t="n">
        <v>16.27000000000006</v>
      </c>
      <c r="AJ16" s="49" t="n">
        <v>11.222</v>
      </c>
      <c r="AK16" s="49" t="n">
        <v>6</v>
      </c>
      <c r="AL16" s="49" t="n">
        <v>0</v>
      </c>
      <c r="AM16" s="36" t="n">
        <v>1382</v>
      </c>
      <c r="AN16" s="36" t="n">
        <v>1574</v>
      </c>
      <c r="AO16" s="36" t="n">
        <v>2956</v>
      </c>
      <c r="AP16" s="50" t="n">
        <v>0.5324763193504736</v>
      </c>
      <c r="AQ16" s="36" t="n">
        <v>698</v>
      </c>
      <c r="AR16" s="36" t="n">
        <v>592</v>
      </c>
      <c r="AS16" s="36" t="n">
        <v>1290</v>
      </c>
      <c r="AT16" s="50" t="n">
        <v>0.4589147286821705</v>
      </c>
      <c r="AU16" s="36" t="n">
        <v>584</v>
      </c>
      <c r="AV16" s="36" t="n">
        <v>912</v>
      </c>
      <c r="AW16" s="36" t="n">
        <v>1496</v>
      </c>
      <c r="AX16" s="50" t="n">
        <v>0.6096256684491979</v>
      </c>
      <c r="AY16" s="36" t="n">
        <v>147</v>
      </c>
      <c r="AZ16" s="36" t="n">
        <v>445</v>
      </c>
      <c r="BA16" s="36" t="n">
        <v>592</v>
      </c>
      <c r="BB16" s="50" t="n">
        <v>0.7516891891891891</v>
      </c>
    </row>
    <row r="17">
      <c r="A17" t="inlineStr">
        <is>
          <t>R02_Sumbagsel</t>
        </is>
      </c>
      <c r="B17" t="inlineStr">
        <is>
          <t>NOP PALEMBANG</t>
        </is>
      </c>
      <c r="C17" s="46" t="n">
        <v>2.245000000000001</v>
      </c>
      <c r="D17" s="46" t="n">
        <v>3.711000000000001</v>
      </c>
      <c r="E17" s="47" t="n">
        <v>5.176000000000001</v>
      </c>
      <c r="F17" s="47" t="n">
        <v>6.39</v>
      </c>
      <c r="G17" s="36" t="n">
        <v>1527</v>
      </c>
      <c r="H17" s="36" t="n">
        <v>596</v>
      </c>
      <c r="I17" s="36" t="n">
        <v>2123</v>
      </c>
      <c r="J17" s="48" t="n">
        <v>0.2807348092322186</v>
      </c>
      <c r="K17" s="36" t="n">
        <v>192</v>
      </c>
      <c r="L17" s="36" t="n">
        <v>60</v>
      </c>
      <c r="M17" s="36" t="n">
        <v>252</v>
      </c>
      <c r="N17" s="48" t="n">
        <v>0.2380952380952381</v>
      </c>
      <c r="O17" s="36" t="n">
        <v>1335</v>
      </c>
      <c r="P17" s="36" t="n">
        <v>536</v>
      </c>
      <c r="Q17" s="36" t="n">
        <v>1871</v>
      </c>
      <c r="R17" s="48" t="n">
        <v>0.2864778193479423</v>
      </c>
      <c r="S17" s="36" t="n">
        <v>30</v>
      </c>
      <c r="T17" s="36" t="n">
        <v>30</v>
      </c>
      <c r="U17" s="36" t="n">
        <v>60</v>
      </c>
      <c r="V17" s="48" t="n">
        <v>0.5</v>
      </c>
      <c r="W17" s="36" t="n">
        <v>30</v>
      </c>
      <c r="X17" s="36" t="n">
        <v>30</v>
      </c>
      <c r="Y17" s="36" t="n">
        <v>60</v>
      </c>
      <c r="Z17" s="48" t="n">
        <v>0.5</v>
      </c>
      <c r="AA17" s="36" t="n">
        <v>2079</v>
      </c>
      <c r="AB17" s="36" t="n">
        <v>2123</v>
      </c>
      <c r="AC17" s="48" t="n">
        <v>0.9792746113989638</v>
      </c>
      <c r="AD17" s="36" t="n">
        <v>1888</v>
      </c>
      <c r="AE17" s="36" t="n">
        <v>235</v>
      </c>
      <c r="AF17" s="36" t="n">
        <v>2123</v>
      </c>
      <c r="AG17" s="48" t="n">
        <v>0.1106924163918983</v>
      </c>
      <c r="AH17" s="49" t="n">
        <v>0</v>
      </c>
      <c r="AI17" s="49" t="n">
        <v>3.128</v>
      </c>
      <c r="AJ17" s="49" t="n">
        <v>9.439000000000023</v>
      </c>
      <c r="AK17" s="49" t="n">
        <v>17.96</v>
      </c>
      <c r="AL17" s="49" t="n">
        <v>0</v>
      </c>
      <c r="AM17" s="36" t="n">
        <v>2424</v>
      </c>
      <c r="AN17" s="36" t="n">
        <v>401</v>
      </c>
      <c r="AO17" s="36" t="n">
        <v>2825</v>
      </c>
      <c r="AP17" s="50" t="n">
        <v>0.1419469026548673</v>
      </c>
      <c r="AQ17" s="36" t="n">
        <v>1366</v>
      </c>
      <c r="AR17" s="36" t="n">
        <v>187</v>
      </c>
      <c r="AS17" s="36" t="n">
        <v>1553</v>
      </c>
      <c r="AT17" s="50" t="n">
        <v>0.1204121056020605</v>
      </c>
      <c r="AU17" s="36" t="n">
        <v>814</v>
      </c>
      <c r="AV17" s="36" t="n">
        <v>213</v>
      </c>
      <c r="AW17" s="36" t="n">
        <v>1027</v>
      </c>
      <c r="AX17" s="50" t="n">
        <v>0.2074001947419669</v>
      </c>
      <c r="AY17" s="36" t="n">
        <v>68</v>
      </c>
      <c r="AZ17" s="36" t="n">
        <v>119</v>
      </c>
      <c r="BA17" s="36" t="n">
        <v>187</v>
      </c>
      <c r="BB17" s="50" t="n">
        <v>0.6363636363636364</v>
      </c>
    </row>
    <row r="18">
      <c r="A18" t="inlineStr">
        <is>
          <t>R02_Sumbagsel</t>
        </is>
      </c>
      <c r="B18" t="inlineStr">
        <is>
          <t>NOP PANGKAL PINANG</t>
        </is>
      </c>
      <c r="C18" s="46" t="n">
        <v>0</v>
      </c>
      <c r="D18" s="46" t="n">
        <v>3.539</v>
      </c>
      <c r="E18" s="47" t="n">
        <v>5.19</v>
      </c>
      <c r="F18" s="47" t="n">
        <v>4.993</v>
      </c>
      <c r="G18" s="36" t="n">
        <v>70</v>
      </c>
      <c r="H18" s="36" t="n">
        <v>221</v>
      </c>
      <c r="I18" s="36" t="n">
        <v>291</v>
      </c>
      <c r="J18" s="48" t="n">
        <v>0.7594501718213058</v>
      </c>
      <c r="K18" s="36" t="n">
        <v>3</v>
      </c>
      <c r="L18" s="36" t="n">
        <v>9</v>
      </c>
      <c r="M18" s="36" t="n">
        <v>12</v>
      </c>
      <c r="N18" s="48" t="n">
        <v>0.75</v>
      </c>
      <c r="O18" s="36" t="n">
        <v>67</v>
      </c>
      <c r="P18" s="36" t="n">
        <v>212</v>
      </c>
      <c r="Q18" s="36" t="n">
        <v>279</v>
      </c>
      <c r="R18" s="48" t="n">
        <v>0.7598566308243727</v>
      </c>
      <c r="S18" s="36" t="n">
        <v>4</v>
      </c>
      <c r="T18" s="36" t="n">
        <v>5</v>
      </c>
      <c r="U18" s="36" t="n">
        <v>9</v>
      </c>
      <c r="V18" s="48" t="n">
        <v>0.5555555555555556</v>
      </c>
      <c r="W18" s="36" t="n">
        <v>4</v>
      </c>
      <c r="X18" s="36" t="n">
        <v>5</v>
      </c>
      <c r="Y18" s="36" t="n">
        <v>9</v>
      </c>
      <c r="Z18" s="48" t="n">
        <v>0.5555555555555556</v>
      </c>
      <c r="AA18" s="36" t="n">
        <v>290</v>
      </c>
      <c r="AB18" s="36" t="n">
        <v>291</v>
      </c>
      <c r="AC18" s="48" t="n">
        <v>0.9965635738831615</v>
      </c>
      <c r="AD18" s="36" t="n">
        <v>155</v>
      </c>
      <c r="AE18" s="36" t="n">
        <v>136</v>
      </c>
      <c r="AF18" s="36" t="n">
        <v>291</v>
      </c>
      <c r="AG18" s="48" t="n">
        <v>0.4673539518900344</v>
      </c>
      <c r="AH18" s="49" t="n">
        <v>0</v>
      </c>
      <c r="AI18" s="49" t="n">
        <v>4.01</v>
      </c>
      <c r="AJ18" s="49" t="n">
        <v>6.808000000000006</v>
      </c>
      <c r="AK18" s="49" t="n">
        <v>6.056999999999999</v>
      </c>
      <c r="AL18" s="49" t="n">
        <v>0</v>
      </c>
      <c r="AM18" s="36" t="n">
        <v>87</v>
      </c>
      <c r="AN18" s="36" t="n">
        <v>1099</v>
      </c>
      <c r="AO18" s="36" t="n">
        <v>1186</v>
      </c>
      <c r="AP18" s="50" t="n">
        <v>0.9266441821247892</v>
      </c>
      <c r="AQ18" s="36" t="n">
        <v>29</v>
      </c>
      <c r="AR18" s="36" t="n">
        <v>332</v>
      </c>
      <c r="AS18" s="36" t="n">
        <v>361</v>
      </c>
      <c r="AT18" s="50" t="n">
        <v>0.9196675900277008</v>
      </c>
      <c r="AU18" s="36" t="n">
        <v>48</v>
      </c>
      <c r="AV18" s="36" t="n">
        <v>733</v>
      </c>
      <c r="AW18" s="36" t="n">
        <v>781</v>
      </c>
      <c r="AX18" s="50" t="n">
        <v>0.9385403329065301</v>
      </c>
      <c r="AY18" s="36" t="n">
        <v>67</v>
      </c>
      <c r="AZ18" s="36" t="n">
        <v>265</v>
      </c>
      <c r="BA18" s="36" t="n">
        <v>332</v>
      </c>
      <c r="BB18" s="50" t="n">
        <v>0.7981927710843374</v>
      </c>
    </row>
    <row r="19">
      <c r="A19" t="inlineStr">
        <is>
          <t>R05_Jawa Tengah DIY</t>
        </is>
      </c>
      <c r="B19" t="inlineStr">
        <is>
          <t>NOP MAGELANG</t>
        </is>
      </c>
      <c r="C19" s="46" t="n">
        <v>3.72</v>
      </c>
      <c r="D19" s="46" t="n">
        <v>0</v>
      </c>
      <c r="E19" s="47" t="n">
        <v>2.498</v>
      </c>
      <c r="F19" s="47" t="n">
        <v>3.07</v>
      </c>
      <c r="G19" s="36" t="n">
        <v>39</v>
      </c>
      <c r="H19" s="36" t="n">
        <v>186</v>
      </c>
      <c r="I19" s="36" t="n">
        <v>225</v>
      </c>
      <c r="J19" s="48" t="n">
        <v>0.8266666666666667</v>
      </c>
      <c r="K19" s="36" t="n">
        <v>1</v>
      </c>
      <c r="L19" s="36" t="n">
        <v>10</v>
      </c>
      <c r="M19" s="36" t="n">
        <v>11</v>
      </c>
      <c r="N19" s="48" t="n">
        <v>0.9090909090909091</v>
      </c>
      <c r="O19" s="36" t="n">
        <v>38</v>
      </c>
      <c r="P19" s="36" t="n">
        <v>176</v>
      </c>
      <c r="Q19" s="36" t="n">
        <v>214</v>
      </c>
      <c r="R19" s="48" t="n">
        <v>0.8224299065420561</v>
      </c>
      <c r="S19" s="36" t="n">
        <v>0</v>
      </c>
      <c r="T19" s="36" t="n">
        <v>10</v>
      </c>
      <c r="U19" s="36" t="n">
        <v>10</v>
      </c>
      <c r="V19" s="48" t="n">
        <v>1</v>
      </c>
      <c r="W19" s="36" t="n">
        <v>0</v>
      </c>
      <c r="X19" s="36" t="n">
        <v>10</v>
      </c>
      <c r="Y19" s="36" t="n">
        <v>10</v>
      </c>
      <c r="Z19" s="48" t="n">
        <v>1</v>
      </c>
      <c r="AA19" s="36" t="n">
        <v>225</v>
      </c>
      <c r="AB19" s="36" t="n">
        <v>225</v>
      </c>
      <c r="AC19" s="48" t="n">
        <v>1</v>
      </c>
      <c r="AD19" s="36" t="n">
        <v>74</v>
      </c>
      <c r="AE19" s="36" t="n">
        <v>151</v>
      </c>
      <c r="AF19" s="36" t="n">
        <v>225</v>
      </c>
      <c r="AG19" s="48" t="n">
        <v>0.6711111111111111</v>
      </c>
      <c r="AH19" s="49" t="n">
        <v>0</v>
      </c>
      <c r="AI19" s="49" t="n">
        <v>2.211</v>
      </c>
      <c r="AJ19" s="49" t="n">
        <v>5.381000000000002</v>
      </c>
      <c r="AK19" s="49" t="n">
        <v>14.198</v>
      </c>
      <c r="AL19" s="49" t="n">
        <v>0</v>
      </c>
      <c r="AM19" s="36" t="n">
        <v>47</v>
      </c>
      <c r="AN19" s="36" t="n">
        <v>823</v>
      </c>
      <c r="AO19" s="36" t="n">
        <v>870</v>
      </c>
      <c r="AP19" s="50" t="n">
        <v>0.9459770114942528</v>
      </c>
      <c r="AQ19" s="36" t="n">
        <v>15</v>
      </c>
      <c r="AR19" s="36" t="n">
        <v>119</v>
      </c>
      <c r="AS19" s="36" t="n">
        <v>134</v>
      </c>
      <c r="AT19" s="50" t="n">
        <v>0.8880597014925373</v>
      </c>
      <c r="AU19" s="36" t="n">
        <v>32</v>
      </c>
      <c r="AV19" s="36" t="n">
        <v>704</v>
      </c>
      <c r="AW19" s="36" t="n">
        <v>736</v>
      </c>
      <c r="AX19" s="50" t="n">
        <v>0.9565217391304348</v>
      </c>
      <c r="AY19" s="36" t="n">
        <v>8</v>
      </c>
      <c r="AZ19" s="36" t="n">
        <v>111</v>
      </c>
      <c r="BA19" s="36" t="n">
        <v>119</v>
      </c>
      <c r="BB19" s="50" t="n">
        <v>0.9327731092436975</v>
      </c>
    </row>
    <row r="20">
      <c r="A20" t="inlineStr">
        <is>
          <t>R05_Jawa Tengah DIY</t>
        </is>
      </c>
      <c r="B20" t="inlineStr">
        <is>
          <t>NOP PEKALONGAN</t>
        </is>
      </c>
      <c r="C20" s="46" t="n">
        <v>4.485</v>
      </c>
      <c r="D20" s="46" t="n">
        <v>0</v>
      </c>
      <c r="E20" s="47" t="n">
        <v>3.284</v>
      </c>
      <c r="F20" s="47" t="n">
        <v>5.778000000000001</v>
      </c>
      <c r="G20" s="36" t="n">
        <v>42</v>
      </c>
      <c r="H20" s="36" t="n">
        <v>126</v>
      </c>
      <c r="I20" s="36" t="n">
        <v>168</v>
      </c>
      <c r="J20" s="48" t="n">
        <v>0.75</v>
      </c>
      <c r="K20" s="36" t="n">
        <v>4</v>
      </c>
      <c r="L20" s="36" t="n">
        <v>12</v>
      </c>
      <c r="M20" s="36" t="n">
        <v>16</v>
      </c>
      <c r="N20" s="48" t="n">
        <v>0.75</v>
      </c>
      <c r="O20" s="36" t="n">
        <v>38</v>
      </c>
      <c r="P20" s="36" t="n">
        <v>114</v>
      </c>
      <c r="Q20" s="36" t="n">
        <v>152</v>
      </c>
      <c r="R20" s="48" t="n">
        <v>0.75</v>
      </c>
      <c r="S20" s="36" t="n">
        <v>0</v>
      </c>
      <c r="T20" s="36" t="n">
        <v>12</v>
      </c>
      <c r="U20" s="36" t="n">
        <v>12</v>
      </c>
      <c r="V20" s="48" t="n">
        <v>1</v>
      </c>
      <c r="W20" s="36" t="n">
        <v>0</v>
      </c>
      <c r="X20" s="36" t="n">
        <v>12</v>
      </c>
      <c r="Y20" s="36" t="n">
        <v>12</v>
      </c>
      <c r="Z20" s="48" t="n">
        <v>1</v>
      </c>
      <c r="AA20" s="36" t="n">
        <v>158</v>
      </c>
      <c r="AB20" s="36" t="n">
        <v>168</v>
      </c>
      <c r="AC20" s="48" t="n">
        <v>0.9404761904761905</v>
      </c>
      <c r="AD20" s="36" t="n">
        <v>73</v>
      </c>
      <c r="AE20" s="36" t="n">
        <v>95</v>
      </c>
      <c r="AF20" s="36" t="n">
        <v>168</v>
      </c>
      <c r="AG20" s="48" t="n">
        <v>0.5654761904761905</v>
      </c>
      <c r="AH20" s="49" t="n">
        <v>0.12</v>
      </c>
      <c r="AI20" s="49" t="n">
        <v>3.369</v>
      </c>
      <c r="AJ20" s="49" t="n">
        <v>6.936000000000002</v>
      </c>
      <c r="AK20" s="49" t="n">
        <v>47.535</v>
      </c>
      <c r="AL20" s="49" t="n">
        <v>0</v>
      </c>
      <c r="AM20" s="36" t="n">
        <v>78</v>
      </c>
      <c r="AN20" s="36" t="n">
        <v>431</v>
      </c>
      <c r="AO20" s="36" t="n">
        <v>509</v>
      </c>
      <c r="AP20" s="50" t="n">
        <v>0.8467583497053045</v>
      </c>
      <c r="AQ20" s="36" t="n">
        <v>29</v>
      </c>
      <c r="AR20" s="36" t="n">
        <v>94</v>
      </c>
      <c r="AS20" s="36" t="n">
        <v>123</v>
      </c>
      <c r="AT20" s="50" t="n">
        <v>0.7642276422764228</v>
      </c>
      <c r="AU20" s="36" t="n">
        <v>48</v>
      </c>
      <c r="AV20" s="36" t="n">
        <v>337</v>
      </c>
      <c r="AW20" s="36" t="n">
        <v>385</v>
      </c>
      <c r="AX20" s="50" t="n">
        <v>0.8753246753246753</v>
      </c>
      <c r="AY20" s="36" t="n">
        <v>44</v>
      </c>
      <c r="AZ20" s="36" t="n">
        <v>50</v>
      </c>
      <c r="BA20" s="36" t="n">
        <v>94</v>
      </c>
      <c r="BB20" s="50" t="n">
        <v>0.5319148936170213</v>
      </c>
    </row>
    <row r="21">
      <c r="A21" t="inlineStr">
        <is>
          <t>R05_Jawa Tengah DIY</t>
        </is>
      </c>
      <c r="B21" t="inlineStr">
        <is>
          <t>NOP PURWOKERTO</t>
        </is>
      </c>
      <c r="C21" s="46" t="n">
        <v>3.654000000000002</v>
      </c>
      <c r="D21" s="46" t="n">
        <v>3.136</v>
      </c>
      <c r="E21" s="47" t="n">
        <v>2.901999999999999</v>
      </c>
      <c r="F21" s="47" t="n">
        <v>3.691999999999999</v>
      </c>
      <c r="G21" s="36" t="n">
        <v>84</v>
      </c>
      <c r="H21" s="36" t="n">
        <v>157</v>
      </c>
      <c r="I21" s="36" t="n">
        <v>241</v>
      </c>
      <c r="J21" s="48" t="n">
        <v>0.6514522821576764</v>
      </c>
      <c r="K21" s="36" t="n">
        <v>5</v>
      </c>
      <c r="L21" s="36" t="n">
        <v>20</v>
      </c>
      <c r="M21" s="36" t="n">
        <v>25</v>
      </c>
      <c r="N21" s="48" t="n">
        <v>0.8</v>
      </c>
      <c r="O21" s="36" t="n">
        <v>79</v>
      </c>
      <c r="P21" s="36" t="n">
        <v>137</v>
      </c>
      <c r="Q21" s="36" t="n">
        <v>216</v>
      </c>
      <c r="R21" s="48" t="n">
        <v>0.6342592592592593</v>
      </c>
      <c r="S21" s="36" t="n">
        <v>2</v>
      </c>
      <c r="T21" s="36" t="n">
        <v>18</v>
      </c>
      <c r="U21" s="36" t="n">
        <v>20</v>
      </c>
      <c r="V21" s="48" t="n">
        <v>0.9</v>
      </c>
      <c r="W21" s="36" t="n">
        <v>2</v>
      </c>
      <c r="X21" s="36" t="n">
        <v>18</v>
      </c>
      <c r="Y21" s="36" t="n">
        <v>20</v>
      </c>
      <c r="Z21" s="48" t="n">
        <v>0.9</v>
      </c>
      <c r="AA21" s="36" t="n">
        <v>233</v>
      </c>
      <c r="AB21" s="36" t="n">
        <v>241</v>
      </c>
      <c r="AC21" s="48" t="n">
        <v>0.966804979253112</v>
      </c>
      <c r="AD21" s="36" t="n">
        <v>151</v>
      </c>
      <c r="AE21" s="36" t="n">
        <v>90</v>
      </c>
      <c r="AF21" s="36" t="n">
        <v>241</v>
      </c>
      <c r="AG21" s="48" t="n">
        <v>0.3734439834024896</v>
      </c>
      <c r="AH21" s="49" t="n">
        <v>1.035</v>
      </c>
      <c r="AI21" s="49" t="n">
        <v>5.113</v>
      </c>
      <c r="AJ21" s="49" t="n">
        <v>6.854</v>
      </c>
      <c r="AK21" s="49" t="n">
        <v>26.488</v>
      </c>
      <c r="AL21" s="49" t="n">
        <v>0</v>
      </c>
      <c r="AM21" s="36" t="n">
        <v>54</v>
      </c>
      <c r="AN21" s="36" t="n">
        <v>294</v>
      </c>
      <c r="AO21" s="36" t="n">
        <v>348</v>
      </c>
      <c r="AP21" s="50" t="n">
        <v>0.8448275862068966</v>
      </c>
      <c r="AQ21" s="36" t="n">
        <v>19</v>
      </c>
      <c r="AR21" s="36" t="n">
        <v>97</v>
      </c>
      <c r="AS21" s="36" t="n">
        <v>116</v>
      </c>
      <c r="AT21" s="50" t="n">
        <v>0.8362068965517241</v>
      </c>
      <c r="AU21" s="36" t="n">
        <v>35</v>
      </c>
      <c r="AV21" s="36" t="n">
        <v>197</v>
      </c>
      <c r="AW21" s="36" t="n">
        <v>232</v>
      </c>
      <c r="AX21" s="50" t="n">
        <v>0.8491379310344828</v>
      </c>
      <c r="AY21" s="36" t="n">
        <v>37</v>
      </c>
      <c r="AZ21" s="36" t="n">
        <v>60</v>
      </c>
      <c r="BA21" s="36" t="n">
        <v>97</v>
      </c>
      <c r="BB21" s="50" t="n">
        <v>0.6185567010309279</v>
      </c>
    </row>
    <row r="22">
      <c r="A22" t="inlineStr">
        <is>
          <t>R05_Jawa Tengah DIY</t>
        </is>
      </c>
      <c r="B22" t="inlineStr">
        <is>
          <t>NOP SEMARANG</t>
        </is>
      </c>
      <c r="C22" s="46" t="n">
        <v>2.586</v>
      </c>
      <c r="D22" s="46" t="n">
        <v>2.57</v>
      </c>
      <c r="E22" s="47" t="n">
        <v>3.35</v>
      </c>
      <c r="F22" s="47" t="n">
        <v>3.624</v>
      </c>
      <c r="G22" s="36" t="n">
        <v>163</v>
      </c>
      <c r="H22" s="36" t="n">
        <v>436</v>
      </c>
      <c r="I22" s="36" t="n">
        <v>599</v>
      </c>
      <c r="J22" s="48" t="n">
        <v>0.7278797996661102</v>
      </c>
      <c r="K22" s="36" t="n">
        <v>6</v>
      </c>
      <c r="L22" s="36" t="n">
        <v>44</v>
      </c>
      <c r="M22" s="36" t="n">
        <v>50</v>
      </c>
      <c r="N22" s="48" t="n">
        <v>0.88</v>
      </c>
      <c r="O22" s="36" t="n">
        <v>157</v>
      </c>
      <c r="P22" s="36" t="n">
        <v>392</v>
      </c>
      <c r="Q22" s="36" t="n">
        <v>549</v>
      </c>
      <c r="R22" s="48" t="n">
        <v>0.7140255009107468</v>
      </c>
      <c r="S22" s="36" t="n">
        <v>4</v>
      </c>
      <c r="T22" s="36" t="n">
        <v>40</v>
      </c>
      <c r="U22" s="36" t="n">
        <v>44</v>
      </c>
      <c r="V22" s="48" t="n">
        <v>0.9090909090909091</v>
      </c>
      <c r="W22" s="36" t="n">
        <v>4</v>
      </c>
      <c r="X22" s="36" t="n">
        <v>40</v>
      </c>
      <c r="Y22" s="36" t="n">
        <v>44</v>
      </c>
      <c r="Z22" s="48" t="n">
        <v>0.9090909090909091</v>
      </c>
      <c r="AA22" s="36" t="n">
        <v>558</v>
      </c>
      <c r="AB22" s="36" t="n">
        <v>599</v>
      </c>
      <c r="AC22" s="48" t="n">
        <v>0.9315525876460768</v>
      </c>
      <c r="AD22" s="36" t="n">
        <v>302</v>
      </c>
      <c r="AE22" s="36" t="n">
        <v>297</v>
      </c>
      <c r="AF22" s="36" t="n">
        <v>599</v>
      </c>
      <c r="AG22" s="48" t="n">
        <v>0.4958263772954925</v>
      </c>
      <c r="AH22" s="49" t="n">
        <v>2.51</v>
      </c>
      <c r="AI22" s="49" t="n">
        <v>6.598000000000004</v>
      </c>
      <c r="AJ22" s="49" t="n">
        <v>5.942</v>
      </c>
      <c r="AK22" s="49" t="n">
        <v>49.179</v>
      </c>
      <c r="AL22" s="49" t="n">
        <v>0</v>
      </c>
      <c r="AM22" s="36" t="n">
        <v>67</v>
      </c>
      <c r="AN22" s="36" t="n">
        <v>540</v>
      </c>
      <c r="AO22" s="36" t="n">
        <v>607</v>
      </c>
      <c r="AP22" s="50" t="n">
        <v>0.8896210873146623</v>
      </c>
      <c r="AQ22" s="36" t="n">
        <v>40</v>
      </c>
      <c r="AR22" s="36" t="n">
        <v>198</v>
      </c>
      <c r="AS22" s="36" t="n">
        <v>238</v>
      </c>
      <c r="AT22" s="50" t="n">
        <v>0.8319327731092437</v>
      </c>
      <c r="AU22" s="36" t="n">
        <v>27</v>
      </c>
      <c r="AV22" s="36" t="n">
        <v>342</v>
      </c>
      <c r="AW22" s="36" t="n">
        <v>369</v>
      </c>
      <c r="AX22" s="50" t="n">
        <v>0.926829268292683</v>
      </c>
      <c r="AY22" s="36" t="n">
        <v>28</v>
      </c>
      <c r="AZ22" s="36" t="n">
        <v>170</v>
      </c>
      <c r="BA22" s="36" t="n">
        <v>198</v>
      </c>
      <c r="BB22" s="50" t="n">
        <v>0.8585858585858586</v>
      </c>
    </row>
    <row r="23">
      <c r="A23" t="inlineStr">
        <is>
          <t>R05_Jawa Tengah DIY</t>
        </is>
      </c>
      <c r="B23" t="inlineStr">
        <is>
          <t>NOP SURAKARTA</t>
        </is>
      </c>
      <c r="C23" s="46" t="n">
        <v>1.78</v>
      </c>
      <c r="D23" s="46" t="n">
        <v>2.03</v>
      </c>
      <c r="E23" s="47" t="n">
        <v>3.38</v>
      </c>
      <c r="F23" s="47" t="n">
        <v>3.178</v>
      </c>
      <c r="G23" s="36" t="n">
        <v>116</v>
      </c>
      <c r="H23" s="36" t="n">
        <v>396</v>
      </c>
      <c r="I23" s="36" t="n">
        <v>512</v>
      </c>
      <c r="J23" s="48" t="n">
        <v>0.7734375</v>
      </c>
      <c r="K23" s="36" t="n">
        <v>8</v>
      </c>
      <c r="L23" s="36" t="n">
        <v>36</v>
      </c>
      <c r="M23" s="36" t="n">
        <v>44</v>
      </c>
      <c r="N23" s="48" t="n">
        <v>0.8181818181818182</v>
      </c>
      <c r="O23" s="36" t="n">
        <v>108</v>
      </c>
      <c r="P23" s="36" t="n">
        <v>360</v>
      </c>
      <c r="Q23" s="36" t="n">
        <v>468</v>
      </c>
      <c r="R23" s="48" t="n">
        <v>0.7692307692307693</v>
      </c>
      <c r="S23" s="36" t="n">
        <v>5</v>
      </c>
      <c r="T23" s="36" t="n">
        <v>31</v>
      </c>
      <c r="U23" s="36" t="n">
        <v>36</v>
      </c>
      <c r="V23" s="48" t="n">
        <v>0.8611111111111112</v>
      </c>
      <c r="W23" s="36" t="n">
        <v>5</v>
      </c>
      <c r="X23" s="36" t="n">
        <v>31</v>
      </c>
      <c r="Y23" s="36" t="n">
        <v>36</v>
      </c>
      <c r="Z23" s="48" t="n">
        <v>0.8611111111111112</v>
      </c>
      <c r="AA23" s="36" t="n">
        <v>493</v>
      </c>
      <c r="AB23" s="36" t="n">
        <v>512</v>
      </c>
      <c r="AC23" s="48" t="n">
        <v>0.962890625</v>
      </c>
      <c r="AD23" s="36" t="n">
        <v>238</v>
      </c>
      <c r="AE23" s="36" t="n">
        <v>274</v>
      </c>
      <c r="AF23" s="36" t="n">
        <v>512</v>
      </c>
      <c r="AG23" s="48" t="n">
        <v>0.53515625</v>
      </c>
      <c r="AH23" s="49" t="n">
        <v>0.2320000000000002</v>
      </c>
      <c r="AI23" s="49" t="n">
        <v>7.246000000000001</v>
      </c>
      <c r="AJ23" s="49" t="n">
        <v>5.39</v>
      </c>
      <c r="AK23" s="49" t="n">
        <v>49.99200000000001</v>
      </c>
      <c r="AL23" s="49" t="n">
        <v>0</v>
      </c>
      <c r="AM23" s="36" t="n">
        <v>132</v>
      </c>
      <c r="AN23" s="36" t="n">
        <v>537</v>
      </c>
      <c r="AO23" s="36" t="n">
        <v>669</v>
      </c>
      <c r="AP23" s="50" t="n">
        <v>0.8026905829596412</v>
      </c>
      <c r="AQ23" s="36" t="n">
        <v>81</v>
      </c>
      <c r="AR23" s="36" t="n">
        <v>159</v>
      </c>
      <c r="AS23" s="36" t="n">
        <v>240</v>
      </c>
      <c r="AT23" s="50" t="n">
        <v>0.6625</v>
      </c>
      <c r="AU23" s="36" t="n">
        <v>51</v>
      </c>
      <c r="AV23" s="36" t="n">
        <v>378</v>
      </c>
      <c r="AW23" s="36" t="n">
        <v>429</v>
      </c>
      <c r="AX23" s="50" t="n">
        <v>0.8811188811188811</v>
      </c>
      <c r="AY23" s="36" t="n">
        <v>59</v>
      </c>
      <c r="AZ23" s="36" t="n">
        <v>100</v>
      </c>
      <c r="BA23" s="36" t="n">
        <v>159</v>
      </c>
      <c r="BB23" s="50" t="n">
        <v>0.6289308176100629</v>
      </c>
    </row>
    <row r="24">
      <c r="A24" t="inlineStr">
        <is>
          <t>R05_Jawa Tengah DIY</t>
        </is>
      </c>
      <c r="B24" t="inlineStr">
        <is>
          <t>NOP YOGYAKARTA</t>
        </is>
      </c>
      <c r="C24" s="46" t="n">
        <v>3.235</v>
      </c>
      <c r="D24" s="46" t="n">
        <v>0</v>
      </c>
      <c r="E24" s="47" t="n">
        <v>2.799</v>
      </c>
      <c r="F24" s="47" t="n">
        <v>3.284</v>
      </c>
      <c r="G24" s="36" t="n">
        <v>75</v>
      </c>
      <c r="H24" s="36" t="n">
        <v>202</v>
      </c>
      <c r="I24" s="36" t="n">
        <v>277</v>
      </c>
      <c r="J24" s="48" t="n">
        <v>0.7292418772563177</v>
      </c>
      <c r="K24" s="36" t="n">
        <v>2</v>
      </c>
      <c r="L24" s="36" t="n">
        <v>14</v>
      </c>
      <c r="M24" s="36" t="n">
        <v>16</v>
      </c>
      <c r="N24" s="48" t="n">
        <v>0.875</v>
      </c>
      <c r="O24" s="36" t="n">
        <v>73</v>
      </c>
      <c r="P24" s="36" t="n">
        <v>188</v>
      </c>
      <c r="Q24" s="36" t="n">
        <v>261</v>
      </c>
      <c r="R24" s="48" t="n">
        <v>0.7203065134099617</v>
      </c>
      <c r="S24" s="36" t="n">
        <v>1</v>
      </c>
      <c r="T24" s="36" t="n">
        <v>13</v>
      </c>
      <c r="U24" s="36" t="n">
        <v>14</v>
      </c>
      <c r="V24" s="48" t="n">
        <v>0.9285714285714286</v>
      </c>
      <c r="W24" s="36" t="n">
        <v>1</v>
      </c>
      <c r="X24" s="36" t="n">
        <v>13</v>
      </c>
      <c r="Y24" s="36" t="n">
        <v>14</v>
      </c>
      <c r="Z24" s="48" t="n">
        <v>0.9285714285714286</v>
      </c>
      <c r="AA24" s="36" t="n">
        <v>274</v>
      </c>
      <c r="AB24" s="36" t="n">
        <v>277</v>
      </c>
      <c r="AC24" s="48" t="n">
        <v>0.9891696750902527</v>
      </c>
      <c r="AD24" s="36" t="n">
        <v>133</v>
      </c>
      <c r="AE24" s="36" t="n">
        <v>144</v>
      </c>
      <c r="AF24" s="36" t="n">
        <v>277</v>
      </c>
      <c r="AG24" s="48" t="n">
        <v>0.51985559566787</v>
      </c>
      <c r="AH24" s="49" t="n">
        <v>0</v>
      </c>
      <c r="AI24" s="49" t="n">
        <v>4.926000000000005</v>
      </c>
      <c r="AJ24" s="49" t="n">
        <v>6.615</v>
      </c>
      <c r="AK24" s="49" t="n">
        <v>26.26900000000002</v>
      </c>
      <c r="AL24" s="49" t="n">
        <v>0</v>
      </c>
      <c r="AM24" s="36" t="n">
        <v>40</v>
      </c>
      <c r="AN24" s="36" t="n">
        <v>563</v>
      </c>
      <c r="AO24" s="36" t="n">
        <v>603</v>
      </c>
      <c r="AP24" s="50" t="n">
        <v>0.9336650082918739</v>
      </c>
      <c r="AQ24" s="36" t="n">
        <v>15</v>
      </c>
      <c r="AR24" s="36" t="n">
        <v>164</v>
      </c>
      <c r="AS24" s="36" t="n">
        <v>179</v>
      </c>
      <c r="AT24" s="50" t="n">
        <v>0.9162011173184358</v>
      </c>
      <c r="AU24" s="36" t="n">
        <v>25</v>
      </c>
      <c r="AV24" s="36" t="n">
        <v>399</v>
      </c>
      <c r="AW24" s="36" t="n">
        <v>424</v>
      </c>
      <c r="AX24" s="50" t="n">
        <v>0.9410377358490566</v>
      </c>
      <c r="AY24" s="36" t="n">
        <v>8</v>
      </c>
      <c r="AZ24" s="36" t="n">
        <v>156</v>
      </c>
      <c r="BA24" s="36" t="n">
        <v>164</v>
      </c>
      <c r="BB24" s="50" t="n">
        <v>0.9512195121951219</v>
      </c>
    </row>
    <row r="25">
      <c r="A25" t="inlineStr">
        <is>
          <t>R06_Jawa Timur</t>
        </is>
      </c>
      <c r="B25" t="inlineStr">
        <is>
          <t>NOP JEMBER</t>
        </is>
      </c>
      <c r="C25" s="46" t="n">
        <v>2.019</v>
      </c>
      <c r="D25" s="46" t="n">
        <v>0.4</v>
      </c>
      <c r="E25" s="47" t="n">
        <v>2.79</v>
      </c>
      <c r="F25" s="47" t="n">
        <v>2.439000000000001</v>
      </c>
      <c r="G25" s="36" t="n">
        <v>51</v>
      </c>
      <c r="H25" s="36" t="n">
        <v>171</v>
      </c>
      <c r="I25" s="36" t="n">
        <v>222</v>
      </c>
      <c r="J25" s="48" t="n">
        <v>0.7702702702702703</v>
      </c>
      <c r="K25" s="36" t="n">
        <v>2</v>
      </c>
      <c r="L25" s="36" t="n">
        <v>12</v>
      </c>
      <c r="M25" s="36" t="n">
        <v>14</v>
      </c>
      <c r="N25" s="48" t="n">
        <v>0.8571428571428571</v>
      </c>
      <c r="O25" s="36" t="n">
        <v>49</v>
      </c>
      <c r="P25" s="36" t="n">
        <v>159</v>
      </c>
      <c r="Q25" s="36" t="n">
        <v>208</v>
      </c>
      <c r="R25" s="48" t="n">
        <v>0.7644230769230769</v>
      </c>
      <c r="S25" s="36" t="n">
        <v>2</v>
      </c>
      <c r="T25" s="36" t="n">
        <v>10</v>
      </c>
      <c r="U25" s="36" t="n">
        <v>12</v>
      </c>
      <c r="V25" s="48" t="n">
        <v>0.8333333333333334</v>
      </c>
      <c r="W25" s="36" t="n">
        <v>2</v>
      </c>
      <c r="X25" s="36" t="n">
        <v>10</v>
      </c>
      <c r="Y25" s="36" t="n">
        <v>12</v>
      </c>
      <c r="Z25" s="48" t="n">
        <v>0.8333333333333334</v>
      </c>
      <c r="AA25" s="36" t="n">
        <v>220</v>
      </c>
      <c r="AB25" s="36" t="n">
        <v>222</v>
      </c>
      <c r="AC25" s="48" t="n">
        <v>0.990990990990991</v>
      </c>
      <c r="AD25" s="36" t="n">
        <v>117</v>
      </c>
      <c r="AE25" s="36" t="n">
        <v>105</v>
      </c>
      <c r="AF25" s="36" t="n">
        <v>222</v>
      </c>
      <c r="AG25" s="48" t="n">
        <v>0.472972972972973</v>
      </c>
      <c r="AH25" s="49" t="n">
        <v>0</v>
      </c>
      <c r="AI25" s="49" t="n">
        <v>2.494</v>
      </c>
      <c r="AJ25" s="49" t="n">
        <v>5.676000000000001</v>
      </c>
      <c r="AK25" s="49" t="n">
        <v>77.98999999999999</v>
      </c>
      <c r="AL25" s="49" t="n">
        <v>0</v>
      </c>
      <c r="AM25" s="36" t="n">
        <v>66</v>
      </c>
      <c r="AN25" s="36" t="n">
        <v>301</v>
      </c>
      <c r="AO25" s="36" t="n">
        <v>367</v>
      </c>
      <c r="AP25" s="50" t="n">
        <v>0.8201634877384196</v>
      </c>
      <c r="AQ25" s="36" t="n">
        <v>29</v>
      </c>
      <c r="AR25" s="36" t="n">
        <v>80</v>
      </c>
      <c r="AS25" s="36" t="n">
        <v>109</v>
      </c>
      <c r="AT25" s="50" t="n">
        <v>0.7339449541284404</v>
      </c>
      <c r="AU25" s="36" t="n">
        <v>37</v>
      </c>
      <c r="AV25" s="36" t="n">
        <v>221</v>
      </c>
      <c r="AW25" s="36" t="n">
        <v>258</v>
      </c>
      <c r="AX25" s="50" t="n">
        <v>0.8565891472868217</v>
      </c>
      <c r="AY25" s="36" t="n">
        <v>16</v>
      </c>
      <c r="AZ25" s="36" t="n">
        <v>64</v>
      </c>
      <c r="BA25" s="36" t="n">
        <v>80</v>
      </c>
      <c r="BB25" s="50" t="n">
        <v>0.8</v>
      </c>
    </row>
    <row r="26">
      <c r="A26" t="inlineStr">
        <is>
          <t>R06_Jawa Timur</t>
        </is>
      </c>
      <c r="B26" t="inlineStr">
        <is>
          <t>NOP KEDIRI</t>
        </is>
      </c>
      <c r="C26" s="46" t="n">
        <v>2.036</v>
      </c>
      <c r="D26" s="46" t="n">
        <v>0</v>
      </c>
      <c r="E26" s="47" t="n">
        <v>2.152</v>
      </c>
      <c r="F26" s="47" t="n">
        <v>2.705</v>
      </c>
      <c r="G26" s="36" t="n">
        <v>26</v>
      </c>
      <c r="H26" s="36" t="n">
        <v>145</v>
      </c>
      <c r="I26" s="36" t="n">
        <v>171</v>
      </c>
      <c r="J26" s="48" t="n">
        <v>0.847953216374269</v>
      </c>
      <c r="K26" s="36" t="n">
        <v>0</v>
      </c>
      <c r="L26" s="36" t="n">
        <v>7</v>
      </c>
      <c r="M26" s="36" t="n">
        <v>7</v>
      </c>
      <c r="N26" s="48" t="n">
        <v>1</v>
      </c>
      <c r="O26" s="36" t="n">
        <v>26</v>
      </c>
      <c r="P26" s="36" t="n">
        <v>138</v>
      </c>
      <c r="Q26" s="36" t="n">
        <v>164</v>
      </c>
      <c r="R26" s="48" t="n">
        <v>0.8414634146341463</v>
      </c>
      <c r="S26" s="36" t="n">
        <v>1</v>
      </c>
      <c r="T26" s="36" t="n">
        <v>6</v>
      </c>
      <c r="U26" s="36" t="n">
        <v>7</v>
      </c>
      <c r="V26" s="48" t="n">
        <v>0.8571428571428571</v>
      </c>
      <c r="W26" s="36" t="n">
        <v>1</v>
      </c>
      <c r="X26" s="36" t="n">
        <v>6</v>
      </c>
      <c r="Y26" s="36" t="n">
        <v>7</v>
      </c>
      <c r="Z26" s="48" t="n">
        <v>0.8571428571428571</v>
      </c>
      <c r="AA26" s="36" t="n">
        <v>166</v>
      </c>
      <c r="AB26" s="36" t="n">
        <v>171</v>
      </c>
      <c r="AC26" s="48" t="n">
        <v>0.9707602339181286</v>
      </c>
      <c r="AD26" s="36" t="n">
        <v>61</v>
      </c>
      <c r="AE26" s="36" t="n">
        <v>110</v>
      </c>
      <c r="AF26" s="36" t="n">
        <v>171</v>
      </c>
      <c r="AG26" s="48" t="n">
        <v>0.6432748538011696</v>
      </c>
      <c r="AH26" s="49" t="n">
        <v>0</v>
      </c>
      <c r="AI26" s="49" t="n">
        <v>2.097</v>
      </c>
      <c r="AJ26" s="49" t="n">
        <v>3.54</v>
      </c>
      <c r="AK26" s="49" t="n">
        <v>20.65</v>
      </c>
      <c r="AL26" s="49" t="n">
        <v>0</v>
      </c>
      <c r="AM26" s="36" t="n">
        <v>9</v>
      </c>
      <c r="AN26" s="36" t="n">
        <v>221</v>
      </c>
      <c r="AO26" s="36" t="n">
        <v>230</v>
      </c>
      <c r="AP26" s="50" t="n">
        <v>0.9608695652173913</v>
      </c>
      <c r="AQ26" s="36" t="n">
        <v>4</v>
      </c>
      <c r="AR26" s="36" t="n">
        <v>50</v>
      </c>
      <c r="AS26" s="36" t="n">
        <v>54</v>
      </c>
      <c r="AT26" s="50" t="n">
        <v>0.9259259259259259</v>
      </c>
      <c r="AU26" s="36" t="n">
        <v>5</v>
      </c>
      <c r="AV26" s="36" t="n">
        <v>171</v>
      </c>
      <c r="AW26" s="36" t="n">
        <v>176</v>
      </c>
      <c r="AX26" s="50" t="n">
        <v>0.9715909090909091</v>
      </c>
      <c r="AY26" s="36" t="n">
        <v>3</v>
      </c>
      <c r="AZ26" s="36" t="n">
        <v>47</v>
      </c>
      <c r="BA26" s="36" t="n">
        <v>50</v>
      </c>
      <c r="BB26" s="50" t="n">
        <v>0.9399999999999999</v>
      </c>
    </row>
    <row r="27">
      <c r="A27" t="inlineStr">
        <is>
          <t>R06_Jawa Timur</t>
        </is>
      </c>
      <c r="B27" t="inlineStr">
        <is>
          <t>NOP LAMONGAN</t>
        </is>
      </c>
      <c r="C27" s="46" t="n">
        <v>2.848</v>
      </c>
      <c r="D27" s="46" t="n">
        <v>0</v>
      </c>
      <c r="E27" s="47" t="n">
        <v>2.93</v>
      </c>
      <c r="F27" s="47" t="n">
        <v>2.885</v>
      </c>
      <c r="G27" s="36" t="n">
        <v>12</v>
      </c>
      <c r="H27" s="36" t="n">
        <v>112</v>
      </c>
      <c r="I27" s="36" t="n">
        <v>124</v>
      </c>
      <c r="J27" s="48" t="n">
        <v>0.9032258064516129</v>
      </c>
      <c r="K27" s="36" t="n">
        <v>2</v>
      </c>
      <c r="L27" s="36" t="n">
        <v>15</v>
      </c>
      <c r="M27" s="36" t="n">
        <v>17</v>
      </c>
      <c r="N27" s="48" t="n">
        <v>0.8823529411764706</v>
      </c>
      <c r="O27" s="36" t="n">
        <v>10</v>
      </c>
      <c r="P27" s="36" t="n">
        <v>97</v>
      </c>
      <c r="Q27" s="36" t="n">
        <v>107</v>
      </c>
      <c r="R27" s="48" t="n">
        <v>0.9065420560747663</v>
      </c>
      <c r="S27" s="36" t="n">
        <v>0</v>
      </c>
      <c r="T27" s="36" t="n">
        <v>15</v>
      </c>
      <c r="U27" s="36" t="n">
        <v>15</v>
      </c>
      <c r="V27" s="48" t="n">
        <v>1</v>
      </c>
      <c r="W27" s="36" t="n">
        <v>0</v>
      </c>
      <c r="X27" s="36" t="n">
        <v>15</v>
      </c>
      <c r="Y27" s="36" t="n">
        <v>15</v>
      </c>
      <c r="Z27" s="48" t="n">
        <v>1</v>
      </c>
      <c r="AA27" s="36" t="n">
        <v>122</v>
      </c>
      <c r="AB27" s="36" t="n">
        <v>124</v>
      </c>
      <c r="AC27" s="48" t="n">
        <v>0.9838709677419355</v>
      </c>
      <c r="AD27" s="36" t="n">
        <v>31</v>
      </c>
      <c r="AE27" s="36" t="n">
        <v>93</v>
      </c>
      <c r="AF27" s="36" t="n">
        <v>124</v>
      </c>
      <c r="AG27" s="48" t="n">
        <v>0.75</v>
      </c>
      <c r="AH27" s="49" t="n">
        <v>0</v>
      </c>
      <c r="AI27" s="49" t="n">
        <v>2.98</v>
      </c>
      <c r="AJ27" s="49" t="n">
        <v>10.436</v>
      </c>
      <c r="AK27" s="49" t="n">
        <v>45.501</v>
      </c>
      <c r="AL27" s="49" t="n">
        <v>0</v>
      </c>
      <c r="AM27" s="36" t="n">
        <v>39</v>
      </c>
      <c r="AN27" s="36" t="n">
        <v>105</v>
      </c>
      <c r="AO27" s="36" t="n">
        <v>144</v>
      </c>
      <c r="AP27" s="50" t="n">
        <v>0.7291666666666666</v>
      </c>
      <c r="AQ27" s="36" t="n">
        <v>25</v>
      </c>
      <c r="AR27" s="36" t="n">
        <v>44</v>
      </c>
      <c r="AS27" s="36" t="n">
        <v>69</v>
      </c>
      <c r="AT27" s="50" t="n">
        <v>0.6376811594202898</v>
      </c>
      <c r="AU27" s="36" t="n">
        <v>14</v>
      </c>
      <c r="AV27" s="36" t="n">
        <v>61</v>
      </c>
      <c r="AW27" s="36" t="n">
        <v>75</v>
      </c>
      <c r="AX27" s="50" t="n">
        <v>0.8133333333333334</v>
      </c>
      <c r="AY27" s="36" t="n">
        <v>7</v>
      </c>
      <c r="AZ27" s="36" t="n">
        <v>37</v>
      </c>
      <c r="BA27" s="36" t="n">
        <v>44</v>
      </c>
      <c r="BB27" s="50" t="n">
        <v>0.8409090909090909</v>
      </c>
    </row>
    <row r="28">
      <c r="A28" t="inlineStr">
        <is>
          <t>R06_Jawa Timur</t>
        </is>
      </c>
      <c r="B28" t="inlineStr">
        <is>
          <t>NOP MADIUN</t>
        </is>
      </c>
      <c r="C28" s="46" t="n">
        <v>0.8939999999999999</v>
      </c>
      <c r="D28" s="46" t="n">
        <v>0</v>
      </c>
      <c r="E28" s="47" t="n">
        <v>2.79</v>
      </c>
      <c r="F28" s="47" t="n">
        <v>3.041</v>
      </c>
      <c r="G28" s="36" t="n">
        <v>82</v>
      </c>
      <c r="H28" s="36" t="n">
        <v>116</v>
      </c>
      <c r="I28" s="36" t="n">
        <v>198</v>
      </c>
      <c r="J28" s="48" t="n">
        <v>0.5858585858585859</v>
      </c>
      <c r="K28" s="36" t="n">
        <v>0</v>
      </c>
      <c r="L28" s="36" t="n">
        <v>3</v>
      </c>
      <c r="M28" s="36" t="n">
        <v>3</v>
      </c>
      <c r="N28" s="48" t="n">
        <v>1</v>
      </c>
      <c r="O28" s="36" t="n">
        <v>82</v>
      </c>
      <c r="P28" s="36" t="n">
        <v>113</v>
      </c>
      <c r="Q28" s="36" t="n">
        <v>195</v>
      </c>
      <c r="R28" s="48" t="n">
        <v>0.5794871794871795</v>
      </c>
      <c r="S28" s="36" t="n">
        <v>0</v>
      </c>
      <c r="T28" s="36" t="n">
        <v>3</v>
      </c>
      <c r="U28" s="36" t="n">
        <v>3</v>
      </c>
      <c r="V28" s="48" t="n">
        <v>1</v>
      </c>
      <c r="W28" s="36" t="n">
        <v>0</v>
      </c>
      <c r="X28" s="36" t="n">
        <v>3</v>
      </c>
      <c r="Y28" s="36" t="n">
        <v>3</v>
      </c>
      <c r="Z28" s="48" t="n">
        <v>1</v>
      </c>
      <c r="AA28" s="36" t="n">
        <v>184</v>
      </c>
      <c r="AB28" s="36" t="n">
        <v>198</v>
      </c>
      <c r="AC28" s="48" t="n">
        <v>0.9292929292929293</v>
      </c>
      <c r="AD28" s="36" t="n">
        <v>126</v>
      </c>
      <c r="AE28" s="36" t="n">
        <v>72</v>
      </c>
      <c r="AF28" s="36" t="n">
        <v>198</v>
      </c>
      <c r="AG28" s="48" t="n">
        <v>0.3636363636363636</v>
      </c>
      <c r="AH28" s="49" t="n">
        <v>0</v>
      </c>
      <c r="AI28" s="49" t="n">
        <v>4.366000000000003</v>
      </c>
      <c r="AJ28" s="49" t="n">
        <v>5.11</v>
      </c>
      <c r="AK28" s="49" t="n">
        <v>28.927</v>
      </c>
      <c r="AL28" s="49" t="n">
        <v>0</v>
      </c>
      <c r="AM28" s="36" t="n">
        <v>76</v>
      </c>
      <c r="AN28" s="36" t="n">
        <v>245</v>
      </c>
      <c r="AO28" s="36" t="n">
        <v>321</v>
      </c>
      <c r="AP28" s="50" t="n">
        <v>0.7632398753894081</v>
      </c>
      <c r="AQ28" s="36" t="n">
        <v>28</v>
      </c>
      <c r="AR28" s="36" t="n">
        <v>62</v>
      </c>
      <c r="AS28" s="36" t="n">
        <v>90</v>
      </c>
      <c r="AT28" s="50" t="n">
        <v>0.6888888888888889</v>
      </c>
      <c r="AU28" s="36" t="n">
        <v>48</v>
      </c>
      <c r="AV28" s="36" t="n">
        <v>183</v>
      </c>
      <c r="AW28" s="36" t="n">
        <v>231</v>
      </c>
      <c r="AX28" s="50" t="n">
        <v>0.7922077922077922</v>
      </c>
      <c r="AY28" s="36" t="n">
        <v>13</v>
      </c>
      <c r="AZ28" s="36" t="n">
        <v>49</v>
      </c>
      <c r="BA28" s="36" t="n">
        <v>62</v>
      </c>
      <c r="BB28" s="50" t="n">
        <v>0.7903225806451613</v>
      </c>
    </row>
    <row r="29">
      <c r="A29" t="inlineStr">
        <is>
          <t>R06_Jawa Timur</t>
        </is>
      </c>
      <c r="B29" t="inlineStr">
        <is>
          <t>NOP MALANG</t>
        </is>
      </c>
      <c r="C29" s="46" t="n">
        <v>0</v>
      </c>
      <c r="D29" s="46" t="n">
        <v>0</v>
      </c>
      <c r="E29" s="47" t="n">
        <v>2.683</v>
      </c>
      <c r="F29" s="47" t="n">
        <v>2.33</v>
      </c>
      <c r="G29" s="36" t="n">
        <v>15</v>
      </c>
      <c r="H29" s="36" t="n">
        <v>125</v>
      </c>
      <c r="I29" s="36" t="n">
        <v>140</v>
      </c>
      <c r="J29" s="48" t="n">
        <v>0.8928571428571429</v>
      </c>
      <c r="K29" s="36" t="n">
        <v>0</v>
      </c>
      <c r="L29" s="36" t="n">
        <v>0</v>
      </c>
      <c r="M29" s="36" t="n">
        <v>0</v>
      </c>
      <c r="N29" s="48" t="n">
        <v>0</v>
      </c>
      <c r="O29" s="36" t="n">
        <v>15</v>
      </c>
      <c r="P29" s="36" t="n">
        <v>125</v>
      </c>
      <c r="Q29" s="36" t="n">
        <v>140</v>
      </c>
      <c r="R29" s="48" t="n">
        <v>0.8928571428571429</v>
      </c>
      <c r="S29" s="36" t="n">
        <v>0</v>
      </c>
      <c r="T29" s="36" t="n">
        <v>0</v>
      </c>
      <c r="U29" s="36" t="n">
        <v>0</v>
      </c>
      <c r="V29" s="48" t="n">
        <v>0</v>
      </c>
      <c r="W29" s="36" t="n">
        <v>0</v>
      </c>
      <c r="X29" s="36" t="n">
        <v>0</v>
      </c>
      <c r="Y29" s="36" t="n">
        <v>0</v>
      </c>
      <c r="Z29" s="48" t="n">
        <v>0</v>
      </c>
      <c r="AA29" s="36" t="n">
        <v>139</v>
      </c>
      <c r="AB29" s="36" t="n">
        <v>140</v>
      </c>
      <c r="AC29" s="48" t="n">
        <v>0.9928571428571429</v>
      </c>
      <c r="AD29" s="36" t="n">
        <v>14</v>
      </c>
      <c r="AE29" s="36" t="n">
        <v>126</v>
      </c>
      <c r="AF29" s="36" t="n">
        <v>140</v>
      </c>
      <c r="AG29" s="48" t="n">
        <v>0.9</v>
      </c>
      <c r="AH29" s="49" t="n">
        <v>0</v>
      </c>
      <c r="AI29" s="49" t="n">
        <v>2.469999999999999</v>
      </c>
      <c r="AJ29" s="49" t="n">
        <v>4.548000000000001</v>
      </c>
      <c r="AK29" s="49" t="n">
        <v>30.86400000000001</v>
      </c>
      <c r="AL29" s="49" t="n">
        <v>0</v>
      </c>
      <c r="AM29" s="36" t="n">
        <v>30</v>
      </c>
      <c r="AN29" s="36" t="n">
        <v>170</v>
      </c>
      <c r="AO29" s="36" t="n">
        <v>200</v>
      </c>
      <c r="AP29" s="50" t="n">
        <v>0.85</v>
      </c>
      <c r="AQ29" s="36" t="n">
        <v>17</v>
      </c>
      <c r="AR29" s="36" t="n">
        <v>56</v>
      </c>
      <c r="AS29" s="36" t="n">
        <v>73</v>
      </c>
      <c r="AT29" s="50" t="n">
        <v>0.7671232876712328</v>
      </c>
      <c r="AU29" s="36" t="n">
        <v>13</v>
      </c>
      <c r="AV29" s="36" t="n">
        <v>114</v>
      </c>
      <c r="AW29" s="36" t="n">
        <v>127</v>
      </c>
      <c r="AX29" s="50" t="n">
        <v>0.8976377952755905</v>
      </c>
      <c r="AY29" s="36" t="n">
        <v>12</v>
      </c>
      <c r="AZ29" s="36" t="n">
        <v>44</v>
      </c>
      <c r="BA29" s="36" t="n">
        <v>56</v>
      </c>
      <c r="BB29" s="50" t="n">
        <v>0.7857142857142857</v>
      </c>
    </row>
    <row r="30">
      <c r="A30" t="inlineStr">
        <is>
          <t>R06_Jawa Timur</t>
        </is>
      </c>
      <c r="B30" t="inlineStr">
        <is>
          <t>NOP SIDOARJO</t>
        </is>
      </c>
      <c r="C30" s="46" t="n">
        <v>2.223</v>
      </c>
      <c r="D30" s="46" t="n">
        <v>0</v>
      </c>
      <c r="E30" s="47" t="n">
        <v>3.637000000000001</v>
      </c>
      <c r="F30" s="47" t="n">
        <v>5.269999999999998</v>
      </c>
      <c r="G30" s="36" t="n">
        <v>43</v>
      </c>
      <c r="H30" s="36" t="n">
        <v>98</v>
      </c>
      <c r="I30" s="36" t="n">
        <v>141</v>
      </c>
      <c r="J30" s="48" t="n">
        <v>0.6950354609929078</v>
      </c>
      <c r="K30" s="36" t="n">
        <v>1</v>
      </c>
      <c r="L30" s="36" t="n">
        <v>3</v>
      </c>
      <c r="M30" s="36" t="n">
        <v>4</v>
      </c>
      <c r="N30" s="48" t="n">
        <v>0.75</v>
      </c>
      <c r="O30" s="36" t="n">
        <v>42</v>
      </c>
      <c r="P30" s="36" t="n">
        <v>95</v>
      </c>
      <c r="Q30" s="36" t="n">
        <v>137</v>
      </c>
      <c r="R30" s="48" t="n">
        <v>0.6934306569343066</v>
      </c>
      <c r="S30" s="36" t="n">
        <v>1</v>
      </c>
      <c r="T30" s="36" t="n">
        <v>2</v>
      </c>
      <c r="U30" s="36" t="n">
        <v>3</v>
      </c>
      <c r="V30" s="48" t="n">
        <v>0.6666666666666666</v>
      </c>
      <c r="W30" s="36" t="n">
        <v>1</v>
      </c>
      <c r="X30" s="36" t="n">
        <v>2</v>
      </c>
      <c r="Y30" s="36" t="n">
        <v>3</v>
      </c>
      <c r="Z30" s="48" t="n">
        <v>0.6666666666666666</v>
      </c>
      <c r="AA30" s="36" t="n">
        <v>125</v>
      </c>
      <c r="AB30" s="36" t="n">
        <v>141</v>
      </c>
      <c r="AC30" s="48" t="n">
        <v>0.8865248226950354</v>
      </c>
      <c r="AD30" s="36" t="n">
        <v>75</v>
      </c>
      <c r="AE30" s="36" t="n">
        <v>66</v>
      </c>
      <c r="AF30" s="36" t="n">
        <v>141</v>
      </c>
      <c r="AG30" s="48" t="n">
        <v>0.4680851063829787</v>
      </c>
      <c r="AH30" s="49" t="n">
        <v>0.01</v>
      </c>
      <c r="AI30" s="49" t="n">
        <v>2.52</v>
      </c>
      <c r="AJ30" s="49" t="n">
        <v>8.499000000000015</v>
      </c>
      <c r="AK30" s="49" t="n">
        <v>40.77</v>
      </c>
      <c r="AL30" s="49" t="n">
        <v>0</v>
      </c>
      <c r="AM30" s="36" t="n">
        <v>33</v>
      </c>
      <c r="AN30" s="36" t="n">
        <v>176</v>
      </c>
      <c r="AO30" s="36" t="n">
        <v>209</v>
      </c>
      <c r="AP30" s="50" t="n">
        <v>0.8421052631578947</v>
      </c>
      <c r="AQ30" s="36" t="n">
        <v>13</v>
      </c>
      <c r="AR30" s="36" t="n">
        <v>27</v>
      </c>
      <c r="AS30" s="36" t="n">
        <v>40</v>
      </c>
      <c r="AT30" s="50" t="n">
        <v>0.675</v>
      </c>
      <c r="AU30" s="36" t="n">
        <v>20</v>
      </c>
      <c r="AV30" s="36" t="n">
        <v>149</v>
      </c>
      <c r="AW30" s="36" t="n">
        <v>169</v>
      </c>
      <c r="AX30" s="50" t="n">
        <v>0.8816568047337278</v>
      </c>
      <c r="AY30" s="36" t="n">
        <v>6</v>
      </c>
      <c r="AZ30" s="36" t="n">
        <v>21</v>
      </c>
      <c r="BA30" s="36" t="n">
        <v>27</v>
      </c>
      <c r="BB30" s="50" t="n">
        <v>0.7777777777777778</v>
      </c>
    </row>
    <row r="31">
      <c r="A31" t="inlineStr">
        <is>
          <t>R06_Jawa Timur</t>
        </is>
      </c>
      <c r="B31" t="inlineStr">
        <is>
          <t>NOP SURABAYA</t>
        </is>
      </c>
      <c r="C31" s="46" t="n">
        <v>2.329</v>
      </c>
      <c r="D31" s="46" t="n">
        <v>2.268</v>
      </c>
      <c r="E31" s="47" t="n">
        <v>3.256000000000001</v>
      </c>
      <c r="F31" s="47" t="n">
        <v>4.344000000000002</v>
      </c>
      <c r="G31" s="36" t="n">
        <v>96</v>
      </c>
      <c r="H31" s="36" t="n">
        <v>112</v>
      </c>
      <c r="I31" s="36" t="n">
        <v>208</v>
      </c>
      <c r="J31" s="48" t="n">
        <v>0.5384615384615384</v>
      </c>
      <c r="K31" s="36" t="n">
        <v>16</v>
      </c>
      <c r="L31" s="36" t="n">
        <v>21</v>
      </c>
      <c r="M31" s="36" t="n">
        <v>37</v>
      </c>
      <c r="N31" s="48" t="n">
        <v>0.5675675675675675</v>
      </c>
      <c r="O31" s="36" t="n">
        <v>80</v>
      </c>
      <c r="P31" s="36" t="n">
        <v>91</v>
      </c>
      <c r="Q31" s="36" t="n">
        <v>171</v>
      </c>
      <c r="R31" s="48" t="n">
        <v>0.5321637426900585</v>
      </c>
      <c r="S31" s="36" t="n">
        <v>3</v>
      </c>
      <c r="T31" s="36" t="n">
        <v>18</v>
      </c>
      <c r="U31" s="36" t="n">
        <v>21</v>
      </c>
      <c r="V31" s="48" t="n">
        <v>0.8571428571428571</v>
      </c>
      <c r="W31" s="36" t="n">
        <v>3</v>
      </c>
      <c r="X31" s="36" t="n">
        <v>18</v>
      </c>
      <c r="Y31" s="36" t="n">
        <v>21</v>
      </c>
      <c r="Z31" s="48" t="n">
        <v>0.8571428571428571</v>
      </c>
      <c r="AA31" s="36" t="n">
        <v>170</v>
      </c>
      <c r="AB31" s="36" t="n">
        <v>208</v>
      </c>
      <c r="AC31" s="48" t="n">
        <v>0.8173076923076923</v>
      </c>
      <c r="AD31" s="36" t="n">
        <v>127</v>
      </c>
      <c r="AE31" s="36" t="n">
        <v>81</v>
      </c>
      <c r="AF31" s="36" t="n">
        <v>208</v>
      </c>
      <c r="AG31" s="48" t="n">
        <v>0.3894230769230769</v>
      </c>
      <c r="AH31" s="49" t="n">
        <v>12.197</v>
      </c>
      <c r="AI31" s="49" t="n">
        <v>4.920000000000004</v>
      </c>
      <c r="AJ31" s="49" t="n">
        <v>7.2</v>
      </c>
      <c r="AK31" s="49" t="n">
        <v>24.278</v>
      </c>
      <c r="AL31" s="49" t="n">
        <v>0</v>
      </c>
      <c r="AM31" s="36" t="n">
        <v>182</v>
      </c>
      <c r="AN31" s="36" t="n">
        <v>288</v>
      </c>
      <c r="AO31" s="36" t="n">
        <v>470</v>
      </c>
      <c r="AP31" s="50" t="n">
        <v>0.6127659574468085</v>
      </c>
      <c r="AQ31" s="36" t="n">
        <v>54</v>
      </c>
      <c r="AR31" s="36" t="n">
        <v>35</v>
      </c>
      <c r="AS31" s="36" t="n">
        <v>89</v>
      </c>
      <c r="AT31" s="50" t="n">
        <v>0.3932584269662922</v>
      </c>
      <c r="AU31" s="36" t="n">
        <v>128</v>
      </c>
      <c r="AV31" s="36" t="n">
        <v>253</v>
      </c>
      <c r="AW31" s="36" t="n">
        <v>381</v>
      </c>
      <c r="AX31" s="50" t="n">
        <v>0.6640419947506562</v>
      </c>
      <c r="AY31" s="36" t="n">
        <v>10</v>
      </c>
      <c r="AZ31" s="36" t="n">
        <v>25</v>
      </c>
      <c r="BA31" s="36" t="n">
        <v>35</v>
      </c>
      <c r="BB31" s="50" t="n">
        <v>0.7142857142857143</v>
      </c>
    </row>
    <row r="32">
      <c r="A32" t="inlineStr">
        <is>
          <t>R07_Bali Nusra</t>
        </is>
      </c>
      <c r="B32" t="inlineStr">
        <is>
          <t>NOP DENPASAR</t>
        </is>
      </c>
      <c r="C32" s="46" t="n">
        <v>4.263000000000002</v>
      </c>
      <c r="D32" s="46" t="n">
        <v>7.467000000000001</v>
      </c>
      <c r="E32" s="47" t="n">
        <v>2.63</v>
      </c>
      <c r="F32" s="47" t="n">
        <v>2.642000000000004</v>
      </c>
      <c r="G32" s="36" t="n">
        <v>17</v>
      </c>
      <c r="H32" s="36" t="n">
        <v>154</v>
      </c>
      <c r="I32" s="36" t="n">
        <v>171</v>
      </c>
      <c r="J32" s="48" t="n">
        <v>0.9005847953216374</v>
      </c>
      <c r="K32" s="36" t="n">
        <v>2</v>
      </c>
      <c r="L32" s="36" t="n">
        <v>22</v>
      </c>
      <c r="M32" s="36" t="n">
        <v>24</v>
      </c>
      <c r="N32" s="48" t="n">
        <v>0.9166666666666666</v>
      </c>
      <c r="O32" s="36" t="n">
        <v>15</v>
      </c>
      <c r="P32" s="36" t="n">
        <v>132</v>
      </c>
      <c r="Q32" s="36" t="n">
        <v>147</v>
      </c>
      <c r="R32" s="48" t="n">
        <v>0.8979591836734694</v>
      </c>
      <c r="S32" s="36" t="n">
        <v>0</v>
      </c>
      <c r="T32" s="36" t="n">
        <v>22</v>
      </c>
      <c r="U32" s="36" t="n">
        <v>22</v>
      </c>
      <c r="V32" s="48" t="n">
        <v>1</v>
      </c>
      <c r="W32" s="36" t="n">
        <v>0</v>
      </c>
      <c r="X32" s="36" t="n">
        <v>22</v>
      </c>
      <c r="Y32" s="36" t="n">
        <v>22</v>
      </c>
      <c r="Z32" s="48" t="n">
        <v>1</v>
      </c>
      <c r="AA32" s="36" t="n">
        <v>166</v>
      </c>
      <c r="AB32" s="36" t="n">
        <v>171</v>
      </c>
      <c r="AC32" s="48" t="n">
        <v>0.9707602339181286</v>
      </c>
      <c r="AD32" s="36" t="n">
        <v>12</v>
      </c>
      <c r="AE32" s="36" t="n">
        <v>159</v>
      </c>
      <c r="AF32" s="36" t="n">
        <v>171</v>
      </c>
      <c r="AG32" s="48" t="n">
        <v>0.9298245614035088</v>
      </c>
      <c r="AH32" s="49" t="n">
        <v>0.01</v>
      </c>
      <c r="AI32" s="49" t="n">
        <v>10.225</v>
      </c>
      <c r="AJ32" s="49" t="n">
        <v>8.225</v>
      </c>
      <c r="AK32" s="49" t="n">
        <v>23.66</v>
      </c>
      <c r="AL32" s="49" t="n">
        <v>0</v>
      </c>
      <c r="AM32" s="36" t="n">
        <v>54</v>
      </c>
      <c r="AN32" s="36" t="n">
        <v>292</v>
      </c>
      <c r="AO32" s="36" t="n">
        <v>346</v>
      </c>
      <c r="AP32" s="50" t="n">
        <v>0.8439306358381503</v>
      </c>
      <c r="AQ32" s="36" t="n">
        <v>16</v>
      </c>
      <c r="AR32" s="36" t="n">
        <v>111</v>
      </c>
      <c r="AS32" s="36" t="n">
        <v>127</v>
      </c>
      <c r="AT32" s="50" t="n">
        <v>0.8740157480314961</v>
      </c>
      <c r="AU32" s="36" t="n">
        <v>38</v>
      </c>
      <c r="AV32" s="36" t="n">
        <v>181</v>
      </c>
      <c r="AW32" s="36" t="n">
        <v>219</v>
      </c>
      <c r="AX32" s="50" t="n">
        <v>0.8264840182648402</v>
      </c>
      <c r="AY32" s="36" t="n">
        <v>39</v>
      </c>
      <c r="AZ32" s="36" t="n">
        <v>72</v>
      </c>
      <c r="BA32" s="36" t="n">
        <v>111</v>
      </c>
      <c r="BB32" s="50" t="n">
        <v>0.6486486486486487</v>
      </c>
    </row>
    <row r="33">
      <c r="A33" t="inlineStr">
        <is>
          <t>R07_Bali Nusra</t>
        </is>
      </c>
      <c r="B33" t="inlineStr">
        <is>
          <t>NOP FLORES</t>
        </is>
      </c>
      <c r="C33" s="46" t="n">
        <v>3.779000000000001</v>
      </c>
      <c r="D33" s="46" t="n">
        <v>6.179999999999998</v>
      </c>
      <c r="E33" s="47" t="n">
        <v>7.630000000000004</v>
      </c>
      <c r="F33" s="47" t="n">
        <v>10.446</v>
      </c>
      <c r="G33" s="36" t="n">
        <v>879</v>
      </c>
      <c r="H33" s="36" t="n">
        <v>516</v>
      </c>
      <c r="I33" s="36" t="n">
        <v>1395</v>
      </c>
      <c r="J33" s="48" t="n">
        <v>0.3698924731182796</v>
      </c>
      <c r="K33" s="36" t="n">
        <v>104</v>
      </c>
      <c r="L33" s="36" t="n">
        <v>159</v>
      </c>
      <c r="M33" s="36" t="n">
        <v>263</v>
      </c>
      <c r="N33" s="48" t="n">
        <v>0.6045627376425855</v>
      </c>
      <c r="O33" s="36" t="n">
        <v>775</v>
      </c>
      <c r="P33" s="36" t="n">
        <v>357</v>
      </c>
      <c r="Q33" s="36" t="n">
        <v>1132</v>
      </c>
      <c r="R33" s="48" t="n">
        <v>0.3153710247349824</v>
      </c>
      <c r="S33" s="36" t="n">
        <v>45</v>
      </c>
      <c r="T33" s="36" t="n">
        <v>114</v>
      </c>
      <c r="U33" s="36" t="n">
        <v>159</v>
      </c>
      <c r="V33" s="48" t="n">
        <v>0.7169811320754716</v>
      </c>
      <c r="W33" s="36" t="n">
        <v>45</v>
      </c>
      <c r="X33" s="36" t="n">
        <v>114</v>
      </c>
      <c r="Y33" s="36" t="n">
        <v>159</v>
      </c>
      <c r="Z33" s="48" t="n">
        <v>0.7169811320754716</v>
      </c>
      <c r="AA33" s="36" t="n">
        <v>1345</v>
      </c>
      <c r="AB33" s="36" t="n">
        <v>1395</v>
      </c>
      <c r="AC33" s="48" t="n">
        <v>0.96415770609319</v>
      </c>
      <c r="AD33" s="36" t="n">
        <v>1053</v>
      </c>
      <c r="AE33" s="36" t="n">
        <v>342</v>
      </c>
      <c r="AF33" s="36" t="n">
        <v>1395</v>
      </c>
      <c r="AG33" s="48" t="n">
        <v>0.2451612903225806</v>
      </c>
      <c r="AH33" s="49" t="n">
        <v>0.25</v>
      </c>
      <c r="AI33" s="49" t="n">
        <v>16.98</v>
      </c>
      <c r="AJ33" s="49" t="n">
        <v>10.85999999999999</v>
      </c>
      <c r="AK33" s="49" t="n">
        <v>41.97399999999999</v>
      </c>
      <c r="AL33" s="49" t="n">
        <v>0</v>
      </c>
      <c r="AM33" s="36" t="n">
        <v>845</v>
      </c>
      <c r="AN33" s="36" t="n">
        <v>961</v>
      </c>
      <c r="AO33" s="36" t="n">
        <v>1806</v>
      </c>
      <c r="AP33" s="50" t="n">
        <v>0.5321151716500554</v>
      </c>
      <c r="AQ33" s="36" t="n">
        <v>566</v>
      </c>
      <c r="AR33" s="36" t="n">
        <v>724</v>
      </c>
      <c r="AS33" s="36" t="n">
        <v>1290</v>
      </c>
      <c r="AT33" s="50" t="n">
        <v>0.5612403100775194</v>
      </c>
      <c r="AU33" s="36" t="n">
        <v>279</v>
      </c>
      <c r="AV33" s="36" t="n">
        <v>237</v>
      </c>
      <c r="AW33" s="36" t="n">
        <v>516</v>
      </c>
      <c r="AX33" s="50" t="n">
        <v>0.4593023255813953</v>
      </c>
      <c r="AY33" s="36" t="n">
        <v>99</v>
      </c>
      <c r="AZ33" s="36" t="n">
        <v>625</v>
      </c>
      <c r="BA33" s="36" t="n">
        <v>724</v>
      </c>
      <c r="BB33" s="50" t="n">
        <v>0.8632596685082873</v>
      </c>
    </row>
    <row r="34">
      <c r="A34" t="inlineStr">
        <is>
          <t>R07_Bali Nusra</t>
        </is>
      </c>
      <c r="B34" t="inlineStr">
        <is>
          <t>NOP KUPANG</t>
        </is>
      </c>
      <c r="C34" s="46" t="n">
        <v>26.49</v>
      </c>
      <c r="D34" s="46" t="n">
        <v>6.266</v>
      </c>
      <c r="E34" s="47" t="n">
        <v>7.11</v>
      </c>
      <c r="F34" s="47" t="n">
        <v>7.59</v>
      </c>
      <c r="G34" s="36" t="n">
        <v>327</v>
      </c>
      <c r="H34" s="36" t="n">
        <v>408</v>
      </c>
      <c r="I34" s="36" t="n">
        <v>735</v>
      </c>
      <c r="J34" s="48" t="n">
        <v>0.5551020408163265</v>
      </c>
      <c r="K34" s="36" t="n">
        <v>37</v>
      </c>
      <c r="L34" s="36" t="n">
        <v>119</v>
      </c>
      <c r="M34" s="36" t="n">
        <v>156</v>
      </c>
      <c r="N34" s="48" t="n">
        <v>0.7628205128205128</v>
      </c>
      <c r="O34" s="36" t="n">
        <v>290</v>
      </c>
      <c r="P34" s="36" t="n">
        <v>289</v>
      </c>
      <c r="Q34" s="36" t="n">
        <v>579</v>
      </c>
      <c r="R34" s="48" t="n">
        <v>0.4991364421416235</v>
      </c>
      <c r="S34" s="36" t="n">
        <v>21</v>
      </c>
      <c r="T34" s="36" t="n">
        <v>98</v>
      </c>
      <c r="U34" s="36" t="n">
        <v>119</v>
      </c>
      <c r="V34" s="48" t="n">
        <v>0.8235294117647058</v>
      </c>
      <c r="W34" s="36" t="n">
        <v>21</v>
      </c>
      <c r="X34" s="36" t="n">
        <v>95</v>
      </c>
      <c r="Y34" s="36" t="n">
        <v>116</v>
      </c>
      <c r="Z34" s="48" t="n">
        <v>0.8189655172413793</v>
      </c>
      <c r="AA34" s="36" t="n">
        <v>707</v>
      </c>
      <c r="AB34" s="36" t="n">
        <v>735</v>
      </c>
      <c r="AC34" s="48" t="n">
        <v>0.9619047619047619</v>
      </c>
      <c r="AD34" s="36" t="n">
        <v>488</v>
      </c>
      <c r="AE34" s="36" t="n">
        <v>247</v>
      </c>
      <c r="AF34" s="36" t="n">
        <v>735</v>
      </c>
      <c r="AG34" s="48" t="n">
        <v>0.3360544217687075</v>
      </c>
      <c r="AH34" s="49" t="n">
        <v>11.315</v>
      </c>
      <c r="AI34" s="49" t="n">
        <v>9.526</v>
      </c>
      <c r="AJ34" s="49" t="n">
        <v>18.753</v>
      </c>
      <c r="AK34" s="49" t="n">
        <v>15.07</v>
      </c>
      <c r="AL34" s="49" t="n">
        <v>0</v>
      </c>
      <c r="AM34" s="36" t="n">
        <v>511</v>
      </c>
      <c r="AN34" s="36" t="n">
        <v>583</v>
      </c>
      <c r="AO34" s="36" t="n">
        <v>1094</v>
      </c>
      <c r="AP34" s="50" t="n">
        <v>0.5329067641681902</v>
      </c>
      <c r="AQ34" s="36" t="n">
        <v>208</v>
      </c>
      <c r="AR34" s="36" t="n">
        <v>327</v>
      </c>
      <c r="AS34" s="36" t="n">
        <v>535</v>
      </c>
      <c r="AT34" s="50" t="n">
        <v>0.611214953271028</v>
      </c>
      <c r="AU34" s="36" t="n">
        <v>303</v>
      </c>
      <c r="AV34" s="36" t="n">
        <v>256</v>
      </c>
      <c r="AW34" s="36" t="n">
        <v>559</v>
      </c>
      <c r="AX34" s="50" t="n">
        <v>0.4579606440071556</v>
      </c>
      <c r="AY34" s="36" t="n">
        <v>93</v>
      </c>
      <c r="AZ34" s="36" t="n">
        <v>234</v>
      </c>
      <c r="BA34" s="36" t="n">
        <v>327</v>
      </c>
      <c r="BB34" s="50" t="n">
        <v>0.7155963302752294</v>
      </c>
    </row>
    <row r="35">
      <c r="A35" t="inlineStr">
        <is>
          <t>R07_Bali Nusra</t>
        </is>
      </c>
      <c r="B35" t="inlineStr">
        <is>
          <t>NOP MATARAM</t>
        </is>
      </c>
      <c r="C35" s="46" t="n">
        <v>0.914</v>
      </c>
      <c r="D35" s="46" t="n">
        <v>3.486</v>
      </c>
      <c r="E35" s="47" t="n">
        <v>3.57</v>
      </c>
      <c r="F35" s="47" t="n">
        <v>8.932</v>
      </c>
      <c r="G35" s="36" t="n">
        <v>186</v>
      </c>
      <c r="H35" s="36" t="n">
        <v>251</v>
      </c>
      <c r="I35" s="36" t="n">
        <v>437</v>
      </c>
      <c r="J35" s="48" t="n">
        <v>0.5743707093821511</v>
      </c>
      <c r="K35" s="36" t="n">
        <v>14</v>
      </c>
      <c r="L35" s="36" t="n">
        <v>22</v>
      </c>
      <c r="M35" s="36" t="n">
        <v>36</v>
      </c>
      <c r="N35" s="48" t="n">
        <v>0.6111111111111112</v>
      </c>
      <c r="O35" s="36" t="n">
        <v>172</v>
      </c>
      <c r="P35" s="36" t="n">
        <v>229</v>
      </c>
      <c r="Q35" s="36" t="n">
        <v>401</v>
      </c>
      <c r="R35" s="48" t="n">
        <v>0.571072319201995</v>
      </c>
      <c r="S35" s="36" t="n">
        <v>7</v>
      </c>
      <c r="T35" s="36" t="n">
        <v>15</v>
      </c>
      <c r="U35" s="36" t="n">
        <v>22</v>
      </c>
      <c r="V35" s="48" t="n">
        <v>0.6818181818181818</v>
      </c>
      <c r="W35" s="36" t="n">
        <v>7</v>
      </c>
      <c r="X35" s="36" t="n">
        <v>15</v>
      </c>
      <c r="Y35" s="36" t="n">
        <v>22</v>
      </c>
      <c r="Z35" s="48" t="n">
        <v>0.6818181818181818</v>
      </c>
      <c r="AA35" s="36" t="n">
        <v>413</v>
      </c>
      <c r="AB35" s="36" t="n">
        <v>437</v>
      </c>
      <c r="AC35" s="48" t="n">
        <v>0.9450800915331807</v>
      </c>
      <c r="AD35" s="36" t="n">
        <v>252</v>
      </c>
      <c r="AE35" s="36" t="n">
        <v>185</v>
      </c>
      <c r="AF35" s="36" t="n">
        <v>437</v>
      </c>
      <c r="AG35" s="48" t="n">
        <v>0.4233409610983982</v>
      </c>
      <c r="AH35" s="49" t="n">
        <v>9.237</v>
      </c>
      <c r="AI35" s="49" t="n">
        <v>16.41</v>
      </c>
      <c r="AJ35" s="49" t="n">
        <v>18.478</v>
      </c>
      <c r="AK35" s="49" t="n">
        <v>35.506</v>
      </c>
      <c r="AL35" s="49" t="n">
        <v>0</v>
      </c>
      <c r="AM35" s="36" t="n">
        <v>380</v>
      </c>
      <c r="AN35" s="36" t="n">
        <v>300</v>
      </c>
      <c r="AO35" s="36" t="n">
        <v>680</v>
      </c>
      <c r="AP35" s="50" t="n">
        <v>0.4411764705882353</v>
      </c>
      <c r="AQ35" s="36" t="n">
        <v>279</v>
      </c>
      <c r="AR35" s="36" t="n">
        <v>205</v>
      </c>
      <c r="AS35" s="36" t="n">
        <v>484</v>
      </c>
      <c r="AT35" s="50" t="n">
        <v>0.4235537190082644</v>
      </c>
      <c r="AU35" s="36" t="n">
        <v>101</v>
      </c>
      <c r="AV35" s="36" t="n">
        <v>95</v>
      </c>
      <c r="AW35" s="36" t="n">
        <v>196</v>
      </c>
      <c r="AX35" s="50" t="n">
        <v>0.4846938775510204</v>
      </c>
      <c r="AY35" s="36" t="n">
        <v>100</v>
      </c>
      <c r="AZ35" s="36" t="n">
        <v>105</v>
      </c>
      <c r="BA35" s="36" t="n">
        <v>205</v>
      </c>
      <c r="BB35" s="50" t="n">
        <v>0.5121951219512195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DB4E2"/>
    <outlinePr summaryBelow="1" summaryRight="1"/>
    <pageSetUpPr/>
  </sheetPr>
  <dimension ref="A1:AH54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7" customWidth="1" min="4" max="4"/>
    <col width="24" customWidth="1" min="5" max="5"/>
    <col width="24" customWidth="1" min="6" max="6"/>
    <col width="22" customWidth="1" min="7" max="7"/>
    <col width="13" customWidth="1" min="8" max="8"/>
    <col width="21" customWidth="1" min="9" max="9"/>
    <col width="18" customWidth="1" min="10" max="10"/>
    <col width="22" customWidth="1" min="11" max="11"/>
    <col width="17" customWidth="1" min="12" max="12"/>
    <col width="22" customWidth="1" min="13" max="13"/>
    <col width="16" customWidth="1" min="14" max="14"/>
    <col width="21" customWidth="1" min="15" max="15"/>
    <col width="20" customWidth="1" min="16" max="16"/>
    <col width="21" customWidth="1" min="17" max="17"/>
    <col width="17" customWidth="1" min="18" max="18"/>
    <col width="21" customWidth="1" min="19" max="19"/>
    <col width="14" customWidth="1" min="20" max="20"/>
    <col width="25" customWidth="1" min="21" max="21"/>
    <col width="27" customWidth="1" min="22" max="22"/>
    <col width="24" customWidth="1" min="23" max="23"/>
    <col width="24" customWidth="1" min="24" max="24"/>
    <col width="22" customWidth="1" min="25" max="25"/>
    <col width="27" customWidth="1" min="26" max="26"/>
    <col width="13" customWidth="1" min="27" max="27"/>
    <col width="21" customWidth="1" min="28" max="28"/>
    <col width="18" customWidth="1" min="29" max="29"/>
    <col width="21" customWidth="1" min="30" max="30"/>
    <col width="17" customWidth="1" min="31" max="31"/>
    <col width="21" customWidth="1" min="32" max="32"/>
    <col width="16" customWidth="1" min="33" max="33"/>
    <col width="21" customWidth="1" min="34" max="34"/>
  </cols>
  <sheetData>
    <row r="1">
      <c r="A1" s="41" t="inlineStr">
        <is>
          <t>Date</t>
        </is>
      </c>
      <c r="B1" s="41" t="inlineStr">
        <is>
          <t>Regional</t>
        </is>
      </c>
      <c r="C1" s="41" t="inlineStr">
        <is>
          <t>NOP</t>
        </is>
      </c>
      <c r="D1" s="51" t="inlineStr">
        <is>
          <t>IM-MTTRP90-Critical-Daily</t>
        </is>
      </c>
      <c r="E1" s="51" t="inlineStr">
        <is>
          <t>IM-MTTRP90-Major-Daily</t>
        </is>
      </c>
      <c r="F1" s="51" t="inlineStr">
        <is>
          <t>IM-MTTRP90-Minor-Daily</t>
        </is>
      </c>
      <c r="G1" s="51" t="inlineStr">
        <is>
          <t>IM-MTTRP90-Low-Daily</t>
        </is>
      </c>
      <c r="H1" s="51" t="inlineStr">
        <is>
          <t>IM-TO-Daily</t>
        </is>
      </c>
      <c r="I1" s="51" t="inlineStr">
        <is>
          <t>IM-%TO-Daily</t>
        </is>
      </c>
      <c r="J1" s="51" t="inlineStr">
        <is>
          <t>IM-TO-High-Daily</t>
        </is>
      </c>
      <c r="K1" s="51" t="inlineStr">
        <is>
          <t>IM-%TO-High-Daily</t>
        </is>
      </c>
      <c r="L1" s="51" t="inlineStr">
        <is>
          <t>IM-TO-Low-Daily</t>
        </is>
      </c>
      <c r="M1" s="51" t="inlineStr">
        <is>
          <t>IM-%TO-Low-Daily</t>
        </is>
      </c>
      <c r="N1" s="51" t="inlineStr">
        <is>
          <t>IM-Visit-Daily</t>
        </is>
      </c>
      <c r="O1" s="51" t="inlineStr">
        <is>
          <t>IM-%Visit-Daily</t>
        </is>
      </c>
      <c r="P1" s="51" t="inlineStr">
        <is>
          <t>IM-Top5Visit-Daily</t>
        </is>
      </c>
      <c r="Q1" s="51" t="inlineStr">
        <is>
          <t>IM-%Top5-Daily</t>
        </is>
      </c>
      <c r="R1" s="51" t="inlineStr">
        <is>
          <t>IM-Closed-Daily</t>
        </is>
      </c>
      <c r="S1" s="51" t="inlineStr">
        <is>
          <t>IM-%Closing-Daily</t>
        </is>
      </c>
      <c r="T1" s="51" t="inlineStr">
        <is>
          <t>IM-RCA-Daily</t>
        </is>
      </c>
      <c r="U1" s="51" t="inlineStr">
        <is>
          <t>IM-%RCAValidation-Daily</t>
        </is>
      </c>
      <c r="V1" s="52" t="inlineStr">
        <is>
          <t>EM-MTTRP90-Critical-Daily</t>
        </is>
      </c>
      <c r="W1" s="52" t="inlineStr">
        <is>
          <t>EM-MTTRP90-Major-Daily</t>
        </is>
      </c>
      <c r="X1" s="52" t="inlineStr">
        <is>
          <t>EM-MTTRP90-Minor-Daily</t>
        </is>
      </c>
      <c r="Y1" s="52" t="inlineStr">
        <is>
          <t>EM-MTTRP90-Low-Daily</t>
        </is>
      </c>
      <c r="Z1" s="52" t="inlineStr">
        <is>
          <t>EM-MTTRP90-Very Low-Daily</t>
        </is>
      </c>
      <c r="AA1" s="52" t="inlineStr">
        <is>
          <t>EM-TO-Daily</t>
        </is>
      </c>
      <c r="AB1" s="52" t="inlineStr">
        <is>
          <t>EM-%TO-Daily</t>
        </is>
      </c>
      <c r="AC1" s="52" t="inlineStr">
        <is>
          <t>EM-TO-High-Daily</t>
        </is>
      </c>
      <c r="AD1" s="52" t="inlineStr">
        <is>
          <t>EM-%TO-High-Daily</t>
        </is>
      </c>
      <c r="AE1" s="52" t="inlineStr">
        <is>
          <t>EM-TO-Low-Daily</t>
        </is>
      </c>
      <c r="AF1" s="52" t="inlineStr">
        <is>
          <t>EM-%TO-Low-Daily</t>
        </is>
      </c>
      <c r="AG1" s="52" t="inlineStr">
        <is>
          <t>EM-Visit-Daily</t>
        </is>
      </c>
      <c r="AH1" s="52" t="inlineStr">
        <is>
          <t>EM-%Visit-Daily</t>
        </is>
      </c>
    </row>
    <row r="2">
      <c r="A2" s="53" t="n">
        <v>45809</v>
      </c>
      <c r="B2" t="inlineStr">
        <is>
          <t>R01_Sumbagut</t>
        </is>
      </c>
      <c r="C2" t="inlineStr">
        <is>
          <t>NOP ACEH</t>
        </is>
      </c>
      <c r="D2" s="38" t="n">
        <v>1.34</v>
      </c>
      <c r="E2" s="38" t="n">
        <v>25.49900000000001</v>
      </c>
      <c r="F2" s="36" t="n">
        <v>2.326000000000001</v>
      </c>
      <c r="G2" s="36" t="n">
        <v>13.306</v>
      </c>
      <c r="H2" s="36" t="n">
        <v>119</v>
      </c>
      <c r="I2" s="37" t="n">
        <v>0.8880597014925373</v>
      </c>
      <c r="J2" s="36" t="n">
        <v>40</v>
      </c>
      <c r="K2" s="37" t="n">
        <v>0.975609756097561</v>
      </c>
      <c r="L2" s="36" t="n">
        <v>79</v>
      </c>
      <c r="M2" s="37" t="n">
        <v>0.8494623655913979</v>
      </c>
      <c r="N2" s="36" t="n">
        <v>21</v>
      </c>
      <c r="O2" s="37" t="n">
        <v>0.525</v>
      </c>
      <c r="P2" s="36" t="n">
        <v>17</v>
      </c>
      <c r="Q2" s="37" t="n">
        <v>0.5483870967741935</v>
      </c>
      <c r="R2" s="36" t="n">
        <v>134</v>
      </c>
      <c r="S2" s="37" t="n">
        <v>1</v>
      </c>
      <c r="T2" s="36" t="n">
        <v>63</v>
      </c>
      <c r="U2" s="37" t="n">
        <v>0.4701492537313433</v>
      </c>
      <c r="V2" s="38" t="n">
        <v>0.02</v>
      </c>
      <c r="W2" s="38" t="n">
        <v>3.688</v>
      </c>
      <c r="X2" s="38" t="n">
        <v>61.596</v>
      </c>
      <c r="Y2" s="38" t="n">
        <v>99.72</v>
      </c>
      <c r="Z2" s="38" t="n">
        <v>0</v>
      </c>
      <c r="AA2" s="36" t="n">
        <v>183</v>
      </c>
      <c r="AB2" s="37" t="n">
        <v>0.8511627906976744</v>
      </c>
      <c r="AC2" s="36" t="n">
        <v>43</v>
      </c>
      <c r="AD2" s="37" t="n">
        <v>0.6323529411764706</v>
      </c>
      <c r="AE2" s="36" t="n">
        <v>135</v>
      </c>
      <c r="AF2" s="37" t="n">
        <v>0.9507042253521126</v>
      </c>
      <c r="AG2" s="36" t="n">
        <v>8</v>
      </c>
      <c r="AH2" s="37" t="n">
        <v>0.186046511627907</v>
      </c>
    </row>
    <row r="3">
      <c r="A3" s="53" t="n">
        <v>45809</v>
      </c>
      <c r="B3" t="inlineStr">
        <is>
          <t>R01_Sumbagut</t>
        </is>
      </c>
      <c r="C3" t="inlineStr">
        <is>
          <t>NOP BINJAI</t>
        </is>
      </c>
      <c r="D3" s="38" t="n">
        <v>3.35</v>
      </c>
      <c r="E3" s="38" t="n">
        <v>5.411</v>
      </c>
      <c r="F3" s="36" t="n">
        <v>5.89</v>
      </c>
      <c r="G3" s="36" t="n">
        <v>7.212</v>
      </c>
      <c r="H3" s="36" t="n">
        <v>72</v>
      </c>
      <c r="I3" s="37" t="n">
        <v>0.6</v>
      </c>
      <c r="J3" s="36" t="n">
        <v>22</v>
      </c>
      <c r="K3" s="37" t="n">
        <v>0.5945945945945946</v>
      </c>
      <c r="L3" s="36" t="n">
        <v>50</v>
      </c>
      <c r="M3" s="37" t="n">
        <v>0.6024096385542169</v>
      </c>
      <c r="N3" s="36" t="n">
        <v>10</v>
      </c>
      <c r="O3" s="37" t="n">
        <v>0.4545454545454545</v>
      </c>
      <c r="P3" s="36" t="n">
        <v>10</v>
      </c>
      <c r="Q3" s="37" t="n">
        <v>0.4545454545454545</v>
      </c>
      <c r="R3" s="36" t="n">
        <v>118</v>
      </c>
      <c r="S3" s="37" t="n">
        <v>0.9833333333333333</v>
      </c>
      <c r="T3" s="36" t="n">
        <v>36</v>
      </c>
      <c r="U3" s="37" t="n">
        <v>0.3</v>
      </c>
      <c r="V3" s="38" t="n">
        <v>0</v>
      </c>
      <c r="W3" s="38" t="n">
        <v>2.685999999999999</v>
      </c>
      <c r="X3" s="38" t="n">
        <v>57.75400000000005</v>
      </c>
      <c r="Y3" s="38" t="n">
        <v>136.379</v>
      </c>
      <c r="Z3" s="38" t="n">
        <v>0</v>
      </c>
      <c r="AA3" s="36" t="n">
        <v>60</v>
      </c>
      <c r="AB3" s="37" t="n">
        <v>0.6593406593406593</v>
      </c>
      <c r="AC3" s="36" t="n">
        <v>21</v>
      </c>
      <c r="AD3" s="37" t="n">
        <v>0.5</v>
      </c>
      <c r="AE3" s="36" t="n">
        <v>37</v>
      </c>
      <c r="AF3" s="37" t="n">
        <v>0.7872340425531915</v>
      </c>
      <c r="AG3" s="36" t="n">
        <v>13</v>
      </c>
      <c r="AH3" s="37" t="n">
        <v>0.6190476190476191</v>
      </c>
    </row>
    <row r="4">
      <c r="A4" s="53" t="n">
        <v>45809</v>
      </c>
      <c r="B4" t="inlineStr">
        <is>
          <t>R01_Sumbagut</t>
        </is>
      </c>
      <c r="C4" t="inlineStr">
        <is>
          <t>NOP MEDAN</t>
        </is>
      </c>
      <c r="D4" s="38" t="n">
        <v>0</v>
      </c>
      <c r="E4" s="38" t="n">
        <v>2.114</v>
      </c>
      <c r="F4" s="36" t="n">
        <v>2.32</v>
      </c>
      <c r="G4" s="36" t="n">
        <v>12.372</v>
      </c>
      <c r="H4" s="36" t="n">
        <v>20</v>
      </c>
      <c r="I4" s="37" t="n">
        <v>0.4651162790697674</v>
      </c>
      <c r="J4" s="36" t="n">
        <v>1</v>
      </c>
      <c r="K4" s="37" t="n">
        <v>0.25</v>
      </c>
      <c r="L4" s="36" t="n">
        <v>19</v>
      </c>
      <c r="M4" s="37" t="n">
        <v>0.4871794871794872</v>
      </c>
      <c r="N4" s="36" t="n">
        <v>1</v>
      </c>
      <c r="O4" s="37" t="n">
        <v>1</v>
      </c>
      <c r="P4" s="36" t="n">
        <v>1</v>
      </c>
      <c r="Q4" s="37" t="n">
        <v>1</v>
      </c>
      <c r="R4" s="36" t="n">
        <v>43</v>
      </c>
      <c r="S4" s="37" t="n">
        <v>1</v>
      </c>
      <c r="T4" s="36" t="n">
        <v>7</v>
      </c>
      <c r="U4" s="37" t="n">
        <v>0.1627906976744186</v>
      </c>
      <c r="V4" s="38" t="n">
        <v>0</v>
      </c>
      <c r="W4" s="38" t="n">
        <v>2.12</v>
      </c>
      <c r="X4" s="38" t="n">
        <v>13.628</v>
      </c>
      <c r="Y4" s="38" t="n">
        <v>10.12</v>
      </c>
      <c r="Z4" s="38" t="n">
        <v>0</v>
      </c>
      <c r="AA4" s="36" t="n">
        <v>15</v>
      </c>
      <c r="AB4" s="37" t="n">
        <v>0.234375</v>
      </c>
      <c r="AC4" s="36" t="n">
        <v>3</v>
      </c>
      <c r="AD4" s="37" t="n">
        <v>0.1875</v>
      </c>
      <c r="AE4" s="36" t="n">
        <v>12</v>
      </c>
      <c r="AF4" s="37" t="n">
        <v>0.2727272727272727</v>
      </c>
      <c r="AG4" s="36" t="n">
        <v>3</v>
      </c>
      <c r="AH4" s="37" t="n">
        <v>1</v>
      </c>
    </row>
    <row r="5">
      <c r="A5" s="53" t="n">
        <v>45809</v>
      </c>
      <c r="B5" t="inlineStr">
        <is>
          <t>R01_Sumbagut</t>
        </is>
      </c>
      <c r="C5" t="inlineStr">
        <is>
          <t>NOP PADANG SIDEMPUAN</t>
        </is>
      </c>
      <c r="D5" s="38" t="n">
        <v>0</v>
      </c>
      <c r="E5" s="38" t="n">
        <v>1.572</v>
      </c>
      <c r="F5" s="36" t="n">
        <v>1.857</v>
      </c>
      <c r="G5" s="36" t="n">
        <v>4.5</v>
      </c>
      <c r="H5" s="36" t="n">
        <v>26</v>
      </c>
      <c r="I5" s="37" t="n">
        <v>0.6190476190476191</v>
      </c>
      <c r="J5" s="36" t="n">
        <v>3</v>
      </c>
      <c r="K5" s="37" t="n">
        <v>1</v>
      </c>
      <c r="L5" s="36" t="n">
        <v>23</v>
      </c>
      <c r="M5" s="37" t="n">
        <v>0.5897435897435898</v>
      </c>
      <c r="N5" s="36" t="n">
        <v>2</v>
      </c>
      <c r="O5" s="37" t="n">
        <v>0.6666666666666666</v>
      </c>
      <c r="P5" s="36" t="n">
        <v>2</v>
      </c>
      <c r="Q5" s="37" t="n">
        <v>0.6666666666666666</v>
      </c>
      <c r="R5" s="36" t="n">
        <v>42</v>
      </c>
      <c r="S5" s="37" t="n">
        <v>1</v>
      </c>
      <c r="T5" s="36" t="n">
        <v>12</v>
      </c>
      <c r="U5" s="37" t="n">
        <v>0.2857142857142857</v>
      </c>
      <c r="V5" s="38" t="n">
        <v>0.01</v>
      </c>
      <c r="W5" s="38" t="n">
        <v>2.476000000000001</v>
      </c>
      <c r="X5" s="38" t="n">
        <v>9.654</v>
      </c>
      <c r="Y5" s="38" t="n">
        <v>227.933</v>
      </c>
      <c r="Z5" s="38" t="n">
        <v>0</v>
      </c>
      <c r="AA5" s="36" t="n">
        <v>81</v>
      </c>
      <c r="AB5" s="37" t="n">
        <v>0.6923076923076923</v>
      </c>
      <c r="AC5" s="36" t="n">
        <v>35</v>
      </c>
      <c r="AD5" s="37" t="n">
        <v>0.7446808510638298</v>
      </c>
      <c r="AE5" s="36" t="n">
        <v>46</v>
      </c>
      <c r="AF5" s="37" t="n">
        <v>0.6764705882352942</v>
      </c>
      <c r="AG5" s="36" t="n">
        <v>26</v>
      </c>
      <c r="AH5" s="37" t="n">
        <v>0.7428571428571429</v>
      </c>
    </row>
    <row r="6">
      <c r="A6" s="53" t="n">
        <v>45809</v>
      </c>
      <c r="B6" t="inlineStr">
        <is>
          <t>R01_Sumbagut</t>
        </is>
      </c>
      <c r="C6" t="inlineStr">
        <is>
          <t>NOP PEMATANG SIANTAR</t>
        </is>
      </c>
      <c r="D6" s="38" t="n">
        <v>0.73</v>
      </c>
      <c r="E6" s="38" t="n">
        <v>2.536000000000001</v>
      </c>
      <c r="F6" s="36" t="n">
        <v>3.523000000000002</v>
      </c>
      <c r="G6" s="36" t="n">
        <v>5.075</v>
      </c>
      <c r="H6" s="36" t="n">
        <v>37</v>
      </c>
      <c r="I6" s="37" t="n">
        <v>0.3425925925925926</v>
      </c>
      <c r="J6" s="36" t="n">
        <v>15</v>
      </c>
      <c r="K6" s="37" t="n">
        <v>0.75</v>
      </c>
      <c r="L6" s="36" t="n">
        <v>22</v>
      </c>
      <c r="M6" s="37" t="n">
        <v>0.25</v>
      </c>
      <c r="N6" s="36" t="n">
        <v>6</v>
      </c>
      <c r="O6" s="37" t="n">
        <v>0.4</v>
      </c>
      <c r="P6" s="36" t="n">
        <v>6</v>
      </c>
      <c r="Q6" s="37" t="n">
        <v>0.4</v>
      </c>
      <c r="R6" s="36" t="n">
        <v>108</v>
      </c>
      <c r="S6" s="37" t="n">
        <v>1</v>
      </c>
      <c r="T6" s="36" t="n">
        <v>17</v>
      </c>
      <c r="U6" s="37" t="n">
        <v>0.1574074074074074</v>
      </c>
      <c r="V6" s="38" t="n">
        <v>0.028</v>
      </c>
      <c r="W6" s="38" t="n">
        <v>1.788</v>
      </c>
      <c r="X6" s="38" t="n">
        <v>51.68700000000002</v>
      </c>
      <c r="Y6" s="38" t="n">
        <v>68.12399999999994</v>
      </c>
      <c r="Z6" s="38" t="n">
        <v>0</v>
      </c>
      <c r="AA6" s="36" t="n">
        <v>62</v>
      </c>
      <c r="AB6" s="37" t="n">
        <v>0.5688073394495413</v>
      </c>
      <c r="AC6" s="36" t="n">
        <v>31</v>
      </c>
      <c r="AD6" s="37" t="n">
        <v>0.6326530612244898</v>
      </c>
      <c r="AE6" s="36" t="n">
        <v>29</v>
      </c>
      <c r="AF6" s="37" t="n">
        <v>0.5087719298245614</v>
      </c>
      <c r="AG6" s="36" t="n">
        <v>19</v>
      </c>
      <c r="AH6" s="37" t="n">
        <v>0.6129032258064516</v>
      </c>
    </row>
    <row r="7">
      <c r="A7" s="53" t="n">
        <v>45809</v>
      </c>
      <c r="B7" t="inlineStr">
        <is>
          <t>R01_Sumbagut</t>
        </is>
      </c>
      <c r="C7" t="inlineStr">
        <is>
          <t>NOP RANTAU PRAPAT</t>
        </is>
      </c>
      <c r="D7" s="38" t="n">
        <v>0</v>
      </c>
      <c r="E7" s="38" t="n">
        <v>2.708</v>
      </c>
      <c r="F7" s="36" t="n">
        <v>2.364000000000001</v>
      </c>
      <c r="G7" s="36" t="n">
        <v>1.022</v>
      </c>
      <c r="H7" s="36" t="n">
        <v>44</v>
      </c>
      <c r="I7" s="37" t="n">
        <v>0.5714285714285714</v>
      </c>
      <c r="J7" s="36" t="n">
        <v>6</v>
      </c>
      <c r="K7" s="37" t="n">
        <v>0.3</v>
      </c>
      <c r="L7" s="36" t="n">
        <v>38</v>
      </c>
      <c r="M7" s="37" t="n">
        <v>0.6666666666666666</v>
      </c>
      <c r="N7" s="36" t="n">
        <v>6</v>
      </c>
      <c r="O7" s="37" t="n">
        <v>1</v>
      </c>
      <c r="P7" s="36" t="n">
        <v>6</v>
      </c>
      <c r="Q7" s="37" t="n">
        <v>1</v>
      </c>
      <c r="R7" s="36" t="n">
        <v>77</v>
      </c>
      <c r="S7" s="37" t="n">
        <v>1</v>
      </c>
      <c r="T7" s="36" t="n">
        <v>33</v>
      </c>
      <c r="U7" s="37" t="n">
        <v>0.4285714285714285</v>
      </c>
      <c r="V7" s="38" t="n">
        <v>0</v>
      </c>
      <c r="W7" s="38" t="n">
        <v>3.445</v>
      </c>
      <c r="X7" s="38" t="n">
        <v>23.034</v>
      </c>
      <c r="Y7" s="38" t="n">
        <v>66.02200000000001</v>
      </c>
      <c r="Z7" s="38" t="n">
        <v>0</v>
      </c>
      <c r="AA7" s="36" t="n">
        <v>18</v>
      </c>
      <c r="AB7" s="37" t="n">
        <v>0.1267605633802817</v>
      </c>
      <c r="AC7" s="36" t="n">
        <v>3</v>
      </c>
      <c r="AD7" s="37" t="n">
        <v>0.1153846153846154</v>
      </c>
      <c r="AE7" s="36" t="n">
        <v>15</v>
      </c>
      <c r="AF7" s="37" t="n">
        <v>0.1327433628318584</v>
      </c>
      <c r="AG7" s="36" t="n">
        <v>3</v>
      </c>
      <c r="AH7" s="37" t="n">
        <v>1</v>
      </c>
    </row>
    <row r="8">
      <c r="A8" s="53" t="n">
        <v>45809</v>
      </c>
      <c r="B8" t="inlineStr">
        <is>
          <t>R10_Sumbagteng</t>
        </is>
      </c>
      <c r="C8" t="inlineStr">
        <is>
          <t>NOP BATAM</t>
        </is>
      </c>
      <c r="D8" s="38" t="n">
        <v>1.58</v>
      </c>
      <c r="E8" s="38" t="n">
        <v>7.606999999999998</v>
      </c>
      <c r="F8" s="36" t="n">
        <v>9.599000000000004</v>
      </c>
      <c r="G8" s="36" t="n">
        <v>10.277</v>
      </c>
      <c r="H8" s="36" t="n">
        <v>27</v>
      </c>
      <c r="I8" s="37" t="n">
        <v>0.3333333333333333</v>
      </c>
      <c r="J8" s="36" t="n">
        <v>4</v>
      </c>
      <c r="K8" s="37" t="n">
        <v>0.3636363636363636</v>
      </c>
      <c r="L8" s="36" t="n">
        <v>23</v>
      </c>
      <c r="M8" s="37" t="n">
        <v>0.3285714285714286</v>
      </c>
      <c r="N8" s="36" t="n">
        <v>2</v>
      </c>
      <c r="O8" s="37" t="n">
        <v>0.5</v>
      </c>
      <c r="P8" s="36" t="n">
        <v>2</v>
      </c>
      <c r="Q8" s="37" t="n">
        <v>0.5</v>
      </c>
      <c r="R8" s="36" t="n">
        <v>80</v>
      </c>
      <c r="S8" s="37" t="n">
        <v>0.9876543209876543</v>
      </c>
      <c r="T8" s="36" t="n">
        <v>23</v>
      </c>
      <c r="U8" s="37" t="n">
        <v>0.2839506172839506</v>
      </c>
      <c r="V8" s="38" t="n">
        <v>0</v>
      </c>
      <c r="W8" s="38" t="n">
        <v>15.59400000000002</v>
      </c>
      <c r="X8" s="38" t="n">
        <v>23.18</v>
      </c>
      <c r="Y8" s="38" t="n">
        <v>53.38199999999998</v>
      </c>
      <c r="Z8" s="38" t="n">
        <v>0</v>
      </c>
      <c r="AA8" s="36" t="n">
        <v>63</v>
      </c>
      <c r="AB8" s="37" t="n">
        <v>0.2825112107623318</v>
      </c>
      <c r="AC8" s="36" t="n">
        <v>27</v>
      </c>
      <c r="AD8" s="37" t="n">
        <v>0.5625</v>
      </c>
      <c r="AE8" s="36" t="n">
        <v>36</v>
      </c>
      <c r="AF8" s="37" t="n">
        <v>0.2057142857142857</v>
      </c>
      <c r="AG8" s="36" t="n">
        <v>22</v>
      </c>
      <c r="AH8" s="37" t="n">
        <v>0.8148148148148148</v>
      </c>
    </row>
    <row r="9">
      <c r="A9" s="53" t="n">
        <v>45809</v>
      </c>
      <c r="B9" t="inlineStr">
        <is>
          <t>R10_Sumbagteng</t>
        </is>
      </c>
      <c r="C9" t="inlineStr">
        <is>
          <t>NOP BUKITTINGGI</t>
        </is>
      </c>
      <c r="D9" s="38" t="n">
        <v>2.427</v>
      </c>
      <c r="E9" s="38" t="n">
        <v>4.372000000000002</v>
      </c>
      <c r="F9" s="36" t="n">
        <v>4.116000000000001</v>
      </c>
      <c r="G9" s="36" t="n">
        <v>1.66</v>
      </c>
      <c r="H9" s="36" t="n">
        <v>36</v>
      </c>
      <c r="I9" s="37" t="n">
        <v>0.7659574468085106</v>
      </c>
      <c r="J9" s="36" t="n">
        <v>12</v>
      </c>
      <c r="K9" s="37" t="n">
        <v>0.8571428571428571</v>
      </c>
      <c r="L9" s="36" t="n">
        <v>24</v>
      </c>
      <c r="M9" s="37" t="n">
        <v>0.7272727272727273</v>
      </c>
      <c r="N9" s="36" t="n">
        <v>5</v>
      </c>
      <c r="O9" s="37" t="n">
        <v>0.4166666666666667</v>
      </c>
      <c r="P9" s="36" t="n">
        <v>5</v>
      </c>
      <c r="Q9" s="37" t="n">
        <v>0.4166666666666667</v>
      </c>
      <c r="R9" s="36" t="n">
        <v>45</v>
      </c>
      <c r="S9" s="37" t="n">
        <v>0.9574468085106383</v>
      </c>
      <c r="T9" s="36" t="n">
        <v>21</v>
      </c>
      <c r="U9" s="37" t="n">
        <v>0.4468085106382979</v>
      </c>
      <c r="V9" s="38" t="n">
        <v>0</v>
      </c>
      <c r="W9" s="38" t="n">
        <v>4.45</v>
      </c>
      <c r="X9" s="38" t="n">
        <v>91.37</v>
      </c>
      <c r="Y9" s="38" t="n">
        <v>157.398</v>
      </c>
      <c r="Z9" s="38" t="n">
        <v>0</v>
      </c>
      <c r="AA9" s="36" t="n">
        <v>50</v>
      </c>
      <c r="AB9" s="37" t="n">
        <v>0.6756756756756757</v>
      </c>
      <c r="AC9" s="36" t="n">
        <v>11</v>
      </c>
      <c r="AD9" s="37" t="n">
        <v>0.7333333333333333</v>
      </c>
      <c r="AE9" s="36" t="n">
        <v>39</v>
      </c>
      <c r="AF9" s="37" t="n">
        <v>0.6724137931034483</v>
      </c>
      <c r="AG9" s="36" t="n">
        <v>6</v>
      </c>
      <c r="AH9" s="37" t="n">
        <v>0.5454545454545454</v>
      </c>
    </row>
    <row r="10">
      <c r="A10" s="53" t="n">
        <v>45809</v>
      </c>
      <c r="B10" t="inlineStr">
        <is>
          <t>R10_Sumbagteng</t>
        </is>
      </c>
      <c r="C10" t="inlineStr">
        <is>
          <t>NOP DUMAI</t>
        </is>
      </c>
      <c r="D10" s="38" t="n">
        <v>1.271</v>
      </c>
      <c r="E10" s="38" t="n">
        <v>3.940000000000002</v>
      </c>
      <c r="F10" s="36" t="n">
        <v>3.278000000000001</v>
      </c>
      <c r="G10" s="36" t="n">
        <v>6.354</v>
      </c>
      <c r="H10" s="36" t="n">
        <v>96</v>
      </c>
      <c r="I10" s="37" t="n">
        <v>0.4593301435406699</v>
      </c>
      <c r="J10" s="36" t="n">
        <v>43</v>
      </c>
      <c r="K10" s="37" t="n">
        <v>0.6615384615384615</v>
      </c>
      <c r="L10" s="36" t="n">
        <v>53</v>
      </c>
      <c r="M10" s="37" t="n">
        <v>0.3680555555555556</v>
      </c>
      <c r="N10" s="36" t="n">
        <v>26</v>
      </c>
      <c r="O10" s="37" t="n">
        <v>0.6046511627906976</v>
      </c>
      <c r="P10" s="36" t="n">
        <v>26</v>
      </c>
      <c r="Q10" s="37" t="n">
        <v>0.65</v>
      </c>
      <c r="R10" s="36" t="n">
        <v>208</v>
      </c>
      <c r="S10" s="37" t="n">
        <v>0.9952153110047847</v>
      </c>
      <c r="T10" s="36" t="n">
        <v>63</v>
      </c>
      <c r="U10" s="37" t="n">
        <v>0.3014354066985646</v>
      </c>
      <c r="V10" s="38" t="n">
        <v>0.01</v>
      </c>
      <c r="W10" s="38" t="n">
        <v>7.417000000000012</v>
      </c>
      <c r="X10" s="38" t="n">
        <v>50.305</v>
      </c>
      <c r="Y10" s="38" t="n">
        <v>95.164</v>
      </c>
      <c r="Z10" s="38" t="n">
        <v>0</v>
      </c>
      <c r="AA10" s="36" t="n">
        <v>83</v>
      </c>
      <c r="AB10" s="37" t="n">
        <v>0.2128205128205128</v>
      </c>
      <c r="AC10" s="36" t="n">
        <v>31</v>
      </c>
      <c r="AD10" s="37" t="n">
        <v>0.3333333333333333</v>
      </c>
      <c r="AE10" s="36" t="n">
        <v>52</v>
      </c>
      <c r="AF10" s="37" t="n">
        <v>0.1774744027303754</v>
      </c>
      <c r="AG10" s="36" t="n">
        <v>29</v>
      </c>
      <c r="AH10" s="37" t="n">
        <v>0.9354838709677419</v>
      </c>
    </row>
    <row r="11">
      <c r="A11" s="53" t="n">
        <v>45809</v>
      </c>
      <c r="B11" t="inlineStr">
        <is>
          <t>R10_Sumbagteng</t>
        </is>
      </c>
      <c r="C11" t="inlineStr">
        <is>
          <t>NOP PADANG</t>
        </is>
      </c>
      <c r="D11" s="38" t="n">
        <v>0</v>
      </c>
      <c r="E11" s="38" t="n">
        <v>1.058</v>
      </c>
      <c r="F11" s="36" t="n">
        <v>5.393999999999999</v>
      </c>
      <c r="G11" s="36" t="n">
        <v>5.216000000000001</v>
      </c>
      <c r="H11" s="36" t="n">
        <v>31</v>
      </c>
      <c r="I11" s="37" t="n">
        <v>0.6888888888888889</v>
      </c>
      <c r="J11" s="36" t="n">
        <v>0</v>
      </c>
      <c r="K11" s="37" t="n">
        <v>0</v>
      </c>
      <c r="L11" s="36" t="n">
        <v>31</v>
      </c>
      <c r="M11" s="37" t="n">
        <v>0.7380952380952381</v>
      </c>
      <c r="N11" s="36" t="n">
        <v>0</v>
      </c>
      <c r="O11" s="37" t="n">
        <v>0</v>
      </c>
      <c r="P11" s="36" t="n">
        <v>0</v>
      </c>
      <c r="Q11" s="37" t="n">
        <v>0</v>
      </c>
      <c r="R11" s="36" t="n">
        <v>44</v>
      </c>
      <c r="S11" s="37" t="n">
        <v>0.9777777777777777</v>
      </c>
      <c r="T11" s="36" t="n">
        <v>9</v>
      </c>
      <c r="U11" s="37" t="n">
        <v>0.2</v>
      </c>
      <c r="V11" s="38" t="n">
        <v>0</v>
      </c>
      <c r="W11" s="38" t="n">
        <v>3.887</v>
      </c>
      <c r="X11" s="38" t="n">
        <v>48.956</v>
      </c>
      <c r="Y11" s="38" t="n">
        <v>139.9360000000001</v>
      </c>
      <c r="Z11" s="38" t="n">
        <v>0</v>
      </c>
      <c r="AA11" s="36" t="n">
        <v>54</v>
      </c>
      <c r="AB11" s="37" t="n">
        <v>0.75</v>
      </c>
      <c r="AC11" s="36" t="n">
        <v>7</v>
      </c>
      <c r="AD11" s="37" t="n">
        <v>0.5833333333333334</v>
      </c>
      <c r="AE11" s="36" t="n">
        <v>47</v>
      </c>
      <c r="AF11" s="37" t="n">
        <v>0.7833333333333333</v>
      </c>
      <c r="AG11" s="36" t="n">
        <v>4</v>
      </c>
      <c r="AH11" s="37" t="n">
        <v>0.5714285714285714</v>
      </c>
    </row>
    <row r="12">
      <c r="A12" s="53" t="n">
        <v>45809</v>
      </c>
      <c r="B12" t="inlineStr">
        <is>
          <t>R10_Sumbagteng</t>
        </is>
      </c>
      <c r="C12" t="inlineStr">
        <is>
          <t>NOP PEKANBARU</t>
        </is>
      </c>
      <c r="D12" s="38" t="n">
        <v>0</v>
      </c>
      <c r="E12" s="38" t="n">
        <v>3.89</v>
      </c>
      <c r="F12" s="36" t="n">
        <v>3.794</v>
      </c>
      <c r="G12" s="36" t="n">
        <v>6.879999999999999</v>
      </c>
      <c r="H12" s="36" t="n">
        <v>46</v>
      </c>
      <c r="I12" s="37" t="n">
        <v>0.4380952380952381</v>
      </c>
      <c r="J12" s="36" t="n">
        <v>6</v>
      </c>
      <c r="K12" s="37" t="n">
        <v>0.375</v>
      </c>
      <c r="L12" s="36" t="n">
        <v>40</v>
      </c>
      <c r="M12" s="37" t="n">
        <v>0.449438202247191</v>
      </c>
      <c r="N12" s="36" t="n">
        <v>5</v>
      </c>
      <c r="O12" s="37" t="n">
        <v>0.8333333333333334</v>
      </c>
      <c r="P12" s="36" t="n">
        <v>5</v>
      </c>
      <c r="Q12" s="37" t="n">
        <v>0.8333333333333334</v>
      </c>
      <c r="R12" s="36" t="n">
        <v>105</v>
      </c>
      <c r="S12" s="37" t="n">
        <v>1</v>
      </c>
      <c r="T12" s="36" t="n">
        <v>25</v>
      </c>
      <c r="U12" s="37" t="n">
        <v>0.2380952380952381</v>
      </c>
      <c r="V12" s="38" t="n">
        <v>0</v>
      </c>
      <c r="W12" s="38" t="n">
        <v>3.26</v>
      </c>
      <c r="X12" s="38" t="n">
        <v>57.75200000000004</v>
      </c>
      <c r="Y12" s="38" t="n">
        <v>80.38300000000001</v>
      </c>
      <c r="Z12" s="38" t="n">
        <v>0</v>
      </c>
      <c r="AA12" s="36" t="n">
        <v>67</v>
      </c>
      <c r="AB12" s="37" t="n">
        <v>0.2607003891050584</v>
      </c>
      <c r="AC12" s="36" t="n">
        <v>23</v>
      </c>
      <c r="AD12" s="37" t="n">
        <v>0.3026315789473684</v>
      </c>
      <c r="AE12" s="36" t="n">
        <v>43</v>
      </c>
      <c r="AF12" s="37" t="n">
        <v>0.2429378531073446</v>
      </c>
      <c r="AG12" s="36" t="n">
        <v>22</v>
      </c>
      <c r="AH12" s="37" t="n">
        <v>0.9565217391304348</v>
      </c>
    </row>
    <row r="13">
      <c r="A13" s="53" t="n">
        <v>45809</v>
      </c>
      <c r="B13" t="inlineStr">
        <is>
          <t>R02_Sumbagsel</t>
        </is>
      </c>
      <c r="C13" t="inlineStr">
        <is>
          <t>NOP BENGKULU</t>
        </is>
      </c>
      <c r="D13" s="38" t="n">
        <v>0</v>
      </c>
      <c r="E13" s="38" t="n">
        <v>3.23</v>
      </c>
      <c r="F13" s="36" t="n">
        <v>3.872000000000001</v>
      </c>
      <c r="G13" s="36" t="n">
        <v>6.348000000000003</v>
      </c>
      <c r="H13" s="36" t="n">
        <v>17</v>
      </c>
      <c r="I13" s="37" t="n">
        <v>0.6071428571428571</v>
      </c>
      <c r="J13" s="36" t="n">
        <v>5</v>
      </c>
      <c r="K13" s="37" t="n">
        <v>0.8333333333333334</v>
      </c>
      <c r="L13" s="36" t="n">
        <v>12</v>
      </c>
      <c r="M13" s="37" t="n">
        <v>0.5454545454545454</v>
      </c>
      <c r="N13" s="36" t="n">
        <v>4</v>
      </c>
      <c r="O13" s="37" t="n">
        <v>0.8</v>
      </c>
      <c r="P13" s="36" t="n">
        <v>4</v>
      </c>
      <c r="Q13" s="37" t="n">
        <v>0.8</v>
      </c>
      <c r="R13" s="36" t="n">
        <v>28</v>
      </c>
      <c r="S13" s="37" t="n">
        <v>1</v>
      </c>
      <c r="T13" s="36" t="n">
        <v>15</v>
      </c>
      <c r="U13" s="37" t="n">
        <v>0.5357142857142857</v>
      </c>
      <c r="V13" s="38" t="n">
        <v>0</v>
      </c>
      <c r="W13" s="38" t="n">
        <v>8.508000000000004</v>
      </c>
      <c r="X13" s="38" t="n">
        <v>3.817000000000002</v>
      </c>
      <c r="Y13" s="38" t="n">
        <v>5</v>
      </c>
      <c r="Z13" s="38" t="n">
        <v>0</v>
      </c>
      <c r="AA13" s="36" t="n">
        <v>48</v>
      </c>
      <c r="AB13" s="37" t="n">
        <v>0.5</v>
      </c>
      <c r="AC13" s="36" t="n">
        <v>23</v>
      </c>
      <c r="AD13" s="37" t="n">
        <v>0.4181818181818182</v>
      </c>
      <c r="AE13" s="36" t="n">
        <v>25</v>
      </c>
      <c r="AF13" s="37" t="n">
        <v>0.6410256410256411</v>
      </c>
      <c r="AG13" s="36" t="n">
        <v>19</v>
      </c>
      <c r="AH13" s="37" t="n">
        <v>0.8260869565217391</v>
      </c>
    </row>
    <row r="14">
      <c r="A14" s="53" t="n">
        <v>45809</v>
      </c>
      <c r="B14" t="inlineStr">
        <is>
          <t>R02_Sumbagsel</t>
        </is>
      </c>
      <c r="C14" t="inlineStr">
        <is>
          <t>NOP JAMBI</t>
        </is>
      </c>
      <c r="D14" s="38" t="n">
        <v>0.428</v>
      </c>
      <c r="E14" s="38" t="n">
        <v>2.793</v>
      </c>
      <c r="F14" s="36" t="n">
        <v>3.012000000000001</v>
      </c>
      <c r="G14" s="36" t="n">
        <v>5.1</v>
      </c>
      <c r="H14" s="36" t="n">
        <v>52</v>
      </c>
      <c r="I14" s="37" t="n">
        <v>0.40625</v>
      </c>
      <c r="J14" s="36" t="n">
        <v>12</v>
      </c>
      <c r="K14" s="37" t="n">
        <v>0.4137931034482759</v>
      </c>
      <c r="L14" s="36" t="n">
        <v>40</v>
      </c>
      <c r="M14" s="37" t="n">
        <v>0.404040404040404</v>
      </c>
      <c r="N14" s="36" t="n">
        <v>9</v>
      </c>
      <c r="O14" s="37" t="n">
        <v>0.75</v>
      </c>
      <c r="P14" s="36" t="n">
        <v>9</v>
      </c>
      <c r="Q14" s="37" t="n">
        <v>0.75</v>
      </c>
      <c r="R14" s="36" t="n">
        <v>128</v>
      </c>
      <c r="S14" s="37" t="n">
        <v>1</v>
      </c>
      <c r="T14" s="36" t="n">
        <v>20</v>
      </c>
      <c r="U14" s="37" t="n">
        <v>0.15625</v>
      </c>
      <c r="V14" s="38" t="n">
        <v>0</v>
      </c>
      <c r="W14" s="38" t="n">
        <v>6.058000000000001</v>
      </c>
      <c r="X14" s="38" t="n">
        <v>12.61700000000002</v>
      </c>
      <c r="Y14" s="38" t="n">
        <v>18.975</v>
      </c>
      <c r="Z14" s="38" t="n">
        <v>0</v>
      </c>
      <c r="AA14" s="36" t="n">
        <v>31</v>
      </c>
      <c r="AB14" s="37" t="n">
        <v>0.1648936170212766</v>
      </c>
      <c r="AC14" s="36" t="n">
        <v>17</v>
      </c>
      <c r="AD14" s="37" t="n">
        <v>0.1910112359550562</v>
      </c>
      <c r="AE14" s="36" t="n">
        <v>14</v>
      </c>
      <c r="AF14" s="37" t="n">
        <v>0.175</v>
      </c>
      <c r="AG14" s="36" t="n">
        <v>11</v>
      </c>
      <c r="AH14" s="37" t="n">
        <v>0.6470588235294118</v>
      </c>
    </row>
    <row r="15">
      <c r="A15" s="53" t="n">
        <v>45809</v>
      </c>
      <c r="B15" t="inlineStr">
        <is>
          <t>R02_Sumbagsel</t>
        </is>
      </c>
      <c r="C15" t="inlineStr">
        <is>
          <t>NOP LAMPUNG</t>
        </is>
      </c>
      <c r="D15" s="38" t="n">
        <v>0</v>
      </c>
      <c r="E15" s="38" t="n">
        <v>1.455</v>
      </c>
      <c r="F15" s="36" t="n">
        <v>1.468</v>
      </c>
      <c r="G15" s="36" t="n">
        <v>4.192</v>
      </c>
      <c r="H15" s="36" t="n">
        <v>9</v>
      </c>
      <c r="I15" s="37" t="n">
        <v>0.6923076923076923</v>
      </c>
      <c r="J15" s="36" t="n">
        <v>3</v>
      </c>
      <c r="K15" s="37" t="n">
        <v>0.75</v>
      </c>
      <c r="L15" s="36" t="n">
        <v>6</v>
      </c>
      <c r="M15" s="37" t="n">
        <v>0.6666666666666666</v>
      </c>
      <c r="N15" s="36" t="n">
        <v>2</v>
      </c>
      <c r="O15" s="37" t="n">
        <v>0.6666666666666666</v>
      </c>
      <c r="P15" s="36" t="n">
        <v>2</v>
      </c>
      <c r="Q15" s="37" t="n">
        <v>0.6666666666666666</v>
      </c>
      <c r="R15" s="36" t="n">
        <v>13</v>
      </c>
      <c r="S15" s="37" t="n">
        <v>1</v>
      </c>
      <c r="T15" s="36" t="n">
        <v>8</v>
      </c>
      <c r="U15" s="37" t="n">
        <v>0.6153846153846154</v>
      </c>
      <c r="V15" s="38" t="n">
        <v>0</v>
      </c>
      <c r="W15" s="38" t="n">
        <v>9.745000000000001</v>
      </c>
      <c r="X15" s="38" t="n">
        <v>6.36</v>
      </c>
      <c r="Y15" s="38" t="n">
        <v>28.947</v>
      </c>
      <c r="Z15" s="38" t="n">
        <v>0</v>
      </c>
      <c r="AA15" s="36" t="n">
        <v>61</v>
      </c>
      <c r="AB15" s="37" t="n">
        <v>0.782051282051282</v>
      </c>
      <c r="AC15" s="36" t="n">
        <v>14</v>
      </c>
      <c r="AD15" s="37" t="n">
        <v>0.875</v>
      </c>
      <c r="AE15" s="36" t="n">
        <v>47</v>
      </c>
      <c r="AF15" s="37" t="n">
        <v>0.7580645161290323</v>
      </c>
      <c r="AG15" s="36" t="n">
        <v>13</v>
      </c>
      <c r="AH15" s="37" t="n">
        <v>0.9285714285714286</v>
      </c>
    </row>
    <row r="16">
      <c r="A16" s="53" t="n">
        <v>45809</v>
      </c>
      <c r="B16" t="inlineStr">
        <is>
          <t>R02_Sumbagsel</t>
        </is>
      </c>
      <c r="C16" t="inlineStr">
        <is>
          <t>NOP MUARA ENIM</t>
        </is>
      </c>
      <c r="D16" s="38" t="n">
        <v>1.29</v>
      </c>
      <c r="E16" s="38" t="n">
        <v>3.882000000000001</v>
      </c>
      <c r="F16" s="36" t="n">
        <v>4.186</v>
      </c>
      <c r="G16" s="36" t="n">
        <v>5.368000000000001</v>
      </c>
      <c r="H16" s="36" t="n">
        <v>37</v>
      </c>
      <c r="I16" s="37" t="n">
        <v>0.3627450980392157</v>
      </c>
      <c r="J16" s="36" t="n">
        <v>10</v>
      </c>
      <c r="K16" s="37" t="n">
        <v>0.5</v>
      </c>
      <c r="L16" s="36" t="n">
        <v>27</v>
      </c>
      <c r="M16" s="37" t="n">
        <v>0.3292682926829268</v>
      </c>
      <c r="N16" s="36" t="n">
        <v>10</v>
      </c>
      <c r="O16" s="37" t="n">
        <v>1</v>
      </c>
      <c r="P16" s="36" t="n">
        <v>10</v>
      </c>
      <c r="Q16" s="37" t="n">
        <v>1</v>
      </c>
      <c r="R16" s="36" t="n">
        <v>100</v>
      </c>
      <c r="S16" s="37" t="n">
        <v>0.9803921568627451</v>
      </c>
      <c r="T16" s="36" t="n">
        <v>27</v>
      </c>
      <c r="U16" s="37" t="n">
        <v>0.2647058823529412</v>
      </c>
      <c r="V16" s="38" t="n">
        <v>0</v>
      </c>
      <c r="W16" s="38" t="n">
        <v>15.04200000000003</v>
      </c>
      <c r="X16" s="38" t="n">
        <v>5.255</v>
      </c>
      <c r="Y16" s="38" t="n">
        <v>6.225</v>
      </c>
      <c r="Z16" s="38" t="n">
        <v>0</v>
      </c>
      <c r="AA16" s="36" t="n">
        <v>79</v>
      </c>
      <c r="AB16" s="37" t="n">
        <v>0.4674556213017751</v>
      </c>
      <c r="AC16" s="36" t="n">
        <v>43</v>
      </c>
      <c r="AD16" s="37" t="n">
        <v>0.4095238095238095</v>
      </c>
      <c r="AE16" s="36" t="n">
        <v>34</v>
      </c>
      <c r="AF16" s="37" t="n">
        <v>0.6071428571428571</v>
      </c>
      <c r="AG16" s="36" t="n">
        <v>33</v>
      </c>
      <c r="AH16" s="37" t="n">
        <v>0.7674418604651163</v>
      </c>
    </row>
    <row r="17">
      <c r="A17" s="53" t="n">
        <v>45809</v>
      </c>
      <c r="B17" t="inlineStr">
        <is>
          <t>R02_Sumbagsel</t>
        </is>
      </c>
      <c r="C17" t="inlineStr">
        <is>
          <t>NOP PALEMBANG</t>
        </is>
      </c>
      <c r="D17" s="38" t="n">
        <v>0.61</v>
      </c>
      <c r="E17" s="38" t="n">
        <v>7.99</v>
      </c>
      <c r="F17" s="36" t="n">
        <v>6.052</v>
      </c>
      <c r="G17" s="36" t="n">
        <v>8.257000000000001</v>
      </c>
      <c r="H17" s="36" t="n">
        <v>39</v>
      </c>
      <c r="I17" s="37" t="n">
        <v>0.291044776119403</v>
      </c>
      <c r="J17" s="36" t="n">
        <v>3</v>
      </c>
      <c r="K17" s="37" t="n">
        <v>0.25</v>
      </c>
      <c r="L17" s="36" t="n">
        <v>36</v>
      </c>
      <c r="M17" s="37" t="n">
        <v>0.2950819672131147</v>
      </c>
      <c r="N17" s="36" t="n">
        <v>3</v>
      </c>
      <c r="O17" s="37" t="n">
        <v>1</v>
      </c>
      <c r="P17" s="36" t="n">
        <v>3</v>
      </c>
      <c r="Q17" s="37" t="n">
        <v>1</v>
      </c>
      <c r="R17" s="36" t="n">
        <v>134</v>
      </c>
      <c r="S17" s="37" t="n">
        <v>1</v>
      </c>
      <c r="T17" s="36" t="n">
        <v>18</v>
      </c>
      <c r="U17" s="37" t="n">
        <v>0.1343283582089552</v>
      </c>
      <c r="V17" s="38" t="n">
        <v>0</v>
      </c>
      <c r="W17" s="38" t="n">
        <v>3.1</v>
      </c>
      <c r="X17" s="38" t="n">
        <v>9.831</v>
      </c>
      <c r="Y17" s="38" t="n">
        <v>9.200000000000003</v>
      </c>
      <c r="Z17" s="38" t="n">
        <v>0</v>
      </c>
      <c r="AA17" s="36" t="n">
        <v>18</v>
      </c>
      <c r="AB17" s="37" t="n">
        <v>0.1077844311377246</v>
      </c>
      <c r="AC17" s="36" t="n">
        <v>6</v>
      </c>
      <c r="AD17" s="37" t="n">
        <v>0.06593406593406594</v>
      </c>
      <c r="AE17" s="36" t="n">
        <v>12</v>
      </c>
      <c r="AF17" s="37" t="n">
        <v>0.2105263157894737</v>
      </c>
      <c r="AG17" s="36" t="n">
        <v>4</v>
      </c>
      <c r="AH17" s="37" t="n">
        <v>0.6666666666666666</v>
      </c>
    </row>
    <row r="18">
      <c r="A18" s="53" t="n">
        <v>45809</v>
      </c>
      <c r="B18" t="inlineStr">
        <is>
          <t>R02_Sumbagsel</t>
        </is>
      </c>
      <c r="C18" t="inlineStr">
        <is>
          <t>NOP PANGKAL PINANG</t>
        </is>
      </c>
      <c r="D18" s="38" t="n">
        <v>0</v>
      </c>
      <c r="E18" s="38" t="n">
        <v>3.468</v>
      </c>
      <c r="F18" s="36" t="n">
        <v>7.886</v>
      </c>
      <c r="G18" s="36" t="n">
        <v>1.999</v>
      </c>
      <c r="H18" s="36" t="n">
        <v>14</v>
      </c>
      <c r="I18" s="37" t="n">
        <v>0.7</v>
      </c>
      <c r="J18" s="36" t="n">
        <v>2</v>
      </c>
      <c r="K18" s="37" t="n">
        <v>0.6666666666666666</v>
      </c>
      <c r="L18" s="36" t="n">
        <v>12</v>
      </c>
      <c r="M18" s="37" t="n">
        <v>0.7058823529411765</v>
      </c>
      <c r="N18" s="36" t="n">
        <v>1</v>
      </c>
      <c r="O18" s="37" t="n">
        <v>0.5</v>
      </c>
      <c r="P18" s="36" t="n">
        <v>1</v>
      </c>
      <c r="Q18" s="37" t="n">
        <v>0.5</v>
      </c>
      <c r="R18" s="36" t="n">
        <v>20</v>
      </c>
      <c r="S18" s="37" t="n">
        <v>1</v>
      </c>
      <c r="T18" s="36" t="n">
        <v>8</v>
      </c>
      <c r="U18" s="37" t="n">
        <v>0.4</v>
      </c>
      <c r="V18" s="38" t="n">
        <v>0</v>
      </c>
      <c r="W18" s="38" t="n">
        <v>4.395</v>
      </c>
      <c r="X18" s="38" t="n">
        <v>5.883999999999999</v>
      </c>
      <c r="Y18" s="38" t="n">
        <v>3.665</v>
      </c>
      <c r="Z18" s="38" t="n">
        <v>0</v>
      </c>
      <c r="AA18" s="36" t="n">
        <v>63</v>
      </c>
      <c r="AB18" s="37" t="n">
        <v>0.9264705882352942</v>
      </c>
      <c r="AC18" s="36" t="n">
        <v>27</v>
      </c>
      <c r="AD18" s="37" t="n">
        <v>0.9642857142857143</v>
      </c>
      <c r="AE18" s="36" t="n">
        <v>36</v>
      </c>
      <c r="AF18" s="37" t="n">
        <v>0.9</v>
      </c>
      <c r="AG18" s="36" t="n">
        <v>20</v>
      </c>
      <c r="AH18" s="37" t="n">
        <v>0.7407407407407407</v>
      </c>
    </row>
    <row r="19">
      <c r="A19" s="53" t="n">
        <v>45809</v>
      </c>
      <c r="B19" t="inlineStr">
        <is>
          <t>R05_Jawa Tengah DIY</t>
        </is>
      </c>
      <c r="C19" t="inlineStr">
        <is>
          <t>NOP MAGELANG</t>
        </is>
      </c>
      <c r="D19" s="38" t="n">
        <v>0</v>
      </c>
      <c r="E19" s="38" t="n">
        <v>0</v>
      </c>
      <c r="F19" s="36" t="n">
        <v>2.604</v>
      </c>
      <c r="G19" s="36" t="n">
        <v>1.187</v>
      </c>
      <c r="H19" s="36" t="n">
        <v>6</v>
      </c>
      <c r="I19" s="37" t="n">
        <v>0.8571428571428571</v>
      </c>
      <c r="J19" s="36" t="n">
        <v>0</v>
      </c>
      <c r="K19" s="37" t="n">
        <v>0</v>
      </c>
      <c r="L19" s="36" t="n">
        <v>6</v>
      </c>
      <c r="M19" s="37" t="n">
        <v>0.8571428571428571</v>
      </c>
      <c r="N19" s="36" t="n">
        <v>0</v>
      </c>
      <c r="O19" s="37" t="n">
        <v>0</v>
      </c>
      <c r="P19" s="36" t="n">
        <v>0</v>
      </c>
      <c r="Q19" s="37" t="n">
        <v>0</v>
      </c>
      <c r="R19" s="36" t="n">
        <v>7</v>
      </c>
      <c r="S19" s="37" t="n">
        <v>1</v>
      </c>
      <c r="T19" s="36" t="n">
        <v>6</v>
      </c>
      <c r="U19" s="37" t="n">
        <v>0.8571428571428571</v>
      </c>
      <c r="V19" s="38" t="n">
        <v>0</v>
      </c>
      <c r="W19" s="38" t="n">
        <v>1.93</v>
      </c>
      <c r="X19" s="38" t="n">
        <v>5.272</v>
      </c>
      <c r="Y19" s="38" t="n">
        <v>7.556</v>
      </c>
      <c r="Z19" s="38" t="n">
        <v>0</v>
      </c>
      <c r="AA19" s="36" t="n">
        <v>56</v>
      </c>
      <c r="AB19" s="37" t="n">
        <v>0.9655172413793104</v>
      </c>
      <c r="AC19" s="36" t="n">
        <v>2</v>
      </c>
      <c r="AD19" s="37" t="n">
        <v>1</v>
      </c>
      <c r="AE19" s="36" t="n">
        <v>54</v>
      </c>
      <c r="AF19" s="37" t="n">
        <v>0.9642857142857143</v>
      </c>
      <c r="AG19" s="36" t="n">
        <v>2</v>
      </c>
      <c r="AH19" s="37" t="n">
        <v>1</v>
      </c>
    </row>
    <row r="20">
      <c r="A20" s="53" t="n">
        <v>45809</v>
      </c>
      <c r="B20" t="inlineStr">
        <is>
          <t>R05_Jawa Tengah DIY</t>
        </is>
      </c>
      <c r="C20" t="inlineStr">
        <is>
          <t>NOP PEKALONGAN</t>
        </is>
      </c>
      <c r="D20" s="38" t="n">
        <v>0</v>
      </c>
      <c r="E20" s="38" t="n">
        <v>0</v>
      </c>
      <c r="F20" s="36" t="n">
        <v>1.682</v>
      </c>
      <c r="G20" s="36" t="n">
        <v>28.011</v>
      </c>
      <c r="H20" s="36" t="n">
        <v>11</v>
      </c>
      <c r="I20" s="37" t="n">
        <v>0.8461538461538461</v>
      </c>
      <c r="J20" s="36" t="n">
        <v>0</v>
      </c>
      <c r="K20" s="37" t="n">
        <v>0</v>
      </c>
      <c r="L20" s="36" t="n">
        <v>11</v>
      </c>
      <c r="M20" s="37" t="n">
        <v>0.8461538461538461</v>
      </c>
      <c r="N20" s="36" t="n">
        <v>0</v>
      </c>
      <c r="O20" s="37" t="n">
        <v>0</v>
      </c>
      <c r="P20" s="36" t="n">
        <v>0</v>
      </c>
      <c r="Q20" s="37" t="n">
        <v>0</v>
      </c>
      <c r="R20" s="36" t="n">
        <v>13</v>
      </c>
      <c r="S20" s="37" t="n">
        <v>1</v>
      </c>
      <c r="T20" s="36" t="n">
        <v>7</v>
      </c>
      <c r="U20" s="37" t="n">
        <v>0.5384615384615384</v>
      </c>
      <c r="V20" s="38" t="n">
        <v>0</v>
      </c>
      <c r="W20" s="38" t="n">
        <v>1.776</v>
      </c>
      <c r="X20" s="38" t="n">
        <v>10.26</v>
      </c>
      <c r="Y20" s="38" t="n">
        <v>98.55</v>
      </c>
      <c r="Z20" s="38" t="n">
        <v>0</v>
      </c>
      <c r="AA20" s="36" t="n">
        <v>24</v>
      </c>
      <c r="AB20" s="37" t="n">
        <v>0.8888888888888888</v>
      </c>
      <c r="AC20" s="36" t="n">
        <v>3</v>
      </c>
      <c r="AD20" s="37" t="n">
        <v>0.6</v>
      </c>
      <c r="AE20" s="36" t="n">
        <v>21</v>
      </c>
      <c r="AF20" s="37" t="n">
        <v>0.9545454545454546</v>
      </c>
      <c r="AG20" s="36" t="n">
        <v>2</v>
      </c>
      <c r="AH20" s="37" t="n">
        <v>0.6666666666666666</v>
      </c>
    </row>
    <row r="21">
      <c r="A21" s="53" t="n">
        <v>45809</v>
      </c>
      <c r="B21" t="inlineStr">
        <is>
          <t>R05_Jawa Tengah DIY</t>
        </is>
      </c>
      <c r="C21" t="inlineStr">
        <is>
          <t>NOP PURWOKERTO</t>
        </is>
      </c>
      <c r="D21" s="38" t="n">
        <v>0.58</v>
      </c>
      <c r="E21" s="38" t="n">
        <v>0</v>
      </c>
      <c r="F21" s="36" t="n">
        <v>1.906000000000001</v>
      </c>
      <c r="G21" s="36" t="n">
        <v>0.46</v>
      </c>
      <c r="H21" s="36" t="n">
        <v>10</v>
      </c>
      <c r="I21" s="37" t="n">
        <v>0.5555555555555556</v>
      </c>
      <c r="J21" s="36" t="n">
        <v>0</v>
      </c>
      <c r="K21" s="37" t="n">
        <v>0</v>
      </c>
      <c r="L21" s="36" t="n">
        <v>10</v>
      </c>
      <c r="M21" s="37" t="n">
        <v>0.5882352941176471</v>
      </c>
      <c r="N21" s="36" t="n">
        <v>0</v>
      </c>
      <c r="O21" s="37" t="n">
        <v>0</v>
      </c>
      <c r="P21" s="36" t="n">
        <v>0</v>
      </c>
      <c r="Q21" s="37" t="n">
        <v>0</v>
      </c>
      <c r="R21" s="36" t="n">
        <v>17</v>
      </c>
      <c r="S21" s="37" t="n">
        <v>0.9444444444444444</v>
      </c>
      <c r="T21" s="36" t="n">
        <v>5</v>
      </c>
      <c r="U21" s="37" t="n">
        <v>0.2777777777777778</v>
      </c>
      <c r="V21" s="38" t="n">
        <v>0</v>
      </c>
      <c r="W21" s="38" t="n">
        <v>1.675</v>
      </c>
      <c r="X21" s="38" t="n">
        <v>11.34</v>
      </c>
      <c r="Y21" s="38" t="n">
        <v>67.78</v>
      </c>
      <c r="Z21" s="38" t="n">
        <v>0</v>
      </c>
      <c r="AA21" s="36" t="n">
        <v>18</v>
      </c>
      <c r="AB21" s="37" t="n">
        <v>0.8181818181818182</v>
      </c>
      <c r="AC21" s="36" t="n">
        <v>5</v>
      </c>
      <c r="AD21" s="37" t="n">
        <v>0.8333333333333334</v>
      </c>
      <c r="AE21" s="36" t="n">
        <v>13</v>
      </c>
      <c r="AF21" s="37" t="n">
        <v>0.8125</v>
      </c>
      <c r="AG21" s="36" t="n">
        <v>3</v>
      </c>
      <c r="AH21" s="37" t="n">
        <v>0.6</v>
      </c>
    </row>
    <row r="22">
      <c r="A22" s="53" t="n">
        <v>45809</v>
      </c>
      <c r="B22" t="inlineStr">
        <is>
          <t>R05_Jawa Tengah DIY</t>
        </is>
      </c>
      <c r="C22" t="inlineStr">
        <is>
          <t>NOP SEMARANG</t>
        </is>
      </c>
      <c r="D22" s="38" t="n">
        <v>1.723</v>
      </c>
      <c r="E22" s="38" t="n">
        <v>0</v>
      </c>
      <c r="F22" s="36" t="n">
        <v>3.615</v>
      </c>
      <c r="G22" s="36" t="n">
        <v>4.8</v>
      </c>
      <c r="H22" s="36" t="n">
        <v>24</v>
      </c>
      <c r="I22" s="37" t="n">
        <v>0.7058823529411765</v>
      </c>
      <c r="J22" s="36" t="n">
        <v>1</v>
      </c>
      <c r="K22" s="37" t="n">
        <v>0.5</v>
      </c>
      <c r="L22" s="36" t="n">
        <v>23</v>
      </c>
      <c r="M22" s="37" t="n">
        <v>0.71875</v>
      </c>
      <c r="N22" s="36" t="n">
        <v>1</v>
      </c>
      <c r="O22" s="37" t="n">
        <v>1</v>
      </c>
      <c r="P22" s="36" t="n">
        <v>1</v>
      </c>
      <c r="Q22" s="37" t="n">
        <v>1</v>
      </c>
      <c r="R22" s="36" t="n">
        <v>32</v>
      </c>
      <c r="S22" s="37" t="n">
        <v>0.9411764705882353</v>
      </c>
      <c r="T22" s="36" t="n">
        <v>17</v>
      </c>
      <c r="U22" s="37" t="n">
        <v>0.5</v>
      </c>
      <c r="V22" s="38" t="n">
        <v>0</v>
      </c>
      <c r="W22" s="38" t="n">
        <v>8</v>
      </c>
      <c r="X22" s="38" t="n">
        <v>9.328000000000001</v>
      </c>
      <c r="Y22" s="38" t="n">
        <v>9.420000000000002</v>
      </c>
      <c r="Z22" s="38" t="n">
        <v>0</v>
      </c>
      <c r="AA22" s="36" t="n">
        <v>40</v>
      </c>
      <c r="AB22" s="37" t="n">
        <v>0.8695652173913043</v>
      </c>
      <c r="AC22" s="36" t="n">
        <v>15</v>
      </c>
      <c r="AD22" s="37" t="n">
        <v>0.75</v>
      </c>
      <c r="AE22" s="36" t="n">
        <v>25</v>
      </c>
      <c r="AF22" s="37" t="n">
        <v>0.9615384615384616</v>
      </c>
      <c r="AG22" s="36" t="n">
        <v>13</v>
      </c>
      <c r="AH22" s="37" t="n">
        <v>0.8666666666666667</v>
      </c>
    </row>
    <row r="23">
      <c r="A23" s="53" t="n">
        <v>45809</v>
      </c>
      <c r="B23" t="inlineStr">
        <is>
          <t>R05_Jawa Tengah DIY</t>
        </is>
      </c>
      <c r="C23" t="inlineStr">
        <is>
          <t>NOP SURAKARTA</t>
        </is>
      </c>
      <c r="D23" s="38" t="n">
        <v>1.24</v>
      </c>
      <c r="E23" s="38" t="n">
        <v>2.035</v>
      </c>
      <c r="F23" s="36" t="n">
        <v>1.319</v>
      </c>
      <c r="G23" s="36" t="n">
        <v>2.300000000000001</v>
      </c>
      <c r="H23" s="36" t="n">
        <v>23</v>
      </c>
      <c r="I23" s="37" t="n">
        <v>0.6764705882352942</v>
      </c>
      <c r="J23" s="36" t="n">
        <v>3</v>
      </c>
      <c r="K23" s="37" t="n">
        <v>1</v>
      </c>
      <c r="L23" s="36" t="n">
        <v>20</v>
      </c>
      <c r="M23" s="37" t="n">
        <v>0.6451612903225806</v>
      </c>
      <c r="N23" s="36" t="n">
        <v>1</v>
      </c>
      <c r="O23" s="37" t="n">
        <v>0.3333333333333333</v>
      </c>
      <c r="P23" s="36" t="n">
        <v>1</v>
      </c>
      <c r="Q23" s="37" t="n">
        <v>0.3333333333333333</v>
      </c>
      <c r="R23" s="36" t="n">
        <v>34</v>
      </c>
      <c r="S23" s="37" t="n">
        <v>1</v>
      </c>
      <c r="T23" s="36" t="n">
        <v>10</v>
      </c>
      <c r="U23" s="37" t="n">
        <v>0.2941176470588235</v>
      </c>
      <c r="V23" s="38" t="n">
        <v>0</v>
      </c>
      <c r="W23" s="38" t="n">
        <v>1.655</v>
      </c>
      <c r="X23" s="38" t="n">
        <v>31.349</v>
      </c>
      <c r="Y23" s="38" t="n">
        <v>39.28399999999999</v>
      </c>
      <c r="Z23" s="38" t="n">
        <v>0</v>
      </c>
      <c r="AA23" s="36" t="n">
        <v>22</v>
      </c>
      <c r="AB23" s="37" t="n">
        <v>0.6875</v>
      </c>
      <c r="AC23" s="36" t="n">
        <v>0</v>
      </c>
      <c r="AD23" s="37" t="n">
        <v>0</v>
      </c>
      <c r="AE23" s="36" t="n">
        <v>22</v>
      </c>
      <c r="AF23" s="37" t="n">
        <v>0.8461538461538461</v>
      </c>
      <c r="AG23" s="36" t="n">
        <v>0</v>
      </c>
      <c r="AH23" s="37" t="n">
        <v>0</v>
      </c>
    </row>
    <row r="24">
      <c r="A24" s="53" t="n">
        <v>45809</v>
      </c>
      <c r="B24" t="inlineStr">
        <is>
          <t>R05_Jawa Tengah DIY</t>
        </is>
      </c>
      <c r="C24" t="inlineStr">
        <is>
          <t>NOP YOGYAKARTA</t>
        </is>
      </c>
      <c r="D24" s="38" t="n">
        <v>2.62</v>
      </c>
      <c r="E24" s="38" t="n">
        <v>0</v>
      </c>
      <c r="F24" s="36" t="n">
        <v>2.48</v>
      </c>
      <c r="G24" s="36" t="n">
        <v>3.708</v>
      </c>
      <c r="H24" s="36" t="n">
        <v>6</v>
      </c>
      <c r="I24" s="37" t="n">
        <v>0.5454545454545454</v>
      </c>
      <c r="J24" s="36" t="n">
        <v>1</v>
      </c>
      <c r="K24" s="37" t="n">
        <v>1</v>
      </c>
      <c r="L24" s="36" t="n">
        <v>5</v>
      </c>
      <c r="M24" s="37" t="n">
        <v>0.5</v>
      </c>
      <c r="N24" s="36" t="n">
        <v>1</v>
      </c>
      <c r="O24" s="37" t="n">
        <v>1</v>
      </c>
      <c r="P24" s="36" t="n">
        <v>1</v>
      </c>
      <c r="Q24" s="37" t="n">
        <v>1</v>
      </c>
      <c r="R24" s="36" t="n">
        <v>11</v>
      </c>
      <c r="S24" s="37" t="n">
        <v>1</v>
      </c>
      <c r="T24" s="36" t="n">
        <v>6</v>
      </c>
      <c r="U24" s="37" t="n">
        <v>0.5454545454545454</v>
      </c>
      <c r="V24" s="38" t="n">
        <v>0</v>
      </c>
      <c r="W24" s="38" t="n">
        <v>0.578</v>
      </c>
      <c r="X24" s="38" t="n">
        <v>6.536000000000003</v>
      </c>
      <c r="Y24" s="38" t="n">
        <v>25.868</v>
      </c>
      <c r="Z24" s="38" t="n">
        <v>0</v>
      </c>
      <c r="AA24" s="36" t="n">
        <v>35</v>
      </c>
      <c r="AB24" s="37" t="n">
        <v>0.9210526315789473</v>
      </c>
      <c r="AC24" s="36" t="n">
        <v>3</v>
      </c>
      <c r="AD24" s="37" t="n">
        <v>0.75</v>
      </c>
      <c r="AE24" s="36" t="n">
        <v>32</v>
      </c>
      <c r="AF24" s="37" t="n">
        <v>0.9411764705882353</v>
      </c>
      <c r="AG24" s="36" t="n">
        <v>3</v>
      </c>
      <c r="AH24" s="37" t="n">
        <v>1</v>
      </c>
    </row>
    <row r="25">
      <c r="A25" s="53" t="n">
        <v>45809</v>
      </c>
      <c r="B25" t="inlineStr">
        <is>
          <t>R06_Jawa Timur</t>
        </is>
      </c>
      <c r="C25" t="inlineStr">
        <is>
          <t>NOP JEMBER</t>
        </is>
      </c>
      <c r="D25" s="38" t="n">
        <v>0</v>
      </c>
      <c r="E25" s="38" t="n">
        <v>0</v>
      </c>
      <c r="F25" s="36" t="n">
        <v>0.66</v>
      </c>
      <c r="G25" s="36" t="n">
        <v>2.659</v>
      </c>
      <c r="H25" s="36" t="n">
        <v>3</v>
      </c>
      <c r="I25" s="37" t="n">
        <v>1</v>
      </c>
      <c r="J25" s="36" t="n">
        <v>0</v>
      </c>
      <c r="K25" s="37" t="n">
        <v>0</v>
      </c>
      <c r="L25" s="36" t="n">
        <v>3</v>
      </c>
      <c r="M25" s="37" t="n">
        <v>1</v>
      </c>
      <c r="N25" s="36" t="n">
        <v>0</v>
      </c>
      <c r="O25" s="37" t="n">
        <v>0</v>
      </c>
      <c r="P25" s="36" t="n">
        <v>0</v>
      </c>
      <c r="Q25" s="37" t="n">
        <v>0</v>
      </c>
      <c r="R25" s="36" t="n">
        <v>3</v>
      </c>
      <c r="S25" s="37" t="n">
        <v>1</v>
      </c>
      <c r="T25" s="36" t="n">
        <v>3</v>
      </c>
      <c r="U25" s="37" t="n">
        <v>1</v>
      </c>
      <c r="V25" s="38" t="n">
        <v>0</v>
      </c>
      <c r="W25" s="38" t="n">
        <v>1.015</v>
      </c>
      <c r="X25" s="38" t="n">
        <v>3.794</v>
      </c>
      <c r="Y25" s="38" t="n">
        <v>0</v>
      </c>
      <c r="Z25" s="38" t="n">
        <v>0</v>
      </c>
      <c r="AA25" s="36" t="n">
        <v>9</v>
      </c>
      <c r="AB25" s="37" t="n">
        <v>0.8181818181818182</v>
      </c>
      <c r="AC25" s="36" t="n">
        <v>2</v>
      </c>
      <c r="AD25" s="37" t="n">
        <v>1</v>
      </c>
      <c r="AE25" s="36" t="n">
        <v>7</v>
      </c>
      <c r="AF25" s="37" t="n">
        <v>0.7777777777777778</v>
      </c>
      <c r="AG25" s="36" t="n">
        <v>2</v>
      </c>
      <c r="AH25" s="37" t="n">
        <v>1</v>
      </c>
    </row>
    <row r="26">
      <c r="A26" s="53" t="n">
        <v>45809</v>
      </c>
      <c r="B26" t="inlineStr">
        <is>
          <t>R06_Jawa Timur</t>
        </is>
      </c>
      <c r="C26" t="inlineStr">
        <is>
          <t>NOP KEDIRI</t>
        </is>
      </c>
      <c r="D26" s="38" t="n">
        <v>1.64</v>
      </c>
      <c r="E26" s="38" t="n">
        <v>0</v>
      </c>
      <c r="F26" s="36" t="n">
        <v>0</v>
      </c>
      <c r="G26" s="36" t="n">
        <v>1.274</v>
      </c>
      <c r="H26" s="36" t="n">
        <v>5</v>
      </c>
      <c r="I26" s="37" t="n">
        <v>1</v>
      </c>
      <c r="J26" s="36" t="n">
        <v>1</v>
      </c>
      <c r="K26" s="37" t="n">
        <v>1</v>
      </c>
      <c r="L26" s="36" t="n">
        <v>4</v>
      </c>
      <c r="M26" s="37" t="n">
        <v>1</v>
      </c>
      <c r="N26" s="36" t="n">
        <v>1</v>
      </c>
      <c r="O26" s="37" t="n">
        <v>1</v>
      </c>
      <c r="P26" s="36" t="n">
        <v>1</v>
      </c>
      <c r="Q26" s="37" t="n">
        <v>1</v>
      </c>
      <c r="R26" s="36" t="n">
        <v>5</v>
      </c>
      <c r="S26" s="37" t="n">
        <v>1</v>
      </c>
      <c r="T26" s="36" t="n">
        <v>5</v>
      </c>
      <c r="U26" s="37" t="n">
        <v>1</v>
      </c>
      <c r="V26" s="38" t="n">
        <v>0</v>
      </c>
      <c r="W26" s="38" t="n">
        <v>0</v>
      </c>
      <c r="X26" s="38" t="n">
        <v>1.741</v>
      </c>
      <c r="Y26" s="38" t="n">
        <v>0</v>
      </c>
      <c r="Z26" s="38" t="n">
        <v>0</v>
      </c>
      <c r="AA26" s="36" t="n">
        <v>8</v>
      </c>
      <c r="AB26" s="37" t="n">
        <v>1</v>
      </c>
      <c r="AC26" s="36" t="n">
        <v>0</v>
      </c>
      <c r="AD26" s="37" t="n">
        <v>0</v>
      </c>
      <c r="AE26" s="36" t="n">
        <v>8</v>
      </c>
      <c r="AF26" s="37" t="n">
        <v>1</v>
      </c>
      <c r="AG26" s="36" t="n">
        <v>0</v>
      </c>
      <c r="AH26" s="37" t="n">
        <v>0</v>
      </c>
    </row>
    <row r="27">
      <c r="A27" s="53" t="n">
        <v>45809</v>
      </c>
      <c r="B27" t="inlineStr">
        <is>
          <t>R06_Jawa Timur</t>
        </is>
      </c>
      <c r="C27" t="inlineStr">
        <is>
          <t>NOP LAMONGAN</t>
        </is>
      </c>
      <c r="D27" s="38" t="n">
        <v>0</v>
      </c>
      <c r="E27" s="38" t="n">
        <v>0</v>
      </c>
      <c r="F27" s="36" t="n">
        <v>1.46</v>
      </c>
      <c r="G27" s="36" t="n">
        <v>2.664</v>
      </c>
      <c r="H27" s="36" t="n">
        <v>4</v>
      </c>
      <c r="I27" s="37" t="n">
        <v>1</v>
      </c>
      <c r="J27" s="36" t="n">
        <v>0</v>
      </c>
      <c r="K27" s="37" t="n">
        <v>0</v>
      </c>
      <c r="L27" s="36" t="n">
        <v>4</v>
      </c>
      <c r="M27" s="37" t="n">
        <v>1</v>
      </c>
      <c r="N27" s="36" t="n">
        <v>0</v>
      </c>
      <c r="O27" s="37" t="n">
        <v>0</v>
      </c>
      <c r="P27" s="36" t="n">
        <v>0</v>
      </c>
      <c r="Q27" s="37" t="n">
        <v>0</v>
      </c>
      <c r="R27" s="36" t="n">
        <v>4</v>
      </c>
      <c r="S27" s="37" t="n">
        <v>1</v>
      </c>
      <c r="T27" s="36" t="n">
        <v>4</v>
      </c>
      <c r="U27" s="37" t="n">
        <v>1</v>
      </c>
      <c r="V27" s="38" t="n">
        <v>0</v>
      </c>
      <c r="W27" s="38" t="n">
        <v>0.82</v>
      </c>
      <c r="X27" s="38" t="n">
        <v>4.641999999999999</v>
      </c>
      <c r="Y27" s="38" t="n">
        <v>0</v>
      </c>
      <c r="Z27" s="38" t="n">
        <v>0</v>
      </c>
      <c r="AA27" s="36" t="n">
        <v>5</v>
      </c>
      <c r="AB27" s="37" t="n">
        <v>0.8333333333333334</v>
      </c>
      <c r="AC27" s="36" t="n">
        <v>1</v>
      </c>
      <c r="AD27" s="37" t="n">
        <v>1</v>
      </c>
      <c r="AE27" s="36" t="n">
        <v>4</v>
      </c>
      <c r="AF27" s="37" t="n">
        <v>0.8</v>
      </c>
      <c r="AG27" s="36" t="n">
        <v>1</v>
      </c>
      <c r="AH27" s="37" t="n">
        <v>1</v>
      </c>
    </row>
    <row r="28">
      <c r="A28" s="53" t="n">
        <v>45809</v>
      </c>
      <c r="B28" t="inlineStr">
        <is>
          <t>R06_Jawa Timur</t>
        </is>
      </c>
      <c r="C28" t="inlineStr">
        <is>
          <t>NOP MADIUN</t>
        </is>
      </c>
      <c r="D28" s="38" t="n">
        <v>0</v>
      </c>
      <c r="E28" s="38" t="n">
        <v>0</v>
      </c>
      <c r="F28" s="36" t="n">
        <v>1.233</v>
      </c>
      <c r="G28" s="36" t="n">
        <v>2.746</v>
      </c>
      <c r="H28" s="36" t="n">
        <v>6</v>
      </c>
      <c r="I28" s="37" t="n">
        <v>0.8571428571428571</v>
      </c>
      <c r="J28" s="36" t="n">
        <v>0</v>
      </c>
      <c r="K28" s="37" t="n">
        <v>0</v>
      </c>
      <c r="L28" s="36" t="n">
        <v>6</v>
      </c>
      <c r="M28" s="37" t="n">
        <v>0.8571428571428571</v>
      </c>
      <c r="N28" s="36" t="n">
        <v>0</v>
      </c>
      <c r="O28" s="37" t="n">
        <v>0</v>
      </c>
      <c r="P28" s="36" t="n">
        <v>0</v>
      </c>
      <c r="Q28" s="37" t="n">
        <v>0</v>
      </c>
      <c r="R28" s="36" t="n">
        <v>6</v>
      </c>
      <c r="S28" s="37" t="n">
        <v>0.8571428571428571</v>
      </c>
      <c r="T28" s="36" t="n">
        <v>3</v>
      </c>
      <c r="U28" s="37" t="n">
        <v>0.4285714285714285</v>
      </c>
      <c r="V28" s="38" t="n">
        <v>0</v>
      </c>
      <c r="W28" s="38" t="n">
        <v>13.12400000000001</v>
      </c>
      <c r="X28" s="38" t="n">
        <v>2.456</v>
      </c>
      <c r="Y28" s="38" t="n">
        <v>8.57</v>
      </c>
      <c r="Z28" s="38" t="n">
        <v>0</v>
      </c>
      <c r="AA28" s="36" t="n">
        <v>13</v>
      </c>
      <c r="AB28" s="37" t="n">
        <v>0.8666666666666667</v>
      </c>
      <c r="AC28" s="36" t="n">
        <v>6</v>
      </c>
      <c r="AD28" s="37" t="n">
        <v>0.8571428571428571</v>
      </c>
      <c r="AE28" s="36" t="n">
        <v>7</v>
      </c>
      <c r="AF28" s="37" t="n">
        <v>0.875</v>
      </c>
      <c r="AG28" s="36" t="n">
        <v>3</v>
      </c>
      <c r="AH28" s="37" t="n">
        <v>0.5</v>
      </c>
    </row>
    <row r="29">
      <c r="A29" s="53" t="n">
        <v>45809</v>
      </c>
      <c r="B29" t="inlineStr">
        <is>
          <t>R06_Jawa Timur</t>
        </is>
      </c>
      <c r="C29" t="inlineStr">
        <is>
          <t>NOP MALANG</t>
        </is>
      </c>
      <c r="D29" s="38" t="n">
        <v>0</v>
      </c>
      <c r="E29" s="38" t="n">
        <v>0</v>
      </c>
      <c r="F29" s="36" t="n">
        <v>0.84</v>
      </c>
      <c r="G29" s="36" t="n">
        <v>0</v>
      </c>
      <c r="H29" s="36" t="n">
        <v>1</v>
      </c>
      <c r="I29" s="37" t="n">
        <v>1</v>
      </c>
      <c r="J29" s="36" t="n">
        <v>0</v>
      </c>
      <c r="K29" s="37" t="n">
        <v>0</v>
      </c>
      <c r="L29" s="36" t="n">
        <v>1</v>
      </c>
      <c r="M29" s="37" t="n">
        <v>1</v>
      </c>
      <c r="N29" s="36" t="n">
        <v>0</v>
      </c>
      <c r="O29" s="37" t="n">
        <v>0</v>
      </c>
      <c r="P29" s="36" t="n">
        <v>0</v>
      </c>
      <c r="Q29" s="37" t="n">
        <v>0</v>
      </c>
      <c r="R29" s="36" t="n">
        <v>1</v>
      </c>
      <c r="S29" s="37" t="n">
        <v>1</v>
      </c>
      <c r="T29" s="36" t="n">
        <v>1</v>
      </c>
      <c r="U29" s="37" t="n">
        <v>1</v>
      </c>
      <c r="V29" s="38" t="n">
        <v>0</v>
      </c>
      <c r="W29" s="38" t="n">
        <v>0.784</v>
      </c>
      <c r="X29" s="38" t="n">
        <v>0.93</v>
      </c>
      <c r="Y29" s="38" t="n">
        <v>60.7</v>
      </c>
      <c r="Z29" s="38" t="n">
        <v>0</v>
      </c>
      <c r="AA29" s="36" t="n">
        <v>3</v>
      </c>
      <c r="AB29" s="37" t="n">
        <v>0.5</v>
      </c>
      <c r="AC29" s="36" t="n">
        <v>1</v>
      </c>
      <c r="AD29" s="37" t="n">
        <v>0.3333333333333333</v>
      </c>
      <c r="AE29" s="36" t="n">
        <v>2</v>
      </c>
      <c r="AF29" s="37" t="n">
        <v>0.6666666666666666</v>
      </c>
      <c r="AG29" s="36" t="n">
        <v>1</v>
      </c>
      <c r="AH29" s="37" t="n">
        <v>1</v>
      </c>
    </row>
    <row r="30">
      <c r="A30" s="53" t="n">
        <v>45809</v>
      </c>
      <c r="B30" t="inlineStr">
        <is>
          <t>R06_Jawa Timur</t>
        </is>
      </c>
      <c r="C30" t="inlineStr">
        <is>
          <t>NOP SIDOARJO</t>
        </is>
      </c>
      <c r="D30" s="38" t="n">
        <v>0</v>
      </c>
      <c r="E30" s="38" t="n">
        <v>0</v>
      </c>
      <c r="F30" s="36" t="n">
        <v>1.836</v>
      </c>
      <c r="G30" s="36" t="n">
        <v>1.12</v>
      </c>
      <c r="H30" s="36" t="n">
        <v>3</v>
      </c>
      <c r="I30" s="37" t="n">
        <v>1</v>
      </c>
      <c r="J30" s="36" t="n">
        <v>0</v>
      </c>
      <c r="K30" s="37" t="n">
        <v>0</v>
      </c>
      <c r="L30" s="36" t="n">
        <v>3</v>
      </c>
      <c r="M30" s="37" t="n">
        <v>1</v>
      </c>
      <c r="N30" s="36" t="n">
        <v>0</v>
      </c>
      <c r="O30" s="37" t="n">
        <v>0</v>
      </c>
      <c r="P30" s="36" t="n">
        <v>0</v>
      </c>
      <c r="Q30" s="37" t="n">
        <v>0</v>
      </c>
      <c r="R30" s="36" t="n">
        <v>3</v>
      </c>
      <c r="S30" s="37" t="n">
        <v>1</v>
      </c>
      <c r="T30" s="36" t="n">
        <v>3</v>
      </c>
      <c r="U30" s="37" t="n">
        <v>1</v>
      </c>
      <c r="V30" s="38" t="n">
        <v>0.01</v>
      </c>
      <c r="W30" s="38" t="n">
        <v>0.768</v>
      </c>
      <c r="X30" s="38" t="n">
        <v>12.273</v>
      </c>
      <c r="Y30" s="38" t="n">
        <v>0</v>
      </c>
      <c r="Z30" s="38" t="n">
        <v>0</v>
      </c>
      <c r="AA30" s="36" t="n">
        <v>6</v>
      </c>
      <c r="AB30" s="37" t="n">
        <v>0.75</v>
      </c>
      <c r="AC30" s="36" t="n">
        <v>2</v>
      </c>
      <c r="AD30" s="37" t="n">
        <v>0.5</v>
      </c>
      <c r="AE30" s="36" t="n">
        <v>4</v>
      </c>
      <c r="AF30" s="37" t="n">
        <v>1</v>
      </c>
      <c r="AG30" s="36" t="n">
        <v>1</v>
      </c>
      <c r="AH30" s="37" t="n">
        <v>0.5</v>
      </c>
    </row>
    <row r="31">
      <c r="A31" s="53" t="n">
        <v>45809</v>
      </c>
      <c r="B31" t="inlineStr">
        <is>
          <t>R06_Jawa Timur</t>
        </is>
      </c>
      <c r="C31" t="inlineStr">
        <is>
          <t>NOP SURABAYA</t>
        </is>
      </c>
      <c r="D31" s="38" t="n">
        <v>0</v>
      </c>
      <c r="E31" s="38" t="n">
        <v>0</v>
      </c>
      <c r="F31" s="36" t="n">
        <v>1.908</v>
      </c>
      <c r="G31" s="36" t="n">
        <v>5.597999999999999</v>
      </c>
      <c r="H31" s="36" t="n">
        <v>11</v>
      </c>
      <c r="I31" s="37" t="n">
        <v>0.6470588235294118</v>
      </c>
      <c r="J31" s="36" t="n">
        <v>0</v>
      </c>
      <c r="K31" s="37" t="n">
        <v>0</v>
      </c>
      <c r="L31" s="36" t="n">
        <v>11</v>
      </c>
      <c r="M31" s="37" t="n">
        <v>0.6470588235294118</v>
      </c>
      <c r="N31" s="36" t="n">
        <v>0</v>
      </c>
      <c r="O31" s="37" t="n">
        <v>0</v>
      </c>
      <c r="P31" s="36" t="n">
        <v>0</v>
      </c>
      <c r="Q31" s="37" t="n">
        <v>0</v>
      </c>
      <c r="R31" s="36" t="n">
        <v>17</v>
      </c>
      <c r="S31" s="37" t="n">
        <v>1</v>
      </c>
      <c r="T31" s="36" t="n">
        <v>5</v>
      </c>
      <c r="U31" s="37" t="n">
        <v>0.2941176470588235</v>
      </c>
      <c r="V31" s="38" t="n">
        <v>0</v>
      </c>
      <c r="W31" s="38" t="n">
        <v>5.421000000000001</v>
      </c>
      <c r="X31" s="38" t="n">
        <v>7.542000000000004</v>
      </c>
      <c r="Y31" s="38" t="n">
        <v>1.24</v>
      </c>
      <c r="Z31" s="38" t="n">
        <v>0</v>
      </c>
      <c r="AA31" s="36" t="n">
        <v>21</v>
      </c>
      <c r="AB31" s="37" t="n">
        <v>0.65625</v>
      </c>
      <c r="AC31" s="36" t="n">
        <v>1</v>
      </c>
      <c r="AD31" s="37" t="n">
        <v>0.25</v>
      </c>
      <c r="AE31" s="36" t="n">
        <v>20</v>
      </c>
      <c r="AF31" s="37" t="n">
        <v>0.7142857142857143</v>
      </c>
      <c r="AG31" s="36" t="n">
        <v>1</v>
      </c>
      <c r="AH31" s="37" t="n">
        <v>1</v>
      </c>
    </row>
    <row r="32">
      <c r="A32" s="53" t="n">
        <v>45809</v>
      </c>
      <c r="B32" t="inlineStr">
        <is>
          <t>R07_Bali Nusra</t>
        </is>
      </c>
      <c r="C32" t="inlineStr">
        <is>
          <t>NOP DENPASAR</t>
        </is>
      </c>
      <c r="D32" s="38" t="n">
        <v>0</v>
      </c>
      <c r="E32" s="38" t="n">
        <v>0</v>
      </c>
      <c r="F32" s="36" t="n">
        <v>0.85</v>
      </c>
      <c r="G32" s="36" t="n">
        <v>2.172</v>
      </c>
      <c r="H32" s="36" t="n">
        <v>3</v>
      </c>
      <c r="I32" s="37" t="n">
        <v>1</v>
      </c>
      <c r="J32" s="36" t="n">
        <v>0</v>
      </c>
      <c r="K32" s="37" t="n">
        <v>0</v>
      </c>
      <c r="L32" s="36" t="n">
        <v>3</v>
      </c>
      <c r="M32" s="37" t="n">
        <v>1</v>
      </c>
      <c r="N32" s="36" t="n">
        <v>0</v>
      </c>
      <c r="O32" s="37" t="n">
        <v>0</v>
      </c>
      <c r="P32" s="36" t="n">
        <v>0</v>
      </c>
      <c r="Q32" s="37" t="n">
        <v>0</v>
      </c>
      <c r="R32" s="36" t="n">
        <v>3</v>
      </c>
      <c r="S32" s="37" t="n">
        <v>1</v>
      </c>
      <c r="T32" s="36" t="n">
        <v>3</v>
      </c>
      <c r="U32" s="37" t="n">
        <v>1</v>
      </c>
      <c r="V32" s="38" t="n">
        <v>0</v>
      </c>
      <c r="W32" s="38" t="n">
        <v>8.600000000000001</v>
      </c>
      <c r="X32" s="38" t="n">
        <v>16.46799999999999</v>
      </c>
      <c r="Y32" s="38" t="n">
        <v>7.818</v>
      </c>
      <c r="Z32" s="38" t="n">
        <v>0</v>
      </c>
      <c r="AA32" s="36" t="n">
        <v>9</v>
      </c>
      <c r="AB32" s="37" t="n">
        <v>0.6428571428571429</v>
      </c>
      <c r="AC32" s="36" t="n">
        <v>2</v>
      </c>
      <c r="AD32" s="37" t="n">
        <v>0.6666666666666666</v>
      </c>
      <c r="AE32" s="36" t="n">
        <v>7</v>
      </c>
      <c r="AF32" s="37" t="n">
        <v>0.6363636363636364</v>
      </c>
      <c r="AG32" s="36" t="n">
        <v>0</v>
      </c>
      <c r="AH32" s="37" t="n">
        <v>0</v>
      </c>
    </row>
    <row r="33">
      <c r="A33" s="53" t="n">
        <v>45809</v>
      </c>
      <c r="B33" t="inlineStr">
        <is>
          <t>R07_Bali Nusra</t>
        </is>
      </c>
      <c r="C33" t="inlineStr">
        <is>
          <t>NOP FLORES</t>
        </is>
      </c>
      <c r="D33" s="38" t="n">
        <v>7.364000000000004</v>
      </c>
      <c r="E33" s="38" t="n">
        <v>9.344000000000001</v>
      </c>
      <c r="F33" s="36" t="n">
        <v>8.016000000000005</v>
      </c>
      <c r="G33" s="36" t="n">
        <v>13.11</v>
      </c>
      <c r="H33" s="36" t="n">
        <v>24</v>
      </c>
      <c r="I33" s="37" t="n">
        <v>0.4210526315789473</v>
      </c>
      <c r="J33" s="36" t="n">
        <v>12</v>
      </c>
      <c r="K33" s="37" t="n">
        <v>0.8571428571428571</v>
      </c>
      <c r="L33" s="36" t="n">
        <v>12</v>
      </c>
      <c r="M33" s="37" t="n">
        <v>0.2790697674418605</v>
      </c>
      <c r="N33" s="36" t="n">
        <v>8</v>
      </c>
      <c r="O33" s="37" t="n">
        <v>0.6666666666666666</v>
      </c>
      <c r="P33" s="36" t="n">
        <v>8</v>
      </c>
      <c r="Q33" s="37" t="n">
        <v>0.6666666666666666</v>
      </c>
      <c r="R33" s="36" t="n">
        <v>57</v>
      </c>
      <c r="S33" s="37" t="n">
        <v>1</v>
      </c>
      <c r="T33" s="36" t="n">
        <v>14</v>
      </c>
      <c r="U33" s="37" t="n">
        <v>0.2456140350877193</v>
      </c>
      <c r="V33" s="38" t="n">
        <v>0</v>
      </c>
      <c r="W33" s="38" t="n">
        <v>8.57</v>
      </c>
      <c r="X33" s="38" t="n">
        <v>13.39800000000001</v>
      </c>
      <c r="Y33" s="38" t="n">
        <v>0</v>
      </c>
      <c r="Z33" s="38" t="n">
        <v>0</v>
      </c>
      <c r="AA33" s="36" t="n">
        <v>43</v>
      </c>
      <c r="AB33" s="37" t="n">
        <v>0.5657894736842105</v>
      </c>
      <c r="AC33" s="36" t="n">
        <v>28</v>
      </c>
      <c r="AD33" s="37" t="n">
        <v>0.5490196078431373</v>
      </c>
      <c r="AE33" s="36" t="n">
        <v>15</v>
      </c>
      <c r="AF33" s="37" t="n">
        <v>0.6</v>
      </c>
      <c r="AG33" s="36" t="n">
        <v>21</v>
      </c>
      <c r="AH33" s="37" t="n">
        <v>0.75</v>
      </c>
    </row>
    <row r="34">
      <c r="A34" s="53" t="n">
        <v>45809</v>
      </c>
      <c r="B34" t="inlineStr">
        <is>
          <t>R07_Bali Nusra</t>
        </is>
      </c>
      <c r="C34" t="inlineStr">
        <is>
          <t>NOP KUPANG</t>
        </is>
      </c>
      <c r="D34" s="38" t="n">
        <v>0</v>
      </c>
      <c r="E34" s="38" t="n">
        <v>2.325</v>
      </c>
      <c r="F34" s="36" t="n">
        <v>10.03</v>
      </c>
      <c r="G34" s="36" t="n">
        <v>12.176</v>
      </c>
      <c r="H34" s="36" t="n">
        <v>6</v>
      </c>
      <c r="I34" s="37" t="n">
        <v>0.75</v>
      </c>
      <c r="J34" s="36" t="n">
        <v>2</v>
      </c>
      <c r="K34" s="37" t="n">
        <v>1</v>
      </c>
      <c r="L34" s="36" t="n">
        <v>4</v>
      </c>
      <c r="M34" s="37" t="n">
        <v>0.6666666666666666</v>
      </c>
      <c r="N34" s="36" t="n">
        <v>2</v>
      </c>
      <c r="O34" s="37" t="n">
        <v>1</v>
      </c>
      <c r="P34" s="36" t="n">
        <v>2</v>
      </c>
      <c r="Q34" s="37" t="n">
        <v>1</v>
      </c>
      <c r="R34" s="36" t="n">
        <v>8</v>
      </c>
      <c r="S34" s="37" t="n">
        <v>1</v>
      </c>
      <c r="T34" s="36" t="n">
        <v>6</v>
      </c>
      <c r="U34" s="37" t="n">
        <v>0.75</v>
      </c>
      <c r="V34" s="38" t="n">
        <v>0</v>
      </c>
      <c r="W34" s="38" t="n">
        <v>30.08500000000001</v>
      </c>
      <c r="X34" s="38" t="n">
        <v>24.922</v>
      </c>
      <c r="Y34" s="38" t="n">
        <v>41.00399999999998</v>
      </c>
      <c r="Z34" s="38" t="n">
        <v>0</v>
      </c>
      <c r="AA34" s="36" t="n">
        <v>16</v>
      </c>
      <c r="AB34" s="37" t="n">
        <v>0.3333333333333333</v>
      </c>
      <c r="AC34" s="36" t="n">
        <v>5</v>
      </c>
      <c r="AD34" s="37" t="n">
        <v>0.4166666666666667</v>
      </c>
      <c r="AE34" s="36" t="n">
        <v>11</v>
      </c>
      <c r="AF34" s="37" t="n">
        <v>0.3055555555555556</v>
      </c>
      <c r="AG34" s="36" t="n">
        <v>5</v>
      </c>
      <c r="AH34" s="37" t="n">
        <v>1</v>
      </c>
    </row>
    <row r="35">
      <c r="A35" s="53" t="n">
        <v>45809</v>
      </c>
      <c r="B35" t="inlineStr">
        <is>
          <t>R07_Bali Nusra</t>
        </is>
      </c>
      <c r="C35" t="inlineStr">
        <is>
          <t>NOP MATARAM</t>
        </is>
      </c>
      <c r="D35" s="38" t="n">
        <v>0</v>
      </c>
      <c r="E35" s="38" t="n">
        <v>0</v>
      </c>
      <c r="F35" s="36" t="n">
        <v>5.17</v>
      </c>
      <c r="G35" s="36" t="n">
        <v>3.012</v>
      </c>
      <c r="H35" s="36" t="n">
        <v>3</v>
      </c>
      <c r="I35" s="37" t="n">
        <v>0.6</v>
      </c>
      <c r="J35" s="36" t="n">
        <v>0</v>
      </c>
      <c r="K35" s="37" t="n">
        <v>0</v>
      </c>
      <c r="L35" s="36" t="n">
        <v>3</v>
      </c>
      <c r="M35" s="37" t="n">
        <v>0.6</v>
      </c>
      <c r="N35" s="36" t="n">
        <v>0</v>
      </c>
      <c r="O35" s="37" t="n">
        <v>0</v>
      </c>
      <c r="P35" s="36" t="n">
        <v>0</v>
      </c>
      <c r="Q35" s="37" t="n">
        <v>0</v>
      </c>
      <c r="R35" s="36" t="n">
        <v>5</v>
      </c>
      <c r="S35" s="37" t="n">
        <v>1</v>
      </c>
      <c r="T35" s="36" t="n">
        <v>2</v>
      </c>
      <c r="U35" s="37" t="n">
        <v>0.4</v>
      </c>
      <c r="V35" s="38" t="n">
        <v>0</v>
      </c>
      <c r="W35" s="38" t="n">
        <v>12.712</v>
      </c>
      <c r="X35" s="38" t="n">
        <v>88.91</v>
      </c>
      <c r="Y35" s="38" t="n">
        <v>47.29</v>
      </c>
      <c r="Z35" s="38" t="n">
        <v>0</v>
      </c>
      <c r="AA35" s="36" t="n">
        <v>15</v>
      </c>
      <c r="AB35" s="37" t="n">
        <v>0.5769230769230769</v>
      </c>
      <c r="AC35" s="36" t="n">
        <v>8</v>
      </c>
      <c r="AD35" s="37" t="n">
        <v>0.4705882352941176</v>
      </c>
      <c r="AE35" s="36" t="n">
        <v>7</v>
      </c>
      <c r="AF35" s="37" t="n">
        <v>0.7777777777777778</v>
      </c>
      <c r="AG35" s="36" t="n">
        <v>5</v>
      </c>
      <c r="AH35" s="37" t="n">
        <v>0.625</v>
      </c>
    </row>
    <row r="36">
      <c r="A36" s="53" t="n">
        <v>45810</v>
      </c>
      <c r="B36" t="inlineStr">
        <is>
          <t>R01_Sumbagut</t>
        </is>
      </c>
      <c r="C36" t="inlineStr">
        <is>
          <t>NOP ACEH</t>
        </is>
      </c>
      <c r="D36" s="38" t="n">
        <v>3.109</v>
      </c>
      <c r="E36" s="38" t="n">
        <v>1.351</v>
      </c>
      <c r="F36" s="36" t="n">
        <v>16.685</v>
      </c>
      <c r="G36" s="36" t="n">
        <v>3.632</v>
      </c>
      <c r="H36" s="36" t="n">
        <v>61</v>
      </c>
      <c r="I36" s="37" t="n">
        <v>0.8591549295774648</v>
      </c>
      <c r="J36" s="36" t="n">
        <v>6</v>
      </c>
      <c r="K36" s="37" t="n">
        <v>1</v>
      </c>
      <c r="L36" s="36" t="n">
        <v>55</v>
      </c>
      <c r="M36" s="37" t="n">
        <v>0.8461538461538461</v>
      </c>
      <c r="N36" s="36" t="n">
        <v>3</v>
      </c>
      <c r="O36" s="37" t="n">
        <v>0.5</v>
      </c>
      <c r="P36" s="36" t="n">
        <v>3</v>
      </c>
      <c r="Q36" s="37" t="n">
        <v>0.5</v>
      </c>
      <c r="R36" s="36" t="n">
        <v>71</v>
      </c>
      <c r="S36" s="37" t="n">
        <v>1</v>
      </c>
      <c r="T36" s="36" t="n">
        <v>19</v>
      </c>
      <c r="U36" s="37" t="n">
        <v>0.2676056338028169</v>
      </c>
      <c r="V36" s="38" t="n">
        <v>0</v>
      </c>
      <c r="W36" s="38" t="n">
        <v>2.831000000000001</v>
      </c>
      <c r="X36" s="38" t="n">
        <v>58.03</v>
      </c>
      <c r="Y36" s="38" t="n">
        <v>188.5170000000001</v>
      </c>
      <c r="Z36" s="38" t="n">
        <v>0</v>
      </c>
      <c r="AA36" s="36" t="n">
        <v>117</v>
      </c>
      <c r="AB36" s="37" t="n">
        <v>0.8931297709923665</v>
      </c>
      <c r="AC36" s="36" t="n">
        <v>23</v>
      </c>
      <c r="AD36" s="37" t="n">
        <v>0.7666666666666667</v>
      </c>
      <c r="AE36" s="36" t="n">
        <v>92</v>
      </c>
      <c r="AF36" s="37" t="n">
        <v>0.9292929292929293</v>
      </c>
      <c r="AG36" s="36" t="n">
        <v>6</v>
      </c>
      <c r="AH36" s="37" t="n">
        <v>0.2608695652173913</v>
      </c>
    </row>
    <row r="37">
      <c r="A37" s="53" t="n">
        <v>45810</v>
      </c>
      <c r="B37" t="inlineStr">
        <is>
          <t>R01_Sumbagut</t>
        </is>
      </c>
      <c r="C37" t="inlineStr">
        <is>
          <t>NOP BINJAI</t>
        </is>
      </c>
      <c r="D37" s="38" t="n">
        <v>0</v>
      </c>
      <c r="E37" s="38" t="n">
        <v>5.125000000000006</v>
      </c>
      <c r="F37" s="36" t="n">
        <v>7.694999999999999</v>
      </c>
      <c r="G37" s="36" t="n">
        <v>8.717000000000006</v>
      </c>
      <c r="H37" s="36" t="n">
        <v>38</v>
      </c>
      <c r="I37" s="37" t="n">
        <v>0.6551724137931034</v>
      </c>
      <c r="J37" s="36" t="n">
        <v>14</v>
      </c>
      <c r="K37" s="37" t="n">
        <v>0.6363636363636364</v>
      </c>
      <c r="L37" s="36" t="n">
        <v>24</v>
      </c>
      <c r="M37" s="37" t="n">
        <v>0.6666666666666666</v>
      </c>
      <c r="N37" s="36" t="n">
        <v>2</v>
      </c>
      <c r="O37" s="37" t="n">
        <v>0.1428571428571428</v>
      </c>
      <c r="P37" s="36" t="n">
        <v>2</v>
      </c>
      <c r="Q37" s="37" t="n">
        <v>0.1428571428571428</v>
      </c>
      <c r="R37" s="36" t="n">
        <v>58</v>
      </c>
      <c r="S37" s="37" t="n">
        <v>1</v>
      </c>
      <c r="T37" s="36" t="n">
        <v>24</v>
      </c>
      <c r="U37" s="37" t="n">
        <v>0.4137931034482759</v>
      </c>
      <c r="V37" s="38" t="n">
        <v>0</v>
      </c>
      <c r="W37" s="38" t="n">
        <v>4.164999999999999</v>
      </c>
      <c r="X37" s="38" t="n">
        <v>48.33700000000017</v>
      </c>
      <c r="Y37" s="38" t="n">
        <v>50.95900000000001</v>
      </c>
      <c r="Z37" s="38" t="n">
        <v>0</v>
      </c>
      <c r="AA37" s="36" t="n">
        <v>51</v>
      </c>
      <c r="AB37" s="37" t="n">
        <v>0.6455696202531646</v>
      </c>
      <c r="AC37" s="36" t="n">
        <v>12</v>
      </c>
      <c r="AD37" s="37" t="n">
        <v>0.4615384615384616</v>
      </c>
      <c r="AE37" s="36" t="n">
        <v>39</v>
      </c>
      <c r="AF37" s="37" t="n">
        <v>0.75</v>
      </c>
      <c r="AG37" s="36" t="n">
        <v>7</v>
      </c>
      <c r="AH37" s="37" t="n">
        <v>0.5833333333333334</v>
      </c>
    </row>
    <row r="38">
      <c r="A38" s="53" t="n">
        <v>45810</v>
      </c>
      <c r="B38" t="inlineStr">
        <is>
          <t>R01_Sumbagut</t>
        </is>
      </c>
      <c r="C38" t="inlineStr">
        <is>
          <t>NOP MEDAN</t>
        </is>
      </c>
      <c r="D38" s="38" t="n">
        <v>1.412</v>
      </c>
      <c r="E38" s="38" t="n">
        <v>4.49</v>
      </c>
      <c r="F38" s="36" t="n">
        <v>6.45</v>
      </c>
      <c r="G38" s="36" t="n">
        <v>2.154</v>
      </c>
      <c r="H38" s="36" t="n">
        <v>34</v>
      </c>
      <c r="I38" s="37" t="n">
        <v>0.4358974358974359</v>
      </c>
      <c r="J38" s="36" t="n">
        <v>17</v>
      </c>
      <c r="K38" s="37" t="n">
        <v>0.4857142857142857</v>
      </c>
      <c r="L38" s="36" t="n">
        <v>17</v>
      </c>
      <c r="M38" s="37" t="n">
        <v>0.3953488372093023</v>
      </c>
      <c r="N38" s="36" t="n">
        <v>13</v>
      </c>
      <c r="O38" s="37" t="n">
        <v>0.7647058823529411</v>
      </c>
      <c r="P38" s="36" t="n">
        <v>12</v>
      </c>
      <c r="Q38" s="37" t="n">
        <v>0.8</v>
      </c>
      <c r="R38" s="36" t="n">
        <v>78</v>
      </c>
      <c r="S38" s="37" t="n">
        <v>1</v>
      </c>
      <c r="T38" s="36" t="n">
        <v>20</v>
      </c>
      <c r="U38" s="37" t="n">
        <v>0.2564102564102564</v>
      </c>
      <c r="V38" s="38" t="n">
        <v>0</v>
      </c>
      <c r="W38" s="38" t="n">
        <v>2.48</v>
      </c>
      <c r="X38" s="38" t="n">
        <v>13.985</v>
      </c>
      <c r="Y38" s="38" t="n">
        <v>2.733000000000001</v>
      </c>
      <c r="Z38" s="38" t="n">
        <v>0</v>
      </c>
      <c r="AA38" s="36" t="n">
        <v>26</v>
      </c>
      <c r="AB38" s="37" t="n">
        <v>0.3880597014925373</v>
      </c>
      <c r="AC38" s="36" t="n">
        <v>3</v>
      </c>
      <c r="AD38" s="37" t="n">
        <v>0.1428571428571428</v>
      </c>
      <c r="AE38" s="36" t="n">
        <v>21</v>
      </c>
      <c r="AF38" s="37" t="n">
        <v>0.4772727272727273</v>
      </c>
      <c r="AG38" s="36" t="n">
        <v>2</v>
      </c>
      <c r="AH38" s="37" t="n">
        <v>0.6666666666666666</v>
      </c>
    </row>
    <row r="39">
      <c r="A39" s="53" t="n">
        <v>45810</v>
      </c>
      <c r="B39" t="inlineStr">
        <is>
          <t>R01_Sumbagut</t>
        </is>
      </c>
      <c r="C39" t="inlineStr">
        <is>
          <t>NOP PADANG SIDEMPUAN</t>
        </is>
      </c>
      <c r="D39" s="38" t="n">
        <v>0</v>
      </c>
      <c r="E39" s="38" t="n">
        <v>2.43</v>
      </c>
      <c r="F39" s="36" t="n">
        <v>4.228</v>
      </c>
      <c r="G39" s="36" t="n">
        <v>4.002</v>
      </c>
      <c r="H39" s="36" t="n">
        <v>21</v>
      </c>
      <c r="I39" s="37" t="n">
        <v>0.4285714285714285</v>
      </c>
      <c r="J39" s="36" t="n">
        <v>9</v>
      </c>
      <c r="K39" s="37" t="n">
        <v>0.8181818181818182</v>
      </c>
      <c r="L39" s="36" t="n">
        <v>12</v>
      </c>
      <c r="M39" s="37" t="n">
        <v>0.3157894736842105</v>
      </c>
      <c r="N39" s="36" t="n">
        <v>3</v>
      </c>
      <c r="O39" s="37" t="n">
        <v>0.3333333333333333</v>
      </c>
      <c r="P39" s="36" t="n">
        <v>3</v>
      </c>
      <c r="Q39" s="37" t="n">
        <v>0.3333333333333333</v>
      </c>
      <c r="R39" s="36" t="n">
        <v>49</v>
      </c>
      <c r="S39" s="37" t="n">
        <v>1</v>
      </c>
      <c r="T39" s="36" t="n">
        <v>7</v>
      </c>
      <c r="U39" s="37" t="n">
        <v>0.1428571428571428</v>
      </c>
      <c r="V39" s="38" t="n">
        <v>0</v>
      </c>
      <c r="W39" s="38" t="n">
        <v>3.34</v>
      </c>
      <c r="X39" s="38" t="n">
        <v>5.382</v>
      </c>
      <c r="Y39" s="38" t="n">
        <v>119.694</v>
      </c>
      <c r="Z39" s="38" t="n">
        <v>0</v>
      </c>
      <c r="AA39" s="36" t="n">
        <v>127</v>
      </c>
      <c r="AB39" s="37" t="n">
        <v>0.774390243902439</v>
      </c>
      <c r="AC39" s="36" t="n">
        <v>58</v>
      </c>
      <c r="AD39" s="37" t="n">
        <v>0.7160493827160493</v>
      </c>
      <c r="AE39" s="36" t="n">
        <v>68</v>
      </c>
      <c r="AF39" s="37" t="n">
        <v>0.8292682926829268</v>
      </c>
      <c r="AG39" s="36" t="n">
        <v>31</v>
      </c>
      <c r="AH39" s="37" t="n">
        <v>0.5344827586206896</v>
      </c>
    </row>
    <row r="40">
      <c r="A40" s="53" t="n">
        <v>45810</v>
      </c>
      <c r="B40" t="inlineStr">
        <is>
          <t>R01_Sumbagut</t>
        </is>
      </c>
      <c r="C40" t="inlineStr">
        <is>
          <t>NOP PEMATANG SIANTAR</t>
        </is>
      </c>
      <c r="D40" s="38" t="n">
        <v>1.07</v>
      </c>
      <c r="E40" s="38" t="n">
        <v>2.591000000000003</v>
      </c>
      <c r="F40" s="36" t="n">
        <v>2.27</v>
      </c>
      <c r="G40" s="36" t="n">
        <v>3.42</v>
      </c>
      <c r="H40" s="36" t="n">
        <v>39</v>
      </c>
      <c r="I40" s="37" t="n">
        <v>0.375</v>
      </c>
      <c r="J40" s="36" t="n">
        <v>24</v>
      </c>
      <c r="K40" s="37" t="n">
        <v>0.7741935483870968</v>
      </c>
      <c r="L40" s="36" t="n">
        <v>15</v>
      </c>
      <c r="M40" s="37" t="n">
        <v>0.2054794520547945</v>
      </c>
      <c r="N40" s="36" t="n">
        <v>7</v>
      </c>
      <c r="O40" s="37" t="n">
        <v>0.2916666666666667</v>
      </c>
      <c r="P40" s="36" t="n">
        <v>5</v>
      </c>
      <c r="Q40" s="37" t="n">
        <v>0.2777777777777778</v>
      </c>
      <c r="R40" s="36" t="n">
        <v>104</v>
      </c>
      <c r="S40" s="37" t="n">
        <v>1</v>
      </c>
      <c r="T40" s="36" t="n">
        <v>25</v>
      </c>
      <c r="U40" s="37" t="n">
        <v>0.2403846153846154</v>
      </c>
      <c r="V40" s="38" t="n">
        <v>0.03</v>
      </c>
      <c r="W40" s="38" t="n">
        <v>2.655</v>
      </c>
      <c r="X40" s="38" t="n">
        <v>37.35</v>
      </c>
      <c r="Y40" s="38" t="n">
        <v>134.2120000000003</v>
      </c>
      <c r="Z40" s="38" t="n">
        <v>0</v>
      </c>
      <c r="AA40" s="36" t="n">
        <v>89</v>
      </c>
      <c r="AB40" s="37" t="n">
        <v>0.5855263157894737</v>
      </c>
      <c r="AC40" s="36" t="n">
        <v>36</v>
      </c>
      <c r="AD40" s="37" t="n">
        <v>0.631578947368421</v>
      </c>
      <c r="AE40" s="36" t="n">
        <v>43</v>
      </c>
      <c r="AF40" s="37" t="n">
        <v>0.5512820512820513</v>
      </c>
      <c r="AG40" s="36" t="n">
        <v>20</v>
      </c>
      <c r="AH40" s="37" t="n">
        <v>0.5555555555555556</v>
      </c>
    </row>
    <row r="41">
      <c r="A41" s="53" t="n">
        <v>45810</v>
      </c>
      <c r="B41" t="inlineStr">
        <is>
          <t>R01_Sumbagut</t>
        </is>
      </c>
      <c r="C41" t="inlineStr">
        <is>
          <t>NOP RANTAU PRAPAT</t>
        </is>
      </c>
      <c r="D41" s="38" t="n">
        <v>4.02</v>
      </c>
      <c r="E41" s="38" t="n">
        <v>3.400000000000001</v>
      </c>
      <c r="F41" s="36" t="n">
        <v>4.018</v>
      </c>
      <c r="G41" s="36" t="n">
        <v>2.82</v>
      </c>
      <c r="H41" s="36" t="n">
        <v>59</v>
      </c>
      <c r="I41" s="37" t="n">
        <v>0.295</v>
      </c>
      <c r="J41" s="36" t="n">
        <v>4</v>
      </c>
      <c r="K41" s="37" t="n">
        <v>0.1025641025641026</v>
      </c>
      <c r="L41" s="36" t="n">
        <v>55</v>
      </c>
      <c r="M41" s="37" t="n">
        <v>0.3416149068322981</v>
      </c>
      <c r="N41" s="36" t="n">
        <v>3</v>
      </c>
      <c r="O41" s="37" t="n">
        <v>0.75</v>
      </c>
      <c r="P41" s="36" t="n">
        <v>3</v>
      </c>
      <c r="Q41" s="37" t="n">
        <v>0.75</v>
      </c>
      <c r="R41" s="36" t="n">
        <v>197</v>
      </c>
      <c r="S41" s="37" t="n">
        <v>0.985</v>
      </c>
      <c r="T41" s="36" t="n">
        <v>35</v>
      </c>
      <c r="U41" s="37" t="n">
        <v>0.175</v>
      </c>
      <c r="V41" s="38" t="n">
        <v>0</v>
      </c>
      <c r="W41" s="38" t="n">
        <v>4</v>
      </c>
      <c r="X41" s="38" t="n">
        <v>30.24899999999997</v>
      </c>
      <c r="Y41" s="38" t="n">
        <v>153.4720000000001</v>
      </c>
      <c r="Z41" s="38" t="n">
        <v>0</v>
      </c>
      <c r="AA41" s="36" t="n">
        <v>47</v>
      </c>
      <c r="AB41" s="37" t="n">
        <v>0.2259615384615385</v>
      </c>
      <c r="AC41" s="36" t="n">
        <v>13</v>
      </c>
      <c r="AD41" s="37" t="n">
        <v>0.2452830188679245</v>
      </c>
      <c r="AE41" s="36" t="n">
        <v>31</v>
      </c>
      <c r="AF41" s="37" t="n">
        <v>0.2123287671232877</v>
      </c>
      <c r="AG41" s="36" t="n">
        <v>11</v>
      </c>
      <c r="AH41" s="37" t="n">
        <v>0.8461538461538461</v>
      </c>
    </row>
    <row r="42">
      <c r="A42" s="53" t="n">
        <v>45810</v>
      </c>
      <c r="B42" t="inlineStr">
        <is>
          <t>R10_Sumbagteng</t>
        </is>
      </c>
      <c r="C42" t="inlineStr">
        <is>
          <t>NOP BATAM</t>
        </is>
      </c>
      <c r="D42" s="38" t="n">
        <v>6.618000000000003</v>
      </c>
      <c r="E42" s="38" t="n">
        <v>20.14900000000003</v>
      </c>
      <c r="F42" s="36" t="n">
        <v>7.871000000000006</v>
      </c>
      <c r="G42" s="36" t="n">
        <v>4.089000000000002</v>
      </c>
      <c r="H42" s="36" t="n">
        <v>86</v>
      </c>
      <c r="I42" s="37" t="n">
        <v>0.581081081081081</v>
      </c>
      <c r="J42" s="36" t="n">
        <v>32</v>
      </c>
      <c r="K42" s="37" t="n">
        <v>0.8888888888888888</v>
      </c>
      <c r="L42" s="36" t="n">
        <v>54</v>
      </c>
      <c r="M42" s="37" t="n">
        <v>0.4821428571428572</v>
      </c>
      <c r="N42" s="36" t="n">
        <v>25</v>
      </c>
      <c r="O42" s="37" t="n">
        <v>0.78125</v>
      </c>
      <c r="P42" s="36" t="n">
        <v>24</v>
      </c>
      <c r="Q42" s="37" t="n">
        <v>0.8</v>
      </c>
      <c r="R42" s="36" t="n">
        <v>148</v>
      </c>
      <c r="S42" s="37" t="n">
        <v>1</v>
      </c>
      <c r="T42" s="36" t="n">
        <v>60</v>
      </c>
      <c r="U42" s="37" t="n">
        <v>0.4054054054054054</v>
      </c>
      <c r="V42" s="38" t="n">
        <v>0</v>
      </c>
      <c r="W42" s="38" t="n">
        <v>17.55</v>
      </c>
      <c r="X42" s="38" t="n">
        <v>118.387</v>
      </c>
      <c r="Y42" s="38" t="n">
        <v>143.384</v>
      </c>
      <c r="Z42" s="38" t="n">
        <v>0</v>
      </c>
      <c r="AA42" s="36" t="n">
        <v>111</v>
      </c>
      <c r="AB42" s="37" t="n">
        <v>0.3854166666666667</v>
      </c>
      <c r="AC42" s="36" t="n">
        <v>39</v>
      </c>
      <c r="AD42" s="37" t="n">
        <v>0.6964285714285714</v>
      </c>
      <c r="AE42" s="36" t="n">
        <v>70</v>
      </c>
      <c r="AF42" s="37" t="n">
        <v>0.3043478260869565</v>
      </c>
      <c r="AG42" s="36" t="n">
        <v>32</v>
      </c>
      <c r="AH42" s="37" t="n">
        <v>0.8205128205128205</v>
      </c>
    </row>
    <row r="43">
      <c r="A43" s="53" t="n">
        <v>45810</v>
      </c>
      <c r="B43" t="inlineStr">
        <is>
          <t>R10_Sumbagteng</t>
        </is>
      </c>
      <c r="C43" t="inlineStr">
        <is>
          <t>NOP BUKITTINGGI</t>
        </is>
      </c>
      <c r="D43" s="38" t="n">
        <v>1.998</v>
      </c>
      <c r="E43" s="38" t="n">
        <v>3.372</v>
      </c>
      <c r="F43" s="36" t="n">
        <v>3.13</v>
      </c>
      <c r="G43" s="36" t="n">
        <v>3.687</v>
      </c>
      <c r="H43" s="36" t="n">
        <v>33</v>
      </c>
      <c r="I43" s="37" t="n">
        <v>0.75</v>
      </c>
      <c r="J43" s="36" t="n">
        <v>4</v>
      </c>
      <c r="K43" s="37" t="n">
        <v>0.8</v>
      </c>
      <c r="L43" s="36" t="n">
        <v>29</v>
      </c>
      <c r="M43" s="37" t="n">
        <v>0.7435897435897436</v>
      </c>
      <c r="N43" s="36" t="n">
        <v>4</v>
      </c>
      <c r="O43" s="37" t="n">
        <v>1</v>
      </c>
      <c r="P43" s="36" t="n">
        <v>4</v>
      </c>
      <c r="Q43" s="37" t="n">
        <v>1</v>
      </c>
      <c r="R43" s="36" t="n">
        <v>39</v>
      </c>
      <c r="S43" s="37" t="n">
        <v>0.8863636363636364</v>
      </c>
      <c r="T43" s="36" t="n">
        <v>18</v>
      </c>
      <c r="U43" s="37" t="n">
        <v>0.4090909090909091</v>
      </c>
      <c r="V43" s="38" t="n">
        <v>0.01</v>
      </c>
      <c r="W43" s="38" t="n">
        <v>3.610000000000001</v>
      </c>
      <c r="X43" s="38" t="n">
        <v>91.935</v>
      </c>
      <c r="Y43" s="38" t="n">
        <v>75.066</v>
      </c>
      <c r="Z43" s="38" t="n">
        <v>0</v>
      </c>
      <c r="AA43" s="36" t="n">
        <v>42</v>
      </c>
      <c r="AB43" s="37" t="n">
        <v>0.4615384615384616</v>
      </c>
      <c r="AC43" s="36" t="n">
        <v>8</v>
      </c>
      <c r="AD43" s="37" t="n">
        <v>0.5714285714285714</v>
      </c>
      <c r="AE43" s="36" t="n">
        <v>33</v>
      </c>
      <c r="AF43" s="37" t="n">
        <v>0.44</v>
      </c>
      <c r="AG43" s="36" t="n">
        <v>4</v>
      </c>
      <c r="AH43" s="37" t="n">
        <v>0.5</v>
      </c>
    </row>
    <row r="44">
      <c r="A44" s="53" t="n">
        <v>45810</v>
      </c>
      <c r="B44" t="inlineStr">
        <is>
          <t>R10_Sumbagteng</t>
        </is>
      </c>
      <c r="C44" t="inlineStr">
        <is>
          <t>NOP DUMAI</t>
        </is>
      </c>
      <c r="D44" s="38" t="n">
        <v>1.74</v>
      </c>
      <c r="E44" s="38" t="n">
        <v>3.02</v>
      </c>
      <c r="F44" s="36" t="n">
        <v>6.548000000000006</v>
      </c>
      <c r="G44" s="36" t="n">
        <v>4.741999999999997</v>
      </c>
      <c r="H44" s="36" t="n">
        <v>99</v>
      </c>
      <c r="I44" s="37" t="n">
        <v>0.5439560439560439</v>
      </c>
      <c r="J44" s="36" t="n">
        <v>21</v>
      </c>
      <c r="K44" s="37" t="n">
        <v>0.5526315789473685</v>
      </c>
      <c r="L44" s="36" t="n">
        <v>78</v>
      </c>
      <c r="M44" s="37" t="n">
        <v>0.5416666666666666</v>
      </c>
      <c r="N44" s="36" t="n">
        <v>15</v>
      </c>
      <c r="O44" s="37" t="n">
        <v>0.7142857142857143</v>
      </c>
      <c r="P44" s="36" t="n">
        <v>15</v>
      </c>
      <c r="Q44" s="37" t="n">
        <v>0.7142857142857143</v>
      </c>
      <c r="R44" s="36" t="n">
        <v>178</v>
      </c>
      <c r="S44" s="37" t="n">
        <v>0.978021978021978</v>
      </c>
      <c r="T44" s="36" t="n">
        <v>57</v>
      </c>
      <c r="U44" s="37" t="n">
        <v>0.3131868131868132</v>
      </c>
      <c r="V44" s="38" t="n">
        <v>0.01</v>
      </c>
      <c r="W44" s="38" t="n">
        <v>11.21000000000001</v>
      </c>
      <c r="X44" s="38" t="n">
        <v>70.07000000000012</v>
      </c>
      <c r="Y44" s="38" t="n">
        <v>217.082</v>
      </c>
      <c r="Z44" s="38" t="n">
        <v>0</v>
      </c>
      <c r="AA44" s="36" t="n">
        <v>95</v>
      </c>
      <c r="AB44" s="37" t="n">
        <v>0.2714285714285714</v>
      </c>
      <c r="AC44" s="36" t="n">
        <v>38</v>
      </c>
      <c r="AD44" s="37" t="n">
        <v>0.3762376237623762</v>
      </c>
      <c r="AE44" s="36" t="n">
        <v>57</v>
      </c>
      <c r="AF44" s="37" t="n">
        <v>0.2298387096774193</v>
      </c>
      <c r="AG44" s="36" t="n">
        <v>35</v>
      </c>
      <c r="AH44" s="37" t="n">
        <v>0.9210526315789473</v>
      </c>
    </row>
    <row r="45">
      <c r="A45" s="53" t="n">
        <v>45810</v>
      </c>
      <c r="B45" t="inlineStr">
        <is>
          <t>R10_Sumbagteng</t>
        </is>
      </c>
      <c r="C45" t="inlineStr">
        <is>
          <t>NOP PADANG</t>
        </is>
      </c>
      <c r="D45" s="38" t="n">
        <v>0</v>
      </c>
      <c r="E45" s="38" t="n">
        <v>2.59</v>
      </c>
      <c r="F45" s="36" t="n">
        <v>6.466000000000003</v>
      </c>
      <c r="G45" s="36" t="n">
        <v>6.118</v>
      </c>
      <c r="H45" s="36" t="n">
        <v>48</v>
      </c>
      <c r="I45" s="37" t="n">
        <v>0.8275862068965517</v>
      </c>
      <c r="J45" s="36" t="n">
        <v>6</v>
      </c>
      <c r="K45" s="37" t="n">
        <v>0.6666666666666666</v>
      </c>
      <c r="L45" s="36" t="n">
        <v>42</v>
      </c>
      <c r="M45" s="37" t="n">
        <v>0.8571428571428571</v>
      </c>
      <c r="N45" s="36" t="n">
        <v>5</v>
      </c>
      <c r="O45" s="37" t="n">
        <v>0.8333333333333334</v>
      </c>
      <c r="P45" s="36" t="n">
        <v>5</v>
      </c>
      <c r="Q45" s="37" t="n">
        <v>0.8333333333333334</v>
      </c>
      <c r="R45" s="36" t="n">
        <v>58</v>
      </c>
      <c r="S45" s="37" t="n">
        <v>1</v>
      </c>
      <c r="T45" s="36" t="n">
        <v>22</v>
      </c>
      <c r="U45" s="37" t="n">
        <v>0.3793103448275862</v>
      </c>
      <c r="V45" s="38" t="n">
        <v>0</v>
      </c>
      <c r="W45" s="38" t="n">
        <v>5.104000000000003</v>
      </c>
      <c r="X45" s="38" t="n">
        <v>73.61699999999999</v>
      </c>
      <c r="Y45" s="38" t="n">
        <v>187.625</v>
      </c>
      <c r="Z45" s="38" t="n">
        <v>0</v>
      </c>
      <c r="AA45" s="36" t="n">
        <v>63</v>
      </c>
      <c r="AB45" s="37" t="n">
        <v>0.8076923076923077</v>
      </c>
      <c r="AC45" s="36" t="n">
        <v>18</v>
      </c>
      <c r="AD45" s="37" t="n">
        <v>0.5625</v>
      </c>
      <c r="AE45" s="36" t="n">
        <v>43</v>
      </c>
      <c r="AF45" s="37" t="n">
        <v>0.9772727272727273</v>
      </c>
      <c r="AG45" s="36" t="n">
        <v>15</v>
      </c>
      <c r="AH45" s="37" t="n">
        <v>0.8333333333333334</v>
      </c>
    </row>
    <row r="46">
      <c r="A46" s="53" t="n">
        <v>45810</v>
      </c>
      <c r="B46" t="inlineStr">
        <is>
          <t>R10_Sumbagteng</t>
        </is>
      </c>
      <c r="C46" t="inlineStr">
        <is>
          <t>NOP PEKANBARU</t>
        </is>
      </c>
      <c r="D46" s="38" t="n">
        <v>2.404</v>
      </c>
      <c r="E46" s="38" t="n">
        <v>3.613000000000002</v>
      </c>
      <c r="F46" s="36" t="n">
        <v>3.58</v>
      </c>
      <c r="G46" s="36" t="n">
        <v>6.69</v>
      </c>
      <c r="H46" s="36" t="n">
        <v>77</v>
      </c>
      <c r="I46" s="37" t="n">
        <v>0.5789473684210527</v>
      </c>
      <c r="J46" s="36" t="n">
        <v>11</v>
      </c>
      <c r="K46" s="37" t="n">
        <v>0.5238095238095238</v>
      </c>
      <c r="L46" s="36" t="n">
        <v>66</v>
      </c>
      <c r="M46" s="37" t="n">
        <v>0.5892857142857143</v>
      </c>
      <c r="N46" s="36" t="n">
        <v>5</v>
      </c>
      <c r="O46" s="37" t="n">
        <v>0.4545454545454545</v>
      </c>
      <c r="P46" s="36" t="n">
        <v>5</v>
      </c>
      <c r="Q46" s="37" t="n">
        <v>0.4545454545454545</v>
      </c>
      <c r="R46" s="36" t="n">
        <v>131</v>
      </c>
      <c r="S46" s="37" t="n">
        <v>0.9849624060150376</v>
      </c>
      <c r="T46" s="36" t="n">
        <v>44</v>
      </c>
      <c r="U46" s="37" t="n">
        <v>0.3308270676691729</v>
      </c>
      <c r="V46" s="38" t="n">
        <v>0.02</v>
      </c>
      <c r="W46" s="38" t="n">
        <v>5.835000000000001</v>
      </c>
      <c r="X46" s="38" t="n">
        <v>37.20200000000001</v>
      </c>
      <c r="Y46" s="38" t="n">
        <v>87.08</v>
      </c>
      <c r="Z46" s="38" t="n">
        <v>0</v>
      </c>
      <c r="AA46" s="36" t="n">
        <v>87</v>
      </c>
      <c r="AB46" s="37" t="n">
        <v>0.3536585365853658</v>
      </c>
      <c r="AC46" s="36" t="n">
        <v>25</v>
      </c>
      <c r="AD46" s="37" t="n">
        <v>0.373134328358209</v>
      </c>
      <c r="AE46" s="36" t="n">
        <v>61</v>
      </c>
      <c r="AF46" s="37" t="n">
        <v>0.3465909090909091</v>
      </c>
      <c r="AG46" s="36" t="n">
        <v>17</v>
      </c>
      <c r="AH46" s="37" t="n">
        <v>0.68</v>
      </c>
    </row>
    <row r="47">
      <c r="A47" s="53" t="n">
        <v>45810</v>
      </c>
      <c r="B47" t="inlineStr">
        <is>
          <t>R02_Sumbagsel</t>
        </is>
      </c>
      <c r="C47" t="inlineStr">
        <is>
          <t>NOP BENGKULU</t>
        </is>
      </c>
      <c r="D47" s="38" t="n">
        <v>0</v>
      </c>
      <c r="E47" s="38" t="n">
        <v>4.61</v>
      </c>
      <c r="F47" s="36" t="n">
        <v>4.263</v>
      </c>
      <c r="G47" s="36" t="n">
        <v>3.664000000000001</v>
      </c>
      <c r="H47" s="36" t="n">
        <v>44</v>
      </c>
      <c r="I47" s="37" t="n">
        <v>0.6197183098591549</v>
      </c>
      <c r="J47" s="36" t="n">
        <v>8</v>
      </c>
      <c r="K47" s="37" t="n">
        <v>0.6153846153846154</v>
      </c>
      <c r="L47" s="36" t="n">
        <v>36</v>
      </c>
      <c r="M47" s="37" t="n">
        <v>0.6206896551724138</v>
      </c>
      <c r="N47" s="36" t="n">
        <v>6</v>
      </c>
      <c r="O47" s="37" t="n">
        <v>0.75</v>
      </c>
      <c r="P47" s="36" t="n">
        <v>6</v>
      </c>
      <c r="Q47" s="37" t="n">
        <v>0.75</v>
      </c>
      <c r="R47" s="36" t="n">
        <v>71</v>
      </c>
      <c r="S47" s="37" t="n">
        <v>1</v>
      </c>
      <c r="T47" s="36" t="n">
        <v>30</v>
      </c>
      <c r="U47" s="37" t="n">
        <v>0.4225352112676056</v>
      </c>
      <c r="V47" s="38" t="n">
        <v>0</v>
      </c>
      <c r="W47" s="38" t="n">
        <v>4.818000000000011</v>
      </c>
      <c r="X47" s="38" t="n">
        <v>6.882000000000002</v>
      </c>
      <c r="Y47" s="38" t="n">
        <v>8.487000000000011</v>
      </c>
      <c r="Z47" s="38" t="n">
        <v>0</v>
      </c>
      <c r="AA47" s="36" t="n">
        <v>100</v>
      </c>
      <c r="AB47" s="37" t="n">
        <v>0.6289308176100629</v>
      </c>
      <c r="AC47" s="36" t="n">
        <v>39</v>
      </c>
      <c r="AD47" s="37" t="n">
        <v>0.52</v>
      </c>
      <c r="AE47" s="36" t="n">
        <v>46</v>
      </c>
      <c r="AF47" s="37" t="n">
        <v>0.6865671641791045</v>
      </c>
      <c r="AG47" s="36" t="n">
        <v>35</v>
      </c>
      <c r="AH47" s="37" t="n">
        <v>0.8974358974358975</v>
      </c>
    </row>
    <row r="48">
      <c r="A48" s="53" t="n">
        <v>45810</v>
      </c>
      <c r="B48" t="inlineStr">
        <is>
          <t>R02_Sumbagsel</t>
        </is>
      </c>
      <c r="C48" t="inlineStr">
        <is>
          <t>NOP JAMBI</t>
        </is>
      </c>
      <c r="D48" s="38" t="n">
        <v>1.028</v>
      </c>
      <c r="E48" s="38" t="n">
        <v>2.394000000000001</v>
      </c>
      <c r="F48" s="36" t="n">
        <v>3.4</v>
      </c>
      <c r="G48" s="36" t="n">
        <v>5.090000000000001</v>
      </c>
      <c r="H48" s="36" t="n">
        <v>30</v>
      </c>
      <c r="I48" s="37" t="n">
        <v>0.2830188679245283</v>
      </c>
      <c r="J48" s="36" t="n">
        <v>15</v>
      </c>
      <c r="K48" s="37" t="n">
        <v>0.3571428571428572</v>
      </c>
      <c r="L48" s="36" t="n">
        <v>15</v>
      </c>
      <c r="M48" s="37" t="n">
        <v>0.234375</v>
      </c>
      <c r="N48" s="36" t="n">
        <v>11</v>
      </c>
      <c r="O48" s="37" t="n">
        <v>0.7333333333333333</v>
      </c>
      <c r="P48" s="36" t="n">
        <v>11</v>
      </c>
      <c r="Q48" s="37" t="n">
        <v>0.7333333333333333</v>
      </c>
      <c r="R48" s="36" t="n">
        <v>106</v>
      </c>
      <c r="S48" s="37" t="n">
        <v>1</v>
      </c>
      <c r="T48" s="36" t="n">
        <v>19</v>
      </c>
      <c r="U48" s="37" t="n">
        <v>0.1792452830188679</v>
      </c>
      <c r="V48" s="38" t="n">
        <v>0</v>
      </c>
      <c r="W48" s="38" t="n">
        <v>1.919999999999999</v>
      </c>
      <c r="X48" s="38" t="n">
        <v>28.332</v>
      </c>
      <c r="Y48" s="38" t="n">
        <v>19.452</v>
      </c>
      <c r="Z48" s="38" t="n">
        <v>0</v>
      </c>
      <c r="AA48" s="36" t="n">
        <v>28</v>
      </c>
      <c r="AB48" s="37" t="n">
        <v>0.1866666666666667</v>
      </c>
      <c r="AC48" s="36" t="n">
        <v>11</v>
      </c>
      <c r="AD48" s="37" t="n">
        <v>0.125</v>
      </c>
      <c r="AE48" s="36" t="n">
        <v>16</v>
      </c>
      <c r="AF48" s="37" t="n">
        <v>0.3333333333333333</v>
      </c>
      <c r="AG48" s="36" t="n">
        <v>9</v>
      </c>
      <c r="AH48" s="37" t="n">
        <v>0.8181818181818182</v>
      </c>
    </row>
    <row r="49">
      <c r="A49" s="53" t="n">
        <v>45810</v>
      </c>
      <c r="B49" t="inlineStr">
        <is>
          <t>R02_Sumbagsel</t>
        </is>
      </c>
      <c r="C49" t="inlineStr">
        <is>
          <t>NOP LAMPUNG</t>
        </is>
      </c>
      <c r="D49" s="38" t="n">
        <v>0</v>
      </c>
      <c r="E49" s="38" t="n">
        <v>4.612</v>
      </c>
      <c r="F49" s="36" t="n">
        <v>7.33</v>
      </c>
      <c r="G49" s="36" t="n">
        <v>6.039999999999999</v>
      </c>
      <c r="H49" s="36" t="n">
        <v>22</v>
      </c>
      <c r="I49" s="37" t="n">
        <v>0.6285714285714286</v>
      </c>
      <c r="J49" s="36" t="n">
        <v>8</v>
      </c>
      <c r="K49" s="37" t="n">
        <v>0.8888888888888888</v>
      </c>
      <c r="L49" s="36" t="n">
        <v>14</v>
      </c>
      <c r="M49" s="37" t="n">
        <v>0.5384615384615384</v>
      </c>
      <c r="N49" s="36" t="n">
        <v>7</v>
      </c>
      <c r="O49" s="37" t="n">
        <v>0.875</v>
      </c>
      <c r="P49" s="36" t="n">
        <v>7</v>
      </c>
      <c r="Q49" s="37" t="n">
        <v>0.875</v>
      </c>
      <c r="R49" s="36" t="n">
        <v>35</v>
      </c>
      <c r="S49" s="37" t="n">
        <v>1</v>
      </c>
      <c r="T49" s="36" t="n">
        <v>18</v>
      </c>
      <c r="U49" s="37" t="n">
        <v>0.5142857142857142</v>
      </c>
      <c r="V49" s="38" t="n">
        <v>0</v>
      </c>
      <c r="W49" s="38" t="n">
        <v>7.19</v>
      </c>
      <c r="X49" s="38" t="n">
        <v>7.310000000000008</v>
      </c>
      <c r="Y49" s="38" t="n">
        <v>31.74</v>
      </c>
      <c r="Z49" s="38" t="n">
        <v>0</v>
      </c>
      <c r="AA49" s="36" t="n">
        <v>138</v>
      </c>
      <c r="AB49" s="37" t="n">
        <v>0.9517241379310345</v>
      </c>
      <c r="AC49" s="36" t="n">
        <v>20</v>
      </c>
      <c r="AD49" s="37" t="n">
        <v>0.9523809523809523</v>
      </c>
      <c r="AE49" s="36" t="n">
        <v>112</v>
      </c>
      <c r="AF49" s="37" t="n">
        <v>0.9655172413793104</v>
      </c>
      <c r="AG49" s="36" t="n">
        <v>19</v>
      </c>
      <c r="AH49" s="37" t="n">
        <v>0.95</v>
      </c>
    </row>
    <row r="50">
      <c r="A50" s="53" t="n">
        <v>45810</v>
      </c>
      <c r="B50" t="inlineStr">
        <is>
          <t>R02_Sumbagsel</t>
        </is>
      </c>
      <c r="C50" t="inlineStr">
        <is>
          <t>NOP MUARA ENIM</t>
        </is>
      </c>
      <c r="D50" s="38" t="n">
        <v>0.925</v>
      </c>
      <c r="E50" s="38" t="n">
        <v>3.620000000000001</v>
      </c>
      <c r="F50" s="36" t="n">
        <v>5.415000000000003</v>
      </c>
      <c r="G50" s="36" t="n">
        <v>7.470000000000002</v>
      </c>
      <c r="H50" s="36" t="n">
        <v>32</v>
      </c>
      <c r="I50" s="37" t="n">
        <v>0.2119205298013245</v>
      </c>
      <c r="J50" s="36" t="n">
        <v>5</v>
      </c>
      <c r="K50" s="37" t="n">
        <v>0.3571428571428572</v>
      </c>
      <c r="L50" s="36" t="n">
        <v>27</v>
      </c>
      <c r="M50" s="37" t="n">
        <v>0.1970802919708029</v>
      </c>
      <c r="N50" s="36" t="n">
        <v>5</v>
      </c>
      <c r="O50" s="37" t="n">
        <v>1</v>
      </c>
      <c r="P50" s="36" t="n">
        <v>5</v>
      </c>
      <c r="Q50" s="37" t="n">
        <v>1</v>
      </c>
      <c r="R50" s="36" t="n">
        <v>149</v>
      </c>
      <c r="S50" s="37" t="n">
        <v>0.9867549668874173</v>
      </c>
      <c r="T50" s="36" t="n">
        <v>20</v>
      </c>
      <c r="U50" s="37" t="n">
        <v>0.1324503311258278</v>
      </c>
      <c r="V50" s="38" t="n">
        <v>0</v>
      </c>
      <c r="W50" s="38" t="n">
        <v>18.995</v>
      </c>
      <c r="X50" s="38" t="n">
        <v>7.681999999999999</v>
      </c>
      <c r="Y50" s="38" t="n">
        <v>3.325</v>
      </c>
      <c r="Z50" s="38" t="n">
        <v>0</v>
      </c>
      <c r="AA50" s="36" t="n">
        <v>103</v>
      </c>
      <c r="AB50" s="37" t="n">
        <v>0.5754189944134078</v>
      </c>
      <c r="AC50" s="36" t="n">
        <v>50</v>
      </c>
      <c r="AD50" s="37" t="n">
        <v>0.5813953488372093</v>
      </c>
      <c r="AE50" s="36" t="n">
        <v>49</v>
      </c>
      <c r="AF50" s="37" t="n">
        <v>0.5903614457831325</v>
      </c>
      <c r="AG50" s="36" t="n">
        <v>39</v>
      </c>
      <c r="AH50" s="37" t="n">
        <v>0.78</v>
      </c>
    </row>
    <row r="51">
      <c r="A51" s="53" t="n">
        <v>45810</v>
      </c>
      <c r="B51" t="inlineStr">
        <is>
          <t>R02_Sumbagsel</t>
        </is>
      </c>
      <c r="C51" t="inlineStr">
        <is>
          <t>NOP PALEMBANG</t>
        </is>
      </c>
      <c r="D51" s="38" t="n">
        <v>2.012</v>
      </c>
      <c r="E51" s="38" t="n">
        <v>4.049000000000001</v>
      </c>
      <c r="F51" s="36" t="n">
        <v>3.398</v>
      </c>
      <c r="G51" s="36" t="n">
        <v>3.816000000000004</v>
      </c>
      <c r="H51" s="36" t="n">
        <v>73</v>
      </c>
      <c r="I51" s="37" t="n">
        <v>0.4866666666666667</v>
      </c>
      <c r="J51" s="36" t="n">
        <v>11</v>
      </c>
      <c r="K51" s="37" t="n">
        <v>0.4074074074074074</v>
      </c>
      <c r="L51" s="36" t="n">
        <v>62</v>
      </c>
      <c r="M51" s="37" t="n">
        <v>0.5040650406504065</v>
      </c>
      <c r="N51" s="36" t="n">
        <v>5</v>
      </c>
      <c r="O51" s="37" t="n">
        <v>0.4545454545454545</v>
      </c>
      <c r="P51" s="36" t="n">
        <v>5</v>
      </c>
      <c r="Q51" s="37" t="n">
        <v>0.4545454545454545</v>
      </c>
      <c r="R51" s="36" t="n">
        <v>150</v>
      </c>
      <c r="S51" s="37" t="n">
        <v>1</v>
      </c>
      <c r="T51" s="36" t="n">
        <v>28</v>
      </c>
      <c r="U51" s="37" t="n">
        <v>0.1866666666666667</v>
      </c>
      <c r="V51" s="38" t="n">
        <v>0</v>
      </c>
      <c r="W51" s="38" t="n">
        <v>2.3</v>
      </c>
      <c r="X51" s="38" t="n">
        <v>8.635</v>
      </c>
      <c r="Y51" s="38" t="n">
        <v>13.6</v>
      </c>
      <c r="Z51" s="38" t="n">
        <v>0</v>
      </c>
      <c r="AA51" s="36" t="n">
        <v>17</v>
      </c>
      <c r="AB51" s="37" t="n">
        <v>0.06640625</v>
      </c>
      <c r="AC51" s="36" t="n">
        <v>9</v>
      </c>
      <c r="AD51" s="37" t="n">
        <v>0.0481283422459893</v>
      </c>
      <c r="AE51" s="36" t="n">
        <v>8</v>
      </c>
      <c r="AF51" s="37" t="n">
        <v>0.1777777777777778</v>
      </c>
      <c r="AG51" s="36" t="n">
        <v>5</v>
      </c>
      <c r="AH51" s="37" t="n">
        <v>0.5555555555555556</v>
      </c>
    </row>
    <row r="52">
      <c r="A52" s="53" t="n">
        <v>45810</v>
      </c>
      <c r="B52" t="inlineStr">
        <is>
          <t>R02_Sumbagsel</t>
        </is>
      </c>
      <c r="C52" t="inlineStr">
        <is>
          <t>NOP PANGKAL PINANG</t>
        </is>
      </c>
      <c r="D52" s="38" t="n">
        <v>0</v>
      </c>
      <c r="E52" s="38" t="n">
        <v>0</v>
      </c>
      <c r="F52" s="36" t="n">
        <v>1.379</v>
      </c>
      <c r="G52" s="36" t="n">
        <v>2.095</v>
      </c>
      <c r="H52" s="36" t="n">
        <v>15</v>
      </c>
      <c r="I52" s="37" t="n">
        <v>0.625</v>
      </c>
      <c r="J52" s="36" t="n">
        <v>0</v>
      </c>
      <c r="K52" s="37" t="n">
        <v>0</v>
      </c>
      <c r="L52" s="36" t="n">
        <v>15</v>
      </c>
      <c r="M52" s="37" t="n">
        <v>0.625</v>
      </c>
      <c r="N52" s="36" t="n">
        <v>0</v>
      </c>
      <c r="O52" s="37" t="n">
        <v>0</v>
      </c>
      <c r="P52" s="36" t="n">
        <v>0</v>
      </c>
      <c r="Q52" s="37" t="n">
        <v>0</v>
      </c>
      <c r="R52" s="36" t="n">
        <v>24</v>
      </c>
      <c r="S52" s="37" t="n">
        <v>1</v>
      </c>
      <c r="T52" s="36" t="n">
        <v>7</v>
      </c>
      <c r="U52" s="37" t="n">
        <v>0.2916666666666667</v>
      </c>
      <c r="V52" s="38" t="n">
        <v>0</v>
      </c>
      <c r="W52" s="38" t="n">
        <v>1.802</v>
      </c>
      <c r="X52" s="38" t="n">
        <v>4.806000000000001</v>
      </c>
      <c r="Y52" s="38" t="n">
        <v>10.762</v>
      </c>
      <c r="Z52" s="38" t="n">
        <v>0</v>
      </c>
      <c r="AA52" s="36" t="n">
        <v>97</v>
      </c>
      <c r="AB52" s="37" t="n">
        <v>0.97</v>
      </c>
      <c r="AC52" s="36" t="n">
        <v>31</v>
      </c>
      <c r="AD52" s="37" t="n">
        <v>0.9393939393939394</v>
      </c>
      <c r="AE52" s="36" t="n">
        <v>66</v>
      </c>
      <c r="AF52" s="37" t="n">
        <v>1</v>
      </c>
      <c r="AG52" s="36" t="n">
        <v>30</v>
      </c>
      <c r="AH52" s="37" t="n">
        <v>0.967741935483871</v>
      </c>
    </row>
    <row r="53">
      <c r="A53" s="53" t="n">
        <v>45810</v>
      </c>
      <c r="B53" t="inlineStr">
        <is>
          <t>R05_Jawa Tengah DIY</t>
        </is>
      </c>
      <c r="C53" t="inlineStr">
        <is>
          <t>NOP MAGELANG</t>
        </is>
      </c>
      <c r="D53" s="38" t="n">
        <v>0</v>
      </c>
      <c r="E53" s="38" t="n">
        <v>0</v>
      </c>
      <c r="F53" s="36" t="n">
        <v>0</v>
      </c>
      <c r="G53" s="36" t="n">
        <v>1.938</v>
      </c>
      <c r="H53" s="36" t="n">
        <v>3</v>
      </c>
      <c r="I53" s="37" t="n">
        <v>0.75</v>
      </c>
      <c r="J53" s="36" t="n">
        <v>0</v>
      </c>
      <c r="K53" s="37" t="n">
        <v>0</v>
      </c>
      <c r="L53" s="36" t="n">
        <v>3</v>
      </c>
      <c r="M53" s="37" t="n">
        <v>0.75</v>
      </c>
      <c r="N53" s="36" t="n">
        <v>0</v>
      </c>
      <c r="O53" s="37" t="n">
        <v>0</v>
      </c>
      <c r="P53" s="36" t="n">
        <v>0</v>
      </c>
      <c r="Q53" s="37" t="n">
        <v>0</v>
      </c>
      <c r="R53" s="36" t="n">
        <v>4</v>
      </c>
      <c r="S53" s="37" t="n">
        <v>1</v>
      </c>
      <c r="T53" s="36" t="n">
        <v>3</v>
      </c>
      <c r="U53" s="37" t="n">
        <v>0.75</v>
      </c>
      <c r="V53" s="38" t="n">
        <v>0</v>
      </c>
      <c r="W53" s="38" t="n">
        <v>1.363</v>
      </c>
      <c r="X53" s="38" t="n">
        <v>6.72</v>
      </c>
      <c r="Y53" s="38" t="n">
        <v>10.672</v>
      </c>
      <c r="Z53" s="38" t="n">
        <v>0</v>
      </c>
      <c r="AA53" s="36" t="n">
        <v>43</v>
      </c>
      <c r="AB53" s="37" t="n">
        <v>0.9347826086956522</v>
      </c>
      <c r="AC53" s="36" t="n">
        <v>1</v>
      </c>
      <c r="AD53" s="37" t="n">
        <v>0.5</v>
      </c>
      <c r="AE53" s="36" t="n">
        <v>42</v>
      </c>
      <c r="AF53" s="37" t="n">
        <v>0.9545454545454546</v>
      </c>
      <c r="AG53" s="36" t="n">
        <v>1</v>
      </c>
      <c r="AH53" s="37" t="n">
        <v>1</v>
      </c>
    </row>
    <row r="54">
      <c r="A54" s="53" t="n">
        <v>45810</v>
      </c>
      <c r="B54" t="inlineStr">
        <is>
          <t>R05_Jawa Tengah DIY</t>
        </is>
      </c>
      <c r="C54" t="inlineStr">
        <is>
          <t>NOP PEKALONGAN</t>
        </is>
      </c>
      <c r="D54" s="38" t="n">
        <v>0.37</v>
      </c>
      <c r="E54" s="38" t="n">
        <v>0</v>
      </c>
      <c r="F54" s="36" t="n">
        <v>1.373</v>
      </c>
      <c r="G54" s="36" t="n">
        <v>0.34</v>
      </c>
      <c r="H54" s="36" t="n">
        <v>1</v>
      </c>
      <c r="I54" s="37" t="n">
        <v>0.25</v>
      </c>
      <c r="J54" s="36" t="n">
        <v>0</v>
      </c>
      <c r="K54" s="37" t="n">
        <v>0</v>
      </c>
      <c r="L54" s="36" t="n">
        <v>1</v>
      </c>
      <c r="M54" s="37" t="n">
        <v>0.3333333333333333</v>
      </c>
      <c r="N54" s="36" t="n">
        <v>0</v>
      </c>
      <c r="O54" s="37" t="n">
        <v>0</v>
      </c>
      <c r="P54" s="36" t="n">
        <v>0</v>
      </c>
      <c r="Q54" s="37" t="n">
        <v>0</v>
      </c>
      <c r="R54" s="36" t="n">
        <v>3</v>
      </c>
      <c r="S54" s="37" t="n">
        <v>0.75</v>
      </c>
      <c r="T54" s="36" t="n">
        <v>0</v>
      </c>
      <c r="U54" s="37" t="n">
        <v>0</v>
      </c>
      <c r="V54" s="38" t="n">
        <v>0</v>
      </c>
      <c r="W54" s="38" t="n">
        <v>2.24</v>
      </c>
      <c r="X54" s="38" t="n">
        <v>12.6</v>
      </c>
      <c r="Y54" s="38" t="n">
        <v>45.04300000000001</v>
      </c>
      <c r="Z54" s="38" t="n">
        <v>0</v>
      </c>
      <c r="AA54" s="36" t="n">
        <v>18</v>
      </c>
      <c r="AB54" s="37" t="n">
        <v>0.9</v>
      </c>
      <c r="AC54" s="36" t="n">
        <v>4</v>
      </c>
      <c r="AD54" s="37" t="n">
        <v>0.8</v>
      </c>
      <c r="AE54" s="36" t="n">
        <v>14</v>
      </c>
      <c r="AF54" s="37" t="n">
        <v>0.9333333333333333</v>
      </c>
      <c r="AG54" s="36" t="n">
        <v>3</v>
      </c>
      <c r="AH54" s="37" t="n">
        <v>0.75</v>
      </c>
    </row>
    <row r="55">
      <c r="A55" s="53" t="n">
        <v>45810</v>
      </c>
      <c r="B55" t="inlineStr">
        <is>
          <t>R05_Jawa Tengah DIY</t>
        </is>
      </c>
      <c r="C55" t="inlineStr">
        <is>
          <t>NOP PURWOKERTO</t>
        </is>
      </c>
      <c r="D55" s="38" t="n">
        <v>1.829</v>
      </c>
      <c r="E55" s="38" t="n">
        <v>0</v>
      </c>
      <c r="F55" s="36" t="n">
        <v>1.396</v>
      </c>
      <c r="G55" s="36" t="n">
        <v>2.092</v>
      </c>
      <c r="H55" s="36" t="n">
        <v>10</v>
      </c>
      <c r="I55" s="37" t="n">
        <v>0.7142857142857143</v>
      </c>
      <c r="J55" s="36" t="n">
        <v>2</v>
      </c>
      <c r="K55" s="37" t="n">
        <v>1</v>
      </c>
      <c r="L55" s="36" t="n">
        <v>8</v>
      </c>
      <c r="M55" s="37" t="n">
        <v>0.6666666666666666</v>
      </c>
      <c r="N55" s="36" t="n">
        <v>2</v>
      </c>
      <c r="O55" s="37" t="n">
        <v>1</v>
      </c>
      <c r="P55" s="36" t="n">
        <v>2</v>
      </c>
      <c r="Q55" s="37" t="n">
        <v>1</v>
      </c>
      <c r="R55" s="36" t="n">
        <v>14</v>
      </c>
      <c r="S55" s="37" t="n">
        <v>1</v>
      </c>
      <c r="T55" s="36" t="n">
        <v>6</v>
      </c>
      <c r="U55" s="37" t="n">
        <v>0.4285714285714285</v>
      </c>
      <c r="V55" s="38" t="n">
        <v>0</v>
      </c>
      <c r="W55" s="38" t="n">
        <v>4.196000000000001</v>
      </c>
      <c r="X55" s="38" t="n">
        <v>8.08</v>
      </c>
      <c r="Y55" s="38" t="n">
        <v>26.386</v>
      </c>
      <c r="Z55" s="38" t="n">
        <v>0</v>
      </c>
      <c r="AA55" s="36" t="n">
        <v>17</v>
      </c>
      <c r="AB55" s="37" t="n">
        <v>0.7727272727272727</v>
      </c>
      <c r="AC55" s="36" t="n">
        <v>4</v>
      </c>
      <c r="AD55" s="37" t="n">
        <v>0.5</v>
      </c>
      <c r="AE55" s="36" t="n">
        <v>13</v>
      </c>
      <c r="AF55" s="37" t="n">
        <v>0.9285714285714286</v>
      </c>
      <c r="AG55" s="36" t="n">
        <v>1</v>
      </c>
      <c r="AH55" s="37" t="n">
        <v>0.25</v>
      </c>
    </row>
    <row r="56">
      <c r="A56" s="53" t="n">
        <v>45810</v>
      </c>
      <c r="B56" t="inlineStr">
        <is>
          <t>R05_Jawa Tengah DIY</t>
        </is>
      </c>
      <c r="C56" t="inlineStr">
        <is>
          <t>NOP SEMARANG</t>
        </is>
      </c>
      <c r="D56" s="38" t="n">
        <v>0.79</v>
      </c>
      <c r="E56" s="38" t="n">
        <v>0</v>
      </c>
      <c r="F56" s="36" t="n">
        <v>2.23</v>
      </c>
      <c r="G56" s="36" t="n">
        <v>0.6520000000000001</v>
      </c>
      <c r="H56" s="36" t="n">
        <v>6</v>
      </c>
      <c r="I56" s="37" t="n">
        <v>0.5454545454545454</v>
      </c>
      <c r="J56" s="36" t="n">
        <v>1</v>
      </c>
      <c r="K56" s="37" t="n">
        <v>1</v>
      </c>
      <c r="L56" s="36" t="n">
        <v>5</v>
      </c>
      <c r="M56" s="37" t="n">
        <v>0.5</v>
      </c>
      <c r="N56" s="36" t="n">
        <v>0</v>
      </c>
      <c r="O56" s="37" t="n">
        <v>0</v>
      </c>
      <c r="P56" s="36" t="n">
        <v>0</v>
      </c>
      <c r="Q56" s="37" t="n">
        <v>0</v>
      </c>
      <c r="R56" s="36" t="n">
        <v>11</v>
      </c>
      <c r="S56" s="37" t="n">
        <v>1</v>
      </c>
      <c r="T56" s="36" t="n">
        <v>4</v>
      </c>
      <c r="U56" s="37" t="n">
        <v>0.3636363636363636</v>
      </c>
      <c r="V56" s="38" t="n">
        <v>0.01</v>
      </c>
      <c r="W56" s="38" t="n">
        <v>12.726</v>
      </c>
      <c r="X56" s="38" t="n">
        <v>5.577999999999999</v>
      </c>
      <c r="Y56" s="38" t="n">
        <v>68.86799999999999</v>
      </c>
      <c r="Z56" s="38" t="n">
        <v>0</v>
      </c>
      <c r="AA56" s="36" t="n">
        <v>22</v>
      </c>
      <c r="AB56" s="37" t="n">
        <v>0.7586206896551724</v>
      </c>
      <c r="AC56" s="36" t="n">
        <v>6</v>
      </c>
      <c r="AD56" s="37" t="n">
        <v>0.6</v>
      </c>
      <c r="AE56" s="36" t="n">
        <v>16</v>
      </c>
      <c r="AF56" s="37" t="n">
        <v>0.8421052631578947</v>
      </c>
      <c r="AG56" s="36" t="n">
        <v>6</v>
      </c>
      <c r="AH56" s="37" t="n">
        <v>1</v>
      </c>
    </row>
    <row r="57">
      <c r="A57" s="53" t="n">
        <v>45810</v>
      </c>
      <c r="B57" t="inlineStr">
        <is>
          <t>R05_Jawa Tengah DIY</t>
        </is>
      </c>
      <c r="C57" t="inlineStr">
        <is>
          <t>NOP SURAKARTA</t>
        </is>
      </c>
      <c r="D57" s="38" t="n">
        <v>3.214</v>
      </c>
      <c r="E57" s="38" t="n">
        <v>0</v>
      </c>
      <c r="F57" s="36" t="n">
        <v>0.91</v>
      </c>
      <c r="G57" s="36" t="n">
        <v>1.48</v>
      </c>
      <c r="H57" s="36" t="n">
        <v>8</v>
      </c>
      <c r="I57" s="37" t="n">
        <v>0.7272727272727273</v>
      </c>
      <c r="J57" s="36" t="n">
        <v>2</v>
      </c>
      <c r="K57" s="37" t="n">
        <v>0.6666666666666666</v>
      </c>
      <c r="L57" s="36" t="n">
        <v>6</v>
      </c>
      <c r="M57" s="37" t="n">
        <v>0.75</v>
      </c>
      <c r="N57" s="36" t="n">
        <v>2</v>
      </c>
      <c r="O57" s="37" t="n">
        <v>1</v>
      </c>
      <c r="P57" s="36" t="n">
        <v>2</v>
      </c>
      <c r="Q57" s="37" t="n">
        <v>1</v>
      </c>
      <c r="R57" s="36" t="n">
        <v>10</v>
      </c>
      <c r="S57" s="37" t="n">
        <v>0.9090909090909091</v>
      </c>
      <c r="T57" s="36" t="n">
        <v>6</v>
      </c>
      <c r="U57" s="37" t="n">
        <v>0.5454545454545454</v>
      </c>
      <c r="V57" s="38" t="n">
        <v>0</v>
      </c>
      <c r="W57" s="38" t="n">
        <v>4.112000000000002</v>
      </c>
      <c r="X57" s="38" t="n">
        <v>4.720000000000001</v>
      </c>
      <c r="Y57" s="38" t="n">
        <v>17.475</v>
      </c>
      <c r="Z57" s="38" t="n">
        <v>0</v>
      </c>
      <c r="AA57" s="36" t="n">
        <v>28</v>
      </c>
      <c r="AB57" s="37" t="n">
        <v>0.8235294117647058</v>
      </c>
      <c r="AC57" s="36" t="n">
        <v>7</v>
      </c>
      <c r="AD57" s="37" t="n">
        <v>0.7777777777777778</v>
      </c>
      <c r="AE57" s="36" t="n">
        <v>21</v>
      </c>
      <c r="AF57" s="37" t="n">
        <v>0.84</v>
      </c>
      <c r="AG57" s="36" t="n">
        <v>5</v>
      </c>
      <c r="AH57" s="37" t="n">
        <v>0.7142857142857143</v>
      </c>
    </row>
    <row r="58">
      <c r="A58" s="53" t="n">
        <v>45810</v>
      </c>
      <c r="B58" t="inlineStr">
        <is>
          <t>R05_Jawa Tengah DIY</t>
        </is>
      </c>
      <c r="C58" t="inlineStr">
        <is>
          <t>NOP YOGYAKARTA</t>
        </is>
      </c>
      <c r="D58" s="38" t="n">
        <v>0</v>
      </c>
      <c r="E58" s="38" t="n">
        <v>0</v>
      </c>
      <c r="F58" s="36" t="n">
        <v>2.316000000000001</v>
      </c>
      <c r="G58" s="36" t="n">
        <v>2.115</v>
      </c>
      <c r="H58" s="36" t="n">
        <v>10</v>
      </c>
      <c r="I58" s="37" t="n">
        <v>0.7692307692307693</v>
      </c>
      <c r="J58" s="36" t="n">
        <v>0</v>
      </c>
      <c r="K58" s="37" t="n">
        <v>0</v>
      </c>
      <c r="L58" s="36" t="n">
        <v>10</v>
      </c>
      <c r="M58" s="37" t="n">
        <v>0.7692307692307693</v>
      </c>
      <c r="N58" s="36" t="n">
        <v>0</v>
      </c>
      <c r="O58" s="37" t="n">
        <v>0</v>
      </c>
      <c r="P58" s="36" t="n">
        <v>0</v>
      </c>
      <c r="Q58" s="37" t="n">
        <v>0</v>
      </c>
      <c r="R58" s="36" t="n">
        <v>13</v>
      </c>
      <c r="S58" s="37" t="n">
        <v>1</v>
      </c>
      <c r="T58" s="36" t="n">
        <v>6</v>
      </c>
      <c r="U58" s="37" t="n">
        <v>0.4615384615384616</v>
      </c>
      <c r="V58" s="38" t="n">
        <v>0</v>
      </c>
      <c r="W58" s="38" t="n">
        <v>3.66</v>
      </c>
      <c r="X58" s="38" t="n">
        <v>12.975</v>
      </c>
      <c r="Y58" s="38" t="n">
        <v>20.98</v>
      </c>
      <c r="Z58" s="38" t="n">
        <v>0</v>
      </c>
      <c r="AA58" s="36" t="n">
        <v>33</v>
      </c>
      <c r="AB58" s="37" t="n">
        <v>0.9428571428571428</v>
      </c>
      <c r="AC58" s="36" t="n">
        <v>10</v>
      </c>
      <c r="AD58" s="37" t="n">
        <v>0.9090909090909091</v>
      </c>
      <c r="AE58" s="36" t="n">
        <v>23</v>
      </c>
      <c r="AF58" s="37" t="n">
        <v>0.9583333333333334</v>
      </c>
      <c r="AG58" s="36" t="n">
        <v>10</v>
      </c>
      <c r="AH58" s="37" t="n">
        <v>1</v>
      </c>
    </row>
    <row r="59">
      <c r="A59" s="53" t="n">
        <v>45810</v>
      </c>
      <c r="B59" t="inlineStr">
        <is>
          <t>R06_Jawa Timur</t>
        </is>
      </c>
      <c r="C59" t="inlineStr">
        <is>
          <t>NOP JEMBER</t>
        </is>
      </c>
      <c r="D59" s="38" t="n">
        <v>20.172</v>
      </c>
      <c r="E59" s="38" t="n">
        <v>0</v>
      </c>
      <c r="F59" s="36" t="n">
        <v>2.638000000000001</v>
      </c>
      <c r="G59" s="36" t="n">
        <v>3.644999999999999</v>
      </c>
      <c r="H59" s="36" t="n">
        <v>20</v>
      </c>
      <c r="I59" s="37" t="n">
        <v>0.8333333333333334</v>
      </c>
      <c r="J59" s="36" t="n">
        <v>3</v>
      </c>
      <c r="K59" s="37" t="n">
        <v>1</v>
      </c>
      <c r="L59" s="36" t="n">
        <v>17</v>
      </c>
      <c r="M59" s="37" t="n">
        <v>0.8095238095238095</v>
      </c>
      <c r="N59" s="36" t="n">
        <v>3</v>
      </c>
      <c r="O59" s="37" t="n">
        <v>1</v>
      </c>
      <c r="P59" s="36" t="n">
        <v>3</v>
      </c>
      <c r="Q59" s="37" t="n">
        <v>1</v>
      </c>
      <c r="R59" s="36" t="n">
        <v>24</v>
      </c>
      <c r="S59" s="37" t="n">
        <v>1</v>
      </c>
      <c r="T59" s="36" t="n">
        <v>12</v>
      </c>
      <c r="U59" s="37" t="n">
        <v>0.5</v>
      </c>
      <c r="V59" s="38" t="n">
        <v>0</v>
      </c>
      <c r="W59" s="38" t="n">
        <v>1.866000000000001</v>
      </c>
      <c r="X59" s="38" t="n">
        <v>3.563</v>
      </c>
      <c r="Y59" s="38" t="n">
        <v>181.208</v>
      </c>
      <c r="Z59" s="38" t="n">
        <v>0</v>
      </c>
      <c r="AA59" s="36" t="n">
        <v>18</v>
      </c>
      <c r="AB59" s="37" t="n">
        <v>0.6206896551724138</v>
      </c>
      <c r="AC59" s="36" t="n">
        <v>6</v>
      </c>
      <c r="AD59" s="37" t="n">
        <v>0.4285714285714285</v>
      </c>
      <c r="AE59" s="36" t="n">
        <v>12</v>
      </c>
      <c r="AF59" s="37" t="n">
        <v>0.8</v>
      </c>
      <c r="AG59" s="36" t="n">
        <v>6</v>
      </c>
      <c r="AH59" s="37" t="n">
        <v>1</v>
      </c>
    </row>
    <row r="60">
      <c r="A60" s="53" t="n">
        <v>45810</v>
      </c>
      <c r="B60" t="inlineStr">
        <is>
          <t>R06_Jawa Timur</t>
        </is>
      </c>
      <c r="C60" t="inlineStr">
        <is>
          <t>NOP KEDIRI</t>
        </is>
      </c>
      <c r="D60" s="38" t="n">
        <v>0.7</v>
      </c>
      <c r="E60" s="38" t="n">
        <v>0</v>
      </c>
      <c r="F60" s="36" t="n">
        <v>0.6879999999999999</v>
      </c>
      <c r="G60" s="36" t="n">
        <v>1.934</v>
      </c>
      <c r="H60" s="36" t="n">
        <v>12</v>
      </c>
      <c r="I60" s="37" t="n">
        <v>0.8571428571428571</v>
      </c>
      <c r="J60" s="36" t="n">
        <v>1</v>
      </c>
      <c r="K60" s="37" t="n">
        <v>1</v>
      </c>
      <c r="L60" s="36" t="n">
        <v>11</v>
      </c>
      <c r="M60" s="37" t="n">
        <v>0.8461538461538461</v>
      </c>
      <c r="N60" s="36" t="n">
        <v>0</v>
      </c>
      <c r="O60" s="37" t="n">
        <v>0</v>
      </c>
      <c r="P60" s="36" t="n">
        <v>0</v>
      </c>
      <c r="Q60" s="37" t="n">
        <v>0</v>
      </c>
      <c r="R60" s="36" t="n">
        <v>14</v>
      </c>
      <c r="S60" s="37" t="n">
        <v>1</v>
      </c>
      <c r="T60" s="36" t="n">
        <v>5</v>
      </c>
      <c r="U60" s="37" t="n">
        <v>0.3571428571428572</v>
      </c>
      <c r="V60" s="38" t="n">
        <v>0</v>
      </c>
      <c r="W60" s="38" t="n">
        <v>1.754999999999999</v>
      </c>
      <c r="X60" s="38" t="n">
        <v>8.594999999999999</v>
      </c>
      <c r="Y60" s="38" t="n">
        <v>18.52</v>
      </c>
      <c r="Z60" s="38" t="n">
        <v>0</v>
      </c>
      <c r="AA60" s="36" t="n">
        <v>15</v>
      </c>
      <c r="AB60" s="37" t="n">
        <v>0.8823529411764706</v>
      </c>
      <c r="AC60" s="36" t="n">
        <v>9</v>
      </c>
      <c r="AD60" s="37" t="n">
        <v>0.9</v>
      </c>
      <c r="AE60" s="36" t="n">
        <v>6</v>
      </c>
      <c r="AF60" s="37" t="n">
        <v>0.8571428571428571</v>
      </c>
      <c r="AG60" s="36" t="n">
        <v>7</v>
      </c>
      <c r="AH60" s="37" t="n">
        <v>0.7777777777777778</v>
      </c>
    </row>
    <row r="61">
      <c r="A61" s="53" t="n">
        <v>45810</v>
      </c>
      <c r="B61" t="inlineStr">
        <is>
          <t>R06_Jawa Timur</t>
        </is>
      </c>
      <c r="C61" t="inlineStr">
        <is>
          <t>NOP LAMONGAN</t>
        </is>
      </c>
      <c r="D61" s="38" t="n">
        <v>1.574</v>
      </c>
      <c r="E61" s="38" t="n">
        <v>0</v>
      </c>
      <c r="F61" s="36" t="n">
        <v>1.004</v>
      </c>
      <c r="G61" s="36" t="n">
        <v>1.52</v>
      </c>
      <c r="H61" s="36" t="n">
        <v>9</v>
      </c>
      <c r="I61" s="37" t="n">
        <v>1</v>
      </c>
      <c r="J61" s="36" t="n">
        <v>2</v>
      </c>
      <c r="K61" s="37" t="n">
        <v>1</v>
      </c>
      <c r="L61" s="36" t="n">
        <v>7</v>
      </c>
      <c r="M61" s="37" t="n">
        <v>1</v>
      </c>
      <c r="N61" s="36" t="n">
        <v>2</v>
      </c>
      <c r="O61" s="37" t="n">
        <v>1</v>
      </c>
      <c r="P61" s="36" t="n">
        <v>2</v>
      </c>
      <c r="Q61" s="37" t="n">
        <v>1</v>
      </c>
      <c r="R61" s="36" t="n">
        <v>9</v>
      </c>
      <c r="S61" s="37" t="n">
        <v>1</v>
      </c>
      <c r="T61" s="36" t="n">
        <v>6</v>
      </c>
      <c r="U61" s="37" t="n">
        <v>0.6666666666666666</v>
      </c>
      <c r="V61" s="38" t="n">
        <v>0</v>
      </c>
      <c r="W61" s="38" t="n">
        <v>2.46</v>
      </c>
      <c r="X61" s="38" t="n">
        <v>1.345</v>
      </c>
      <c r="Y61" s="38" t="n">
        <v>0</v>
      </c>
      <c r="Z61" s="38" t="n">
        <v>0</v>
      </c>
      <c r="AA61" s="36" t="n">
        <v>6</v>
      </c>
      <c r="AB61" s="37" t="n">
        <v>0.75</v>
      </c>
      <c r="AC61" s="36" t="n">
        <v>4</v>
      </c>
      <c r="AD61" s="37" t="n">
        <v>0.6666666666666666</v>
      </c>
      <c r="AE61" s="36" t="n">
        <v>2</v>
      </c>
      <c r="AF61" s="37" t="n">
        <v>1</v>
      </c>
      <c r="AG61" s="36" t="n">
        <v>3</v>
      </c>
      <c r="AH61" s="37" t="n">
        <v>0.75</v>
      </c>
    </row>
    <row r="62">
      <c r="A62" s="53" t="n">
        <v>45810</v>
      </c>
      <c r="B62" t="inlineStr">
        <is>
          <t>R06_Jawa Timur</t>
        </is>
      </c>
      <c r="C62" t="inlineStr">
        <is>
          <t>NOP MADIUN</t>
        </is>
      </c>
      <c r="D62" s="38" t="n">
        <v>0</v>
      </c>
      <c r="E62" s="38" t="n">
        <v>0</v>
      </c>
      <c r="F62" s="36" t="n">
        <v>2.447</v>
      </c>
      <c r="G62" s="36" t="n">
        <v>2.462</v>
      </c>
      <c r="H62" s="36" t="n">
        <v>10</v>
      </c>
      <c r="I62" s="37" t="n">
        <v>0.6666666666666666</v>
      </c>
      <c r="J62" s="36" t="n">
        <v>0</v>
      </c>
      <c r="K62" s="37" t="n">
        <v>0</v>
      </c>
      <c r="L62" s="36" t="n">
        <v>10</v>
      </c>
      <c r="M62" s="37" t="n">
        <v>0.6666666666666666</v>
      </c>
      <c r="N62" s="36" t="n">
        <v>0</v>
      </c>
      <c r="O62" s="37" t="n">
        <v>0</v>
      </c>
      <c r="P62" s="36" t="n">
        <v>0</v>
      </c>
      <c r="Q62" s="37" t="n">
        <v>0</v>
      </c>
      <c r="R62" s="36" t="n">
        <v>14</v>
      </c>
      <c r="S62" s="37" t="n">
        <v>0.9333333333333333</v>
      </c>
      <c r="T62" s="36" t="n">
        <v>6</v>
      </c>
      <c r="U62" s="37" t="n">
        <v>0.4</v>
      </c>
      <c r="V62" s="38" t="n">
        <v>0</v>
      </c>
      <c r="W62" s="38" t="n">
        <v>6.474</v>
      </c>
      <c r="X62" s="38" t="n">
        <v>2.678</v>
      </c>
      <c r="Y62" s="38" t="n">
        <v>9.661000000000001</v>
      </c>
      <c r="Z62" s="38" t="n">
        <v>0</v>
      </c>
      <c r="AA62" s="36" t="n">
        <v>6</v>
      </c>
      <c r="AB62" s="37" t="n">
        <v>0.5454545454545454</v>
      </c>
      <c r="AC62" s="36" t="n">
        <v>0</v>
      </c>
      <c r="AD62" s="37" t="n">
        <v>0</v>
      </c>
      <c r="AE62" s="36" t="n">
        <v>6</v>
      </c>
      <c r="AF62" s="37" t="n">
        <v>0.75</v>
      </c>
      <c r="AG62" s="36" t="n">
        <v>0</v>
      </c>
      <c r="AH62" s="37" t="n">
        <v>0</v>
      </c>
    </row>
    <row r="63">
      <c r="A63" s="53" t="n">
        <v>45810</v>
      </c>
      <c r="B63" t="inlineStr">
        <is>
          <t>R06_Jawa Timur</t>
        </is>
      </c>
      <c r="C63" t="inlineStr">
        <is>
          <t>NOP MALANG</t>
        </is>
      </c>
      <c r="D63" s="38" t="n">
        <v>0</v>
      </c>
      <c r="E63" s="38" t="n">
        <v>0</v>
      </c>
      <c r="F63" s="36" t="n">
        <v>0.8979999999999999</v>
      </c>
      <c r="G63" s="36" t="n">
        <v>2.003</v>
      </c>
      <c r="H63" s="36" t="n">
        <v>6</v>
      </c>
      <c r="I63" s="37" t="n">
        <v>0.8571428571428571</v>
      </c>
      <c r="J63" s="36" t="n">
        <v>0</v>
      </c>
      <c r="K63" s="37" t="n">
        <v>0</v>
      </c>
      <c r="L63" s="36" t="n">
        <v>6</v>
      </c>
      <c r="M63" s="37" t="n">
        <v>0.8571428571428571</v>
      </c>
      <c r="N63" s="36" t="n">
        <v>0</v>
      </c>
      <c r="O63" s="37" t="n">
        <v>0</v>
      </c>
      <c r="P63" s="36" t="n">
        <v>0</v>
      </c>
      <c r="Q63" s="37" t="n">
        <v>0</v>
      </c>
      <c r="R63" s="36" t="n">
        <v>7</v>
      </c>
      <c r="S63" s="37" t="n">
        <v>1</v>
      </c>
      <c r="T63" s="36" t="n">
        <v>7</v>
      </c>
      <c r="U63" s="37" t="n">
        <v>1</v>
      </c>
      <c r="V63" s="38" t="n">
        <v>0</v>
      </c>
      <c r="W63" s="38" t="n">
        <v>0.746</v>
      </c>
      <c r="X63" s="38" t="n">
        <v>2.29</v>
      </c>
      <c r="Y63" s="38" t="n">
        <v>0</v>
      </c>
      <c r="Z63" s="38" t="n">
        <v>0</v>
      </c>
      <c r="AA63" s="36" t="n">
        <v>2</v>
      </c>
      <c r="AB63" s="37" t="n">
        <v>0.6666666666666666</v>
      </c>
      <c r="AC63" s="36" t="n">
        <v>1</v>
      </c>
      <c r="AD63" s="37" t="n">
        <v>0.5</v>
      </c>
      <c r="AE63" s="36" t="n">
        <v>1</v>
      </c>
      <c r="AF63" s="37" t="n">
        <v>1</v>
      </c>
      <c r="AG63" s="36" t="n">
        <v>1</v>
      </c>
      <c r="AH63" s="37" t="n">
        <v>1</v>
      </c>
    </row>
    <row r="64">
      <c r="A64" s="53" t="n">
        <v>45810</v>
      </c>
      <c r="B64" t="inlineStr">
        <is>
          <t>R06_Jawa Timur</t>
        </is>
      </c>
      <c r="C64" t="inlineStr">
        <is>
          <t>NOP SIDOARJO</t>
        </is>
      </c>
      <c r="D64" s="38" t="n">
        <v>0</v>
      </c>
      <c r="E64" s="38" t="n">
        <v>0</v>
      </c>
      <c r="F64" s="36" t="n">
        <v>4.841</v>
      </c>
      <c r="G64" s="36" t="n">
        <v>6.17</v>
      </c>
      <c r="H64" s="36" t="n">
        <v>2</v>
      </c>
      <c r="I64" s="37" t="n">
        <v>0.6666666666666666</v>
      </c>
      <c r="J64" s="36" t="n">
        <v>0</v>
      </c>
      <c r="K64" s="37" t="n">
        <v>0</v>
      </c>
      <c r="L64" s="36" t="n">
        <v>2</v>
      </c>
      <c r="M64" s="37" t="n">
        <v>0.6666666666666666</v>
      </c>
      <c r="N64" s="36" t="n">
        <v>0</v>
      </c>
      <c r="O64" s="37" t="n">
        <v>0</v>
      </c>
      <c r="P64" s="36" t="n">
        <v>0</v>
      </c>
      <c r="Q64" s="37" t="n">
        <v>0</v>
      </c>
      <c r="R64" s="36" t="n">
        <v>3</v>
      </c>
      <c r="S64" s="37" t="n">
        <v>1</v>
      </c>
      <c r="T64" s="36" t="n">
        <v>1</v>
      </c>
      <c r="U64" s="37" t="n">
        <v>0.3333333333333333</v>
      </c>
      <c r="V64" s="38" t="n">
        <v>0</v>
      </c>
      <c r="W64" s="38" t="n">
        <v>2.41</v>
      </c>
      <c r="X64" s="38" t="n">
        <v>18.85400000000001</v>
      </c>
      <c r="Y64" s="38" t="n">
        <v>0</v>
      </c>
      <c r="Z64" s="38" t="n">
        <v>0</v>
      </c>
      <c r="AA64" s="36" t="n">
        <v>7</v>
      </c>
      <c r="AB64" s="37" t="n">
        <v>0.875</v>
      </c>
      <c r="AC64" s="36" t="n">
        <v>1</v>
      </c>
      <c r="AD64" s="37" t="n">
        <v>1</v>
      </c>
      <c r="AE64" s="36" t="n">
        <v>6</v>
      </c>
      <c r="AF64" s="37" t="n">
        <v>0.8571428571428571</v>
      </c>
      <c r="AG64" s="36" t="n">
        <v>1</v>
      </c>
      <c r="AH64" s="37" t="n">
        <v>1</v>
      </c>
    </row>
    <row r="65">
      <c r="A65" s="53" t="n">
        <v>45810</v>
      </c>
      <c r="B65" t="inlineStr">
        <is>
          <t>R06_Jawa Timur</t>
        </is>
      </c>
      <c r="C65" t="inlineStr">
        <is>
          <t>NOP SURABAYA</t>
        </is>
      </c>
      <c r="D65" s="38" t="n">
        <v>1.924</v>
      </c>
      <c r="E65" s="38" t="n">
        <v>0</v>
      </c>
      <c r="F65" s="36" t="n">
        <v>1.154</v>
      </c>
      <c r="G65" s="36" t="n">
        <v>3.230999999999999</v>
      </c>
      <c r="H65" s="36" t="n">
        <v>9</v>
      </c>
      <c r="I65" s="37" t="n">
        <v>0.5625</v>
      </c>
      <c r="J65" s="36" t="n">
        <v>1</v>
      </c>
      <c r="K65" s="37" t="n">
        <v>0.5</v>
      </c>
      <c r="L65" s="36" t="n">
        <v>8</v>
      </c>
      <c r="M65" s="37" t="n">
        <v>0.5714285714285714</v>
      </c>
      <c r="N65" s="36" t="n">
        <v>1</v>
      </c>
      <c r="O65" s="37" t="n">
        <v>1</v>
      </c>
      <c r="P65" s="36" t="n">
        <v>1</v>
      </c>
      <c r="Q65" s="37" t="n">
        <v>1</v>
      </c>
      <c r="R65" s="36" t="n">
        <v>14</v>
      </c>
      <c r="S65" s="37" t="n">
        <v>0.875</v>
      </c>
      <c r="T65" s="36" t="n">
        <v>9</v>
      </c>
      <c r="U65" s="37" t="n">
        <v>0.5625</v>
      </c>
      <c r="V65" s="38" t="n">
        <v>0</v>
      </c>
      <c r="W65" s="38" t="n">
        <v>0.9800000000000002</v>
      </c>
      <c r="X65" s="38" t="n">
        <v>6.934</v>
      </c>
      <c r="Y65" s="38" t="n">
        <v>25.55</v>
      </c>
      <c r="Z65" s="38" t="n">
        <v>0</v>
      </c>
      <c r="AA65" s="36" t="n">
        <v>24</v>
      </c>
      <c r="AB65" s="37" t="n">
        <v>0.5581395348837209</v>
      </c>
      <c r="AC65" s="36" t="n">
        <v>1</v>
      </c>
      <c r="AD65" s="37" t="n">
        <v>0.3333333333333333</v>
      </c>
      <c r="AE65" s="36" t="n">
        <v>23</v>
      </c>
      <c r="AF65" s="37" t="n">
        <v>0.575</v>
      </c>
      <c r="AG65" s="36" t="n">
        <v>1</v>
      </c>
      <c r="AH65" s="37" t="n">
        <v>1</v>
      </c>
    </row>
    <row r="66">
      <c r="A66" s="53" t="n">
        <v>45810</v>
      </c>
      <c r="B66" t="inlineStr">
        <is>
          <t>R07_Bali Nusra</t>
        </is>
      </c>
      <c r="C66" t="inlineStr">
        <is>
          <t>NOP DENPASAR</t>
        </is>
      </c>
      <c r="D66" s="38" t="n">
        <v>4.12</v>
      </c>
      <c r="E66" s="38" t="n">
        <v>0</v>
      </c>
      <c r="F66" s="36" t="n">
        <v>9.529000000000003</v>
      </c>
      <c r="G66" s="36" t="n">
        <v>3.565</v>
      </c>
      <c r="H66" s="36" t="n">
        <v>11</v>
      </c>
      <c r="I66" s="37" t="n">
        <v>0.9166666666666666</v>
      </c>
      <c r="J66" s="36" t="n">
        <v>2</v>
      </c>
      <c r="K66" s="37" t="n">
        <v>1</v>
      </c>
      <c r="L66" s="36" t="n">
        <v>9</v>
      </c>
      <c r="M66" s="37" t="n">
        <v>0.9</v>
      </c>
      <c r="N66" s="36" t="n">
        <v>2</v>
      </c>
      <c r="O66" s="37" t="n">
        <v>1</v>
      </c>
      <c r="P66" s="36" t="n">
        <v>2</v>
      </c>
      <c r="Q66" s="37" t="n">
        <v>1</v>
      </c>
      <c r="R66" s="36" t="n">
        <v>12</v>
      </c>
      <c r="S66" s="37" t="n">
        <v>1</v>
      </c>
      <c r="T66" s="36" t="n">
        <v>12</v>
      </c>
      <c r="U66" s="37" t="n">
        <v>1</v>
      </c>
      <c r="V66" s="38" t="n">
        <v>0</v>
      </c>
      <c r="W66" s="38" t="n">
        <v>3.210000000000001</v>
      </c>
      <c r="X66" s="38" t="n">
        <v>5.753</v>
      </c>
      <c r="Y66" s="38" t="n">
        <v>7.765</v>
      </c>
      <c r="Z66" s="38" t="n">
        <v>0</v>
      </c>
      <c r="AA66" s="36" t="n">
        <v>14</v>
      </c>
      <c r="AB66" s="37" t="n">
        <v>0.8235294117647058</v>
      </c>
      <c r="AC66" s="36" t="n">
        <v>7</v>
      </c>
      <c r="AD66" s="37" t="n">
        <v>1</v>
      </c>
      <c r="AE66" s="36" t="n">
        <v>7</v>
      </c>
      <c r="AF66" s="37" t="n">
        <v>0.7</v>
      </c>
      <c r="AG66" s="36" t="n">
        <v>4</v>
      </c>
      <c r="AH66" s="37" t="n">
        <v>0.5714285714285714</v>
      </c>
    </row>
    <row r="67">
      <c r="A67" s="53" t="n">
        <v>45810</v>
      </c>
      <c r="B67" t="inlineStr">
        <is>
          <t>R07_Bali Nusra</t>
        </is>
      </c>
      <c r="C67" t="inlineStr">
        <is>
          <t>NOP FLORES</t>
        </is>
      </c>
      <c r="D67" s="38" t="n">
        <v>1.128</v>
      </c>
      <c r="E67" s="38" t="n">
        <v>0.86</v>
      </c>
      <c r="F67" s="36" t="n">
        <v>5.726</v>
      </c>
      <c r="G67" s="36" t="n">
        <v>15.38300000000001</v>
      </c>
      <c r="H67" s="36" t="n">
        <v>20</v>
      </c>
      <c r="I67" s="37" t="n">
        <v>0.4</v>
      </c>
      <c r="J67" s="36" t="n">
        <v>6</v>
      </c>
      <c r="K67" s="37" t="n">
        <v>0.5454545454545454</v>
      </c>
      <c r="L67" s="36" t="n">
        <v>14</v>
      </c>
      <c r="M67" s="37" t="n">
        <v>0.358974358974359</v>
      </c>
      <c r="N67" s="36" t="n">
        <v>5</v>
      </c>
      <c r="O67" s="37" t="n">
        <v>0.8333333333333334</v>
      </c>
      <c r="P67" s="36" t="n">
        <v>5</v>
      </c>
      <c r="Q67" s="37" t="n">
        <v>0.8333333333333334</v>
      </c>
      <c r="R67" s="36" t="n">
        <v>49</v>
      </c>
      <c r="S67" s="37" t="n">
        <v>0.98</v>
      </c>
      <c r="T67" s="36" t="n">
        <v>13</v>
      </c>
      <c r="U67" s="37" t="n">
        <v>0.26</v>
      </c>
      <c r="V67" s="38" t="n">
        <v>0.01</v>
      </c>
      <c r="W67" s="38" t="n">
        <v>6.83200000000001</v>
      </c>
      <c r="X67" s="38" t="n">
        <v>11.31400000000002</v>
      </c>
      <c r="Y67" s="38" t="n">
        <v>83.10400000000001</v>
      </c>
      <c r="Z67" s="38" t="n">
        <v>0</v>
      </c>
      <c r="AA67" s="36" t="n">
        <v>55</v>
      </c>
      <c r="AB67" s="37" t="n">
        <v>0.6179775280898876</v>
      </c>
      <c r="AC67" s="36" t="n">
        <v>36</v>
      </c>
      <c r="AD67" s="37" t="n">
        <v>0.6101694915254238</v>
      </c>
      <c r="AE67" s="36" t="n">
        <v>19</v>
      </c>
      <c r="AF67" s="37" t="n">
        <v>0.6333333333333333</v>
      </c>
      <c r="AG67" s="36" t="n">
        <v>32</v>
      </c>
      <c r="AH67" s="37" t="n">
        <v>0.8888888888888888</v>
      </c>
    </row>
    <row r="68">
      <c r="A68" s="53" t="n">
        <v>45810</v>
      </c>
      <c r="B68" t="inlineStr">
        <is>
          <t>R07_Bali Nusra</t>
        </is>
      </c>
      <c r="C68" t="inlineStr">
        <is>
          <t>NOP KUPANG</t>
        </is>
      </c>
      <c r="D68" s="38" t="n">
        <v>0</v>
      </c>
      <c r="E68" s="38" t="n">
        <v>3.548</v>
      </c>
      <c r="F68" s="36" t="n">
        <v>2.66</v>
      </c>
      <c r="G68" s="36" t="n">
        <v>4.363999999999999</v>
      </c>
      <c r="H68" s="36" t="n">
        <v>7</v>
      </c>
      <c r="I68" s="37" t="n">
        <v>0.1944444444444444</v>
      </c>
      <c r="J68" s="36" t="n">
        <v>2</v>
      </c>
      <c r="K68" s="37" t="n">
        <v>1</v>
      </c>
      <c r="L68" s="36" t="n">
        <v>5</v>
      </c>
      <c r="M68" s="37" t="n">
        <v>0.1470588235294118</v>
      </c>
      <c r="N68" s="36" t="n">
        <v>2</v>
      </c>
      <c r="O68" s="37" t="n">
        <v>1</v>
      </c>
      <c r="P68" s="36" t="n">
        <v>2</v>
      </c>
      <c r="Q68" s="37" t="n">
        <v>1</v>
      </c>
      <c r="R68" s="36" t="n">
        <v>36</v>
      </c>
      <c r="S68" s="37" t="n">
        <v>1</v>
      </c>
      <c r="T68" s="36" t="n">
        <v>5</v>
      </c>
      <c r="U68" s="37" t="n">
        <v>0.1388888888888889</v>
      </c>
      <c r="V68" s="38" t="n">
        <v>0</v>
      </c>
      <c r="W68" s="38" t="n">
        <v>3.015999999999998</v>
      </c>
      <c r="X68" s="38" t="n">
        <v>6.545999999999998</v>
      </c>
      <c r="Y68" s="38" t="n">
        <v>10.045</v>
      </c>
      <c r="Z68" s="38" t="n">
        <v>0</v>
      </c>
      <c r="AA68" s="36" t="n">
        <v>16</v>
      </c>
      <c r="AB68" s="37" t="n">
        <v>0.3265306122448979</v>
      </c>
      <c r="AC68" s="36" t="n">
        <v>7</v>
      </c>
      <c r="AD68" s="37" t="n">
        <v>0.3684210526315789</v>
      </c>
      <c r="AE68" s="36" t="n">
        <v>9</v>
      </c>
      <c r="AF68" s="37" t="n">
        <v>0.3</v>
      </c>
      <c r="AG68" s="36" t="n">
        <v>5</v>
      </c>
      <c r="AH68" s="37" t="n">
        <v>0.7142857142857143</v>
      </c>
    </row>
    <row r="69">
      <c r="A69" s="53" t="n">
        <v>45810</v>
      </c>
      <c r="B69" t="inlineStr">
        <is>
          <t>R07_Bali Nusra</t>
        </is>
      </c>
      <c r="C69" t="inlineStr">
        <is>
          <t>NOP MATARAM</t>
        </is>
      </c>
      <c r="D69" s="38" t="n">
        <v>0.917</v>
      </c>
      <c r="E69" s="38" t="n">
        <v>3.349</v>
      </c>
      <c r="F69" s="36" t="n">
        <v>1.905</v>
      </c>
      <c r="G69" s="36" t="n">
        <v>6.002</v>
      </c>
      <c r="H69" s="36" t="n">
        <v>11</v>
      </c>
      <c r="I69" s="37" t="n">
        <v>0.8461538461538461</v>
      </c>
      <c r="J69" s="36" t="n">
        <v>4</v>
      </c>
      <c r="K69" s="37" t="n">
        <v>1</v>
      </c>
      <c r="L69" s="36" t="n">
        <v>7</v>
      </c>
      <c r="M69" s="37" t="n">
        <v>0.7777777777777778</v>
      </c>
      <c r="N69" s="36" t="n">
        <v>2</v>
      </c>
      <c r="O69" s="37" t="n">
        <v>0.5</v>
      </c>
      <c r="P69" s="36" t="n">
        <v>2</v>
      </c>
      <c r="Q69" s="37" t="n">
        <v>0.5</v>
      </c>
      <c r="R69" s="36" t="n">
        <v>13</v>
      </c>
      <c r="S69" s="37" t="n">
        <v>1</v>
      </c>
      <c r="T69" s="36" t="n">
        <v>6</v>
      </c>
      <c r="U69" s="37" t="n">
        <v>0.4615384615384616</v>
      </c>
      <c r="V69" s="38" t="n">
        <v>0</v>
      </c>
      <c r="W69" s="38" t="n">
        <v>16.99</v>
      </c>
      <c r="X69" s="38" t="n">
        <v>8.932000000000002</v>
      </c>
      <c r="Y69" s="38" t="n">
        <v>9.668000000000001</v>
      </c>
      <c r="Z69" s="38" t="n">
        <v>0</v>
      </c>
      <c r="AA69" s="36" t="n">
        <v>19</v>
      </c>
      <c r="AB69" s="37" t="n">
        <v>0.5428571428571428</v>
      </c>
      <c r="AC69" s="36" t="n">
        <v>17</v>
      </c>
      <c r="AD69" s="37" t="n">
        <v>0.6538461538461539</v>
      </c>
      <c r="AE69" s="36" t="n">
        <v>2</v>
      </c>
      <c r="AF69" s="37" t="n">
        <v>0.2222222222222222</v>
      </c>
      <c r="AG69" s="36" t="n">
        <v>4</v>
      </c>
      <c r="AH69" s="37" t="n">
        <v>0.2352941176470588</v>
      </c>
    </row>
    <row r="70">
      <c r="A70" s="53" t="n">
        <v>45811</v>
      </c>
      <c r="B70" t="inlineStr">
        <is>
          <t>R01_Sumbagut</t>
        </is>
      </c>
      <c r="C70" t="inlineStr">
        <is>
          <t>NOP ACEH</t>
        </is>
      </c>
      <c r="D70" s="38" t="n">
        <v>7.67</v>
      </c>
      <c r="E70" s="38" t="n">
        <v>2.36</v>
      </c>
      <c r="F70" s="36" t="n">
        <v>5.244</v>
      </c>
      <c r="G70" s="36" t="n">
        <v>6.208000000000006</v>
      </c>
      <c r="H70" s="36" t="n">
        <v>122</v>
      </c>
      <c r="I70" s="37" t="n">
        <v>0.8970588235294118</v>
      </c>
      <c r="J70" s="36" t="n">
        <v>17</v>
      </c>
      <c r="K70" s="37" t="n">
        <v>0.85</v>
      </c>
      <c r="L70" s="36" t="n">
        <v>105</v>
      </c>
      <c r="M70" s="37" t="n">
        <v>0.9051724137931034</v>
      </c>
      <c r="N70" s="36" t="n">
        <v>11</v>
      </c>
      <c r="O70" s="37" t="n">
        <v>0.6470588235294118</v>
      </c>
      <c r="P70" s="36" t="n">
        <v>11</v>
      </c>
      <c r="Q70" s="37" t="n">
        <v>0.6470588235294118</v>
      </c>
      <c r="R70" s="36" t="n">
        <v>136</v>
      </c>
      <c r="S70" s="37" t="n">
        <v>1</v>
      </c>
      <c r="T70" s="36" t="n">
        <v>66</v>
      </c>
      <c r="U70" s="37" t="n">
        <v>0.4852941176470588</v>
      </c>
      <c r="V70" s="38" t="n">
        <v>0.02</v>
      </c>
      <c r="W70" s="38" t="n">
        <v>4.104000000000001</v>
      </c>
      <c r="X70" s="38" t="n">
        <v>48.18</v>
      </c>
      <c r="Y70" s="38" t="n">
        <v>121.97</v>
      </c>
      <c r="Z70" s="38" t="n">
        <v>0</v>
      </c>
      <c r="AA70" s="36" t="n">
        <v>147</v>
      </c>
      <c r="AB70" s="37" t="n">
        <v>0.84</v>
      </c>
      <c r="AC70" s="36" t="n">
        <v>34</v>
      </c>
      <c r="AD70" s="37" t="n">
        <v>0.576271186440678</v>
      </c>
      <c r="AE70" s="36" t="n">
        <v>109</v>
      </c>
      <c r="AF70" s="37" t="n">
        <v>0.9732142857142857</v>
      </c>
      <c r="AG70" s="36" t="n">
        <v>5</v>
      </c>
      <c r="AH70" s="37" t="n">
        <v>0.1470588235294118</v>
      </c>
    </row>
    <row r="71">
      <c r="A71" s="53" t="n">
        <v>45811</v>
      </c>
      <c r="B71" t="inlineStr">
        <is>
          <t>R01_Sumbagut</t>
        </is>
      </c>
      <c r="C71" t="inlineStr">
        <is>
          <t>NOP BINJAI</t>
        </is>
      </c>
      <c r="D71" s="38" t="n">
        <v>2.555</v>
      </c>
      <c r="E71" s="38" t="n">
        <v>6.442</v>
      </c>
      <c r="F71" s="36" t="n">
        <v>8.293999999999999</v>
      </c>
      <c r="G71" s="36" t="n">
        <v>3.9</v>
      </c>
      <c r="H71" s="36" t="n">
        <v>39</v>
      </c>
      <c r="I71" s="37" t="n">
        <v>0.8125</v>
      </c>
      <c r="J71" s="36" t="n">
        <v>10</v>
      </c>
      <c r="K71" s="37" t="n">
        <v>1</v>
      </c>
      <c r="L71" s="36" t="n">
        <v>29</v>
      </c>
      <c r="M71" s="37" t="n">
        <v>0.7631578947368421</v>
      </c>
      <c r="N71" s="36" t="n">
        <v>6</v>
      </c>
      <c r="O71" s="37" t="n">
        <v>0.6</v>
      </c>
      <c r="P71" s="36" t="n">
        <v>6</v>
      </c>
      <c r="Q71" s="37" t="n">
        <v>0.6</v>
      </c>
      <c r="R71" s="36" t="n">
        <v>47</v>
      </c>
      <c r="S71" s="37" t="n">
        <v>0.9791666666666666</v>
      </c>
      <c r="T71" s="36" t="n">
        <v>20</v>
      </c>
      <c r="U71" s="37" t="n">
        <v>0.4166666666666667</v>
      </c>
      <c r="V71" s="38" t="n">
        <v>0</v>
      </c>
      <c r="W71" s="38" t="n">
        <v>6.334000000000001</v>
      </c>
      <c r="X71" s="38" t="n">
        <v>44.01200000000004</v>
      </c>
      <c r="Y71" s="38" t="n">
        <v>98.17700000000011</v>
      </c>
      <c r="Z71" s="38" t="n">
        <v>0</v>
      </c>
      <c r="AA71" s="36" t="n">
        <v>81</v>
      </c>
      <c r="AB71" s="37" t="n">
        <v>0.801980198019802</v>
      </c>
      <c r="AC71" s="36" t="n">
        <v>13</v>
      </c>
      <c r="AD71" s="37" t="n">
        <v>0.5652173913043478</v>
      </c>
      <c r="AE71" s="36" t="n">
        <v>66</v>
      </c>
      <c r="AF71" s="37" t="n">
        <v>0.9041095890410958</v>
      </c>
      <c r="AG71" s="36" t="n">
        <v>5</v>
      </c>
      <c r="AH71" s="37" t="n">
        <v>0.3846153846153846</v>
      </c>
    </row>
    <row r="72">
      <c r="A72" s="53" t="n">
        <v>45811</v>
      </c>
      <c r="B72" t="inlineStr">
        <is>
          <t>R01_Sumbagut</t>
        </is>
      </c>
      <c r="C72" t="inlineStr">
        <is>
          <t>NOP MEDAN</t>
        </is>
      </c>
      <c r="D72" s="38" t="n">
        <v>2.325</v>
      </c>
      <c r="E72" s="38" t="n">
        <v>5.39</v>
      </c>
      <c r="F72" s="36" t="n">
        <v>5.321999999999999</v>
      </c>
      <c r="G72" s="36" t="n">
        <v>6.83</v>
      </c>
      <c r="H72" s="36" t="n">
        <v>36</v>
      </c>
      <c r="I72" s="37" t="n">
        <v>0.3673469387755102</v>
      </c>
      <c r="J72" s="36" t="n">
        <v>14</v>
      </c>
      <c r="K72" s="37" t="n">
        <v>0.4</v>
      </c>
      <c r="L72" s="36" t="n">
        <v>22</v>
      </c>
      <c r="M72" s="37" t="n">
        <v>0.3492063492063492</v>
      </c>
      <c r="N72" s="36" t="n">
        <v>8</v>
      </c>
      <c r="O72" s="37" t="n">
        <v>0.5714285714285714</v>
      </c>
      <c r="P72" s="36" t="n">
        <v>8</v>
      </c>
      <c r="Q72" s="37" t="n">
        <v>0.5714285714285714</v>
      </c>
      <c r="R72" s="36" t="n">
        <v>98</v>
      </c>
      <c r="S72" s="37" t="n">
        <v>1</v>
      </c>
      <c r="T72" s="36" t="n">
        <v>21</v>
      </c>
      <c r="U72" s="37" t="n">
        <v>0.2142857142857143</v>
      </c>
      <c r="V72" s="38" t="n">
        <v>0</v>
      </c>
      <c r="W72" s="38" t="n">
        <v>6.223000000000001</v>
      </c>
      <c r="X72" s="38" t="n">
        <v>20.98500000000001</v>
      </c>
      <c r="Y72" s="38" t="n">
        <v>4.640000000000008</v>
      </c>
      <c r="Z72" s="38" t="n">
        <v>0</v>
      </c>
      <c r="AA72" s="36" t="n">
        <v>32</v>
      </c>
      <c r="AB72" s="37" t="n">
        <v>0.3636363636363636</v>
      </c>
      <c r="AC72" s="36" t="n">
        <v>5</v>
      </c>
      <c r="AD72" s="37" t="n">
        <v>0.1666666666666667</v>
      </c>
      <c r="AE72" s="36" t="n">
        <v>26</v>
      </c>
      <c r="AF72" s="37" t="n">
        <v>0.5306122448979592</v>
      </c>
      <c r="AG72" s="36" t="n">
        <v>4</v>
      </c>
      <c r="AH72" s="37" t="n">
        <v>0.8</v>
      </c>
    </row>
    <row r="73">
      <c r="A73" s="53" t="n">
        <v>45811</v>
      </c>
      <c r="B73" t="inlineStr">
        <is>
          <t>R01_Sumbagut</t>
        </is>
      </c>
      <c r="C73" t="inlineStr">
        <is>
          <t>NOP PADANG SIDEMPUAN</t>
        </is>
      </c>
      <c r="D73" s="38" t="n">
        <v>0</v>
      </c>
      <c r="E73" s="38" t="n">
        <v>1.426</v>
      </c>
      <c r="F73" s="36" t="n">
        <v>4.14</v>
      </c>
      <c r="G73" s="36" t="n">
        <v>6.538000000000001</v>
      </c>
      <c r="H73" s="36" t="n">
        <v>15</v>
      </c>
      <c r="I73" s="37" t="n">
        <v>0.3333333333333333</v>
      </c>
      <c r="J73" s="36" t="n">
        <v>2</v>
      </c>
      <c r="K73" s="37" t="n">
        <v>0.6666666666666666</v>
      </c>
      <c r="L73" s="36" t="n">
        <v>13</v>
      </c>
      <c r="M73" s="37" t="n">
        <v>0.3095238095238095</v>
      </c>
      <c r="N73" s="36" t="n">
        <v>1</v>
      </c>
      <c r="O73" s="37" t="n">
        <v>0.5</v>
      </c>
      <c r="P73" s="36" t="n">
        <v>1</v>
      </c>
      <c r="Q73" s="37" t="n">
        <v>0.5</v>
      </c>
      <c r="R73" s="36" t="n">
        <v>45</v>
      </c>
      <c r="S73" s="37" t="n">
        <v>1</v>
      </c>
      <c r="T73" s="36" t="n">
        <v>6</v>
      </c>
      <c r="U73" s="37" t="n">
        <v>0.1333333333333333</v>
      </c>
      <c r="V73" s="38" t="n">
        <v>0.01</v>
      </c>
      <c r="W73" s="38" t="n">
        <v>2.748000000000005</v>
      </c>
      <c r="X73" s="38" t="n">
        <v>3.898</v>
      </c>
      <c r="Y73" s="38" t="n">
        <v>16.344</v>
      </c>
      <c r="Z73" s="38" t="n">
        <v>0</v>
      </c>
      <c r="AA73" s="36" t="n">
        <v>121</v>
      </c>
      <c r="AB73" s="37" t="n">
        <v>0.8066666666666666</v>
      </c>
      <c r="AC73" s="36" t="n">
        <v>67</v>
      </c>
      <c r="AD73" s="37" t="n">
        <v>0.8271604938271605</v>
      </c>
      <c r="AE73" s="36" t="n">
        <v>53</v>
      </c>
      <c r="AF73" s="37" t="n">
        <v>0.7794117647058824</v>
      </c>
      <c r="AG73" s="36" t="n">
        <v>34</v>
      </c>
      <c r="AH73" s="37" t="n">
        <v>0.5074626865671642</v>
      </c>
    </row>
    <row r="74">
      <c r="A74" s="53" t="n">
        <v>45811</v>
      </c>
      <c r="B74" t="inlineStr">
        <is>
          <t>R01_Sumbagut</t>
        </is>
      </c>
      <c r="C74" t="inlineStr">
        <is>
          <t>NOP PEMATANG SIANTAR</t>
        </is>
      </c>
      <c r="D74" s="38" t="n">
        <v>0.488</v>
      </c>
      <c r="E74" s="38" t="n">
        <v>6.604</v>
      </c>
      <c r="F74" s="36" t="n">
        <v>4.030000000000001</v>
      </c>
      <c r="G74" s="36" t="n">
        <v>3.434</v>
      </c>
      <c r="H74" s="36" t="n">
        <v>39</v>
      </c>
      <c r="I74" s="37" t="n">
        <v>0.4020618556701031</v>
      </c>
      <c r="J74" s="36" t="n">
        <v>13</v>
      </c>
      <c r="K74" s="37" t="n">
        <v>0.65</v>
      </c>
      <c r="L74" s="36" t="n">
        <v>26</v>
      </c>
      <c r="M74" s="37" t="n">
        <v>0.3376623376623377</v>
      </c>
      <c r="N74" s="36" t="n">
        <v>7</v>
      </c>
      <c r="O74" s="37" t="n">
        <v>0.5384615384615384</v>
      </c>
      <c r="P74" s="36" t="n">
        <v>7</v>
      </c>
      <c r="Q74" s="37" t="n">
        <v>0.5384615384615384</v>
      </c>
      <c r="R74" s="36" t="n">
        <v>97</v>
      </c>
      <c r="S74" s="37" t="n">
        <v>1</v>
      </c>
      <c r="T74" s="36" t="n">
        <v>23</v>
      </c>
      <c r="U74" s="37" t="n">
        <v>0.2371134020618557</v>
      </c>
      <c r="V74" s="38" t="n">
        <v>0</v>
      </c>
      <c r="W74" s="38" t="n">
        <v>4.769999999999998</v>
      </c>
      <c r="X74" s="38" t="n">
        <v>27.53800000000002</v>
      </c>
      <c r="Y74" s="38" t="n">
        <v>56.574</v>
      </c>
      <c r="Z74" s="38" t="n">
        <v>0</v>
      </c>
      <c r="AA74" s="36" t="n">
        <v>60</v>
      </c>
      <c r="AB74" s="37" t="n">
        <v>0.5309734513274337</v>
      </c>
      <c r="AC74" s="36" t="n">
        <v>28</v>
      </c>
      <c r="AD74" s="37" t="n">
        <v>0.5957446808510638</v>
      </c>
      <c r="AE74" s="36" t="n">
        <v>30</v>
      </c>
      <c r="AF74" s="37" t="n">
        <v>0.5454545454545454</v>
      </c>
      <c r="AG74" s="36" t="n">
        <v>15</v>
      </c>
      <c r="AH74" s="37" t="n">
        <v>0.5357142857142857</v>
      </c>
    </row>
    <row r="75">
      <c r="A75" s="53" t="n">
        <v>45811</v>
      </c>
      <c r="B75" t="inlineStr">
        <is>
          <t>R01_Sumbagut</t>
        </is>
      </c>
      <c r="C75" t="inlineStr">
        <is>
          <t>NOP RANTAU PRAPAT</t>
        </is>
      </c>
      <c r="D75" s="38" t="n">
        <v>2.762</v>
      </c>
      <c r="E75" s="38" t="n">
        <v>0.788</v>
      </c>
      <c r="F75" s="36" t="n">
        <v>2.131</v>
      </c>
      <c r="G75" s="36" t="n">
        <v>2.27</v>
      </c>
      <c r="H75" s="36" t="n">
        <v>53</v>
      </c>
      <c r="I75" s="37" t="n">
        <v>0.3732394366197183</v>
      </c>
      <c r="J75" s="36" t="n">
        <v>2</v>
      </c>
      <c r="K75" s="37" t="n">
        <v>0.1818181818181818</v>
      </c>
      <c r="L75" s="36" t="n">
        <v>51</v>
      </c>
      <c r="M75" s="37" t="n">
        <v>0.3893129770992366</v>
      </c>
      <c r="N75" s="36" t="n">
        <v>2</v>
      </c>
      <c r="O75" s="37" t="n">
        <v>1</v>
      </c>
      <c r="P75" s="36" t="n">
        <v>2</v>
      </c>
      <c r="Q75" s="37" t="n">
        <v>1</v>
      </c>
      <c r="R75" s="36" t="n">
        <v>140</v>
      </c>
      <c r="S75" s="37" t="n">
        <v>0.9859154929577465</v>
      </c>
      <c r="T75" s="36" t="n">
        <v>28</v>
      </c>
      <c r="U75" s="37" t="n">
        <v>0.1971830985915493</v>
      </c>
      <c r="V75" s="38" t="n">
        <v>0</v>
      </c>
      <c r="W75" s="38" t="n">
        <v>3.16</v>
      </c>
      <c r="X75" s="38" t="n">
        <v>37.15400000000004</v>
      </c>
      <c r="Y75" s="38" t="n">
        <v>52.80000000000004</v>
      </c>
      <c r="Z75" s="38" t="n">
        <v>0</v>
      </c>
      <c r="AA75" s="36" t="n">
        <v>38</v>
      </c>
      <c r="AB75" s="37" t="n">
        <v>0.2111111111111111</v>
      </c>
      <c r="AC75" s="36" t="n">
        <v>12</v>
      </c>
      <c r="AD75" s="37" t="n">
        <v>0.2352941176470588</v>
      </c>
      <c r="AE75" s="36" t="n">
        <v>22</v>
      </c>
      <c r="AF75" s="37" t="n">
        <v>0.1848739495798319</v>
      </c>
      <c r="AG75" s="36" t="n">
        <v>9</v>
      </c>
      <c r="AH75" s="37" t="n">
        <v>0.75</v>
      </c>
    </row>
    <row r="76">
      <c r="A76" s="53" t="n">
        <v>45811</v>
      </c>
      <c r="B76" t="inlineStr">
        <is>
          <t>R10_Sumbagteng</t>
        </is>
      </c>
      <c r="C76" t="inlineStr">
        <is>
          <t>NOP BATAM</t>
        </is>
      </c>
      <c r="D76" s="38" t="n">
        <v>2.222</v>
      </c>
      <c r="E76" s="38" t="n">
        <v>7.793000000000002</v>
      </c>
      <c r="F76" s="36" t="n">
        <v>5.455000000000001</v>
      </c>
      <c r="G76" s="36" t="n">
        <v>13.24799999999999</v>
      </c>
      <c r="H76" s="36" t="n">
        <v>88</v>
      </c>
      <c r="I76" s="37" t="n">
        <v>0.6330935251798561</v>
      </c>
      <c r="J76" s="36" t="n">
        <v>25</v>
      </c>
      <c r="K76" s="37" t="n">
        <v>0.9259259259259259</v>
      </c>
      <c r="L76" s="36" t="n">
        <v>63</v>
      </c>
      <c r="M76" s="37" t="n">
        <v>0.5625</v>
      </c>
      <c r="N76" s="36" t="n">
        <v>21</v>
      </c>
      <c r="O76" s="37" t="n">
        <v>0.84</v>
      </c>
      <c r="P76" s="36" t="n">
        <v>21</v>
      </c>
      <c r="Q76" s="37" t="n">
        <v>0.84</v>
      </c>
      <c r="R76" s="36" t="n">
        <v>139</v>
      </c>
      <c r="S76" s="37" t="n">
        <v>1</v>
      </c>
      <c r="T76" s="36" t="n">
        <v>67</v>
      </c>
      <c r="U76" s="37" t="n">
        <v>0.4820143884892086</v>
      </c>
      <c r="V76" s="38" t="n">
        <v>2.753000000000001</v>
      </c>
      <c r="W76" s="38" t="n">
        <v>8.816000000000001</v>
      </c>
      <c r="X76" s="38" t="n">
        <v>48.97200000000008</v>
      </c>
      <c r="Y76" s="38" t="n">
        <v>203.83</v>
      </c>
      <c r="Z76" s="38" t="n">
        <v>0</v>
      </c>
      <c r="AA76" s="36" t="n">
        <v>119</v>
      </c>
      <c r="AB76" s="37" t="n">
        <v>0.3584337349397591</v>
      </c>
      <c r="AC76" s="36" t="n">
        <v>50</v>
      </c>
      <c r="AD76" s="37" t="n">
        <v>0.5208333333333334</v>
      </c>
      <c r="AE76" s="36" t="n">
        <v>69</v>
      </c>
      <c r="AF76" s="37" t="n">
        <v>0.2936170212765957</v>
      </c>
      <c r="AG76" s="36" t="n">
        <v>40</v>
      </c>
      <c r="AH76" s="37" t="n">
        <v>0.8</v>
      </c>
    </row>
    <row r="77">
      <c r="A77" s="53" t="n">
        <v>45811</v>
      </c>
      <c r="B77" t="inlineStr">
        <is>
          <t>R10_Sumbagteng</t>
        </is>
      </c>
      <c r="C77" t="inlineStr">
        <is>
          <t>NOP BUKITTINGGI</t>
        </is>
      </c>
      <c r="D77" s="38" t="n">
        <v>0.552</v>
      </c>
      <c r="E77" s="38" t="n">
        <v>3.13</v>
      </c>
      <c r="F77" s="36" t="n">
        <v>3.525999999999999</v>
      </c>
      <c r="G77" s="36" t="n">
        <v>2.956</v>
      </c>
      <c r="H77" s="36" t="n">
        <v>75</v>
      </c>
      <c r="I77" s="37" t="n">
        <v>0.7731958762886598</v>
      </c>
      <c r="J77" s="36" t="n">
        <v>20</v>
      </c>
      <c r="K77" s="37" t="n">
        <v>0.7692307692307693</v>
      </c>
      <c r="L77" s="36" t="n">
        <v>55</v>
      </c>
      <c r="M77" s="37" t="n">
        <v>0.7746478873239436</v>
      </c>
      <c r="N77" s="36" t="n">
        <v>6</v>
      </c>
      <c r="O77" s="37" t="n">
        <v>0.3</v>
      </c>
      <c r="P77" s="36" t="n">
        <v>6</v>
      </c>
      <c r="Q77" s="37" t="n">
        <v>0.3333333333333333</v>
      </c>
      <c r="R77" s="36" t="n">
        <v>92</v>
      </c>
      <c r="S77" s="37" t="n">
        <v>0.9484536082474226</v>
      </c>
      <c r="T77" s="36" t="n">
        <v>35</v>
      </c>
      <c r="U77" s="37" t="n">
        <v>0.3608247422680412</v>
      </c>
      <c r="V77" s="38" t="n">
        <v>2.106</v>
      </c>
      <c r="W77" s="38" t="n">
        <v>3.851</v>
      </c>
      <c r="X77" s="38" t="n">
        <v>66.95800000000001</v>
      </c>
      <c r="Y77" s="38" t="n">
        <v>253.442</v>
      </c>
      <c r="Z77" s="38" t="n">
        <v>0</v>
      </c>
      <c r="AA77" s="36" t="n">
        <v>52</v>
      </c>
      <c r="AB77" s="37" t="n">
        <v>0.5842696629213483</v>
      </c>
      <c r="AC77" s="36" t="n">
        <v>18</v>
      </c>
      <c r="AD77" s="37" t="n">
        <v>0.6428571428571429</v>
      </c>
      <c r="AE77" s="36" t="n">
        <v>33</v>
      </c>
      <c r="AF77" s="37" t="n">
        <v>0.559322033898305</v>
      </c>
      <c r="AG77" s="36" t="n">
        <v>11</v>
      </c>
      <c r="AH77" s="37" t="n">
        <v>0.6111111111111112</v>
      </c>
    </row>
    <row r="78">
      <c r="A78" s="53" t="n">
        <v>45811</v>
      </c>
      <c r="B78" t="inlineStr">
        <is>
          <t>R10_Sumbagteng</t>
        </is>
      </c>
      <c r="C78" t="inlineStr">
        <is>
          <t>NOP DUMAI</t>
        </is>
      </c>
      <c r="D78" s="38" t="n">
        <v>0.9319999999999999</v>
      </c>
      <c r="E78" s="38" t="n">
        <v>3.268</v>
      </c>
      <c r="F78" s="36" t="n">
        <v>3.06</v>
      </c>
      <c r="G78" s="36" t="n">
        <v>4.858000000000001</v>
      </c>
      <c r="H78" s="36" t="n">
        <v>60</v>
      </c>
      <c r="I78" s="37" t="n">
        <v>0.4411764705882353</v>
      </c>
      <c r="J78" s="36" t="n">
        <v>14</v>
      </c>
      <c r="K78" s="37" t="n">
        <v>0.5384615384615384</v>
      </c>
      <c r="L78" s="36" t="n">
        <v>46</v>
      </c>
      <c r="M78" s="37" t="n">
        <v>0.4181818181818182</v>
      </c>
      <c r="N78" s="36" t="n">
        <v>7</v>
      </c>
      <c r="O78" s="37" t="n">
        <v>0.5</v>
      </c>
      <c r="P78" s="36" t="n">
        <v>7</v>
      </c>
      <c r="Q78" s="37" t="n">
        <v>0.5</v>
      </c>
      <c r="R78" s="36" t="n">
        <v>135</v>
      </c>
      <c r="S78" s="37" t="n">
        <v>0.9926470588235294</v>
      </c>
      <c r="T78" s="36" t="n">
        <v>22</v>
      </c>
      <c r="U78" s="37" t="n">
        <v>0.1617647058823529</v>
      </c>
      <c r="V78" s="38" t="n">
        <v>0</v>
      </c>
      <c r="W78" s="38" t="n">
        <v>6.967999999999997</v>
      </c>
      <c r="X78" s="38" t="n">
        <v>46.91200000000001</v>
      </c>
      <c r="Y78" s="38" t="n">
        <v>127.67</v>
      </c>
      <c r="Z78" s="38" t="n">
        <v>0</v>
      </c>
      <c r="AA78" s="36" t="n">
        <v>75</v>
      </c>
      <c r="AB78" s="37" t="n">
        <v>0.2218934911242604</v>
      </c>
      <c r="AC78" s="36" t="n">
        <v>29</v>
      </c>
      <c r="AD78" s="37" t="n">
        <v>0.3493975903614458</v>
      </c>
      <c r="AE78" s="36" t="n">
        <v>45</v>
      </c>
      <c r="AF78" s="37" t="n">
        <v>0.1778656126482213</v>
      </c>
      <c r="AG78" s="36" t="n">
        <v>27</v>
      </c>
      <c r="AH78" s="37" t="n">
        <v>0.9310344827586207</v>
      </c>
    </row>
    <row r="79">
      <c r="A79" s="53" t="n">
        <v>45811</v>
      </c>
      <c r="B79" t="inlineStr">
        <is>
          <t>R10_Sumbagteng</t>
        </is>
      </c>
      <c r="C79" t="inlineStr">
        <is>
          <t>NOP PADANG</t>
        </is>
      </c>
      <c r="D79" s="38" t="n">
        <v>0</v>
      </c>
      <c r="E79" s="38" t="n">
        <v>3.225</v>
      </c>
      <c r="F79" s="36" t="n">
        <v>4.478000000000004</v>
      </c>
      <c r="G79" s="36" t="n">
        <v>11.08</v>
      </c>
      <c r="H79" s="36" t="n">
        <v>71</v>
      </c>
      <c r="I79" s="37" t="n">
        <v>0.8068181818181818</v>
      </c>
      <c r="J79" s="36" t="n">
        <v>4</v>
      </c>
      <c r="K79" s="37" t="n">
        <v>0.6666666666666666</v>
      </c>
      <c r="L79" s="36" t="n">
        <v>67</v>
      </c>
      <c r="M79" s="37" t="n">
        <v>0.8170731707317073</v>
      </c>
      <c r="N79" s="36" t="n">
        <v>1</v>
      </c>
      <c r="O79" s="37" t="n">
        <v>0.25</v>
      </c>
      <c r="P79" s="36" t="n">
        <v>1</v>
      </c>
      <c r="Q79" s="37" t="n">
        <v>0.25</v>
      </c>
      <c r="R79" s="36" t="n">
        <v>86</v>
      </c>
      <c r="S79" s="37" t="n">
        <v>0.9772727272727273</v>
      </c>
      <c r="T79" s="36" t="n">
        <v>22</v>
      </c>
      <c r="U79" s="37" t="n">
        <v>0.25</v>
      </c>
      <c r="V79" s="38" t="n">
        <v>0.03</v>
      </c>
      <c r="W79" s="38" t="n">
        <v>4.488</v>
      </c>
      <c r="X79" s="38" t="n">
        <v>95.61100000000003</v>
      </c>
      <c r="Y79" s="38" t="n">
        <v>199.012</v>
      </c>
      <c r="Z79" s="38" t="n">
        <v>0</v>
      </c>
      <c r="AA79" s="36" t="n">
        <v>90</v>
      </c>
      <c r="AB79" s="37" t="n">
        <v>0.8571428571428571</v>
      </c>
      <c r="AC79" s="36" t="n">
        <v>17</v>
      </c>
      <c r="AD79" s="37" t="n">
        <v>0.6071428571428571</v>
      </c>
      <c r="AE79" s="36" t="n">
        <v>71</v>
      </c>
      <c r="AF79" s="37" t="n">
        <v>0.9466666666666667</v>
      </c>
      <c r="AG79" s="36" t="n">
        <v>16</v>
      </c>
      <c r="AH79" s="37" t="n">
        <v>0.9411764705882353</v>
      </c>
    </row>
    <row r="80">
      <c r="A80" s="53" t="n">
        <v>45811</v>
      </c>
      <c r="B80" t="inlineStr">
        <is>
          <t>R10_Sumbagteng</t>
        </is>
      </c>
      <c r="C80" t="inlineStr">
        <is>
          <t>NOP PEKANBARU</t>
        </is>
      </c>
      <c r="D80" s="38" t="n">
        <v>1.1</v>
      </c>
      <c r="E80" s="38" t="n">
        <v>7.704000000000021</v>
      </c>
      <c r="F80" s="36" t="n">
        <v>4.42</v>
      </c>
      <c r="G80" s="36" t="n">
        <v>3.793000000000011</v>
      </c>
      <c r="H80" s="36" t="n">
        <v>54</v>
      </c>
      <c r="I80" s="37" t="n">
        <v>0.3529411764705883</v>
      </c>
      <c r="J80" s="36" t="n">
        <v>10</v>
      </c>
      <c r="K80" s="37" t="n">
        <v>0.4545454545454545</v>
      </c>
      <c r="L80" s="36" t="n">
        <v>44</v>
      </c>
      <c r="M80" s="37" t="n">
        <v>0.3358778625954199</v>
      </c>
      <c r="N80" s="36" t="n">
        <v>7</v>
      </c>
      <c r="O80" s="37" t="n">
        <v>0.7</v>
      </c>
      <c r="P80" s="36" t="n">
        <v>7</v>
      </c>
      <c r="Q80" s="37" t="n">
        <v>0.7</v>
      </c>
      <c r="R80" s="36" t="n">
        <v>152</v>
      </c>
      <c r="S80" s="37" t="n">
        <v>0.9934640522875817</v>
      </c>
      <c r="T80" s="36" t="n">
        <v>38</v>
      </c>
      <c r="U80" s="37" t="n">
        <v>0.2483660130718954</v>
      </c>
      <c r="V80" s="38" t="n">
        <v>0.8869999999999998</v>
      </c>
      <c r="W80" s="38" t="n">
        <v>6.972000000000011</v>
      </c>
      <c r="X80" s="38" t="n">
        <v>35.57300000000005</v>
      </c>
      <c r="Y80" s="38" t="n">
        <v>83.93000000000001</v>
      </c>
      <c r="Z80" s="38" t="n">
        <v>0</v>
      </c>
      <c r="AA80" s="36" t="n">
        <v>73</v>
      </c>
      <c r="AB80" s="37" t="n">
        <v>0.2896825396825397</v>
      </c>
      <c r="AC80" s="36" t="n">
        <v>23</v>
      </c>
      <c r="AD80" s="37" t="n">
        <v>0.3150684931506849</v>
      </c>
      <c r="AE80" s="36" t="n">
        <v>47</v>
      </c>
      <c r="AF80" s="37" t="n">
        <v>0.2670454545454545</v>
      </c>
      <c r="AG80" s="36" t="n">
        <v>19</v>
      </c>
      <c r="AH80" s="37" t="n">
        <v>0.8260869565217391</v>
      </c>
    </row>
    <row r="81">
      <c r="A81" s="53" t="n">
        <v>45811</v>
      </c>
      <c r="B81" t="inlineStr">
        <is>
          <t>R02_Sumbagsel</t>
        </is>
      </c>
      <c r="C81" t="inlineStr">
        <is>
          <t>NOP BENGKULU</t>
        </is>
      </c>
      <c r="D81" s="38" t="n">
        <v>0.9840000000000002</v>
      </c>
      <c r="E81" s="38" t="n">
        <v>5.864000000000002</v>
      </c>
      <c r="F81" s="36" t="n">
        <v>3.036000000000004</v>
      </c>
      <c r="G81" s="36" t="n">
        <v>6.413000000000001</v>
      </c>
      <c r="H81" s="36" t="n">
        <v>74</v>
      </c>
      <c r="I81" s="37" t="n">
        <v>0.5103448275862069</v>
      </c>
      <c r="J81" s="36" t="n">
        <v>33</v>
      </c>
      <c r="K81" s="37" t="n">
        <v>0.7173913043478261</v>
      </c>
      <c r="L81" s="36" t="n">
        <v>41</v>
      </c>
      <c r="M81" s="37" t="n">
        <v>0.4141414141414141</v>
      </c>
      <c r="N81" s="36" t="n">
        <v>22</v>
      </c>
      <c r="O81" s="37" t="n">
        <v>0.6666666666666666</v>
      </c>
      <c r="P81" s="36" t="n">
        <v>22</v>
      </c>
      <c r="Q81" s="37" t="n">
        <v>0.6666666666666666</v>
      </c>
      <c r="R81" s="36" t="n">
        <v>145</v>
      </c>
      <c r="S81" s="37" t="n">
        <v>1</v>
      </c>
      <c r="T81" s="36" t="n">
        <v>40</v>
      </c>
      <c r="U81" s="37" t="n">
        <v>0.2758620689655172</v>
      </c>
      <c r="V81" s="38" t="n">
        <v>0</v>
      </c>
      <c r="W81" s="38" t="n">
        <v>5.03</v>
      </c>
      <c r="X81" s="38" t="n">
        <v>8.225000000000003</v>
      </c>
      <c r="Y81" s="38" t="n">
        <v>3.18</v>
      </c>
      <c r="Z81" s="38" t="n">
        <v>0</v>
      </c>
      <c r="AA81" s="36" t="n">
        <v>136</v>
      </c>
      <c r="AB81" s="37" t="n">
        <v>0.4738675958188153</v>
      </c>
      <c r="AC81" s="36" t="n">
        <v>77</v>
      </c>
      <c r="AD81" s="37" t="n">
        <v>0.4301675977653631</v>
      </c>
      <c r="AE81" s="36" t="n">
        <v>40</v>
      </c>
      <c r="AF81" s="37" t="n">
        <v>0.5</v>
      </c>
      <c r="AG81" s="36" t="n">
        <v>68</v>
      </c>
      <c r="AH81" s="37" t="n">
        <v>0.8831168831168831</v>
      </c>
    </row>
    <row r="82">
      <c r="A82" s="53" t="n">
        <v>45811</v>
      </c>
      <c r="B82" t="inlineStr">
        <is>
          <t>R02_Sumbagsel</t>
        </is>
      </c>
      <c r="C82" t="inlineStr">
        <is>
          <t>NOP JAMBI</t>
        </is>
      </c>
      <c r="D82" s="38" t="n">
        <v>1.02</v>
      </c>
      <c r="E82" s="38" t="n">
        <v>2.634</v>
      </c>
      <c r="F82" s="36" t="n">
        <v>2.536999999999999</v>
      </c>
      <c r="G82" s="36" t="n">
        <v>4.755000000000004</v>
      </c>
      <c r="H82" s="36" t="n">
        <v>31</v>
      </c>
      <c r="I82" s="37" t="n">
        <v>0.3369565217391304</v>
      </c>
      <c r="J82" s="36" t="n">
        <v>10</v>
      </c>
      <c r="K82" s="37" t="n">
        <v>0.2631578947368421</v>
      </c>
      <c r="L82" s="36" t="n">
        <v>21</v>
      </c>
      <c r="M82" s="37" t="n">
        <v>0.3888888888888889</v>
      </c>
      <c r="N82" s="36" t="n">
        <v>6</v>
      </c>
      <c r="O82" s="37" t="n">
        <v>0.6</v>
      </c>
      <c r="P82" s="36" t="n">
        <v>6</v>
      </c>
      <c r="Q82" s="37" t="n">
        <v>0.6</v>
      </c>
      <c r="R82" s="36" t="n">
        <v>92</v>
      </c>
      <c r="S82" s="37" t="n">
        <v>1</v>
      </c>
      <c r="T82" s="36" t="n">
        <v>23</v>
      </c>
      <c r="U82" s="37" t="n">
        <v>0.25</v>
      </c>
      <c r="V82" s="38" t="n">
        <v>0</v>
      </c>
      <c r="W82" s="38" t="n">
        <v>3.982000000000001</v>
      </c>
      <c r="X82" s="38" t="n">
        <v>8.898000000000005</v>
      </c>
      <c r="Y82" s="38" t="n">
        <v>19.182</v>
      </c>
      <c r="Z82" s="38" t="n">
        <v>0</v>
      </c>
      <c r="AA82" s="36" t="n">
        <v>27</v>
      </c>
      <c r="AB82" s="37" t="n">
        <v>0.1776315789473684</v>
      </c>
      <c r="AC82" s="36" t="n">
        <v>15</v>
      </c>
      <c r="AD82" s="37" t="n">
        <v>0.1829268292682927</v>
      </c>
      <c r="AE82" s="36" t="n">
        <v>10</v>
      </c>
      <c r="AF82" s="37" t="n">
        <v>0.1923076923076923</v>
      </c>
      <c r="AG82" s="36" t="n">
        <v>10</v>
      </c>
      <c r="AH82" s="37" t="n">
        <v>0.6666666666666666</v>
      </c>
    </row>
    <row r="83">
      <c r="A83" s="53" t="n">
        <v>45811</v>
      </c>
      <c r="B83" t="inlineStr">
        <is>
          <t>R02_Sumbagsel</t>
        </is>
      </c>
      <c r="C83" t="inlineStr">
        <is>
          <t>NOP LAMPUNG</t>
        </is>
      </c>
      <c r="D83" s="38" t="n">
        <v>0</v>
      </c>
      <c r="E83" s="38" t="n">
        <v>4.802000000000003</v>
      </c>
      <c r="F83" s="36" t="n">
        <v>3.425</v>
      </c>
      <c r="G83" s="36" t="n">
        <v>5.028</v>
      </c>
      <c r="H83" s="36" t="n">
        <v>26</v>
      </c>
      <c r="I83" s="37" t="n">
        <v>0.6190476190476191</v>
      </c>
      <c r="J83" s="36" t="n">
        <v>12</v>
      </c>
      <c r="K83" s="37" t="n">
        <v>0.9230769230769231</v>
      </c>
      <c r="L83" s="36" t="n">
        <v>14</v>
      </c>
      <c r="M83" s="37" t="n">
        <v>0.4827586206896552</v>
      </c>
      <c r="N83" s="36" t="n">
        <v>8</v>
      </c>
      <c r="O83" s="37" t="n">
        <v>0.6666666666666666</v>
      </c>
      <c r="P83" s="36" t="n">
        <v>8</v>
      </c>
      <c r="Q83" s="37" t="n">
        <v>0.6666666666666666</v>
      </c>
      <c r="R83" s="36" t="n">
        <v>42</v>
      </c>
      <c r="S83" s="37" t="n">
        <v>1</v>
      </c>
      <c r="T83" s="36" t="n">
        <v>20</v>
      </c>
      <c r="U83" s="37" t="n">
        <v>0.4761904761904762</v>
      </c>
      <c r="V83" s="38" t="n">
        <v>0</v>
      </c>
      <c r="W83" s="38" t="n">
        <v>13.49799999999997</v>
      </c>
      <c r="X83" s="38" t="n">
        <v>4.116</v>
      </c>
      <c r="Y83" s="38" t="n">
        <v>54.033</v>
      </c>
      <c r="Z83" s="38" t="n">
        <v>0</v>
      </c>
      <c r="AA83" s="36" t="n">
        <v>130</v>
      </c>
      <c r="AB83" s="37" t="n">
        <v>0.9629629629629629</v>
      </c>
      <c r="AC83" s="36" t="n">
        <v>26</v>
      </c>
      <c r="AD83" s="37" t="n">
        <v>0.896551724137931</v>
      </c>
      <c r="AE83" s="36" t="n">
        <v>95</v>
      </c>
      <c r="AF83" s="37" t="n">
        <v>1</v>
      </c>
      <c r="AG83" s="36" t="n">
        <v>23</v>
      </c>
      <c r="AH83" s="37" t="n">
        <v>0.8846153846153846</v>
      </c>
    </row>
    <row r="84">
      <c r="A84" s="53" t="n">
        <v>45811</v>
      </c>
      <c r="B84" t="inlineStr">
        <is>
          <t>R02_Sumbagsel</t>
        </is>
      </c>
      <c r="C84" t="inlineStr">
        <is>
          <t>NOP MUARA ENIM</t>
        </is>
      </c>
      <c r="D84" s="38" t="n">
        <v>2.38</v>
      </c>
      <c r="E84" s="38" t="n">
        <v>3.596</v>
      </c>
      <c r="F84" s="36" t="n">
        <v>3.868000000000003</v>
      </c>
      <c r="G84" s="36" t="n">
        <v>6.550000000000001</v>
      </c>
      <c r="H84" s="36" t="n">
        <v>54</v>
      </c>
      <c r="I84" s="37" t="n">
        <v>0.313953488372093</v>
      </c>
      <c r="J84" s="36" t="n">
        <v>8</v>
      </c>
      <c r="K84" s="37" t="n">
        <v>0.2666666666666667</v>
      </c>
      <c r="L84" s="36" t="n">
        <v>46</v>
      </c>
      <c r="M84" s="37" t="n">
        <v>0.323943661971831</v>
      </c>
      <c r="N84" s="36" t="n">
        <v>6</v>
      </c>
      <c r="O84" s="37" t="n">
        <v>0.75</v>
      </c>
      <c r="P84" s="36" t="n">
        <v>6</v>
      </c>
      <c r="Q84" s="37" t="n">
        <v>0.75</v>
      </c>
      <c r="R84" s="36" t="n">
        <v>164</v>
      </c>
      <c r="S84" s="37" t="n">
        <v>0.9534883720930233</v>
      </c>
      <c r="T84" s="36" t="n">
        <v>21</v>
      </c>
      <c r="U84" s="37" t="n">
        <v>0.1220930232558139</v>
      </c>
      <c r="V84" s="38" t="n">
        <v>0</v>
      </c>
      <c r="W84" s="38" t="n">
        <v>13.834</v>
      </c>
      <c r="X84" s="38" t="n">
        <v>6.27</v>
      </c>
      <c r="Y84" s="38" t="n">
        <v>4.505</v>
      </c>
      <c r="Z84" s="38" t="n">
        <v>0</v>
      </c>
      <c r="AA84" s="36" t="n">
        <v>126</v>
      </c>
      <c r="AB84" s="37" t="n">
        <v>0.5163934426229508</v>
      </c>
      <c r="AC84" s="36" t="n">
        <v>57</v>
      </c>
      <c r="AD84" s="37" t="n">
        <v>0.4871794871794872</v>
      </c>
      <c r="AE84" s="36" t="n">
        <v>63</v>
      </c>
      <c r="AF84" s="37" t="n">
        <v>0.6</v>
      </c>
      <c r="AG84" s="36" t="n">
        <v>45</v>
      </c>
      <c r="AH84" s="37" t="n">
        <v>0.7894736842105263</v>
      </c>
    </row>
    <row r="85">
      <c r="A85" s="53" t="n">
        <v>45811</v>
      </c>
      <c r="B85" t="inlineStr">
        <is>
          <t>R02_Sumbagsel</t>
        </is>
      </c>
      <c r="C85" t="inlineStr">
        <is>
          <t>NOP PALEMBANG</t>
        </is>
      </c>
      <c r="D85" s="38" t="n">
        <v>3.892</v>
      </c>
      <c r="E85" s="38" t="n">
        <v>3.396</v>
      </c>
      <c r="F85" s="36" t="n">
        <v>6.9</v>
      </c>
      <c r="G85" s="36" t="n">
        <v>4.59</v>
      </c>
      <c r="H85" s="36" t="n">
        <v>43</v>
      </c>
      <c r="I85" s="37" t="n">
        <v>0.1762295081967213</v>
      </c>
      <c r="J85" s="36" t="n">
        <v>9</v>
      </c>
      <c r="K85" s="37" t="n">
        <v>0.2571428571428571</v>
      </c>
      <c r="L85" s="36" t="n">
        <v>34</v>
      </c>
      <c r="M85" s="37" t="n">
        <v>0.1626794258373206</v>
      </c>
      <c r="N85" s="36" t="n">
        <v>2</v>
      </c>
      <c r="O85" s="37" t="n">
        <v>0.2222222222222222</v>
      </c>
      <c r="P85" s="36" t="n">
        <v>2</v>
      </c>
      <c r="Q85" s="37" t="n">
        <v>0.2222222222222222</v>
      </c>
      <c r="R85" s="36" t="n">
        <v>244</v>
      </c>
      <c r="S85" s="37" t="n">
        <v>1</v>
      </c>
      <c r="T85" s="36" t="n">
        <v>14</v>
      </c>
      <c r="U85" s="37" t="n">
        <v>0.05737704918032787</v>
      </c>
      <c r="V85" s="38" t="n">
        <v>0</v>
      </c>
      <c r="W85" s="38" t="n">
        <v>4.591999999999998</v>
      </c>
      <c r="X85" s="38" t="n">
        <v>6.574</v>
      </c>
      <c r="Y85" s="38" t="n">
        <v>117</v>
      </c>
      <c r="Z85" s="38" t="n">
        <v>0</v>
      </c>
      <c r="AA85" s="36" t="n">
        <v>38</v>
      </c>
      <c r="AB85" s="37" t="n">
        <v>0.1809523809523809</v>
      </c>
      <c r="AC85" s="36" t="n">
        <v>23</v>
      </c>
      <c r="AD85" s="37" t="n">
        <v>0.1729323308270677</v>
      </c>
      <c r="AE85" s="36" t="n">
        <v>15</v>
      </c>
      <c r="AF85" s="37" t="n">
        <v>0.2586206896551724</v>
      </c>
      <c r="AG85" s="36" t="n">
        <v>17</v>
      </c>
      <c r="AH85" s="37" t="n">
        <v>0.7391304347826086</v>
      </c>
    </row>
    <row r="86">
      <c r="A86" s="53" t="n">
        <v>45811</v>
      </c>
      <c r="B86" t="inlineStr">
        <is>
          <t>R02_Sumbagsel</t>
        </is>
      </c>
      <c r="C86" t="inlineStr">
        <is>
          <t>NOP PANGKAL PINANG</t>
        </is>
      </c>
      <c r="D86" s="38" t="n">
        <v>0</v>
      </c>
      <c r="E86" s="38" t="n">
        <v>0.416</v>
      </c>
      <c r="F86" s="36" t="n">
        <v>4.066</v>
      </c>
      <c r="G86" s="36" t="n">
        <v>5.700999999999996</v>
      </c>
      <c r="H86" s="36" t="n">
        <v>12</v>
      </c>
      <c r="I86" s="37" t="n">
        <v>0.7058823529411765</v>
      </c>
      <c r="J86" s="36" t="n">
        <v>0</v>
      </c>
      <c r="K86" s="37" t="n">
        <v>0</v>
      </c>
      <c r="L86" s="36" t="n">
        <v>12</v>
      </c>
      <c r="M86" s="37" t="n">
        <v>0.8</v>
      </c>
      <c r="N86" s="36" t="n">
        <v>0</v>
      </c>
      <c r="O86" s="37" t="n">
        <v>0</v>
      </c>
      <c r="P86" s="36" t="n">
        <v>0</v>
      </c>
      <c r="Q86" s="37" t="n">
        <v>0</v>
      </c>
      <c r="R86" s="36" t="n">
        <v>17</v>
      </c>
      <c r="S86" s="37" t="n">
        <v>1</v>
      </c>
      <c r="T86" s="36" t="n">
        <v>9</v>
      </c>
      <c r="U86" s="37" t="n">
        <v>0.5294117647058824</v>
      </c>
      <c r="V86" s="38" t="n">
        <v>0</v>
      </c>
      <c r="W86" s="38" t="n">
        <v>8.24</v>
      </c>
      <c r="X86" s="38" t="n">
        <v>2.913</v>
      </c>
      <c r="Y86" s="38" t="n">
        <v>2.56</v>
      </c>
      <c r="Z86" s="38" t="n">
        <v>0</v>
      </c>
      <c r="AA86" s="36" t="n">
        <v>86</v>
      </c>
      <c r="AB86" s="37" t="n">
        <v>0.9052631578947369</v>
      </c>
      <c r="AC86" s="36" t="n">
        <v>32</v>
      </c>
      <c r="AD86" s="37" t="n">
        <v>0.8888888888888888</v>
      </c>
      <c r="AE86" s="36" t="n">
        <v>54</v>
      </c>
      <c r="AF86" s="37" t="n">
        <v>0.9152542372881356</v>
      </c>
      <c r="AG86" s="36" t="n">
        <v>31</v>
      </c>
      <c r="AH86" s="37" t="n">
        <v>0.96875</v>
      </c>
    </row>
    <row r="87">
      <c r="A87" s="53" t="n">
        <v>45811</v>
      </c>
      <c r="B87" t="inlineStr">
        <is>
          <t>R05_Jawa Tengah DIY</t>
        </is>
      </c>
      <c r="C87" t="inlineStr">
        <is>
          <t>NOP MAGELANG</t>
        </is>
      </c>
      <c r="D87" s="38" t="n">
        <v>0</v>
      </c>
      <c r="E87" s="38" t="n">
        <v>0</v>
      </c>
      <c r="F87" s="36" t="n">
        <v>1.631</v>
      </c>
      <c r="G87" s="36" t="n">
        <v>2.404</v>
      </c>
      <c r="H87" s="36" t="n">
        <v>27</v>
      </c>
      <c r="I87" s="37" t="n">
        <v>0.75</v>
      </c>
      <c r="J87" s="36" t="n">
        <v>0</v>
      </c>
      <c r="K87" s="37" t="n">
        <v>0</v>
      </c>
      <c r="L87" s="36" t="n">
        <v>27</v>
      </c>
      <c r="M87" s="37" t="n">
        <v>0.75</v>
      </c>
      <c r="N87" s="36" t="n">
        <v>0</v>
      </c>
      <c r="O87" s="37" t="n">
        <v>0</v>
      </c>
      <c r="P87" s="36" t="n">
        <v>0</v>
      </c>
      <c r="Q87" s="37" t="n">
        <v>0</v>
      </c>
      <c r="R87" s="36" t="n">
        <v>36</v>
      </c>
      <c r="S87" s="37" t="n">
        <v>1</v>
      </c>
      <c r="T87" s="36" t="n">
        <v>21</v>
      </c>
      <c r="U87" s="37" t="n">
        <v>0.5833333333333334</v>
      </c>
      <c r="V87" s="38" t="n">
        <v>0</v>
      </c>
      <c r="W87" s="38" t="n">
        <v>2.728</v>
      </c>
      <c r="X87" s="38" t="n">
        <v>5.654</v>
      </c>
      <c r="Y87" s="38" t="n">
        <v>18.795</v>
      </c>
      <c r="Z87" s="38" t="n">
        <v>0</v>
      </c>
      <c r="AA87" s="36" t="n">
        <v>64</v>
      </c>
      <c r="AB87" s="37" t="n">
        <v>0.9696969696969697</v>
      </c>
      <c r="AC87" s="36" t="n">
        <v>8</v>
      </c>
      <c r="AD87" s="37" t="n">
        <v>0.8888888888888888</v>
      </c>
      <c r="AE87" s="36" t="n">
        <v>56</v>
      </c>
      <c r="AF87" s="37" t="n">
        <v>0.9824561403508771</v>
      </c>
      <c r="AG87" s="36" t="n">
        <v>8</v>
      </c>
      <c r="AH87" s="37" t="n">
        <v>1</v>
      </c>
    </row>
    <row r="88">
      <c r="A88" s="53" t="n">
        <v>45811</v>
      </c>
      <c r="B88" t="inlineStr">
        <is>
          <t>R05_Jawa Tengah DIY</t>
        </is>
      </c>
      <c r="C88" t="inlineStr">
        <is>
          <t>NOP PEKALONGAN</t>
        </is>
      </c>
      <c r="D88" s="38" t="n">
        <v>0</v>
      </c>
      <c r="E88" s="38" t="n">
        <v>0</v>
      </c>
      <c r="F88" s="36" t="n">
        <v>3.268</v>
      </c>
      <c r="G88" s="36" t="n">
        <v>2.582000000000001</v>
      </c>
      <c r="H88" s="36" t="n">
        <v>10</v>
      </c>
      <c r="I88" s="37" t="n">
        <v>0.625</v>
      </c>
      <c r="J88" s="36" t="n">
        <v>0</v>
      </c>
      <c r="K88" s="37" t="n">
        <v>0</v>
      </c>
      <c r="L88" s="36" t="n">
        <v>10</v>
      </c>
      <c r="M88" s="37" t="n">
        <v>0.625</v>
      </c>
      <c r="N88" s="36" t="n">
        <v>0</v>
      </c>
      <c r="O88" s="37" t="n">
        <v>0</v>
      </c>
      <c r="P88" s="36" t="n">
        <v>0</v>
      </c>
      <c r="Q88" s="37" t="n">
        <v>0</v>
      </c>
      <c r="R88" s="36" t="n">
        <v>16</v>
      </c>
      <c r="S88" s="37" t="n">
        <v>1</v>
      </c>
      <c r="T88" s="36" t="n">
        <v>5</v>
      </c>
      <c r="U88" s="37" t="n">
        <v>0.3125</v>
      </c>
      <c r="V88" s="38" t="n">
        <v>0</v>
      </c>
      <c r="W88" s="38" t="n">
        <v>3.005</v>
      </c>
      <c r="X88" s="38" t="n">
        <v>10.81</v>
      </c>
      <c r="Y88" s="38" t="n">
        <v>15.592</v>
      </c>
      <c r="Z88" s="38" t="n">
        <v>0</v>
      </c>
      <c r="AA88" s="36" t="n">
        <v>20</v>
      </c>
      <c r="AB88" s="37" t="n">
        <v>0.7407407407407407</v>
      </c>
      <c r="AC88" s="36" t="n">
        <v>4</v>
      </c>
      <c r="AD88" s="37" t="n">
        <v>0.6666666666666666</v>
      </c>
      <c r="AE88" s="36" t="n">
        <v>16</v>
      </c>
      <c r="AF88" s="37" t="n">
        <v>0.7619047619047619</v>
      </c>
      <c r="AG88" s="36" t="n">
        <v>2</v>
      </c>
      <c r="AH88" s="37" t="n">
        <v>0.5</v>
      </c>
    </row>
    <row r="89">
      <c r="A89" s="53" t="n">
        <v>45811</v>
      </c>
      <c r="B89" t="inlineStr">
        <is>
          <t>R05_Jawa Tengah DIY</t>
        </is>
      </c>
      <c r="C89" t="inlineStr">
        <is>
          <t>NOP PURWOKERTO</t>
        </is>
      </c>
      <c r="D89" s="38" t="n">
        <v>0</v>
      </c>
      <c r="E89" s="38" t="n">
        <v>0</v>
      </c>
      <c r="F89" s="36" t="n">
        <v>3.306</v>
      </c>
      <c r="G89" s="36" t="n">
        <v>4.224</v>
      </c>
      <c r="H89" s="36" t="n">
        <v>2</v>
      </c>
      <c r="I89" s="37" t="n">
        <v>0.2</v>
      </c>
      <c r="J89" s="36" t="n">
        <v>0</v>
      </c>
      <c r="K89" s="37" t="n">
        <v>0</v>
      </c>
      <c r="L89" s="36" t="n">
        <v>2</v>
      </c>
      <c r="M89" s="37" t="n">
        <v>0.2</v>
      </c>
      <c r="N89" s="36" t="n">
        <v>0</v>
      </c>
      <c r="O89" s="37" t="n">
        <v>0</v>
      </c>
      <c r="P89" s="36" t="n">
        <v>0</v>
      </c>
      <c r="Q89" s="37" t="n">
        <v>0</v>
      </c>
      <c r="R89" s="36" t="n">
        <v>10</v>
      </c>
      <c r="S89" s="37" t="n">
        <v>1</v>
      </c>
      <c r="T89" s="36" t="n">
        <v>1</v>
      </c>
      <c r="U89" s="37" t="n">
        <v>0.1</v>
      </c>
      <c r="V89" s="38" t="n">
        <v>0</v>
      </c>
      <c r="W89" s="38" t="n">
        <v>4.525</v>
      </c>
      <c r="X89" s="38" t="n">
        <v>3.337999999999999</v>
      </c>
      <c r="Y89" s="38" t="n">
        <v>16.35</v>
      </c>
      <c r="Z89" s="38" t="n">
        <v>0</v>
      </c>
      <c r="AA89" s="36" t="n">
        <v>20</v>
      </c>
      <c r="AB89" s="37" t="n">
        <v>0.9090909090909091</v>
      </c>
      <c r="AC89" s="36" t="n">
        <v>7</v>
      </c>
      <c r="AD89" s="37" t="n">
        <v>0.875</v>
      </c>
      <c r="AE89" s="36" t="n">
        <v>13</v>
      </c>
      <c r="AF89" s="37" t="n">
        <v>0.9285714285714286</v>
      </c>
      <c r="AG89" s="36" t="n">
        <v>5</v>
      </c>
      <c r="AH89" s="37" t="n">
        <v>0.7142857142857143</v>
      </c>
    </row>
    <row r="90">
      <c r="A90" s="53" t="n">
        <v>45811</v>
      </c>
      <c r="B90" t="inlineStr">
        <is>
          <t>R05_Jawa Tengah DIY</t>
        </is>
      </c>
      <c r="C90" t="inlineStr">
        <is>
          <t>NOP SEMARANG</t>
        </is>
      </c>
      <c r="D90" s="38" t="n">
        <v>6.45</v>
      </c>
      <c r="E90" s="38" t="n">
        <v>2.57</v>
      </c>
      <c r="F90" s="36" t="n">
        <v>2.605</v>
      </c>
      <c r="G90" s="36" t="n">
        <v>2.63</v>
      </c>
      <c r="H90" s="36" t="n">
        <v>31</v>
      </c>
      <c r="I90" s="37" t="n">
        <v>0.7948717948717948</v>
      </c>
      <c r="J90" s="36" t="n">
        <v>6</v>
      </c>
      <c r="K90" s="37" t="n">
        <v>1</v>
      </c>
      <c r="L90" s="36" t="n">
        <v>25</v>
      </c>
      <c r="M90" s="37" t="n">
        <v>0.7575757575757576</v>
      </c>
      <c r="N90" s="36" t="n">
        <v>6</v>
      </c>
      <c r="O90" s="37" t="n">
        <v>1</v>
      </c>
      <c r="P90" s="36" t="n">
        <v>6</v>
      </c>
      <c r="Q90" s="37" t="n">
        <v>1</v>
      </c>
      <c r="R90" s="36" t="n">
        <v>38</v>
      </c>
      <c r="S90" s="37" t="n">
        <v>0.9743589743589743</v>
      </c>
      <c r="T90" s="36" t="n">
        <v>25</v>
      </c>
      <c r="U90" s="37" t="n">
        <v>0.6410256410256411</v>
      </c>
      <c r="V90" s="38" t="n">
        <v>0</v>
      </c>
      <c r="W90" s="38" t="n">
        <v>3.932</v>
      </c>
      <c r="X90" s="38" t="n">
        <v>5.67</v>
      </c>
      <c r="Y90" s="38" t="n">
        <v>11.68200000000001</v>
      </c>
      <c r="Z90" s="38" t="n">
        <v>0</v>
      </c>
      <c r="AA90" s="36" t="n">
        <v>41</v>
      </c>
      <c r="AB90" s="37" t="n">
        <v>0.8913043478260869</v>
      </c>
      <c r="AC90" s="36" t="n">
        <v>19</v>
      </c>
      <c r="AD90" s="37" t="n">
        <v>0.8260869565217391</v>
      </c>
      <c r="AE90" s="36" t="n">
        <v>22</v>
      </c>
      <c r="AF90" s="37" t="n">
        <v>0.9565217391304348</v>
      </c>
      <c r="AG90" s="36" t="n">
        <v>16</v>
      </c>
      <c r="AH90" s="37" t="n">
        <v>0.8421052631578947</v>
      </c>
    </row>
    <row r="91">
      <c r="A91" s="53" t="n">
        <v>45811</v>
      </c>
      <c r="B91" t="inlineStr">
        <is>
          <t>R05_Jawa Tengah DIY</t>
        </is>
      </c>
      <c r="C91" t="inlineStr">
        <is>
          <t>NOP SURAKARTA</t>
        </is>
      </c>
      <c r="D91" s="38" t="n">
        <v>1.66</v>
      </c>
      <c r="E91" s="38" t="n">
        <v>0</v>
      </c>
      <c r="F91" s="36" t="n">
        <v>2.972</v>
      </c>
      <c r="G91" s="36" t="n">
        <v>1.83</v>
      </c>
      <c r="H91" s="36" t="n">
        <v>39</v>
      </c>
      <c r="I91" s="37" t="n">
        <v>0.8297872340425532</v>
      </c>
      <c r="J91" s="36" t="n">
        <v>4</v>
      </c>
      <c r="K91" s="37" t="n">
        <v>0.8</v>
      </c>
      <c r="L91" s="36" t="n">
        <v>35</v>
      </c>
      <c r="M91" s="37" t="n">
        <v>0.8333333333333334</v>
      </c>
      <c r="N91" s="36" t="n">
        <v>3</v>
      </c>
      <c r="O91" s="37" t="n">
        <v>0.75</v>
      </c>
      <c r="P91" s="36" t="n">
        <v>3</v>
      </c>
      <c r="Q91" s="37" t="n">
        <v>0.75</v>
      </c>
      <c r="R91" s="36" t="n">
        <v>45</v>
      </c>
      <c r="S91" s="37" t="n">
        <v>0.9574468085106383</v>
      </c>
      <c r="T91" s="36" t="n">
        <v>28</v>
      </c>
      <c r="U91" s="37" t="n">
        <v>0.5957446808510638</v>
      </c>
      <c r="V91" s="38" t="n">
        <v>0</v>
      </c>
      <c r="W91" s="38" t="n">
        <v>9.719999999999999</v>
      </c>
      <c r="X91" s="38" t="n">
        <v>5.23</v>
      </c>
      <c r="Y91" s="38" t="n">
        <v>77.30400000000003</v>
      </c>
      <c r="Z91" s="38" t="n">
        <v>0</v>
      </c>
      <c r="AA91" s="36" t="n">
        <v>28</v>
      </c>
      <c r="AB91" s="37" t="n">
        <v>0.8</v>
      </c>
      <c r="AC91" s="36" t="n">
        <v>12</v>
      </c>
      <c r="AD91" s="37" t="n">
        <v>0.8</v>
      </c>
      <c r="AE91" s="36" t="n">
        <v>16</v>
      </c>
      <c r="AF91" s="37" t="n">
        <v>0.8</v>
      </c>
      <c r="AG91" s="36" t="n">
        <v>11</v>
      </c>
      <c r="AH91" s="37" t="n">
        <v>0.9166666666666666</v>
      </c>
    </row>
    <row r="92">
      <c r="A92" s="53" t="n">
        <v>45811</v>
      </c>
      <c r="B92" t="inlineStr">
        <is>
          <t>R05_Jawa Tengah DIY</t>
        </is>
      </c>
      <c r="C92" t="inlineStr">
        <is>
          <t>NOP YOGYAKARTA</t>
        </is>
      </c>
      <c r="D92" s="38" t="n">
        <v>1.68</v>
      </c>
      <c r="E92" s="38" t="n">
        <v>0</v>
      </c>
      <c r="F92" s="36" t="n">
        <v>2.06</v>
      </c>
      <c r="G92" s="36" t="n">
        <v>2.49</v>
      </c>
      <c r="H92" s="36" t="n">
        <v>16</v>
      </c>
      <c r="I92" s="37" t="n">
        <v>0.8</v>
      </c>
      <c r="J92" s="36" t="n">
        <v>1</v>
      </c>
      <c r="K92" s="37" t="n">
        <v>1</v>
      </c>
      <c r="L92" s="36" t="n">
        <v>15</v>
      </c>
      <c r="M92" s="37" t="n">
        <v>0.7894736842105263</v>
      </c>
      <c r="N92" s="36" t="n">
        <v>0</v>
      </c>
      <c r="O92" s="37" t="n">
        <v>0</v>
      </c>
      <c r="P92" s="36" t="n">
        <v>0</v>
      </c>
      <c r="Q92" s="37" t="n">
        <v>0</v>
      </c>
      <c r="R92" s="36" t="n">
        <v>20</v>
      </c>
      <c r="S92" s="37" t="n">
        <v>1</v>
      </c>
      <c r="T92" s="36" t="n">
        <v>12</v>
      </c>
      <c r="U92" s="37" t="n">
        <v>0.6</v>
      </c>
      <c r="V92" s="38" t="n">
        <v>0</v>
      </c>
      <c r="W92" s="38" t="n">
        <v>2.271</v>
      </c>
      <c r="X92" s="38" t="n">
        <v>15.587</v>
      </c>
      <c r="Y92" s="38" t="n">
        <v>21.58</v>
      </c>
      <c r="Z92" s="38" t="n">
        <v>0</v>
      </c>
      <c r="AA92" s="36" t="n">
        <v>27</v>
      </c>
      <c r="AB92" s="37" t="n">
        <v>0.8709677419354839</v>
      </c>
      <c r="AC92" s="36" t="n">
        <v>6</v>
      </c>
      <c r="AD92" s="37" t="n">
        <v>0.75</v>
      </c>
      <c r="AE92" s="36" t="n">
        <v>21</v>
      </c>
      <c r="AF92" s="37" t="n">
        <v>0.9130434782608695</v>
      </c>
      <c r="AG92" s="36" t="n">
        <v>6</v>
      </c>
      <c r="AH92" s="37" t="n">
        <v>1</v>
      </c>
    </row>
    <row r="93">
      <c r="A93" s="53" t="n">
        <v>45811</v>
      </c>
      <c r="B93" t="inlineStr">
        <is>
          <t>R06_Jawa Timur</t>
        </is>
      </c>
      <c r="C93" t="inlineStr">
        <is>
          <t>NOP JEMBER</t>
        </is>
      </c>
      <c r="D93" s="38" t="n">
        <v>1.03</v>
      </c>
      <c r="E93" s="38" t="n">
        <v>0</v>
      </c>
      <c r="F93" s="36" t="n">
        <v>1.04</v>
      </c>
      <c r="G93" s="36" t="n">
        <v>1.535</v>
      </c>
      <c r="H93" s="36" t="n">
        <v>3</v>
      </c>
      <c r="I93" s="37" t="n">
        <v>0.5</v>
      </c>
      <c r="J93" s="36" t="n">
        <v>1</v>
      </c>
      <c r="K93" s="37" t="n">
        <v>1</v>
      </c>
      <c r="L93" s="36" t="n">
        <v>2</v>
      </c>
      <c r="M93" s="37" t="n">
        <v>0.4</v>
      </c>
      <c r="N93" s="36" t="n">
        <v>0</v>
      </c>
      <c r="O93" s="37" t="n">
        <v>0</v>
      </c>
      <c r="P93" s="36" t="n">
        <v>0</v>
      </c>
      <c r="Q93" s="37" t="n">
        <v>0</v>
      </c>
      <c r="R93" s="36" t="n">
        <v>6</v>
      </c>
      <c r="S93" s="37" t="n">
        <v>1</v>
      </c>
      <c r="T93" s="36" t="n">
        <v>3</v>
      </c>
      <c r="U93" s="37" t="n">
        <v>0.5</v>
      </c>
      <c r="V93" s="38" t="n">
        <v>0</v>
      </c>
      <c r="W93" s="38" t="n">
        <v>0.865</v>
      </c>
      <c r="X93" s="38" t="n">
        <v>1.54</v>
      </c>
      <c r="Y93" s="38" t="n">
        <v>176.68</v>
      </c>
      <c r="Z93" s="38" t="n">
        <v>0</v>
      </c>
      <c r="AA93" s="36" t="n">
        <v>10</v>
      </c>
      <c r="AB93" s="37" t="n">
        <v>0.625</v>
      </c>
      <c r="AC93" s="36" t="n">
        <v>4</v>
      </c>
      <c r="AD93" s="37" t="n">
        <v>0.6666666666666666</v>
      </c>
      <c r="AE93" s="36" t="n">
        <v>6</v>
      </c>
      <c r="AF93" s="37" t="n">
        <v>0.6</v>
      </c>
      <c r="AG93" s="36" t="n">
        <v>2</v>
      </c>
      <c r="AH93" s="37" t="n">
        <v>0.5</v>
      </c>
    </row>
    <row r="94">
      <c r="A94" s="53" t="n">
        <v>45811</v>
      </c>
      <c r="B94" t="inlineStr">
        <is>
          <t>R06_Jawa Timur</t>
        </is>
      </c>
      <c r="C94" t="inlineStr">
        <is>
          <t>NOP KEDIRI</t>
        </is>
      </c>
      <c r="D94" s="38" t="n">
        <v>0.75</v>
      </c>
      <c r="E94" s="38" t="n">
        <v>0</v>
      </c>
      <c r="F94" s="36" t="n">
        <v>1.81</v>
      </c>
      <c r="G94" s="36" t="n">
        <v>1.164</v>
      </c>
      <c r="H94" s="36" t="n">
        <v>3</v>
      </c>
      <c r="I94" s="37" t="n">
        <v>0.6</v>
      </c>
      <c r="J94" s="36" t="n">
        <v>1</v>
      </c>
      <c r="K94" s="37" t="n">
        <v>1</v>
      </c>
      <c r="L94" s="36" t="n">
        <v>2</v>
      </c>
      <c r="M94" s="37" t="n">
        <v>0.5</v>
      </c>
      <c r="N94" s="36" t="n">
        <v>1</v>
      </c>
      <c r="O94" s="37" t="n">
        <v>1</v>
      </c>
      <c r="P94" s="36" t="n">
        <v>1</v>
      </c>
      <c r="Q94" s="37" t="n">
        <v>1</v>
      </c>
      <c r="R94" s="36" t="n">
        <v>5</v>
      </c>
      <c r="S94" s="37" t="n">
        <v>1</v>
      </c>
      <c r="T94" s="36" t="n">
        <v>4</v>
      </c>
      <c r="U94" s="37" t="n">
        <v>0.8</v>
      </c>
      <c r="V94" s="38" t="n">
        <v>0</v>
      </c>
      <c r="W94" s="38" t="n">
        <v>2.532</v>
      </c>
      <c r="X94" s="38" t="n">
        <v>6.206</v>
      </c>
      <c r="Y94" s="38" t="n">
        <v>0</v>
      </c>
      <c r="Z94" s="38" t="n">
        <v>0</v>
      </c>
      <c r="AA94" s="36" t="n">
        <v>11</v>
      </c>
      <c r="AB94" s="37" t="n">
        <v>1</v>
      </c>
      <c r="AC94" s="36" t="n">
        <v>2</v>
      </c>
      <c r="AD94" s="37" t="n">
        <v>1</v>
      </c>
      <c r="AE94" s="36" t="n">
        <v>9</v>
      </c>
      <c r="AF94" s="37" t="n">
        <v>1</v>
      </c>
      <c r="AG94" s="36" t="n">
        <v>2</v>
      </c>
      <c r="AH94" s="37" t="n">
        <v>1</v>
      </c>
    </row>
    <row r="95">
      <c r="A95" s="53" t="n">
        <v>45811</v>
      </c>
      <c r="B95" t="inlineStr">
        <is>
          <t>R06_Jawa Timur</t>
        </is>
      </c>
      <c r="C95" t="inlineStr">
        <is>
          <t>NOP LAMONGAN</t>
        </is>
      </c>
      <c r="D95" s="38" t="n">
        <v>0</v>
      </c>
      <c r="E95" s="38" t="n">
        <v>0</v>
      </c>
      <c r="F95" s="36" t="n">
        <v>0</v>
      </c>
      <c r="G95" s="36" t="n">
        <v>2.06</v>
      </c>
      <c r="H95" s="36" t="n">
        <v>1</v>
      </c>
      <c r="I95" s="37" t="n">
        <v>1</v>
      </c>
      <c r="J95" s="36" t="n">
        <v>0</v>
      </c>
      <c r="K95" s="37" t="n">
        <v>0</v>
      </c>
      <c r="L95" s="36" t="n">
        <v>1</v>
      </c>
      <c r="M95" s="37" t="n">
        <v>1</v>
      </c>
      <c r="N95" s="36" t="n">
        <v>0</v>
      </c>
      <c r="O95" s="37" t="n">
        <v>0</v>
      </c>
      <c r="P95" s="36" t="n">
        <v>0</v>
      </c>
      <c r="Q95" s="37" t="n">
        <v>0</v>
      </c>
      <c r="R95" s="36" t="n">
        <v>1</v>
      </c>
      <c r="S95" s="37" t="n">
        <v>1</v>
      </c>
      <c r="T95" s="36" t="n">
        <v>1</v>
      </c>
      <c r="U95" s="37" t="n">
        <v>1</v>
      </c>
      <c r="V95" s="38" t="n">
        <v>0</v>
      </c>
      <c r="W95" s="38" t="n">
        <v>0.84</v>
      </c>
      <c r="X95" s="38" t="n">
        <v>9.088000000000001</v>
      </c>
      <c r="Y95" s="38" t="n">
        <v>27.69</v>
      </c>
      <c r="Z95" s="38" t="n">
        <v>0</v>
      </c>
      <c r="AA95" s="36" t="n">
        <v>4</v>
      </c>
      <c r="AB95" s="37" t="n">
        <v>0.8</v>
      </c>
      <c r="AC95" s="36" t="n">
        <v>0</v>
      </c>
      <c r="AD95" s="37" t="n">
        <v>0</v>
      </c>
      <c r="AE95" s="36" t="n">
        <v>4</v>
      </c>
      <c r="AF95" s="37" t="n">
        <v>1</v>
      </c>
      <c r="AG95" s="36" t="n">
        <v>0</v>
      </c>
      <c r="AH95" s="37" t="n">
        <v>0</v>
      </c>
    </row>
    <row r="96">
      <c r="A96" s="53" t="n">
        <v>45811</v>
      </c>
      <c r="B96" t="inlineStr">
        <is>
          <t>R06_Jawa Timur</t>
        </is>
      </c>
      <c r="C96" t="inlineStr">
        <is>
          <t>NOP MADIUN</t>
        </is>
      </c>
      <c r="D96" s="38" t="n">
        <v>0.705</v>
      </c>
      <c r="E96" s="38" t="n">
        <v>0</v>
      </c>
      <c r="F96" s="36" t="n">
        <v>1.119</v>
      </c>
      <c r="G96" s="36" t="n">
        <v>1.161</v>
      </c>
      <c r="H96" s="36" t="n">
        <v>14</v>
      </c>
      <c r="I96" s="37" t="n">
        <v>0.7777777777777778</v>
      </c>
      <c r="J96" s="36" t="n">
        <v>2</v>
      </c>
      <c r="K96" s="37" t="n">
        <v>1</v>
      </c>
      <c r="L96" s="36" t="n">
        <v>12</v>
      </c>
      <c r="M96" s="37" t="n">
        <v>0.75</v>
      </c>
      <c r="N96" s="36" t="n">
        <v>2</v>
      </c>
      <c r="O96" s="37" t="n">
        <v>1</v>
      </c>
      <c r="P96" s="36" t="n">
        <v>2</v>
      </c>
      <c r="Q96" s="37" t="n">
        <v>1</v>
      </c>
      <c r="R96" s="36" t="n">
        <v>16</v>
      </c>
      <c r="S96" s="37" t="n">
        <v>0.8888888888888888</v>
      </c>
      <c r="T96" s="36" t="n">
        <v>9</v>
      </c>
      <c r="U96" s="37" t="n">
        <v>0.5</v>
      </c>
      <c r="V96" s="38" t="n">
        <v>0</v>
      </c>
      <c r="W96" s="38" t="n">
        <v>3.73</v>
      </c>
      <c r="X96" s="38" t="n">
        <v>6.240000000000002</v>
      </c>
      <c r="Y96" s="38" t="n">
        <v>16.795</v>
      </c>
      <c r="Z96" s="38" t="n">
        <v>0</v>
      </c>
      <c r="AA96" s="36" t="n">
        <v>13</v>
      </c>
      <c r="AB96" s="37" t="n">
        <v>0.65</v>
      </c>
      <c r="AC96" s="36" t="n">
        <v>5</v>
      </c>
      <c r="AD96" s="37" t="n">
        <v>0.5555555555555556</v>
      </c>
      <c r="AE96" s="36" t="n">
        <v>8</v>
      </c>
      <c r="AF96" s="37" t="n">
        <v>0.7272727272727273</v>
      </c>
      <c r="AG96" s="36" t="n">
        <v>3</v>
      </c>
      <c r="AH96" s="37" t="n">
        <v>0.6</v>
      </c>
    </row>
    <row r="97">
      <c r="A97" s="53" t="n">
        <v>45811</v>
      </c>
      <c r="B97" t="inlineStr">
        <is>
          <t>R06_Jawa Timur</t>
        </is>
      </c>
      <c r="C97" t="inlineStr">
        <is>
          <t>NOP MALANG</t>
        </is>
      </c>
      <c r="D97" s="38" t="n">
        <v>0</v>
      </c>
      <c r="E97" s="38" t="n">
        <v>0</v>
      </c>
      <c r="F97" s="36" t="n">
        <v>0.905</v>
      </c>
      <c r="G97" s="36" t="n">
        <v>1.238</v>
      </c>
      <c r="H97" s="36" t="n">
        <v>7</v>
      </c>
      <c r="I97" s="37" t="n">
        <v>1</v>
      </c>
      <c r="J97" s="36" t="n">
        <v>0</v>
      </c>
      <c r="K97" s="37" t="n">
        <v>0</v>
      </c>
      <c r="L97" s="36" t="n">
        <v>7</v>
      </c>
      <c r="M97" s="37" t="n">
        <v>1</v>
      </c>
      <c r="N97" s="36" t="n">
        <v>0</v>
      </c>
      <c r="O97" s="37" t="n">
        <v>0</v>
      </c>
      <c r="P97" s="36" t="n">
        <v>0</v>
      </c>
      <c r="Q97" s="37" t="n">
        <v>0</v>
      </c>
      <c r="R97" s="36" t="n">
        <v>7</v>
      </c>
      <c r="S97" s="37" t="n">
        <v>1</v>
      </c>
      <c r="T97" s="36" t="n">
        <v>7</v>
      </c>
      <c r="U97" s="37" t="n">
        <v>1</v>
      </c>
      <c r="V97" s="38" t="n">
        <v>0</v>
      </c>
      <c r="W97" s="38" t="n">
        <v>2.488</v>
      </c>
      <c r="X97" s="38" t="n">
        <v>2.126</v>
      </c>
      <c r="Y97" s="38" t="n">
        <v>1.456</v>
      </c>
      <c r="Z97" s="38" t="n">
        <v>0</v>
      </c>
      <c r="AA97" s="36" t="n">
        <v>19</v>
      </c>
      <c r="AB97" s="37" t="n">
        <v>0.8636363636363636</v>
      </c>
      <c r="AC97" s="36" t="n">
        <v>3</v>
      </c>
      <c r="AD97" s="37" t="n">
        <v>0.6</v>
      </c>
      <c r="AE97" s="36" t="n">
        <v>16</v>
      </c>
      <c r="AF97" s="37" t="n">
        <v>0.9411764705882353</v>
      </c>
      <c r="AG97" s="36" t="n">
        <v>3</v>
      </c>
      <c r="AH97" s="37" t="n">
        <v>1</v>
      </c>
    </row>
    <row r="98">
      <c r="A98" s="53" t="n">
        <v>45811</v>
      </c>
      <c r="B98" t="inlineStr">
        <is>
          <t>R06_Jawa Timur</t>
        </is>
      </c>
      <c r="C98" t="inlineStr">
        <is>
          <t>NOP SIDOARJO</t>
        </is>
      </c>
      <c r="D98" s="38" t="n">
        <v>0</v>
      </c>
      <c r="E98" s="38" t="n">
        <v>0</v>
      </c>
      <c r="F98" s="36" t="n">
        <v>4.47</v>
      </c>
      <c r="G98" s="36" t="n">
        <v>1.144</v>
      </c>
      <c r="H98" s="36" t="n">
        <v>5</v>
      </c>
      <c r="I98" s="37" t="n">
        <v>0.8333333333333334</v>
      </c>
      <c r="J98" s="36" t="n">
        <v>0</v>
      </c>
      <c r="K98" s="37" t="n">
        <v>0</v>
      </c>
      <c r="L98" s="36" t="n">
        <v>5</v>
      </c>
      <c r="M98" s="37" t="n">
        <v>0.8333333333333334</v>
      </c>
      <c r="N98" s="36" t="n">
        <v>0</v>
      </c>
      <c r="O98" s="37" t="n">
        <v>0</v>
      </c>
      <c r="P98" s="36" t="n">
        <v>0</v>
      </c>
      <c r="Q98" s="37" t="n">
        <v>0</v>
      </c>
      <c r="R98" s="36" t="n">
        <v>6</v>
      </c>
      <c r="S98" s="37" t="n">
        <v>1</v>
      </c>
      <c r="T98" s="36" t="n">
        <v>4</v>
      </c>
      <c r="U98" s="37" t="n">
        <v>0.6666666666666666</v>
      </c>
      <c r="V98" s="38" t="n">
        <v>0.01</v>
      </c>
      <c r="W98" s="38" t="n">
        <v>0</v>
      </c>
      <c r="X98" s="38" t="n">
        <v>12.826</v>
      </c>
      <c r="Y98" s="38" t="n">
        <v>0</v>
      </c>
      <c r="Z98" s="38" t="n">
        <v>0</v>
      </c>
      <c r="AA98" s="36" t="n">
        <v>9</v>
      </c>
      <c r="AB98" s="37" t="n">
        <v>0.8181818181818182</v>
      </c>
      <c r="AC98" s="36" t="n">
        <v>1</v>
      </c>
      <c r="AD98" s="37" t="n">
        <v>1</v>
      </c>
      <c r="AE98" s="36" t="n">
        <v>8</v>
      </c>
      <c r="AF98" s="37" t="n">
        <v>0.8</v>
      </c>
      <c r="AG98" s="36" t="n">
        <v>1</v>
      </c>
      <c r="AH98" s="37" t="n">
        <v>1</v>
      </c>
    </row>
    <row r="99">
      <c r="A99" s="53" t="n">
        <v>45811</v>
      </c>
      <c r="B99" t="inlineStr">
        <is>
          <t>R06_Jawa Timur</t>
        </is>
      </c>
      <c r="C99" t="inlineStr">
        <is>
          <t>NOP SURABAYA</t>
        </is>
      </c>
      <c r="D99" s="38" t="n">
        <v>0</v>
      </c>
      <c r="E99" s="38" t="n">
        <v>0</v>
      </c>
      <c r="F99" s="36" t="n">
        <v>1.55</v>
      </c>
      <c r="G99" s="36" t="n">
        <v>1.387</v>
      </c>
      <c r="H99" s="36" t="n">
        <v>8</v>
      </c>
      <c r="I99" s="37" t="n">
        <v>0.8888888888888888</v>
      </c>
      <c r="J99" s="36" t="n">
        <v>0</v>
      </c>
      <c r="K99" s="37" t="n">
        <v>0</v>
      </c>
      <c r="L99" s="36" t="n">
        <v>8</v>
      </c>
      <c r="M99" s="37" t="n">
        <v>0.8888888888888888</v>
      </c>
      <c r="N99" s="36" t="n">
        <v>0</v>
      </c>
      <c r="O99" s="37" t="n">
        <v>0</v>
      </c>
      <c r="P99" s="36" t="n">
        <v>0</v>
      </c>
      <c r="Q99" s="37" t="n">
        <v>0</v>
      </c>
      <c r="R99" s="36" t="n">
        <v>9</v>
      </c>
      <c r="S99" s="37" t="n">
        <v>1</v>
      </c>
      <c r="T99" s="36" t="n">
        <v>6</v>
      </c>
      <c r="U99" s="37" t="n">
        <v>0.6666666666666666</v>
      </c>
      <c r="V99" s="38" t="n">
        <v>0</v>
      </c>
      <c r="W99" s="38" t="n">
        <v>0.21</v>
      </c>
      <c r="X99" s="38" t="n">
        <v>7.268</v>
      </c>
      <c r="Y99" s="38" t="n">
        <v>7.642000000000005</v>
      </c>
      <c r="Z99" s="38" t="n">
        <v>0</v>
      </c>
      <c r="AA99" s="36" t="n">
        <v>18</v>
      </c>
      <c r="AB99" s="37" t="n">
        <v>0.7826086956521739</v>
      </c>
      <c r="AC99" s="36" t="n">
        <v>0</v>
      </c>
      <c r="AD99" s="37" t="n">
        <v>0</v>
      </c>
      <c r="AE99" s="36" t="n">
        <v>18</v>
      </c>
      <c r="AF99" s="37" t="n">
        <v>0.8181818181818182</v>
      </c>
      <c r="AG99" s="36" t="n">
        <v>0</v>
      </c>
      <c r="AH99" s="37" t="n">
        <v>0</v>
      </c>
    </row>
    <row r="100">
      <c r="A100" s="53" t="n">
        <v>45811</v>
      </c>
      <c r="B100" t="inlineStr">
        <is>
          <t>R07_Bali Nusra</t>
        </is>
      </c>
      <c r="C100" t="inlineStr">
        <is>
          <t>NOP DENPASAR</t>
        </is>
      </c>
      <c r="D100" s="38" t="n">
        <v>0</v>
      </c>
      <c r="E100" s="38" t="n">
        <v>0</v>
      </c>
      <c r="F100" s="36" t="n">
        <v>2.405</v>
      </c>
      <c r="G100" s="36" t="n">
        <v>0.592</v>
      </c>
      <c r="H100" s="36" t="n">
        <v>7</v>
      </c>
      <c r="I100" s="37" t="n">
        <v>1</v>
      </c>
      <c r="J100" s="36" t="n">
        <v>0</v>
      </c>
      <c r="K100" s="37" t="n">
        <v>0</v>
      </c>
      <c r="L100" s="36" t="n">
        <v>7</v>
      </c>
      <c r="M100" s="37" t="n">
        <v>1</v>
      </c>
      <c r="N100" s="36" t="n">
        <v>0</v>
      </c>
      <c r="O100" s="37" t="n">
        <v>0</v>
      </c>
      <c r="P100" s="36" t="n">
        <v>0</v>
      </c>
      <c r="Q100" s="37" t="n">
        <v>0</v>
      </c>
      <c r="R100" s="36" t="n">
        <v>7</v>
      </c>
      <c r="S100" s="37" t="n">
        <v>1</v>
      </c>
      <c r="T100" s="36" t="n">
        <v>6</v>
      </c>
      <c r="U100" s="37" t="n">
        <v>0.8571428571428571</v>
      </c>
      <c r="V100" s="38" t="n">
        <v>0</v>
      </c>
      <c r="W100" s="38" t="n">
        <v>2.36</v>
      </c>
      <c r="X100" s="38" t="n">
        <v>2.273000000000001</v>
      </c>
      <c r="Y100" s="38" t="n">
        <v>27.164</v>
      </c>
      <c r="Z100" s="38" t="n">
        <v>0</v>
      </c>
      <c r="AA100" s="36" t="n">
        <v>13</v>
      </c>
      <c r="AB100" s="37" t="n">
        <v>0.6842105263157895</v>
      </c>
      <c r="AC100" s="36" t="n">
        <v>7</v>
      </c>
      <c r="AD100" s="37" t="n">
        <v>1</v>
      </c>
      <c r="AE100" s="36" t="n">
        <v>6</v>
      </c>
      <c r="AF100" s="37" t="n">
        <v>0.5</v>
      </c>
      <c r="AG100" s="36" t="n">
        <v>2</v>
      </c>
      <c r="AH100" s="37" t="n">
        <v>0.2857142857142857</v>
      </c>
    </row>
    <row r="101">
      <c r="A101" s="53" t="n">
        <v>45811</v>
      </c>
      <c r="B101" t="inlineStr">
        <is>
          <t>R07_Bali Nusra</t>
        </is>
      </c>
      <c r="C101" t="inlineStr">
        <is>
          <t>NOP FLORES</t>
        </is>
      </c>
      <c r="D101" s="38" t="n">
        <v>0.4</v>
      </c>
      <c r="E101" s="38" t="n">
        <v>2.386</v>
      </c>
      <c r="F101" s="36" t="n">
        <v>10.524</v>
      </c>
      <c r="G101" s="36" t="n">
        <v>14.256</v>
      </c>
      <c r="H101" s="36" t="n">
        <v>13</v>
      </c>
      <c r="I101" s="37" t="n">
        <v>0.3023255813953488</v>
      </c>
      <c r="J101" s="36" t="n">
        <v>3</v>
      </c>
      <c r="K101" s="37" t="n">
        <v>0.5</v>
      </c>
      <c r="L101" s="36" t="n">
        <v>10</v>
      </c>
      <c r="M101" s="37" t="n">
        <v>0.2702702702702703</v>
      </c>
      <c r="N101" s="36" t="n">
        <v>3</v>
      </c>
      <c r="O101" s="37" t="n">
        <v>1</v>
      </c>
      <c r="P101" s="36" t="n">
        <v>3</v>
      </c>
      <c r="Q101" s="37" t="n">
        <v>1</v>
      </c>
      <c r="R101" s="36" t="n">
        <v>43</v>
      </c>
      <c r="S101" s="37" t="n">
        <v>1</v>
      </c>
      <c r="T101" s="36" t="n">
        <v>12</v>
      </c>
      <c r="U101" s="37" t="n">
        <v>0.2790697674418605</v>
      </c>
      <c r="V101" s="38" t="n">
        <v>0.242</v>
      </c>
      <c r="W101" s="38" t="n">
        <v>9.704000000000004</v>
      </c>
      <c r="X101" s="38" t="n">
        <v>6.168000000000001</v>
      </c>
      <c r="Y101" s="38" t="n">
        <v>26.09</v>
      </c>
      <c r="Z101" s="38" t="n">
        <v>0</v>
      </c>
      <c r="AA101" s="36" t="n">
        <v>34</v>
      </c>
      <c r="AB101" s="37" t="n">
        <v>0.4788732394366197</v>
      </c>
      <c r="AC101" s="36" t="n">
        <v>24</v>
      </c>
      <c r="AD101" s="37" t="n">
        <v>0.5217391304347826</v>
      </c>
      <c r="AE101" s="36" t="n">
        <v>10</v>
      </c>
      <c r="AF101" s="37" t="n">
        <v>0.4</v>
      </c>
      <c r="AG101" s="36" t="n">
        <v>19</v>
      </c>
      <c r="AH101" s="37" t="n">
        <v>0.7916666666666666</v>
      </c>
    </row>
    <row r="102">
      <c r="A102" s="53" t="n">
        <v>45811</v>
      </c>
      <c r="B102" t="inlineStr">
        <is>
          <t>R07_Bali Nusra</t>
        </is>
      </c>
      <c r="C102" t="inlineStr">
        <is>
          <t>NOP KUPANG</t>
        </is>
      </c>
      <c r="D102" s="38" t="n">
        <v>0</v>
      </c>
      <c r="E102" s="38" t="n">
        <v>9.435</v>
      </c>
      <c r="F102" s="36" t="n">
        <v>8.789999999999999</v>
      </c>
      <c r="G102" s="36" t="n">
        <v>6.31</v>
      </c>
      <c r="H102" s="36" t="n">
        <v>17</v>
      </c>
      <c r="I102" s="37" t="n">
        <v>0.5</v>
      </c>
      <c r="J102" s="36" t="n">
        <v>5</v>
      </c>
      <c r="K102" s="37" t="n">
        <v>0.8333333333333334</v>
      </c>
      <c r="L102" s="36" t="n">
        <v>12</v>
      </c>
      <c r="M102" s="37" t="n">
        <v>0.4285714285714285</v>
      </c>
      <c r="N102" s="36" t="n">
        <v>3</v>
      </c>
      <c r="O102" s="37" t="n">
        <v>0.6</v>
      </c>
      <c r="P102" s="36" t="n">
        <v>3</v>
      </c>
      <c r="Q102" s="37" t="n">
        <v>0.6</v>
      </c>
      <c r="R102" s="36" t="n">
        <v>34</v>
      </c>
      <c r="S102" s="37" t="n">
        <v>1</v>
      </c>
      <c r="T102" s="36" t="n">
        <v>11</v>
      </c>
      <c r="U102" s="37" t="n">
        <v>0.3235294117647059</v>
      </c>
      <c r="V102" s="38" t="n">
        <v>0</v>
      </c>
      <c r="W102" s="38" t="n">
        <v>4.607</v>
      </c>
      <c r="X102" s="38" t="n">
        <v>12.83600000000001</v>
      </c>
      <c r="Y102" s="38" t="n">
        <v>5.72</v>
      </c>
      <c r="Z102" s="38" t="n">
        <v>0</v>
      </c>
      <c r="AA102" s="36" t="n">
        <v>25</v>
      </c>
      <c r="AB102" s="37" t="n">
        <v>0.4166666666666667</v>
      </c>
      <c r="AC102" s="36" t="n">
        <v>12</v>
      </c>
      <c r="AD102" s="37" t="n">
        <v>0.5</v>
      </c>
      <c r="AE102" s="36" t="n">
        <v>13</v>
      </c>
      <c r="AF102" s="37" t="n">
        <v>0.3611111111111111</v>
      </c>
      <c r="AG102" s="36" t="n">
        <v>9</v>
      </c>
      <c r="AH102" s="37" t="n">
        <v>0.75</v>
      </c>
    </row>
    <row r="103">
      <c r="A103" s="53" t="n">
        <v>45811</v>
      </c>
      <c r="B103" t="inlineStr">
        <is>
          <t>R07_Bali Nusra</t>
        </is>
      </c>
      <c r="C103" t="inlineStr">
        <is>
          <t>NOP MATARAM</t>
        </is>
      </c>
      <c r="D103" s="38" t="n">
        <v>0</v>
      </c>
      <c r="E103" s="38" t="n">
        <v>2.064</v>
      </c>
      <c r="F103" s="36" t="n">
        <v>8.059999999999999</v>
      </c>
      <c r="G103" s="36" t="n">
        <v>1.408</v>
      </c>
      <c r="H103" s="36" t="n">
        <v>11</v>
      </c>
      <c r="I103" s="37" t="n">
        <v>0.6875</v>
      </c>
      <c r="J103" s="36" t="n">
        <v>2</v>
      </c>
      <c r="K103" s="37" t="n">
        <v>0.6666666666666666</v>
      </c>
      <c r="L103" s="36" t="n">
        <v>9</v>
      </c>
      <c r="M103" s="37" t="n">
        <v>0.6923076923076923</v>
      </c>
      <c r="N103" s="36" t="n">
        <v>0</v>
      </c>
      <c r="O103" s="37" t="n">
        <v>0</v>
      </c>
      <c r="P103" s="36" t="n">
        <v>0</v>
      </c>
      <c r="Q103" s="37" t="n">
        <v>0</v>
      </c>
      <c r="R103" s="36" t="n">
        <v>16</v>
      </c>
      <c r="S103" s="37" t="n">
        <v>1</v>
      </c>
      <c r="T103" s="36" t="n">
        <v>4</v>
      </c>
      <c r="U103" s="37" t="n">
        <v>0.25</v>
      </c>
      <c r="V103" s="38" t="n">
        <v>0</v>
      </c>
      <c r="W103" s="38" t="n">
        <v>58.60600000000004</v>
      </c>
      <c r="X103" s="38" t="n">
        <v>3.199</v>
      </c>
      <c r="Y103" s="38" t="n">
        <v>72.41000000000001</v>
      </c>
      <c r="Z103" s="38" t="n">
        <v>0</v>
      </c>
      <c r="AA103" s="36" t="n">
        <v>25</v>
      </c>
      <c r="AB103" s="37" t="n">
        <v>0.6756756756756757</v>
      </c>
      <c r="AC103" s="36" t="n">
        <v>19</v>
      </c>
      <c r="AD103" s="37" t="n">
        <v>0.6785714285714286</v>
      </c>
      <c r="AE103" s="36" t="n">
        <v>6</v>
      </c>
      <c r="AF103" s="37" t="n">
        <v>0.6666666666666666</v>
      </c>
      <c r="AG103" s="36" t="n">
        <v>6</v>
      </c>
      <c r="AH103" s="37" t="n">
        <v>0.3157894736842105</v>
      </c>
    </row>
    <row r="104">
      <c r="A104" s="53" t="n">
        <v>45812</v>
      </c>
      <c r="B104" t="inlineStr">
        <is>
          <t>R01_Sumbagut</t>
        </is>
      </c>
      <c r="C104" t="inlineStr">
        <is>
          <t>NOP ACEH</t>
        </is>
      </c>
      <c r="D104" s="38" t="n">
        <v>1.91</v>
      </c>
      <c r="E104" s="38" t="n">
        <v>4.88</v>
      </c>
      <c r="F104" s="36" t="n">
        <v>4.505000000000002</v>
      </c>
      <c r="G104" s="36" t="n">
        <v>7.24</v>
      </c>
      <c r="H104" s="36" t="n">
        <v>158</v>
      </c>
      <c r="I104" s="37" t="n">
        <v>0.88268156424581</v>
      </c>
      <c r="J104" s="36" t="n">
        <v>37</v>
      </c>
      <c r="K104" s="37" t="n">
        <v>0.7708333333333334</v>
      </c>
      <c r="L104" s="36" t="n">
        <v>121</v>
      </c>
      <c r="M104" s="37" t="n">
        <v>0.9236641221374046</v>
      </c>
      <c r="N104" s="36" t="n">
        <v>16</v>
      </c>
      <c r="O104" s="37" t="n">
        <v>0.4324324324324325</v>
      </c>
      <c r="P104" s="36" t="n">
        <v>16</v>
      </c>
      <c r="Q104" s="37" t="n">
        <v>0.4324324324324325</v>
      </c>
      <c r="R104" s="36" t="n">
        <v>179</v>
      </c>
      <c r="S104" s="37" t="n">
        <v>1</v>
      </c>
      <c r="T104" s="36" t="n">
        <v>67</v>
      </c>
      <c r="U104" s="37" t="n">
        <v>0.3743016759776536</v>
      </c>
      <c r="V104" s="38" t="n">
        <v>0</v>
      </c>
      <c r="W104" s="38" t="n">
        <v>3.614999999999999</v>
      </c>
      <c r="X104" s="38" t="n">
        <v>99.62200000000013</v>
      </c>
      <c r="Y104" s="38" t="n">
        <v>174.252</v>
      </c>
      <c r="Z104" s="38" t="n">
        <v>0</v>
      </c>
      <c r="AA104" s="36" t="n">
        <v>255</v>
      </c>
      <c r="AB104" s="37" t="n">
        <v>0.9074733096085409</v>
      </c>
      <c r="AC104" s="36" t="n">
        <v>55</v>
      </c>
      <c r="AD104" s="37" t="n">
        <v>0.7638888888888888</v>
      </c>
      <c r="AE104" s="36" t="n">
        <v>194</v>
      </c>
      <c r="AF104" s="37" t="n">
        <v>0.9603960396039604</v>
      </c>
      <c r="AG104" s="36" t="n">
        <v>27</v>
      </c>
      <c r="AH104" s="37" t="n">
        <v>0.4909090909090909</v>
      </c>
    </row>
    <row r="105">
      <c r="A105" s="53" t="n">
        <v>45812</v>
      </c>
      <c r="B105" t="inlineStr">
        <is>
          <t>R01_Sumbagut</t>
        </is>
      </c>
      <c r="C105" t="inlineStr">
        <is>
          <t>NOP BINJAI</t>
        </is>
      </c>
      <c r="D105" s="38" t="n">
        <v>1.38</v>
      </c>
      <c r="E105" s="38" t="n">
        <v>8.334000000000001</v>
      </c>
      <c r="F105" s="36" t="n">
        <v>3.31</v>
      </c>
      <c r="G105" s="36" t="n">
        <v>2.815000000000003</v>
      </c>
      <c r="H105" s="36" t="n">
        <v>20</v>
      </c>
      <c r="I105" s="37" t="n">
        <v>0.4347826086956522</v>
      </c>
      <c r="J105" s="36" t="n">
        <v>9</v>
      </c>
      <c r="K105" s="37" t="n">
        <v>0.8181818181818182</v>
      </c>
      <c r="L105" s="36" t="n">
        <v>11</v>
      </c>
      <c r="M105" s="37" t="n">
        <v>0.3142857142857143</v>
      </c>
      <c r="N105" s="36" t="n">
        <v>7</v>
      </c>
      <c r="O105" s="37" t="n">
        <v>0.7777777777777778</v>
      </c>
      <c r="P105" s="36" t="n">
        <v>7</v>
      </c>
      <c r="Q105" s="37" t="n">
        <v>0.7777777777777778</v>
      </c>
      <c r="R105" s="36" t="n">
        <v>45</v>
      </c>
      <c r="S105" s="37" t="n">
        <v>0.9782608695652174</v>
      </c>
      <c r="T105" s="36" t="n">
        <v>13</v>
      </c>
      <c r="U105" s="37" t="n">
        <v>0.2826086956521739</v>
      </c>
      <c r="V105" s="38" t="n">
        <v>0</v>
      </c>
      <c r="W105" s="38" t="n">
        <v>2.777</v>
      </c>
      <c r="X105" s="38" t="n">
        <v>190.63</v>
      </c>
      <c r="Y105" s="38" t="n">
        <v>190.999</v>
      </c>
      <c r="Z105" s="38" t="n">
        <v>0</v>
      </c>
      <c r="AA105" s="36" t="n">
        <v>71</v>
      </c>
      <c r="AB105" s="37" t="n">
        <v>0.7244897959183674</v>
      </c>
      <c r="AC105" s="36" t="n">
        <v>15</v>
      </c>
      <c r="AD105" s="37" t="n">
        <v>0.5357142857142857</v>
      </c>
      <c r="AE105" s="36" t="n">
        <v>55</v>
      </c>
      <c r="AF105" s="37" t="n">
        <v>0.7971014492753623</v>
      </c>
      <c r="AG105" s="36" t="n">
        <v>9</v>
      </c>
      <c r="AH105" s="37" t="n">
        <v>0.6</v>
      </c>
    </row>
    <row r="106">
      <c r="A106" s="53" t="n">
        <v>45812</v>
      </c>
      <c r="B106" t="inlineStr">
        <is>
          <t>R01_Sumbagut</t>
        </is>
      </c>
      <c r="C106" t="inlineStr">
        <is>
          <t>NOP MEDAN</t>
        </is>
      </c>
      <c r="D106" s="38" t="n">
        <v>0</v>
      </c>
      <c r="E106" s="38" t="n">
        <v>4.068000000000001</v>
      </c>
      <c r="F106" s="36" t="n">
        <v>2.158</v>
      </c>
      <c r="G106" s="36" t="n">
        <v>4.596000000000002</v>
      </c>
      <c r="H106" s="36" t="n">
        <v>39</v>
      </c>
      <c r="I106" s="37" t="n">
        <v>0.4482758620689655</v>
      </c>
      <c r="J106" s="36" t="n">
        <v>12</v>
      </c>
      <c r="K106" s="37" t="n">
        <v>0.48</v>
      </c>
      <c r="L106" s="36" t="n">
        <v>27</v>
      </c>
      <c r="M106" s="37" t="n">
        <v>0.4354838709677419</v>
      </c>
      <c r="N106" s="36" t="n">
        <v>10</v>
      </c>
      <c r="O106" s="37" t="n">
        <v>0.8333333333333334</v>
      </c>
      <c r="P106" s="36" t="n">
        <v>10</v>
      </c>
      <c r="Q106" s="37" t="n">
        <v>0.8333333333333334</v>
      </c>
      <c r="R106" s="36" t="n">
        <v>87</v>
      </c>
      <c r="S106" s="37" t="n">
        <v>1</v>
      </c>
      <c r="T106" s="36" t="n">
        <v>23</v>
      </c>
      <c r="U106" s="37" t="n">
        <v>0.264367816091954</v>
      </c>
      <c r="V106" s="38" t="n">
        <v>0</v>
      </c>
      <c r="W106" s="38" t="n">
        <v>8.024000000000008</v>
      </c>
      <c r="X106" s="38" t="n">
        <v>14.764</v>
      </c>
      <c r="Y106" s="38" t="n">
        <v>2.46</v>
      </c>
      <c r="Z106" s="38" t="n">
        <v>0</v>
      </c>
      <c r="AA106" s="36" t="n">
        <v>31</v>
      </c>
      <c r="AB106" s="37" t="n">
        <v>0.382716049382716</v>
      </c>
      <c r="AC106" s="36" t="n">
        <v>3</v>
      </c>
      <c r="AD106" s="37" t="n">
        <v>0.2142857142857143</v>
      </c>
      <c r="AE106" s="36" t="n">
        <v>27</v>
      </c>
      <c r="AF106" s="37" t="n">
        <v>0.5</v>
      </c>
      <c r="AG106" s="36" t="n">
        <v>2</v>
      </c>
      <c r="AH106" s="37" t="n">
        <v>0.6666666666666666</v>
      </c>
    </row>
    <row r="107">
      <c r="A107" s="53" t="n">
        <v>45812</v>
      </c>
      <c r="B107" t="inlineStr">
        <is>
          <t>R01_Sumbagut</t>
        </is>
      </c>
      <c r="C107" t="inlineStr">
        <is>
          <t>NOP PADANG SIDEMPUAN</t>
        </is>
      </c>
      <c r="D107" s="38" t="n">
        <v>0</v>
      </c>
      <c r="E107" s="38" t="n">
        <v>2.646</v>
      </c>
      <c r="F107" s="36" t="n">
        <v>3.196</v>
      </c>
      <c r="G107" s="36" t="n">
        <v>7.447000000000001</v>
      </c>
      <c r="H107" s="36" t="n">
        <v>13</v>
      </c>
      <c r="I107" s="37" t="n">
        <v>0.2203389830508475</v>
      </c>
      <c r="J107" s="36" t="n">
        <v>3</v>
      </c>
      <c r="K107" s="37" t="n">
        <v>1</v>
      </c>
      <c r="L107" s="36" t="n">
        <v>10</v>
      </c>
      <c r="M107" s="37" t="n">
        <v>0.1785714285714286</v>
      </c>
      <c r="N107" s="36" t="n">
        <v>2</v>
      </c>
      <c r="O107" s="37" t="n">
        <v>0.6666666666666666</v>
      </c>
      <c r="P107" s="36" t="n">
        <v>2</v>
      </c>
      <c r="Q107" s="37" t="n">
        <v>0.6666666666666666</v>
      </c>
      <c r="R107" s="36" t="n">
        <v>59</v>
      </c>
      <c r="S107" s="37" t="n">
        <v>1</v>
      </c>
      <c r="T107" s="36" t="n">
        <v>7</v>
      </c>
      <c r="U107" s="37" t="n">
        <v>0.1186440677966102</v>
      </c>
      <c r="V107" s="38" t="n">
        <v>0.01</v>
      </c>
      <c r="W107" s="38" t="n">
        <v>2.56</v>
      </c>
      <c r="X107" s="38" t="n">
        <v>7.5</v>
      </c>
      <c r="Y107" s="38" t="n">
        <v>171.526</v>
      </c>
      <c r="Z107" s="38" t="n">
        <v>0</v>
      </c>
      <c r="AA107" s="36" t="n">
        <v>127</v>
      </c>
      <c r="AB107" s="37" t="n">
        <v>0.6446700507614214</v>
      </c>
      <c r="AC107" s="36" t="n">
        <v>48</v>
      </c>
      <c r="AD107" s="37" t="n">
        <v>0.5853658536585366</v>
      </c>
      <c r="AE107" s="36" t="n">
        <v>75</v>
      </c>
      <c r="AF107" s="37" t="n">
        <v>0.6756756756756757</v>
      </c>
      <c r="AG107" s="36" t="n">
        <v>21</v>
      </c>
      <c r="AH107" s="37" t="n">
        <v>0.4375</v>
      </c>
    </row>
    <row r="108">
      <c r="A108" s="53" t="n">
        <v>45812</v>
      </c>
      <c r="B108" t="inlineStr">
        <is>
          <t>R01_Sumbagut</t>
        </is>
      </c>
      <c r="C108" t="inlineStr">
        <is>
          <t>NOP PEMATANG SIANTAR</t>
        </is>
      </c>
      <c r="D108" s="38" t="n">
        <v>3.207</v>
      </c>
      <c r="E108" s="38" t="n">
        <v>2.468000000000001</v>
      </c>
      <c r="F108" s="36" t="n">
        <v>3.47</v>
      </c>
      <c r="G108" s="36" t="n">
        <v>5.392000000000018</v>
      </c>
      <c r="H108" s="36" t="n">
        <v>62</v>
      </c>
      <c r="I108" s="37" t="n">
        <v>0.4769230769230769</v>
      </c>
      <c r="J108" s="36" t="n">
        <v>23</v>
      </c>
      <c r="K108" s="37" t="n">
        <v>0.5897435897435898</v>
      </c>
      <c r="L108" s="36" t="n">
        <v>39</v>
      </c>
      <c r="M108" s="37" t="n">
        <v>0.4285714285714285</v>
      </c>
      <c r="N108" s="36" t="n">
        <v>6</v>
      </c>
      <c r="O108" s="37" t="n">
        <v>0.2608695652173913</v>
      </c>
      <c r="P108" s="36" t="n">
        <v>6</v>
      </c>
      <c r="Q108" s="37" t="n">
        <v>0.2608695652173913</v>
      </c>
      <c r="R108" s="36" t="n">
        <v>130</v>
      </c>
      <c r="S108" s="37" t="n">
        <v>1</v>
      </c>
      <c r="T108" s="36" t="n">
        <v>29</v>
      </c>
      <c r="U108" s="37" t="n">
        <v>0.2230769230769231</v>
      </c>
      <c r="V108" s="38" t="n">
        <v>0</v>
      </c>
      <c r="W108" s="38" t="n">
        <v>3.971</v>
      </c>
      <c r="X108" s="38" t="n">
        <v>99.43900000000002</v>
      </c>
      <c r="Y108" s="38" t="n">
        <v>138.035</v>
      </c>
      <c r="Z108" s="38" t="n">
        <v>0</v>
      </c>
      <c r="AA108" s="36" t="n">
        <v>135</v>
      </c>
      <c r="AB108" s="37" t="n">
        <v>0.6585365853658537</v>
      </c>
      <c r="AC108" s="36" t="n">
        <v>56</v>
      </c>
      <c r="AD108" s="37" t="n">
        <v>0.717948717948718</v>
      </c>
      <c r="AE108" s="36" t="n">
        <v>76</v>
      </c>
      <c r="AF108" s="37" t="n">
        <v>0.6129032258064516</v>
      </c>
      <c r="AG108" s="36" t="n">
        <v>23</v>
      </c>
      <c r="AH108" s="37" t="n">
        <v>0.4107142857142857</v>
      </c>
    </row>
    <row r="109">
      <c r="A109" s="53" t="n">
        <v>45812</v>
      </c>
      <c r="B109" t="inlineStr">
        <is>
          <t>R01_Sumbagut</t>
        </is>
      </c>
      <c r="C109" t="inlineStr">
        <is>
          <t>NOP RANTAU PRAPAT</t>
        </is>
      </c>
      <c r="D109" s="38" t="n">
        <v>0.822</v>
      </c>
      <c r="E109" s="38" t="n">
        <v>3.07</v>
      </c>
      <c r="F109" s="36" t="n">
        <v>3.968</v>
      </c>
      <c r="G109" s="36" t="n">
        <v>2.133999999999999</v>
      </c>
      <c r="H109" s="36" t="n">
        <v>59</v>
      </c>
      <c r="I109" s="37" t="n">
        <v>0.3986486486486486</v>
      </c>
      <c r="J109" s="36" t="n">
        <v>18</v>
      </c>
      <c r="K109" s="37" t="n">
        <v>0.5294117647058824</v>
      </c>
      <c r="L109" s="36" t="n">
        <v>41</v>
      </c>
      <c r="M109" s="37" t="n">
        <v>0.3596491228070176</v>
      </c>
      <c r="N109" s="36" t="n">
        <v>13</v>
      </c>
      <c r="O109" s="37" t="n">
        <v>0.7222222222222222</v>
      </c>
      <c r="P109" s="36" t="n">
        <v>13</v>
      </c>
      <c r="Q109" s="37" t="n">
        <v>0.7222222222222222</v>
      </c>
      <c r="R109" s="36" t="n">
        <v>145</v>
      </c>
      <c r="S109" s="37" t="n">
        <v>0.9797297297297297</v>
      </c>
      <c r="T109" s="36" t="n">
        <v>33</v>
      </c>
      <c r="U109" s="37" t="n">
        <v>0.222972972972973</v>
      </c>
      <c r="V109" s="38" t="n">
        <v>0</v>
      </c>
      <c r="W109" s="38" t="n">
        <v>2.32</v>
      </c>
      <c r="X109" s="38" t="n">
        <v>25.566</v>
      </c>
      <c r="Y109" s="38" t="n">
        <v>176.112</v>
      </c>
      <c r="Z109" s="38" t="n">
        <v>0</v>
      </c>
      <c r="AA109" s="36" t="n">
        <v>65</v>
      </c>
      <c r="AB109" s="37" t="n">
        <v>0.2372262773722628</v>
      </c>
      <c r="AC109" s="36" t="n">
        <v>21</v>
      </c>
      <c r="AD109" s="37" t="n">
        <v>0.4468085106382979</v>
      </c>
      <c r="AE109" s="36" t="n">
        <v>44</v>
      </c>
      <c r="AF109" s="37" t="n">
        <v>0.1964285714285714</v>
      </c>
      <c r="AG109" s="36" t="n">
        <v>10</v>
      </c>
      <c r="AH109" s="37" t="n">
        <v>0.4761904761904762</v>
      </c>
    </row>
    <row r="110">
      <c r="A110" s="53" t="n">
        <v>45812</v>
      </c>
      <c r="B110" t="inlineStr">
        <is>
          <t>R10_Sumbagteng</t>
        </is>
      </c>
      <c r="C110" t="inlineStr">
        <is>
          <t>NOP BATAM</t>
        </is>
      </c>
      <c r="D110" s="38" t="n">
        <v>0.65</v>
      </c>
      <c r="E110" s="38" t="n">
        <v>3.884</v>
      </c>
      <c r="F110" s="36" t="n">
        <v>3.806</v>
      </c>
      <c r="G110" s="36" t="n">
        <v>5.614000000000001</v>
      </c>
      <c r="H110" s="36" t="n">
        <v>64</v>
      </c>
      <c r="I110" s="37" t="n">
        <v>0.6095238095238096</v>
      </c>
      <c r="J110" s="36" t="n">
        <v>18</v>
      </c>
      <c r="K110" s="37" t="n">
        <v>0.72</v>
      </c>
      <c r="L110" s="36" t="n">
        <v>46</v>
      </c>
      <c r="M110" s="37" t="n">
        <v>0.575</v>
      </c>
      <c r="N110" s="36" t="n">
        <v>12</v>
      </c>
      <c r="O110" s="37" t="n">
        <v>0.6666666666666666</v>
      </c>
      <c r="P110" s="36" t="n">
        <v>12</v>
      </c>
      <c r="Q110" s="37" t="n">
        <v>0.6666666666666666</v>
      </c>
      <c r="R110" s="36" t="n">
        <v>105</v>
      </c>
      <c r="S110" s="37" t="n">
        <v>1</v>
      </c>
      <c r="T110" s="36" t="n">
        <v>50</v>
      </c>
      <c r="U110" s="37" t="n">
        <v>0.4761904761904762</v>
      </c>
      <c r="V110" s="38" t="n">
        <v>0.015</v>
      </c>
      <c r="W110" s="38" t="n">
        <v>9.216000000000003</v>
      </c>
      <c r="X110" s="38" t="n">
        <v>101.9840000000001</v>
      </c>
      <c r="Y110" s="38" t="n">
        <v>176.225</v>
      </c>
      <c r="Z110" s="38" t="n">
        <v>0</v>
      </c>
      <c r="AA110" s="36" t="n">
        <v>93</v>
      </c>
      <c r="AB110" s="37" t="n">
        <v>0.3590733590733591</v>
      </c>
      <c r="AC110" s="36" t="n">
        <v>41</v>
      </c>
      <c r="AD110" s="37" t="n">
        <v>0.5540540540540541</v>
      </c>
      <c r="AE110" s="36" t="n">
        <v>50</v>
      </c>
      <c r="AF110" s="37" t="n">
        <v>0.273224043715847</v>
      </c>
      <c r="AG110" s="36" t="n">
        <v>35</v>
      </c>
      <c r="AH110" s="37" t="n">
        <v>0.8536585365853658</v>
      </c>
    </row>
    <row r="111">
      <c r="A111" s="53" t="n">
        <v>45812</v>
      </c>
      <c r="B111" t="inlineStr">
        <is>
          <t>R10_Sumbagteng</t>
        </is>
      </c>
      <c r="C111" t="inlineStr">
        <is>
          <t>NOP BUKITTINGGI</t>
        </is>
      </c>
      <c r="D111" s="38" t="n">
        <v>0.68</v>
      </c>
      <c r="E111" s="38" t="n">
        <v>3.562000000000001</v>
      </c>
      <c r="F111" s="36" t="n">
        <v>2.266</v>
      </c>
      <c r="G111" s="36" t="n">
        <v>1.775000000000001</v>
      </c>
      <c r="H111" s="36" t="n">
        <v>54</v>
      </c>
      <c r="I111" s="37" t="n">
        <v>0.6666666666666666</v>
      </c>
      <c r="J111" s="36" t="n">
        <v>12</v>
      </c>
      <c r="K111" s="37" t="n">
        <v>0.8</v>
      </c>
      <c r="L111" s="36" t="n">
        <v>42</v>
      </c>
      <c r="M111" s="37" t="n">
        <v>0.6363636363636364</v>
      </c>
      <c r="N111" s="36" t="n">
        <v>7</v>
      </c>
      <c r="O111" s="37" t="n">
        <v>0.5833333333333334</v>
      </c>
      <c r="P111" s="36" t="n">
        <v>7</v>
      </c>
      <c r="Q111" s="37" t="n">
        <v>0.5833333333333334</v>
      </c>
      <c r="R111" s="36" t="n">
        <v>81</v>
      </c>
      <c r="S111" s="37" t="n">
        <v>1</v>
      </c>
      <c r="T111" s="36" t="n">
        <v>24</v>
      </c>
      <c r="U111" s="37" t="n">
        <v>0.2962962962962963</v>
      </c>
      <c r="V111" s="38" t="n">
        <v>0</v>
      </c>
      <c r="W111" s="38" t="n">
        <v>167.72</v>
      </c>
      <c r="X111" s="38" t="n">
        <v>99.90099999999998</v>
      </c>
      <c r="Y111" s="38" t="n">
        <v>173.534</v>
      </c>
      <c r="Z111" s="38" t="n">
        <v>0</v>
      </c>
      <c r="AA111" s="36" t="n">
        <v>50</v>
      </c>
      <c r="AB111" s="37" t="n">
        <v>0.7142857142857143</v>
      </c>
      <c r="AC111" s="36" t="n">
        <v>11</v>
      </c>
      <c r="AD111" s="37" t="n">
        <v>1</v>
      </c>
      <c r="AE111" s="36" t="n">
        <v>37</v>
      </c>
      <c r="AF111" s="37" t="n">
        <v>0.6491228070175439</v>
      </c>
      <c r="AG111" s="36" t="n">
        <v>8</v>
      </c>
      <c r="AH111" s="37" t="n">
        <v>0.7272727272727273</v>
      </c>
    </row>
    <row r="112">
      <c r="A112" s="53" t="n">
        <v>45812</v>
      </c>
      <c r="B112" t="inlineStr">
        <is>
          <t>R10_Sumbagteng</t>
        </is>
      </c>
      <c r="C112" t="inlineStr">
        <is>
          <t>NOP DUMAI</t>
        </is>
      </c>
      <c r="D112" s="38" t="n">
        <v>8.388</v>
      </c>
      <c r="E112" s="38" t="n">
        <v>7.864000000000004</v>
      </c>
      <c r="F112" s="36" t="n">
        <v>5.597000000000003</v>
      </c>
      <c r="G112" s="36" t="n">
        <v>8.539999999999999</v>
      </c>
      <c r="H112" s="36" t="n">
        <v>87</v>
      </c>
      <c r="I112" s="37" t="n">
        <v>0.5117647058823529</v>
      </c>
      <c r="J112" s="36" t="n">
        <v>35</v>
      </c>
      <c r="K112" s="37" t="n">
        <v>0.6363636363636364</v>
      </c>
      <c r="L112" s="36" t="n">
        <v>52</v>
      </c>
      <c r="M112" s="37" t="n">
        <v>0.4521739130434783</v>
      </c>
      <c r="N112" s="36" t="n">
        <v>26</v>
      </c>
      <c r="O112" s="37" t="n">
        <v>0.7428571428571429</v>
      </c>
      <c r="P112" s="36" t="n">
        <v>25</v>
      </c>
      <c r="Q112" s="37" t="n">
        <v>0.7352941176470589</v>
      </c>
      <c r="R112" s="36" t="n">
        <v>168</v>
      </c>
      <c r="S112" s="37" t="n">
        <v>0.9882352941176471</v>
      </c>
      <c r="T112" s="36" t="n">
        <v>63</v>
      </c>
      <c r="U112" s="37" t="n">
        <v>0.3705882352941177</v>
      </c>
      <c r="V112" s="38" t="n">
        <v>0</v>
      </c>
      <c r="W112" s="38" t="n">
        <v>8.484</v>
      </c>
      <c r="X112" s="38" t="n">
        <v>44.98599999999999</v>
      </c>
      <c r="Y112" s="38" t="n">
        <v>171.834</v>
      </c>
      <c r="Z112" s="38" t="n">
        <v>0</v>
      </c>
      <c r="AA112" s="36" t="n">
        <v>61</v>
      </c>
      <c r="AB112" s="37" t="n">
        <v>0.1848484848484848</v>
      </c>
      <c r="AC112" s="36" t="n">
        <v>27</v>
      </c>
      <c r="AD112" s="37" t="n">
        <v>0.3648648648648649</v>
      </c>
      <c r="AE112" s="36" t="n">
        <v>34</v>
      </c>
      <c r="AF112" s="37" t="n">
        <v>0.1343873517786561</v>
      </c>
      <c r="AG112" s="36" t="n">
        <v>27</v>
      </c>
      <c r="AH112" s="37" t="n">
        <v>1</v>
      </c>
    </row>
    <row r="113">
      <c r="A113" s="53" t="n">
        <v>45812</v>
      </c>
      <c r="B113" t="inlineStr">
        <is>
          <t>R10_Sumbagteng</t>
        </is>
      </c>
      <c r="C113" t="inlineStr">
        <is>
          <t>NOP PADANG</t>
        </is>
      </c>
      <c r="D113" s="38" t="n">
        <v>0</v>
      </c>
      <c r="E113" s="38" t="n">
        <v>3.604</v>
      </c>
      <c r="F113" s="36" t="n">
        <v>3.314</v>
      </c>
      <c r="G113" s="36" t="n">
        <v>2.910000000000001</v>
      </c>
      <c r="H113" s="36" t="n">
        <v>44</v>
      </c>
      <c r="I113" s="37" t="n">
        <v>0.6197183098591549</v>
      </c>
      <c r="J113" s="36" t="n">
        <v>2</v>
      </c>
      <c r="K113" s="37" t="n">
        <v>1</v>
      </c>
      <c r="L113" s="36" t="n">
        <v>42</v>
      </c>
      <c r="M113" s="37" t="n">
        <v>0.6086956521739131</v>
      </c>
      <c r="N113" s="36" t="n">
        <v>2</v>
      </c>
      <c r="O113" s="37" t="n">
        <v>1</v>
      </c>
      <c r="P113" s="36" t="n">
        <v>2</v>
      </c>
      <c r="Q113" s="37" t="n">
        <v>1</v>
      </c>
      <c r="R113" s="36" t="n">
        <v>64</v>
      </c>
      <c r="S113" s="37" t="n">
        <v>0.9014084507042254</v>
      </c>
      <c r="T113" s="36" t="n">
        <v>22</v>
      </c>
      <c r="U113" s="37" t="n">
        <v>0.3098591549295774</v>
      </c>
      <c r="V113" s="38" t="n">
        <v>0</v>
      </c>
      <c r="W113" s="38" t="n">
        <v>4.043999999999998</v>
      </c>
      <c r="X113" s="38" t="n">
        <v>60.632</v>
      </c>
      <c r="Y113" s="38" t="n">
        <v>135.07</v>
      </c>
      <c r="Z113" s="38" t="n">
        <v>0</v>
      </c>
      <c r="AA113" s="36" t="n">
        <v>81</v>
      </c>
      <c r="AB113" s="37" t="n">
        <v>0.8804347826086957</v>
      </c>
      <c r="AC113" s="36" t="n">
        <v>30</v>
      </c>
      <c r="AD113" s="37" t="n">
        <v>0.8108108108108109</v>
      </c>
      <c r="AE113" s="36" t="n">
        <v>50</v>
      </c>
      <c r="AF113" s="37" t="n">
        <v>0.9259259259259259</v>
      </c>
      <c r="AG113" s="36" t="n">
        <v>22</v>
      </c>
      <c r="AH113" s="37" t="n">
        <v>0.7333333333333333</v>
      </c>
    </row>
    <row r="114">
      <c r="A114" s="53" t="n">
        <v>45812</v>
      </c>
      <c r="B114" t="inlineStr">
        <is>
          <t>R10_Sumbagteng</t>
        </is>
      </c>
      <c r="C114" t="inlineStr">
        <is>
          <t>NOP PEKANBARU</t>
        </is>
      </c>
      <c r="D114" s="38" t="n">
        <v>4.519</v>
      </c>
      <c r="E114" s="38" t="n">
        <v>5.961000000000002</v>
      </c>
      <c r="F114" s="36" t="n">
        <v>7.043</v>
      </c>
      <c r="G114" s="36" t="n">
        <v>17.32300000000001</v>
      </c>
      <c r="H114" s="36" t="n">
        <v>91</v>
      </c>
      <c r="I114" s="37" t="n">
        <v>0.5170454545454546</v>
      </c>
      <c r="J114" s="36" t="n">
        <v>9</v>
      </c>
      <c r="K114" s="37" t="n">
        <v>0.2647058823529412</v>
      </c>
      <c r="L114" s="36" t="n">
        <v>82</v>
      </c>
      <c r="M114" s="37" t="n">
        <v>0.5774647887323944</v>
      </c>
      <c r="N114" s="36" t="n">
        <v>8</v>
      </c>
      <c r="O114" s="37" t="n">
        <v>0.8888888888888888</v>
      </c>
      <c r="P114" s="36" t="n">
        <v>8</v>
      </c>
      <c r="Q114" s="37" t="n">
        <v>0.8888888888888888</v>
      </c>
      <c r="R114" s="36" t="n">
        <v>174</v>
      </c>
      <c r="S114" s="37" t="n">
        <v>0.9886363636363636</v>
      </c>
      <c r="T114" s="36" t="n">
        <v>46</v>
      </c>
      <c r="U114" s="37" t="n">
        <v>0.2613636363636364</v>
      </c>
      <c r="V114" s="38" t="n">
        <v>0</v>
      </c>
      <c r="W114" s="38" t="n">
        <v>5.972999999999999</v>
      </c>
      <c r="X114" s="38" t="n">
        <v>72.65600000000019</v>
      </c>
      <c r="Y114" s="38" t="n">
        <v>33.71</v>
      </c>
      <c r="Z114" s="38" t="n">
        <v>0</v>
      </c>
      <c r="AA114" s="36" t="n">
        <v>97</v>
      </c>
      <c r="AB114" s="37" t="n">
        <v>0.2904191616766467</v>
      </c>
      <c r="AC114" s="36" t="n">
        <v>45</v>
      </c>
      <c r="AD114" s="37" t="n">
        <v>0.3515625</v>
      </c>
      <c r="AE114" s="36" t="n">
        <v>52</v>
      </c>
      <c r="AF114" s="37" t="n">
        <v>0.2536585365853659</v>
      </c>
      <c r="AG114" s="36" t="n">
        <v>36</v>
      </c>
      <c r="AH114" s="37" t="n">
        <v>0.8</v>
      </c>
    </row>
    <row r="115">
      <c r="A115" s="53" t="n">
        <v>45812</v>
      </c>
      <c r="B115" t="inlineStr">
        <is>
          <t>R02_Sumbagsel</t>
        </is>
      </c>
      <c r="C115" t="inlineStr">
        <is>
          <t>NOP BENGKULU</t>
        </is>
      </c>
      <c r="D115" s="38" t="n">
        <v>0</v>
      </c>
      <c r="E115" s="38" t="n">
        <v>2.526</v>
      </c>
      <c r="F115" s="36" t="n">
        <v>2.896</v>
      </c>
      <c r="G115" s="36" t="n">
        <v>3.771999999999998</v>
      </c>
      <c r="H115" s="36" t="n">
        <v>35</v>
      </c>
      <c r="I115" s="37" t="n">
        <v>0.5555555555555556</v>
      </c>
      <c r="J115" s="36" t="n">
        <v>9</v>
      </c>
      <c r="K115" s="37" t="n">
        <v>0.5294117647058824</v>
      </c>
      <c r="L115" s="36" t="n">
        <v>26</v>
      </c>
      <c r="M115" s="37" t="n">
        <v>0.5652173913043478</v>
      </c>
      <c r="N115" s="36" t="n">
        <v>6</v>
      </c>
      <c r="O115" s="37" t="n">
        <v>0.6666666666666666</v>
      </c>
      <c r="P115" s="36" t="n">
        <v>6</v>
      </c>
      <c r="Q115" s="37" t="n">
        <v>0.6666666666666666</v>
      </c>
      <c r="R115" s="36" t="n">
        <v>63</v>
      </c>
      <c r="S115" s="37" t="n">
        <v>1</v>
      </c>
      <c r="T115" s="36" t="n">
        <v>17</v>
      </c>
      <c r="U115" s="37" t="n">
        <v>0.2698412698412698</v>
      </c>
      <c r="V115" s="38" t="n">
        <v>0</v>
      </c>
      <c r="W115" s="38" t="n">
        <v>3.788000000000006</v>
      </c>
      <c r="X115" s="38" t="n">
        <v>2.91</v>
      </c>
      <c r="Y115" s="38" t="n">
        <v>6.574999999999997</v>
      </c>
      <c r="Z115" s="38" t="n">
        <v>0</v>
      </c>
      <c r="AA115" s="36" t="n">
        <v>87</v>
      </c>
      <c r="AB115" s="37" t="n">
        <v>0.4754098360655737</v>
      </c>
      <c r="AC115" s="36" t="n">
        <v>48</v>
      </c>
      <c r="AD115" s="37" t="n">
        <v>0.4173913043478261</v>
      </c>
      <c r="AE115" s="36" t="n">
        <v>37</v>
      </c>
      <c r="AF115" s="37" t="n">
        <v>0.6271186440677966</v>
      </c>
      <c r="AG115" s="36" t="n">
        <v>41</v>
      </c>
      <c r="AH115" s="37" t="n">
        <v>0.8541666666666666</v>
      </c>
    </row>
    <row r="116">
      <c r="A116" s="53" t="n">
        <v>45812</v>
      </c>
      <c r="B116" t="inlineStr">
        <is>
          <t>R02_Sumbagsel</t>
        </is>
      </c>
      <c r="C116" t="inlineStr">
        <is>
          <t>NOP JAMBI</t>
        </is>
      </c>
      <c r="D116" s="38" t="n">
        <v>0.538</v>
      </c>
      <c r="E116" s="38" t="n">
        <v>6.138</v>
      </c>
      <c r="F116" s="36" t="n">
        <v>4.558000000000002</v>
      </c>
      <c r="G116" s="36" t="n">
        <v>12.75400000000001</v>
      </c>
      <c r="H116" s="36" t="n">
        <v>42</v>
      </c>
      <c r="I116" s="37" t="n">
        <v>0.4827586206896552</v>
      </c>
      <c r="J116" s="36" t="n">
        <v>7</v>
      </c>
      <c r="K116" s="37" t="n">
        <v>0.5</v>
      </c>
      <c r="L116" s="36" t="n">
        <v>35</v>
      </c>
      <c r="M116" s="37" t="n">
        <v>0.4794520547945205</v>
      </c>
      <c r="N116" s="36" t="n">
        <v>5</v>
      </c>
      <c r="O116" s="37" t="n">
        <v>0.7142857142857143</v>
      </c>
      <c r="P116" s="36" t="n">
        <v>5</v>
      </c>
      <c r="Q116" s="37" t="n">
        <v>0.7142857142857143</v>
      </c>
      <c r="R116" s="36" t="n">
        <v>87</v>
      </c>
      <c r="S116" s="37" t="n">
        <v>1</v>
      </c>
      <c r="T116" s="36" t="n">
        <v>15</v>
      </c>
      <c r="U116" s="37" t="n">
        <v>0.1724137931034483</v>
      </c>
      <c r="V116" s="38" t="n">
        <v>0</v>
      </c>
      <c r="W116" s="38" t="n">
        <v>3.787999999999999</v>
      </c>
      <c r="X116" s="38" t="n">
        <v>2.07</v>
      </c>
      <c r="Y116" s="38" t="n">
        <v>17.091</v>
      </c>
      <c r="Z116" s="38" t="n">
        <v>0</v>
      </c>
      <c r="AA116" s="36" t="n">
        <v>43</v>
      </c>
      <c r="AB116" s="37" t="n">
        <v>0.2205128205128205</v>
      </c>
      <c r="AC116" s="36" t="n">
        <v>18</v>
      </c>
      <c r="AD116" s="37" t="n">
        <v>0.2168674698795181</v>
      </c>
      <c r="AE116" s="36" t="n">
        <v>21</v>
      </c>
      <c r="AF116" s="37" t="n">
        <v>0.2658227848101266</v>
      </c>
      <c r="AG116" s="36" t="n">
        <v>12</v>
      </c>
      <c r="AH116" s="37" t="n">
        <v>0.6666666666666666</v>
      </c>
    </row>
    <row r="117">
      <c r="A117" s="53" t="n">
        <v>45812</v>
      </c>
      <c r="B117" t="inlineStr">
        <is>
          <t>R02_Sumbagsel</t>
        </is>
      </c>
      <c r="C117" t="inlineStr">
        <is>
          <t>NOP LAMPUNG</t>
        </is>
      </c>
      <c r="D117" s="38" t="n">
        <v>0</v>
      </c>
      <c r="E117" s="38" t="n">
        <v>1.895</v>
      </c>
      <c r="F117" s="36" t="n">
        <v>3.205</v>
      </c>
      <c r="G117" s="36" t="n">
        <v>2.896</v>
      </c>
      <c r="H117" s="36" t="n">
        <v>20</v>
      </c>
      <c r="I117" s="37" t="n">
        <v>0.6060606060606061</v>
      </c>
      <c r="J117" s="36" t="n">
        <v>5</v>
      </c>
      <c r="K117" s="37" t="n">
        <v>0.625</v>
      </c>
      <c r="L117" s="36" t="n">
        <v>15</v>
      </c>
      <c r="M117" s="37" t="n">
        <v>0.6</v>
      </c>
      <c r="N117" s="36" t="n">
        <v>5</v>
      </c>
      <c r="O117" s="37" t="n">
        <v>1</v>
      </c>
      <c r="P117" s="36" t="n">
        <v>5</v>
      </c>
      <c r="Q117" s="37" t="n">
        <v>1</v>
      </c>
      <c r="R117" s="36" t="n">
        <v>32</v>
      </c>
      <c r="S117" s="37" t="n">
        <v>0.9696969696969697</v>
      </c>
      <c r="T117" s="36" t="n">
        <v>17</v>
      </c>
      <c r="U117" s="37" t="n">
        <v>0.5151515151515151</v>
      </c>
      <c r="V117" s="38" t="n">
        <v>0</v>
      </c>
      <c r="W117" s="38" t="n">
        <v>1.07</v>
      </c>
      <c r="X117" s="38" t="n">
        <v>4.326000000000002</v>
      </c>
      <c r="Y117" s="38" t="n">
        <v>30.413</v>
      </c>
      <c r="Z117" s="38" t="n">
        <v>0</v>
      </c>
      <c r="AA117" s="36" t="n">
        <v>108</v>
      </c>
      <c r="AB117" s="37" t="n">
        <v>0.9310344827586207</v>
      </c>
      <c r="AC117" s="36" t="n">
        <v>15</v>
      </c>
      <c r="AD117" s="37" t="n">
        <v>0.9375</v>
      </c>
      <c r="AE117" s="36" t="n">
        <v>91</v>
      </c>
      <c r="AF117" s="37" t="n">
        <v>0.9578947368421052</v>
      </c>
      <c r="AG117" s="36" t="n">
        <v>15</v>
      </c>
      <c r="AH117" s="37" t="n">
        <v>1</v>
      </c>
    </row>
    <row r="118">
      <c r="A118" s="53" t="n">
        <v>45812</v>
      </c>
      <c r="B118" t="inlineStr">
        <is>
          <t>R02_Sumbagsel</t>
        </is>
      </c>
      <c r="C118" t="inlineStr">
        <is>
          <t>NOP MUARA ENIM</t>
        </is>
      </c>
      <c r="D118" s="38" t="n">
        <v>2.176</v>
      </c>
      <c r="E118" s="38" t="n">
        <v>2.51</v>
      </c>
      <c r="F118" s="36" t="n">
        <v>2.875999999999999</v>
      </c>
      <c r="G118" s="36" t="n">
        <v>2.262</v>
      </c>
      <c r="H118" s="36" t="n">
        <v>38</v>
      </c>
      <c r="I118" s="37" t="n">
        <v>0.2878787878787879</v>
      </c>
      <c r="J118" s="36" t="n">
        <v>6</v>
      </c>
      <c r="K118" s="37" t="n">
        <v>0.4285714285714285</v>
      </c>
      <c r="L118" s="36" t="n">
        <v>32</v>
      </c>
      <c r="M118" s="37" t="n">
        <v>0.2711864406779661</v>
      </c>
      <c r="N118" s="36" t="n">
        <v>6</v>
      </c>
      <c r="O118" s="37" t="n">
        <v>1</v>
      </c>
      <c r="P118" s="36" t="n">
        <v>6</v>
      </c>
      <c r="Q118" s="37" t="n">
        <v>1</v>
      </c>
      <c r="R118" s="36" t="n">
        <v>129</v>
      </c>
      <c r="S118" s="37" t="n">
        <v>0.9772727272727273</v>
      </c>
      <c r="T118" s="36" t="n">
        <v>19</v>
      </c>
      <c r="U118" s="37" t="n">
        <v>0.143939393939394</v>
      </c>
      <c r="V118" s="38" t="n">
        <v>0</v>
      </c>
      <c r="W118" s="38" t="n">
        <v>15.476</v>
      </c>
      <c r="X118" s="38" t="n">
        <v>12.90600000000001</v>
      </c>
      <c r="Y118" s="38" t="n">
        <v>4.698000000000001</v>
      </c>
      <c r="Z118" s="38" t="n">
        <v>0</v>
      </c>
      <c r="AA118" s="36" t="n">
        <v>119</v>
      </c>
      <c r="AB118" s="37" t="n">
        <v>0.5979899497487438</v>
      </c>
      <c r="AC118" s="36" t="n">
        <v>34</v>
      </c>
      <c r="AD118" s="37" t="n">
        <v>0.4146341463414634</v>
      </c>
      <c r="AE118" s="36" t="n">
        <v>77</v>
      </c>
      <c r="AF118" s="37" t="n">
        <v>0.7403846153846154</v>
      </c>
      <c r="AG118" s="36" t="n">
        <v>24</v>
      </c>
      <c r="AH118" s="37" t="n">
        <v>0.7058823529411765</v>
      </c>
    </row>
    <row r="119">
      <c r="A119" s="53" t="n">
        <v>45812</v>
      </c>
      <c r="B119" t="inlineStr">
        <is>
          <t>R02_Sumbagsel</t>
        </is>
      </c>
      <c r="C119" t="inlineStr">
        <is>
          <t>NOP PALEMBANG</t>
        </is>
      </c>
      <c r="D119" s="38" t="n">
        <v>0</v>
      </c>
      <c r="E119" s="38" t="n">
        <v>1.373999999999999</v>
      </c>
      <c r="F119" s="36" t="n">
        <v>1.89</v>
      </c>
      <c r="G119" s="36" t="n">
        <v>6.52</v>
      </c>
      <c r="H119" s="36" t="n">
        <v>13</v>
      </c>
      <c r="I119" s="37" t="n">
        <v>0.134020618556701</v>
      </c>
      <c r="J119" s="36" t="n">
        <v>2</v>
      </c>
      <c r="K119" s="37" t="n">
        <v>0.2</v>
      </c>
      <c r="L119" s="36" t="n">
        <v>11</v>
      </c>
      <c r="M119" s="37" t="n">
        <v>0.1264367816091954</v>
      </c>
      <c r="N119" s="36" t="n">
        <v>1</v>
      </c>
      <c r="O119" s="37" t="n">
        <v>0.5</v>
      </c>
      <c r="P119" s="36" t="n">
        <v>1</v>
      </c>
      <c r="Q119" s="37" t="n">
        <v>0.5</v>
      </c>
      <c r="R119" s="36" t="n">
        <v>97</v>
      </c>
      <c r="S119" s="37" t="n">
        <v>1</v>
      </c>
      <c r="T119" s="36" t="n">
        <v>11</v>
      </c>
      <c r="U119" s="37" t="n">
        <v>0.1134020618556701</v>
      </c>
      <c r="V119" s="38" t="n">
        <v>0</v>
      </c>
      <c r="W119" s="38" t="n">
        <v>3.006</v>
      </c>
      <c r="X119" s="38" t="n">
        <v>7.480000000000004</v>
      </c>
      <c r="Y119" s="38" t="n">
        <v>21.79999999999999</v>
      </c>
      <c r="Z119" s="38" t="n">
        <v>0</v>
      </c>
      <c r="AA119" s="36" t="n">
        <v>22</v>
      </c>
      <c r="AB119" s="37" t="n">
        <v>0.158273381294964</v>
      </c>
      <c r="AC119" s="36" t="n">
        <v>7</v>
      </c>
      <c r="AD119" s="37" t="n">
        <v>0.0958904109589041</v>
      </c>
      <c r="AE119" s="36" t="n">
        <v>15</v>
      </c>
      <c r="AF119" s="37" t="n">
        <v>0.3409090909090909</v>
      </c>
      <c r="AG119" s="36" t="n">
        <v>5</v>
      </c>
      <c r="AH119" s="37" t="n">
        <v>0.7142857142857143</v>
      </c>
    </row>
    <row r="120">
      <c r="A120" s="53" t="n">
        <v>45812</v>
      </c>
      <c r="B120" t="inlineStr">
        <is>
          <t>R02_Sumbagsel</t>
        </is>
      </c>
      <c r="C120" t="inlineStr">
        <is>
          <t>NOP PANGKAL PINANG</t>
        </is>
      </c>
      <c r="D120" s="38" t="n">
        <v>0</v>
      </c>
      <c r="E120" s="38" t="n">
        <v>0</v>
      </c>
      <c r="F120" s="36" t="n">
        <v>3.072000000000001</v>
      </c>
      <c r="G120" s="36" t="n">
        <v>4.763</v>
      </c>
      <c r="H120" s="36" t="n">
        <v>29</v>
      </c>
      <c r="I120" s="37" t="n">
        <v>0.9666666666666667</v>
      </c>
      <c r="J120" s="36" t="n">
        <v>0</v>
      </c>
      <c r="K120" s="37" t="n">
        <v>0</v>
      </c>
      <c r="L120" s="36" t="n">
        <v>29</v>
      </c>
      <c r="M120" s="37" t="n">
        <v>0.9666666666666667</v>
      </c>
      <c r="N120" s="36" t="n">
        <v>0</v>
      </c>
      <c r="O120" s="37" t="n">
        <v>0</v>
      </c>
      <c r="P120" s="36" t="n">
        <v>0</v>
      </c>
      <c r="Q120" s="37" t="n">
        <v>0</v>
      </c>
      <c r="R120" s="36" t="n">
        <v>30</v>
      </c>
      <c r="S120" s="37" t="n">
        <v>1</v>
      </c>
      <c r="T120" s="36" t="n">
        <v>15</v>
      </c>
      <c r="U120" s="37" t="n">
        <v>0.5</v>
      </c>
      <c r="V120" s="38" t="n">
        <v>0</v>
      </c>
      <c r="W120" s="38" t="n">
        <v>5.035</v>
      </c>
      <c r="X120" s="38" t="n">
        <v>33.49100000000002</v>
      </c>
      <c r="Y120" s="38" t="n">
        <v>4.594</v>
      </c>
      <c r="Z120" s="38" t="n">
        <v>0</v>
      </c>
      <c r="AA120" s="36" t="n">
        <v>69</v>
      </c>
      <c r="AB120" s="37" t="n">
        <v>0.9583333333333334</v>
      </c>
      <c r="AC120" s="36" t="n">
        <v>15</v>
      </c>
      <c r="AD120" s="37" t="n">
        <v>0.9375</v>
      </c>
      <c r="AE120" s="36" t="n">
        <v>51</v>
      </c>
      <c r="AF120" s="37" t="n">
        <v>0.9622641509433962</v>
      </c>
      <c r="AG120" s="36" t="n">
        <v>11</v>
      </c>
      <c r="AH120" s="37" t="n">
        <v>0.7333333333333333</v>
      </c>
    </row>
    <row r="121">
      <c r="A121" s="53" t="n">
        <v>45812</v>
      </c>
      <c r="B121" t="inlineStr">
        <is>
          <t>R05_Jawa Tengah DIY</t>
        </is>
      </c>
      <c r="C121" t="inlineStr">
        <is>
          <t>NOP MAGELANG</t>
        </is>
      </c>
      <c r="D121" s="38" t="n">
        <v>0.867</v>
      </c>
      <c r="E121" s="38" t="n">
        <v>0</v>
      </c>
      <c r="F121" s="36" t="n">
        <v>1.75</v>
      </c>
      <c r="G121" s="36" t="n">
        <v>2.315</v>
      </c>
      <c r="H121" s="36" t="n">
        <v>26</v>
      </c>
      <c r="I121" s="37" t="n">
        <v>0.8387096774193549</v>
      </c>
      <c r="J121" s="36" t="n">
        <v>1</v>
      </c>
      <c r="K121" s="37" t="n">
        <v>0.5</v>
      </c>
      <c r="L121" s="36" t="n">
        <v>25</v>
      </c>
      <c r="M121" s="37" t="n">
        <v>0.8620689655172413</v>
      </c>
      <c r="N121" s="36" t="n">
        <v>1</v>
      </c>
      <c r="O121" s="37" t="n">
        <v>1</v>
      </c>
      <c r="P121" s="36" t="n">
        <v>1</v>
      </c>
      <c r="Q121" s="37" t="n">
        <v>1</v>
      </c>
      <c r="R121" s="36" t="n">
        <v>31</v>
      </c>
      <c r="S121" s="37" t="n">
        <v>1</v>
      </c>
      <c r="T121" s="36" t="n">
        <v>23</v>
      </c>
      <c r="U121" s="37" t="n">
        <v>0.7419354838709677</v>
      </c>
      <c r="V121" s="38" t="n">
        <v>0</v>
      </c>
      <c r="W121" s="38" t="n">
        <v>2.084</v>
      </c>
      <c r="X121" s="38" t="n">
        <v>5.103</v>
      </c>
      <c r="Y121" s="38" t="n">
        <v>19.329</v>
      </c>
      <c r="Z121" s="38" t="n">
        <v>0</v>
      </c>
      <c r="AA121" s="36" t="n">
        <v>80</v>
      </c>
      <c r="AB121" s="37" t="n">
        <v>0.8888888888888888</v>
      </c>
      <c r="AC121" s="36" t="n">
        <v>17</v>
      </c>
      <c r="AD121" s="37" t="n">
        <v>0.7083333333333334</v>
      </c>
      <c r="AE121" s="36" t="n">
        <v>63</v>
      </c>
      <c r="AF121" s="37" t="n">
        <v>0.9545454545454546</v>
      </c>
      <c r="AG121" s="36" t="n">
        <v>12</v>
      </c>
      <c r="AH121" s="37" t="n">
        <v>0.7058823529411765</v>
      </c>
    </row>
    <row r="122">
      <c r="A122" s="53" t="n">
        <v>45812</v>
      </c>
      <c r="B122" t="inlineStr">
        <is>
          <t>R05_Jawa Tengah DIY</t>
        </is>
      </c>
      <c r="C122" t="inlineStr">
        <is>
          <t>NOP PEKALONGAN</t>
        </is>
      </c>
      <c r="D122" s="38" t="n">
        <v>0.43</v>
      </c>
      <c r="E122" s="38" t="n">
        <v>0</v>
      </c>
      <c r="F122" s="36" t="n">
        <v>3.904</v>
      </c>
      <c r="G122" s="36" t="n">
        <v>2.856000000000001</v>
      </c>
      <c r="H122" s="36" t="n">
        <v>14</v>
      </c>
      <c r="I122" s="37" t="n">
        <v>0.9333333333333333</v>
      </c>
      <c r="J122" s="36" t="n">
        <v>1</v>
      </c>
      <c r="K122" s="37" t="n">
        <v>1</v>
      </c>
      <c r="L122" s="36" t="n">
        <v>13</v>
      </c>
      <c r="M122" s="37" t="n">
        <v>0.9285714285714286</v>
      </c>
      <c r="N122" s="36" t="n">
        <v>1</v>
      </c>
      <c r="O122" s="37" t="n">
        <v>1</v>
      </c>
      <c r="P122" s="36" t="n">
        <v>1</v>
      </c>
      <c r="Q122" s="37" t="n">
        <v>1</v>
      </c>
      <c r="R122" s="36" t="n">
        <v>15</v>
      </c>
      <c r="S122" s="37" t="n">
        <v>1</v>
      </c>
      <c r="T122" s="36" t="n">
        <v>12</v>
      </c>
      <c r="U122" s="37" t="n">
        <v>0.8</v>
      </c>
      <c r="V122" s="38" t="n">
        <v>0</v>
      </c>
      <c r="W122" s="38" t="n">
        <v>2.034</v>
      </c>
      <c r="X122" s="38" t="n">
        <v>4.756</v>
      </c>
      <c r="Y122" s="38" t="n">
        <v>58.904</v>
      </c>
      <c r="Z122" s="38" t="n">
        <v>0</v>
      </c>
      <c r="AA122" s="36" t="n">
        <v>33</v>
      </c>
      <c r="AB122" s="37" t="n">
        <v>0.868421052631579</v>
      </c>
      <c r="AC122" s="36" t="n">
        <v>7</v>
      </c>
      <c r="AD122" s="37" t="n">
        <v>0.875</v>
      </c>
      <c r="AE122" s="36" t="n">
        <v>26</v>
      </c>
      <c r="AF122" s="37" t="n">
        <v>0.8666666666666667</v>
      </c>
      <c r="AG122" s="36" t="n">
        <v>5</v>
      </c>
      <c r="AH122" s="37" t="n">
        <v>0.7142857142857143</v>
      </c>
    </row>
    <row r="123">
      <c r="A123" s="53" t="n">
        <v>45812</v>
      </c>
      <c r="B123" t="inlineStr">
        <is>
          <t>R05_Jawa Tengah DIY</t>
        </is>
      </c>
      <c r="C123" t="inlineStr">
        <is>
          <t>NOP PURWOKERTO</t>
        </is>
      </c>
      <c r="D123" s="38" t="n">
        <v>2.802</v>
      </c>
      <c r="E123" s="38" t="n">
        <v>0</v>
      </c>
      <c r="F123" s="36" t="n">
        <v>3.205000000000001</v>
      </c>
      <c r="G123" s="36" t="n">
        <v>5.724000000000002</v>
      </c>
      <c r="H123" s="36" t="n">
        <v>28</v>
      </c>
      <c r="I123" s="37" t="n">
        <v>0.8</v>
      </c>
      <c r="J123" s="36" t="n">
        <v>2</v>
      </c>
      <c r="K123" s="37" t="n">
        <v>1</v>
      </c>
      <c r="L123" s="36" t="n">
        <v>26</v>
      </c>
      <c r="M123" s="37" t="n">
        <v>0.7878787878787878</v>
      </c>
      <c r="N123" s="36" t="n">
        <v>2</v>
      </c>
      <c r="O123" s="37" t="n">
        <v>1</v>
      </c>
      <c r="P123" s="36" t="n">
        <v>2</v>
      </c>
      <c r="Q123" s="37" t="n">
        <v>1</v>
      </c>
      <c r="R123" s="36" t="n">
        <v>35</v>
      </c>
      <c r="S123" s="37" t="n">
        <v>1</v>
      </c>
      <c r="T123" s="36" t="n">
        <v>20</v>
      </c>
      <c r="U123" s="37" t="n">
        <v>0.5714285714285714</v>
      </c>
      <c r="V123" s="38" t="n">
        <v>0</v>
      </c>
      <c r="W123" s="38" t="n">
        <v>2.068</v>
      </c>
      <c r="X123" s="38" t="n">
        <v>6.58</v>
      </c>
      <c r="Y123" s="38" t="n">
        <v>6.150999999999998</v>
      </c>
      <c r="Z123" s="38" t="n">
        <v>0</v>
      </c>
      <c r="AA123" s="36" t="n">
        <v>34</v>
      </c>
      <c r="AB123" s="37" t="n">
        <v>0.8095238095238095</v>
      </c>
      <c r="AC123" s="36" t="n">
        <v>14</v>
      </c>
      <c r="AD123" s="37" t="n">
        <v>0.8235294117647058</v>
      </c>
      <c r="AE123" s="36" t="n">
        <v>20</v>
      </c>
      <c r="AF123" s="37" t="n">
        <v>0.8</v>
      </c>
      <c r="AG123" s="36" t="n">
        <v>12</v>
      </c>
      <c r="AH123" s="37" t="n">
        <v>0.8571428571428571</v>
      </c>
    </row>
    <row r="124">
      <c r="A124" s="53" t="n">
        <v>45812</v>
      </c>
      <c r="B124" t="inlineStr">
        <is>
          <t>R05_Jawa Tengah DIY</t>
        </is>
      </c>
      <c r="C124" t="inlineStr">
        <is>
          <t>NOP SEMARANG</t>
        </is>
      </c>
      <c r="D124" s="38" t="n">
        <v>1.224</v>
      </c>
      <c r="E124" s="38" t="n">
        <v>0</v>
      </c>
      <c r="F124" s="36" t="n">
        <v>1.84</v>
      </c>
      <c r="G124" s="36" t="n">
        <v>2.358000000000001</v>
      </c>
      <c r="H124" s="36" t="n">
        <v>21</v>
      </c>
      <c r="I124" s="37" t="n">
        <v>0.525</v>
      </c>
      <c r="J124" s="36" t="n">
        <v>2</v>
      </c>
      <c r="K124" s="37" t="n">
        <v>1</v>
      </c>
      <c r="L124" s="36" t="n">
        <v>19</v>
      </c>
      <c r="M124" s="37" t="n">
        <v>0.5</v>
      </c>
      <c r="N124" s="36" t="n">
        <v>2</v>
      </c>
      <c r="O124" s="37" t="n">
        <v>1</v>
      </c>
      <c r="P124" s="36" t="n">
        <v>2</v>
      </c>
      <c r="Q124" s="37" t="n">
        <v>1</v>
      </c>
      <c r="R124" s="36" t="n">
        <v>37</v>
      </c>
      <c r="S124" s="37" t="n">
        <v>0.925</v>
      </c>
      <c r="T124" s="36" t="n">
        <v>18</v>
      </c>
      <c r="U124" s="37" t="n">
        <v>0.45</v>
      </c>
      <c r="V124" s="38" t="n">
        <v>0</v>
      </c>
      <c r="W124" s="38" t="n">
        <v>4.144000000000001</v>
      </c>
      <c r="X124" s="38" t="n">
        <v>4.21</v>
      </c>
      <c r="Y124" s="38" t="n">
        <v>76.38699999999993</v>
      </c>
      <c r="Z124" s="38" t="n">
        <v>0</v>
      </c>
      <c r="AA124" s="36" t="n">
        <v>44</v>
      </c>
      <c r="AB124" s="37" t="n">
        <v>0.8979591836734694</v>
      </c>
      <c r="AC124" s="36" t="n">
        <v>18</v>
      </c>
      <c r="AD124" s="37" t="n">
        <v>0.7826086956521739</v>
      </c>
      <c r="AE124" s="36" t="n">
        <v>26</v>
      </c>
      <c r="AF124" s="37" t="n">
        <v>1</v>
      </c>
      <c r="AG124" s="36" t="n">
        <v>13</v>
      </c>
      <c r="AH124" s="37" t="n">
        <v>0.7222222222222222</v>
      </c>
    </row>
    <row r="125">
      <c r="A125" s="53" t="n">
        <v>45812</v>
      </c>
      <c r="B125" t="inlineStr">
        <is>
          <t>R05_Jawa Tengah DIY</t>
        </is>
      </c>
      <c r="C125" t="inlineStr">
        <is>
          <t>NOP SURAKARTA</t>
        </is>
      </c>
      <c r="D125" s="38" t="n">
        <v>1.48</v>
      </c>
      <c r="E125" s="38" t="n">
        <v>0</v>
      </c>
      <c r="F125" s="36" t="n">
        <v>4.072</v>
      </c>
      <c r="G125" s="36" t="n">
        <v>6.159000000000001</v>
      </c>
      <c r="H125" s="36" t="n">
        <v>57</v>
      </c>
      <c r="I125" s="37" t="n">
        <v>0.9193548387096774</v>
      </c>
      <c r="J125" s="36" t="n">
        <v>5</v>
      </c>
      <c r="K125" s="37" t="n">
        <v>1</v>
      </c>
      <c r="L125" s="36" t="n">
        <v>52</v>
      </c>
      <c r="M125" s="37" t="n">
        <v>0.9122807017543859</v>
      </c>
      <c r="N125" s="36" t="n">
        <v>5</v>
      </c>
      <c r="O125" s="37" t="n">
        <v>1</v>
      </c>
      <c r="P125" s="36" t="n">
        <v>5</v>
      </c>
      <c r="Q125" s="37" t="n">
        <v>1</v>
      </c>
      <c r="R125" s="36" t="n">
        <v>62</v>
      </c>
      <c r="S125" s="37" t="n">
        <v>1</v>
      </c>
      <c r="T125" s="36" t="n">
        <v>37</v>
      </c>
      <c r="U125" s="37" t="n">
        <v>0.5967741935483871</v>
      </c>
      <c r="V125" s="38" t="n">
        <v>0</v>
      </c>
      <c r="W125" s="38" t="n">
        <v>3.892000000000001</v>
      </c>
      <c r="X125" s="38" t="n">
        <v>6.546</v>
      </c>
      <c r="Y125" s="38" t="n">
        <v>50.25</v>
      </c>
      <c r="Z125" s="38" t="n">
        <v>0</v>
      </c>
      <c r="AA125" s="36" t="n">
        <v>45</v>
      </c>
      <c r="AB125" s="37" t="n">
        <v>0.8823529411764706</v>
      </c>
      <c r="AC125" s="36" t="n">
        <v>13</v>
      </c>
      <c r="AD125" s="37" t="n">
        <v>0.7647058823529411</v>
      </c>
      <c r="AE125" s="36" t="n">
        <v>32</v>
      </c>
      <c r="AF125" s="37" t="n">
        <v>0.9411764705882353</v>
      </c>
      <c r="AG125" s="36" t="n">
        <v>11</v>
      </c>
      <c r="AH125" s="37" t="n">
        <v>0.8461538461538461</v>
      </c>
    </row>
    <row r="126">
      <c r="A126" s="53" t="n">
        <v>45812</v>
      </c>
      <c r="B126" t="inlineStr">
        <is>
          <t>R05_Jawa Tengah DIY</t>
        </is>
      </c>
      <c r="C126" t="inlineStr">
        <is>
          <t>NOP YOGYAKARTA</t>
        </is>
      </c>
      <c r="D126" s="38" t="n">
        <v>2.664</v>
      </c>
      <c r="E126" s="38" t="n">
        <v>0</v>
      </c>
      <c r="F126" s="36" t="n">
        <v>2.38</v>
      </c>
      <c r="G126" s="36" t="n">
        <v>2.33</v>
      </c>
      <c r="H126" s="36" t="n">
        <v>26</v>
      </c>
      <c r="I126" s="37" t="n">
        <v>0.7222222222222222</v>
      </c>
      <c r="J126" s="36" t="n">
        <v>3</v>
      </c>
      <c r="K126" s="37" t="n">
        <v>1</v>
      </c>
      <c r="L126" s="36" t="n">
        <v>23</v>
      </c>
      <c r="M126" s="37" t="n">
        <v>0.696969696969697</v>
      </c>
      <c r="N126" s="36" t="n">
        <v>3</v>
      </c>
      <c r="O126" s="37" t="n">
        <v>1</v>
      </c>
      <c r="P126" s="36" t="n">
        <v>3</v>
      </c>
      <c r="Q126" s="37" t="n">
        <v>1</v>
      </c>
      <c r="R126" s="36" t="n">
        <v>36</v>
      </c>
      <c r="S126" s="37" t="n">
        <v>1</v>
      </c>
      <c r="T126" s="36" t="n">
        <v>17</v>
      </c>
      <c r="U126" s="37" t="n">
        <v>0.4722222222222222</v>
      </c>
      <c r="V126" s="38" t="n">
        <v>0</v>
      </c>
      <c r="W126" s="38" t="n">
        <v>4.285</v>
      </c>
      <c r="X126" s="38" t="n">
        <v>3.379000000000001</v>
      </c>
      <c r="Y126" s="38" t="n">
        <v>48.17</v>
      </c>
      <c r="Z126" s="38" t="n">
        <v>0</v>
      </c>
      <c r="AA126" s="36" t="n">
        <v>45</v>
      </c>
      <c r="AB126" s="37" t="n">
        <v>0.9782608695652174</v>
      </c>
      <c r="AC126" s="36" t="n">
        <v>15</v>
      </c>
      <c r="AD126" s="37" t="n">
        <v>0.9375</v>
      </c>
      <c r="AE126" s="36" t="n">
        <v>30</v>
      </c>
      <c r="AF126" s="37" t="n">
        <v>1</v>
      </c>
      <c r="AG126" s="36" t="n">
        <v>15</v>
      </c>
      <c r="AH126" s="37" t="n">
        <v>1</v>
      </c>
    </row>
    <row r="127">
      <c r="A127" s="53" t="n">
        <v>45812</v>
      </c>
      <c r="B127" t="inlineStr">
        <is>
          <t>R06_Jawa Timur</t>
        </is>
      </c>
      <c r="C127" t="inlineStr">
        <is>
          <t>NOP JEMBER</t>
        </is>
      </c>
      <c r="D127" s="38" t="n">
        <v>0.51</v>
      </c>
      <c r="E127" s="38" t="n">
        <v>0</v>
      </c>
      <c r="F127" s="36" t="n">
        <v>2.36</v>
      </c>
      <c r="G127" s="36" t="n">
        <v>1.808</v>
      </c>
      <c r="H127" s="36" t="n">
        <v>15</v>
      </c>
      <c r="I127" s="37" t="n">
        <v>0.75</v>
      </c>
      <c r="J127" s="36" t="n">
        <v>1</v>
      </c>
      <c r="K127" s="37" t="n">
        <v>1</v>
      </c>
      <c r="L127" s="36" t="n">
        <v>14</v>
      </c>
      <c r="M127" s="37" t="n">
        <v>0.7368421052631579</v>
      </c>
      <c r="N127" s="36" t="n">
        <v>1</v>
      </c>
      <c r="O127" s="37" t="n">
        <v>1</v>
      </c>
      <c r="P127" s="36" t="n">
        <v>1</v>
      </c>
      <c r="Q127" s="37" t="n">
        <v>1</v>
      </c>
      <c r="R127" s="36" t="n">
        <v>20</v>
      </c>
      <c r="S127" s="37" t="n">
        <v>1</v>
      </c>
      <c r="T127" s="36" t="n">
        <v>12</v>
      </c>
      <c r="U127" s="37" t="n">
        <v>0.6</v>
      </c>
      <c r="V127" s="38" t="n">
        <v>0</v>
      </c>
      <c r="W127" s="38" t="n">
        <v>1.69</v>
      </c>
      <c r="X127" s="38" t="n">
        <v>5.198</v>
      </c>
      <c r="Y127" s="38" t="n">
        <v>21.431</v>
      </c>
      <c r="Z127" s="38" t="n">
        <v>0</v>
      </c>
      <c r="AA127" s="36" t="n">
        <v>30</v>
      </c>
      <c r="AB127" s="37" t="n">
        <v>0.9375</v>
      </c>
      <c r="AC127" s="36" t="n">
        <v>4</v>
      </c>
      <c r="AD127" s="37" t="n">
        <v>0.6666666666666666</v>
      </c>
      <c r="AE127" s="36" t="n">
        <v>26</v>
      </c>
      <c r="AF127" s="37" t="n">
        <v>1</v>
      </c>
      <c r="AG127" s="36" t="n">
        <v>4</v>
      </c>
      <c r="AH127" s="37" t="n">
        <v>1</v>
      </c>
    </row>
    <row r="128">
      <c r="A128" s="53" t="n">
        <v>45812</v>
      </c>
      <c r="B128" t="inlineStr">
        <is>
          <t>R06_Jawa Timur</t>
        </is>
      </c>
      <c r="C128" t="inlineStr">
        <is>
          <t>NOP KEDIRI</t>
        </is>
      </c>
      <c r="D128" s="38" t="n">
        <v>0</v>
      </c>
      <c r="E128" s="38" t="n">
        <v>0</v>
      </c>
      <c r="F128" s="36" t="n">
        <v>1.5</v>
      </c>
      <c r="G128" s="36" t="n">
        <v>1.104</v>
      </c>
      <c r="H128" s="36" t="n">
        <v>16</v>
      </c>
      <c r="I128" s="37" t="n">
        <v>0.9411764705882353</v>
      </c>
      <c r="J128" s="36" t="n">
        <v>0</v>
      </c>
      <c r="K128" s="37" t="n">
        <v>0</v>
      </c>
      <c r="L128" s="36" t="n">
        <v>16</v>
      </c>
      <c r="M128" s="37" t="n">
        <v>0.9411764705882353</v>
      </c>
      <c r="N128" s="36" t="n">
        <v>0</v>
      </c>
      <c r="O128" s="37" t="n">
        <v>0</v>
      </c>
      <c r="P128" s="36" t="n">
        <v>0</v>
      </c>
      <c r="Q128" s="37" t="n">
        <v>0</v>
      </c>
      <c r="R128" s="36" t="n">
        <v>17</v>
      </c>
      <c r="S128" s="37" t="n">
        <v>1</v>
      </c>
      <c r="T128" s="36" t="n">
        <v>10</v>
      </c>
      <c r="U128" s="37" t="n">
        <v>0.5882352941176471</v>
      </c>
      <c r="V128" s="38" t="n">
        <v>0</v>
      </c>
      <c r="W128" s="38" t="n">
        <v>1.212</v>
      </c>
      <c r="X128" s="38" t="n">
        <v>2.914</v>
      </c>
      <c r="Y128" s="38" t="n">
        <v>0</v>
      </c>
      <c r="Z128" s="38" t="n">
        <v>0</v>
      </c>
      <c r="AA128" s="36" t="n">
        <v>17</v>
      </c>
      <c r="AB128" s="37" t="n">
        <v>0.8947368421052632</v>
      </c>
      <c r="AC128" s="36" t="n">
        <v>3</v>
      </c>
      <c r="AD128" s="37" t="n">
        <v>0.75</v>
      </c>
      <c r="AE128" s="36" t="n">
        <v>14</v>
      </c>
      <c r="AF128" s="37" t="n">
        <v>0.9333333333333333</v>
      </c>
      <c r="AG128" s="36" t="n">
        <v>2</v>
      </c>
      <c r="AH128" s="37" t="n">
        <v>0.6666666666666666</v>
      </c>
    </row>
    <row r="129">
      <c r="A129" s="53" t="n">
        <v>45812</v>
      </c>
      <c r="B129" t="inlineStr">
        <is>
          <t>R06_Jawa Timur</t>
        </is>
      </c>
      <c r="C129" t="inlineStr">
        <is>
          <t>NOP LAMONGAN</t>
        </is>
      </c>
      <c r="D129" s="38" t="n">
        <v>0.489</v>
      </c>
      <c r="E129" s="38" t="n">
        <v>0</v>
      </c>
      <c r="F129" s="36" t="n">
        <v>4.713</v>
      </c>
      <c r="G129" s="36" t="n">
        <v>1.816</v>
      </c>
      <c r="H129" s="36" t="n">
        <v>14</v>
      </c>
      <c r="I129" s="37" t="n">
        <v>0.9333333333333333</v>
      </c>
      <c r="J129" s="36" t="n">
        <v>2</v>
      </c>
      <c r="K129" s="37" t="n">
        <v>1</v>
      </c>
      <c r="L129" s="36" t="n">
        <v>12</v>
      </c>
      <c r="M129" s="37" t="n">
        <v>0.9230769230769231</v>
      </c>
      <c r="N129" s="36" t="n">
        <v>2</v>
      </c>
      <c r="O129" s="37" t="n">
        <v>1</v>
      </c>
      <c r="P129" s="36" t="n">
        <v>2</v>
      </c>
      <c r="Q129" s="37" t="n">
        <v>1</v>
      </c>
      <c r="R129" s="36" t="n">
        <v>15</v>
      </c>
      <c r="S129" s="37" t="n">
        <v>1</v>
      </c>
      <c r="T129" s="36" t="n">
        <v>13</v>
      </c>
      <c r="U129" s="37" t="n">
        <v>0.8666666666666667</v>
      </c>
      <c r="V129" s="38" t="n">
        <v>0</v>
      </c>
      <c r="W129" s="38" t="n">
        <v>2.682</v>
      </c>
      <c r="X129" s="38" t="n">
        <v>2.46</v>
      </c>
      <c r="Y129" s="38" t="n">
        <v>22.32</v>
      </c>
      <c r="Z129" s="38" t="n">
        <v>0</v>
      </c>
      <c r="AA129" s="36" t="n">
        <v>15</v>
      </c>
      <c r="AB129" s="37" t="n">
        <v>0.9375</v>
      </c>
      <c r="AC129" s="36" t="n">
        <v>8</v>
      </c>
      <c r="AD129" s="37" t="n">
        <v>0.8888888888888888</v>
      </c>
      <c r="AE129" s="36" t="n">
        <v>7</v>
      </c>
      <c r="AF129" s="37" t="n">
        <v>1</v>
      </c>
      <c r="AG129" s="36" t="n">
        <v>5</v>
      </c>
      <c r="AH129" s="37" t="n">
        <v>0.625</v>
      </c>
    </row>
    <row r="130">
      <c r="A130" s="53" t="n">
        <v>45812</v>
      </c>
      <c r="B130" t="inlineStr">
        <is>
          <t>R06_Jawa Timur</t>
        </is>
      </c>
      <c r="C130" t="inlineStr">
        <is>
          <t>NOP MADIUN</t>
        </is>
      </c>
      <c r="D130" s="38" t="n">
        <v>0</v>
      </c>
      <c r="E130" s="38" t="n">
        <v>0</v>
      </c>
      <c r="F130" s="36" t="n">
        <v>1.9</v>
      </c>
      <c r="G130" s="36" t="n">
        <v>1.139</v>
      </c>
      <c r="H130" s="36" t="n">
        <v>8</v>
      </c>
      <c r="I130" s="37" t="n">
        <v>0.4</v>
      </c>
      <c r="J130" s="36" t="n">
        <v>0</v>
      </c>
      <c r="K130" s="37" t="n">
        <v>0</v>
      </c>
      <c r="L130" s="36" t="n">
        <v>8</v>
      </c>
      <c r="M130" s="37" t="n">
        <v>0.4</v>
      </c>
      <c r="N130" s="36" t="n">
        <v>0</v>
      </c>
      <c r="O130" s="37" t="n">
        <v>0</v>
      </c>
      <c r="P130" s="36" t="n">
        <v>0</v>
      </c>
      <c r="Q130" s="37" t="n">
        <v>0</v>
      </c>
      <c r="R130" s="36" t="n">
        <v>16</v>
      </c>
      <c r="S130" s="37" t="n">
        <v>0.8</v>
      </c>
      <c r="T130" s="36" t="n">
        <v>4</v>
      </c>
      <c r="U130" s="37" t="n">
        <v>0.2</v>
      </c>
      <c r="V130" s="38" t="n">
        <v>0</v>
      </c>
      <c r="W130" s="38" t="n">
        <v>4.833999999999998</v>
      </c>
      <c r="X130" s="38" t="n">
        <v>7.831999999999999</v>
      </c>
      <c r="Y130" s="38" t="n">
        <v>8.779</v>
      </c>
      <c r="Z130" s="38" t="n">
        <v>0</v>
      </c>
      <c r="AA130" s="36" t="n">
        <v>20</v>
      </c>
      <c r="AB130" s="37" t="n">
        <v>0.6896551724137931</v>
      </c>
      <c r="AC130" s="36" t="n">
        <v>6</v>
      </c>
      <c r="AD130" s="37" t="n">
        <v>0.6</v>
      </c>
      <c r="AE130" s="36" t="n">
        <v>14</v>
      </c>
      <c r="AF130" s="37" t="n">
        <v>0.7368421052631579</v>
      </c>
      <c r="AG130" s="36" t="n">
        <v>6</v>
      </c>
      <c r="AH130" s="37" t="n">
        <v>1</v>
      </c>
    </row>
    <row r="131">
      <c r="A131" s="53" t="n">
        <v>45812</v>
      </c>
      <c r="B131" t="inlineStr">
        <is>
          <t>R06_Jawa Timur</t>
        </is>
      </c>
      <c r="C131" t="inlineStr">
        <is>
          <t>NOP MALANG</t>
        </is>
      </c>
      <c r="D131" s="38" t="n">
        <v>0</v>
      </c>
      <c r="E131" s="38" t="n">
        <v>0</v>
      </c>
      <c r="F131" s="36" t="n">
        <v>0.7550000000000001</v>
      </c>
      <c r="G131" s="36" t="n">
        <v>2.885</v>
      </c>
      <c r="H131" s="36" t="n">
        <v>7</v>
      </c>
      <c r="I131" s="37" t="n">
        <v>0.875</v>
      </c>
      <c r="J131" s="36" t="n">
        <v>0</v>
      </c>
      <c r="K131" s="37" t="n">
        <v>0</v>
      </c>
      <c r="L131" s="36" t="n">
        <v>7</v>
      </c>
      <c r="M131" s="37" t="n">
        <v>0.875</v>
      </c>
      <c r="N131" s="36" t="n">
        <v>0</v>
      </c>
      <c r="O131" s="37" t="n">
        <v>0</v>
      </c>
      <c r="P131" s="36" t="n">
        <v>0</v>
      </c>
      <c r="Q131" s="37" t="n">
        <v>0</v>
      </c>
      <c r="R131" s="36" t="n">
        <v>8</v>
      </c>
      <c r="S131" s="37" t="n">
        <v>1</v>
      </c>
      <c r="T131" s="36" t="n">
        <v>7</v>
      </c>
      <c r="U131" s="37" t="n">
        <v>0.875</v>
      </c>
      <c r="V131" s="38" t="n">
        <v>0</v>
      </c>
      <c r="W131" s="38" t="n">
        <v>1.512</v>
      </c>
      <c r="X131" s="38" t="n">
        <v>4.751999999999999</v>
      </c>
      <c r="Y131" s="38" t="n">
        <v>12</v>
      </c>
      <c r="Z131" s="38" t="n">
        <v>0</v>
      </c>
      <c r="AA131" s="36" t="n">
        <v>14</v>
      </c>
      <c r="AB131" s="37" t="n">
        <v>0.875</v>
      </c>
      <c r="AC131" s="36" t="n">
        <v>5</v>
      </c>
      <c r="AD131" s="37" t="n">
        <v>0.7142857142857143</v>
      </c>
      <c r="AE131" s="36" t="n">
        <v>9</v>
      </c>
      <c r="AF131" s="37" t="n">
        <v>1</v>
      </c>
      <c r="AG131" s="36" t="n">
        <v>5</v>
      </c>
      <c r="AH131" s="37" t="n">
        <v>1</v>
      </c>
    </row>
    <row r="132">
      <c r="A132" s="53" t="n">
        <v>45812</v>
      </c>
      <c r="B132" t="inlineStr">
        <is>
          <t>R06_Jawa Timur</t>
        </is>
      </c>
      <c r="C132" t="inlineStr">
        <is>
          <t>NOP SIDOARJO</t>
        </is>
      </c>
      <c r="D132" s="38" t="n">
        <v>0</v>
      </c>
      <c r="E132" s="38" t="n">
        <v>0</v>
      </c>
      <c r="F132" s="36" t="n">
        <v>0</v>
      </c>
      <c r="G132" s="36" t="n">
        <v>2.412999999999999</v>
      </c>
      <c r="H132" s="36" t="n">
        <v>5</v>
      </c>
      <c r="I132" s="37" t="n">
        <v>0.625</v>
      </c>
      <c r="J132" s="36" t="n">
        <v>0</v>
      </c>
      <c r="K132" s="37" t="n">
        <v>0</v>
      </c>
      <c r="L132" s="36" t="n">
        <v>5</v>
      </c>
      <c r="M132" s="37" t="n">
        <v>0.625</v>
      </c>
      <c r="N132" s="36" t="n">
        <v>0</v>
      </c>
      <c r="O132" s="37" t="n">
        <v>0</v>
      </c>
      <c r="P132" s="36" t="n">
        <v>0</v>
      </c>
      <c r="Q132" s="37" t="n">
        <v>0</v>
      </c>
      <c r="R132" s="36" t="n">
        <v>8</v>
      </c>
      <c r="S132" s="37" t="n">
        <v>1</v>
      </c>
      <c r="T132" s="36" t="n">
        <v>3</v>
      </c>
      <c r="U132" s="37" t="n">
        <v>0.375</v>
      </c>
      <c r="V132" s="38" t="n">
        <v>0</v>
      </c>
      <c r="W132" s="38" t="n">
        <v>0.871</v>
      </c>
      <c r="X132" s="38" t="n">
        <v>5.59</v>
      </c>
      <c r="Y132" s="38" t="n">
        <v>0</v>
      </c>
      <c r="Z132" s="38" t="n">
        <v>0</v>
      </c>
      <c r="AA132" s="36" t="n">
        <v>10</v>
      </c>
      <c r="AB132" s="37" t="n">
        <v>0.7692307692307693</v>
      </c>
      <c r="AC132" s="36" t="n">
        <v>1</v>
      </c>
      <c r="AD132" s="37" t="n">
        <v>0.5</v>
      </c>
      <c r="AE132" s="36" t="n">
        <v>9</v>
      </c>
      <c r="AF132" s="37" t="n">
        <v>0.8181818181818182</v>
      </c>
      <c r="AG132" s="36" t="n">
        <v>1</v>
      </c>
      <c r="AH132" s="37" t="n">
        <v>1</v>
      </c>
    </row>
    <row r="133">
      <c r="A133" s="53" t="n">
        <v>45812</v>
      </c>
      <c r="B133" t="inlineStr">
        <is>
          <t>R06_Jawa Timur</t>
        </is>
      </c>
      <c r="C133" t="inlineStr">
        <is>
          <t>NOP SURABAYA</t>
        </is>
      </c>
      <c r="D133" s="38" t="n">
        <v>0</v>
      </c>
      <c r="E133" s="38" t="n">
        <v>0</v>
      </c>
      <c r="F133" s="36" t="n">
        <v>0.9019999999999999</v>
      </c>
      <c r="G133" s="36" t="n">
        <v>2.68</v>
      </c>
      <c r="H133" s="36" t="n">
        <v>5</v>
      </c>
      <c r="I133" s="37" t="n">
        <v>0.3125</v>
      </c>
      <c r="J133" s="36" t="n">
        <v>0</v>
      </c>
      <c r="K133" s="37" t="n">
        <v>0</v>
      </c>
      <c r="L133" s="36" t="n">
        <v>5</v>
      </c>
      <c r="M133" s="37" t="n">
        <v>0.3125</v>
      </c>
      <c r="N133" s="36" t="n">
        <v>0</v>
      </c>
      <c r="O133" s="37" t="n">
        <v>0</v>
      </c>
      <c r="P133" s="36" t="n">
        <v>0</v>
      </c>
      <c r="Q133" s="37" t="n">
        <v>0</v>
      </c>
      <c r="R133" s="36" t="n">
        <v>16</v>
      </c>
      <c r="S133" s="37" t="n">
        <v>1</v>
      </c>
      <c r="T133" s="36" t="n">
        <v>4</v>
      </c>
      <c r="U133" s="37" t="n">
        <v>0.25</v>
      </c>
      <c r="V133" s="38" t="n">
        <v>0.9610000000000001</v>
      </c>
      <c r="W133" s="38" t="n">
        <v>2.176</v>
      </c>
      <c r="X133" s="38" t="n">
        <v>5.423999999999999</v>
      </c>
      <c r="Y133" s="38" t="n">
        <v>51.072</v>
      </c>
      <c r="Z133" s="38" t="n">
        <v>0</v>
      </c>
      <c r="AA133" s="36" t="n">
        <v>20</v>
      </c>
      <c r="AB133" s="37" t="n">
        <v>0.6451612903225806</v>
      </c>
      <c r="AC133" s="36" t="n">
        <v>5</v>
      </c>
      <c r="AD133" s="37" t="n">
        <v>0.5</v>
      </c>
      <c r="AE133" s="36" t="n">
        <v>15</v>
      </c>
      <c r="AF133" s="37" t="n">
        <v>0.7142857142857143</v>
      </c>
      <c r="AG133" s="36" t="n">
        <v>2</v>
      </c>
      <c r="AH133" s="37" t="n">
        <v>0.4</v>
      </c>
    </row>
    <row r="134">
      <c r="A134" s="53" t="n">
        <v>45812</v>
      </c>
      <c r="B134" t="inlineStr">
        <is>
          <t>R07_Bali Nusra</t>
        </is>
      </c>
      <c r="C134" t="inlineStr">
        <is>
          <t>NOP DENPASAR</t>
        </is>
      </c>
      <c r="D134" s="38" t="n">
        <v>2.005</v>
      </c>
      <c r="E134" s="38" t="n">
        <v>0</v>
      </c>
      <c r="F134" s="36" t="n">
        <v>1.13</v>
      </c>
      <c r="G134" s="36" t="n">
        <v>2.108</v>
      </c>
      <c r="H134" s="36" t="n">
        <v>8</v>
      </c>
      <c r="I134" s="37" t="n">
        <v>0.8</v>
      </c>
      <c r="J134" s="36" t="n">
        <v>2</v>
      </c>
      <c r="K134" s="37" t="n">
        <v>1</v>
      </c>
      <c r="L134" s="36" t="n">
        <v>6</v>
      </c>
      <c r="M134" s="37" t="n">
        <v>0.75</v>
      </c>
      <c r="N134" s="36" t="n">
        <v>2</v>
      </c>
      <c r="O134" s="37" t="n">
        <v>1</v>
      </c>
      <c r="P134" s="36" t="n">
        <v>2</v>
      </c>
      <c r="Q134" s="37" t="n">
        <v>1</v>
      </c>
      <c r="R134" s="36" t="n">
        <v>10</v>
      </c>
      <c r="S134" s="37" t="n">
        <v>1</v>
      </c>
      <c r="T134" s="36" t="n">
        <v>10</v>
      </c>
      <c r="U134" s="37" t="n">
        <v>1</v>
      </c>
      <c r="V134" s="38" t="n">
        <v>0.01</v>
      </c>
      <c r="W134" s="38" t="n">
        <v>6.935</v>
      </c>
      <c r="X134" s="38" t="n">
        <v>17.16500000000001</v>
      </c>
      <c r="Y134" s="38" t="n">
        <v>20.366</v>
      </c>
      <c r="Z134" s="38" t="n">
        <v>0</v>
      </c>
      <c r="AA134" s="36" t="n">
        <v>30</v>
      </c>
      <c r="AB134" s="37" t="n">
        <v>1</v>
      </c>
      <c r="AC134" s="36" t="n">
        <v>13</v>
      </c>
      <c r="AD134" s="37" t="n">
        <v>1</v>
      </c>
      <c r="AE134" s="36" t="n">
        <v>17</v>
      </c>
      <c r="AF134" s="37" t="n">
        <v>1</v>
      </c>
      <c r="AG134" s="36" t="n">
        <v>9</v>
      </c>
      <c r="AH134" s="37" t="n">
        <v>0.6923076923076923</v>
      </c>
    </row>
    <row r="135">
      <c r="A135" s="53" t="n">
        <v>45812</v>
      </c>
      <c r="B135" t="inlineStr">
        <is>
          <t>R07_Bali Nusra</t>
        </is>
      </c>
      <c r="C135" t="inlineStr">
        <is>
          <t>NOP FLORES</t>
        </is>
      </c>
      <c r="D135" s="38" t="n">
        <v>3.118</v>
      </c>
      <c r="E135" s="38" t="n">
        <v>3.61</v>
      </c>
      <c r="F135" s="36" t="n">
        <v>5.563999999999998</v>
      </c>
      <c r="G135" s="36" t="n">
        <v>13.586</v>
      </c>
      <c r="H135" s="36" t="n">
        <v>33</v>
      </c>
      <c r="I135" s="37" t="n">
        <v>0.4177215189873418</v>
      </c>
      <c r="J135" s="36" t="n">
        <v>12</v>
      </c>
      <c r="K135" s="37" t="n">
        <v>0.631578947368421</v>
      </c>
      <c r="L135" s="36" t="n">
        <v>21</v>
      </c>
      <c r="M135" s="37" t="n">
        <v>0.35</v>
      </c>
      <c r="N135" s="36" t="n">
        <v>9</v>
      </c>
      <c r="O135" s="37" t="n">
        <v>0.75</v>
      </c>
      <c r="P135" s="36" t="n">
        <v>9</v>
      </c>
      <c r="Q135" s="37" t="n">
        <v>0.75</v>
      </c>
      <c r="R135" s="36" t="n">
        <v>79</v>
      </c>
      <c r="S135" s="37" t="n">
        <v>1</v>
      </c>
      <c r="T135" s="36" t="n">
        <v>29</v>
      </c>
      <c r="U135" s="37" t="n">
        <v>0.3670886075949367</v>
      </c>
      <c r="V135" s="38" t="n">
        <v>0</v>
      </c>
      <c r="W135" s="38" t="n">
        <v>13.092</v>
      </c>
      <c r="X135" s="38" t="n">
        <v>4.26</v>
      </c>
      <c r="Y135" s="38" t="n">
        <v>144.75</v>
      </c>
      <c r="Z135" s="38" t="n">
        <v>0</v>
      </c>
      <c r="AA135" s="36" t="n">
        <v>47</v>
      </c>
      <c r="AB135" s="37" t="n">
        <v>0.4051724137931034</v>
      </c>
      <c r="AC135" s="36" t="n">
        <v>35</v>
      </c>
      <c r="AD135" s="37" t="n">
        <v>0.4268292682926829</v>
      </c>
      <c r="AE135" s="36" t="n">
        <v>12</v>
      </c>
      <c r="AF135" s="37" t="n">
        <v>0.3529411764705883</v>
      </c>
      <c r="AG135" s="36" t="n">
        <v>32</v>
      </c>
      <c r="AH135" s="37" t="n">
        <v>0.9142857142857143</v>
      </c>
    </row>
    <row r="136">
      <c r="A136" s="53" t="n">
        <v>45812</v>
      </c>
      <c r="B136" t="inlineStr">
        <is>
          <t>R07_Bali Nusra</t>
        </is>
      </c>
      <c r="C136" t="inlineStr">
        <is>
          <t>NOP KUPANG</t>
        </is>
      </c>
      <c r="D136" s="38" t="n">
        <v>1.423</v>
      </c>
      <c r="E136" s="38" t="n">
        <v>3.236000000000001</v>
      </c>
      <c r="F136" s="36" t="n">
        <v>7.644000000000002</v>
      </c>
      <c r="G136" s="36" t="n">
        <v>9.096999999999994</v>
      </c>
      <c r="H136" s="36" t="n">
        <v>41</v>
      </c>
      <c r="I136" s="37" t="n">
        <v>0.6307692307692307</v>
      </c>
      <c r="J136" s="36" t="n">
        <v>8</v>
      </c>
      <c r="K136" s="37" t="n">
        <v>0.5333333333333333</v>
      </c>
      <c r="L136" s="36" t="n">
        <v>33</v>
      </c>
      <c r="M136" s="37" t="n">
        <v>0.66</v>
      </c>
      <c r="N136" s="36" t="n">
        <v>7</v>
      </c>
      <c r="O136" s="37" t="n">
        <v>0.875</v>
      </c>
      <c r="P136" s="36" t="n">
        <v>7</v>
      </c>
      <c r="Q136" s="37" t="n">
        <v>0.875</v>
      </c>
      <c r="R136" s="36" t="n">
        <v>65</v>
      </c>
      <c r="S136" s="37" t="n">
        <v>1</v>
      </c>
      <c r="T136" s="36" t="n">
        <v>13</v>
      </c>
      <c r="U136" s="37" t="n">
        <v>0.2</v>
      </c>
      <c r="V136" s="38" t="n">
        <v>0</v>
      </c>
      <c r="W136" s="38" t="n">
        <v>8.948</v>
      </c>
      <c r="X136" s="38" t="n">
        <v>7.048000000000001</v>
      </c>
      <c r="Y136" s="38" t="n">
        <v>172.85</v>
      </c>
      <c r="Z136" s="38" t="n">
        <v>0</v>
      </c>
      <c r="AA136" s="36" t="n">
        <v>53</v>
      </c>
      <c r="AB136" s="37" t="n">
        <v>0.7066666666666667</v>
      </c>
      <c r="AC136" s="36" t="n">
        <v>28</v>
      </c>
      <c r="AD136" s="37" t="n">
        <v>0.717948717948718</v>
      </c>
      <c r="AE136" s="36" t="n">
        <v>25</v>
      </c>
      <c r="AF136" s="37" t="n">
        <v>0.6944444444444444</v>
      </c>
      <c r="AG136" s="36" t="n">
        <v>19</v>
      </c>
      <c r="AH136" s="37" t="n">
        <v>0.6785714285714286</v>
      </c>
    </row>
    <row r="137">
      <c r="A137" s="53" t="n">
        <v>45812</v>
      </c>
      <c r="B137" t="inlineStr">
        <is>
          <t>R07_Bali Nusra</t>
        </is>
      </c>
      <c r="C137" t="inlineStr">
        <is>
          <t>NOP MATARAM</t>
        </is>
      </c>
      <c r="D137" s="38" t="n">
        <v>0.427</v>
      </c>
      <c r="E137" s="38" t="n">
        <v>2.02</v>
      </c>
      <c r="F137" s="36" t="n">
        <v>2.736</v>
      </c>
      <c r="G137" s="36" t="n">
        <v>4.327999999999999</v>
      </c>
      <c r="H137" s="36" t="n">
        <v>27</v>
      </c>
      <c r="I137" s="37" t="n">
        <v>0.675</v>
      </c>
      <c r="J137" s="36" t="n">
        <v>2</v>
      </c>
      <c r="K137" s="37" t="n">
        <v>0.6666666666666666</v>
      </c>
      <c r="L137" s="36" t="n">
        <v>25</v>
      </c>
      <c r="M137" s="37" t="n">
        <v>0.6756756756756757</v>
      </c>
      <c r="N137" s="36" t="n">
        <v>2</v>
      </c>
      <c r="O137" s="37" t="n">
        <v>1</v>
      </c>
      <c r="P137" s="36" t="n">
        <v>2</v>
      </c>
      <c r="Q137" s="37" t="n">
        <v>1</v>
      </c>
      <c r="R137" s="36" t="n">
        <v>40</v>
      </c>
      <c r="S137" s="37" t="n">
        <v>1</v>
      </c>
      <c r="T137" s="36" t="n">
        <v>15</v>
      </c>
      <c r="U137" s="37" t="n">
        <v>0.375</v>
      </c>
      <c r="V137" s="38" t="n">
        <v>0</v>
      </c>
      <c r="W137" s="38" t="n">
        <v>8.990000000000002</v>
      </c>
      <c r="X137" s="38" t="n">
        <v>2.122</v>
      </c>
      <c r="Y137" s="38" t="n">
        <v>17.91</v>
      </c>
      <c r="Z137" s="38" t="n">
        <v>0</v>
      </c>
      <c r="AA137" s="36" t="n">
        <v>22</v>
      </c>
      <c r="AB137" s="37" t="n">
        <v>0.4583333333333333</v>
      </c>
      <c r="AC137" s="36" t="n">
        <v>17</v>
      </c>
      <c r="AD137" s="37" t="n">
        <v>0.5151515151515151</v>
      </c>
      <c r="AE137" s="36" t="n">
        <v>5</v>
      </c>
      <c r="AF137" s="37" t="n">
        <v>0.3333333333333333</v>
      </c>
      <c r="AG137" s="36" t="n">
        <v>13</v>
      </c>
      <c r="AH137" s="37" t="n">
        <v>0.7647058823529411</v>
      </c>
    </row>
    <row r="138">
      <c r="A138" s="53" t="n">
        <v>45813</v>
      </c>
      <c r="B138" t="inlineStr">
        <is>
          <t>R01_Sumbagut</t>
        </is>
      </c>
      <c r="C138" t="inlineStr">
        <is>
          <t>NOP ACEH</t>
        </is>
      </c>
      <c r="D138" s="38" t="n">
        <v>0</v>
      </c>
      <c r="E138" s="38" t="n">
        <v>2.195</v>
      </c>
      <c r="F138" s="36" t="n">
        <v>4.558</v>
      </c>
      <c r="G138" s="36" t="n">
        <v>9.079999999999995</v>
      </c>
      <c r="H138" s="36" t="n">
        <v>120</v>
      </c>
      <c r="I138" s="37" t="n">
        <v>0.8695652173913043</v>
      </c>
      <c r="J138" s="36" t="n">
        <v>14</v>
      </c>
      <c r="K138" s="37" t="n">
        <v>0.875</v>
      </c>
      <c r="L138" s="36" t="n">
        <v>106</v>
      </c>
      <c r="M138" s="37" t="n">
        <v>0.8688524590163934</v>
      </c>
      <c r="N138" s="36" t="n">
        <v>6</v>
      </c>
      <c r="O138" s="37" t="n">
        <v>0.4285714285714285</v>
      </c>
      <c r="P138" s="36" t="n">
        <v>6</v>
      </c>
      <c r="Q138" s="37" t="n">
        <v>0.4285714285714285</v>
      </c>
      <c r="R138" s="36" t="n">
        <v>136</v>
      </c>
      <c r="S138" s="37" t="n">
        <v>0.9855072463768116</v>
      </c>
      <c r="T138" s="36" t="n">
        <v>45</v>
      </c>
      <c r="U138" s="37" t="n">
        <v>0.3260869565217391</v>
      </c>
      <c r="V138" s="38" t="n">
        <v>0</v>
      </c>
      <c r="W138" s="38" t="n">
        <v>5.228000000000002</v>
      </c>
      <c r="X138" s="38" t="n">
        <v>57.05200000000002</v>
      </c>
      <c r="Y138" s="38" t="n">
        <v>127.0519999999999</v>
      </c>
      <c r="Z138" s="38" t="n">
        <v>0</v>
      </c>
      <c r="AA138" s="36" t="n">
        <v>174</v>
      </c>
      <c r="AB138" s="37" t="n">
        <v>0.8969072164948454</v>
      </c>
      <c r="AC138" s="36" t="n">
        <v>54</v>
      </c>
      <c r="AD138" s="37" t="n">
        <v>0.8307692307692308</v>
      </c>
      <c r="AE138" s="36" t="n">
        <v>117</v>
      </c>
      <c r="AF138" s="37" t="n">
        <v>0.9285714285714286</v>
      </c>
      <c r="AG138" s="36" t="n">
        <v>12</v>
      </c>
      <c r="AH138" s="37" t="n">
        <v>0.2222222222222222</v>
      </c>
    </row>
    <row r="139">
      <c r="A139" s="53" t="n">
        <v>45813</v>
      </c>
      <c r="B139" t="inlineStr">
        <is>
          <t>R01_Sumbagut</t>
        </is>
      </c>
      <c r="C139" t="inlineStr">
        <is>
          <t>NOP BINJAI</t>
        </is>
      </c>
      <c r="D139" s="38" t="n">
        <v>0</v>
      </c>
      <c r="E139" s="38" t="n">
        <v>1.83</v>
      </c>
      <c r="F139" s="36" t="n">
        <v>5.77</v>
      </c>
      <c r="G139" s="36" t="n">
        <v>3.769</v>
      </c>
      <c r="H139" s="36" t="n">
        <v>80</v>
      </c>
      <c r="I139" s="37" t="n">
        <v>0.6153846153846154</v>
      </c>
      <c r="J139" s="36" t="n">
        <v>16</v>
      </c>
      <c r="K139" s="37" t="n">
        <v>0.7619047619047619</v>
      </c>
      <c r="L139" s="36" t="n">
        <v>64</v>
      </c>
      <c r="M139" s="37" t="n">
        <v>0.5871559633027523</v>
      </c>
      <c r="N139" s="36" t="n">
        <v>4</v>
      </c>
      <c r="O139" s="37" t="n">
        <v>0.25</v>
      </c>
      <c r="P139" s="36" t="n">
        <v>4</v>
      </c>
      <c r="Q139" s="37" t="n">
        <v>0.25</v>
      </c>
      <c r="R139" s="36" t="n">
        <v>129</v>
      </c>
      <c r="S139" s="37" t="n">
        <v>0.9923076923076923</v>
      </c>
      <c r="T139" s="36" t="n">
        <v>40</v>
      </c>
      <c r="U139" s="37" t="n">
        <v>0.3076923076923077</v>
      </c>
      <c r="V139" s="38" t="n">
        <v>0</v>
      </c>
      <c r="W139" s="38" t="n">
        <v>4.63</v>
      </c>
      <c r="X139" s="38" t="n">
        <v>48.19</v>
      </c>
      <c r="Y139" s="38" t="n">
        <v>156.198</v>
      </c>
      <c r="Z139" s="38" t="n">
        <v>0</v>
      </c>
      <c r="AA139" s="36" t="n">
        <v>83</v>
      </c>
      <c r="AB139" s="37" t="n">
        <v>0.6335877862595419</v>
      </c>
      <c r="AC139" s="36" t="n">
        <v>36</v>
      </c>
      <c r="AD139" s="37" t="n">
        <v>0.6428571428571429</v>
      </c>
      <c r="AE139" s="36" t="n">
        <v>43</v>
      </c>
      <c r="AF139" s="37" t="n">
        <v>0.6056338028169014</v>
      </c>
      <c r="AG139" s="36" t="n">
        <v>13</v>
      </c>
      <c r="AH139" s="37" t="n">
        <v>0.3611111111111111</v>
      </c>
    </row>
    <row r="140">
      <c r="A140" s="53" t="n">
        <v>45813</v>
      </c>
      <c r="B140" t="inlineStr">
        <is>
          <t>R01_Sumbagut</t>
        </is>
      </c>
      <c r="C140" t="inlineStr">
        <is>
          <t>NOP MEDAN</t>
        </is>
      </c>
      <c r="D140" s="38" t="n">
        <v>0</v>
      </c>
      <c r="E140" s="38" t="n">
        <v>4.11</v>
      </c>
      <c r="F140" s="36" t="n">
        <v>2.437</v>
      </c>
      <c r="G140" s="36" t="n">
        <v>9.25</v>
      </c>
      <c r="H140" s="36" t="n">
        <v>11</v>
      </c>
      <c r="I140" s="37" t="n">
        <v>0.3235294117647059</v>
      </c>
      <c r="J140" s="36" t="n">
        <v>5</v>
      </c>
      <c r="K140" s="37" t="n">
        <v>0.5555555555555556</v>
      </c>
      <c r="L140" s="36" t="n">
        <v>6</v>
      </c>
      <c r="M140" s="37" t="n">
        <v>0.24</v>
      </c>
      <c r="N140" s="36" t="n">
        <v>3</v>
      </c>
      <c r="O140" s="37" t="n">
        <v>0.6</v>
      </c>
      <c r="P140" s="36" t="n">
        <v>3</v>
      </c>
      <c r="Q140" s="37" t="n">
        <v>0.6</v>
      </c>
      <c r="R140" s="36" t="n">
        <v>34</v>
      </c>
      <c r="S140" s="37" t="n">
        <v>1</v>
      </c>
      <c r="T140" s="36" t="n">
        <v>8</v>
      </c>
      <c r="U140" s="37" t="n">
        <v>0.2352941176470588</v>
      </c>
      <c r="V140" s="38" t="n">
        <v>0</v>
      </c>
      <c r="W140" s="38" t="n">
        <v>3.762</v>
      </c>
      <c r="X140" s="38" t="n">
        <v>21.416</v>
      </c>
      <c r="Y140" s="38" t="n">
        <v>3.567000000000003</v>
      </c>
      <c r="Z140" s="38" t="n">
        <v>0</v>
      </c>
      <c r="AA140" s="36" t="n">
        <v>17</v>
      </c>
      <c r="AB140" s="37" t="n">
        <v>0.4146341463414634</v>
      </c>
      <c r="AC140" s="36" t="n">
        <v>3</v>
      </c>
      <c r="AD140" s="37" t="n">
        <v>0.25</v>
      </c>
      <c r="AE140" s="36" t="n">
        <v>14</v>
      </c>
      <c r="AF140" s="37" t="n">
        <v>0.5384615384615384</v>
      </c>
      <c r="AG140" s="36" t="n">
        <v>3</v>
      </c>
      <c r="AH140" s="37" t="n">
        <v>1</v>
      </c>
    </row>
    <row r="141">
      <c r="A141" s="53" t="n">
        <v>45813</v>
      </c>
      <c r="B141" t="inlineStr">
        <is>
          <t>R01_Sumbagut</t>
        </is>
      </c>
      <c r="C141" t="inlineStr">
        <is>
          <t>NOP PADANG SIDEMPUAN</t>
        </is>
      </c>
      <c r="D141" s="38" t="n">
        <v>0</v>
      </c>
      <c r="E141" s="38" t="n">
        <v>3.26</v>
      </c>
      <c r="F141" s="36" t="n">
        <v>5.613000000000004</v>
      </c>
      <c r="G141" s="36" t="n">
        <v>3.533</v>
      </c>
      <c r="H141" s="36" t="n">
        <v>41</v>
      </c>
      <c r="I141" s="37" t="n">
        <v>0.4361702127659575</v>
      </c>
      <c r="J141" s="36" t="n">
        <v>10</v>
      </c>
      <c r="K141" s="37" t="n">
        <v>0.8333333333333334</v>
      </c>
      <c r="L141" s="36" t="n">
        <v>31</v>
      </c>
      <c r="M141" s="37" t="n">
        <v>0.3780487804878049</v>
      </c>
      <c r="N141" s="36" t="n">
        <v>7</v>
      </c>
      <c r="O141" s="37" t="n">
        <v>0.7</v>
      </c>
      <c r="P141" s="36" t="n">
        <v>7</v>
      </c>
      <c r="Q141" s="37" t="n">
        <v>0.7</v>
      </c>
      <c r="R141" s="36" t="n">
        <v>93</v>
      </c>
      <c r="S141" s="37" t="n">
        <v>0.9893617021276596</v>
      </c>
      <c r="T141" s="36" t="n">
        <v>14</v>
      </c>
      <c r="U141" s="37" t="n">
        <v>0.148936170212766</v>
      </c>
      <c r="V141" s="38" t="n">
        <v>0</v>
      </c>
      <c r="W141" s="38" t="n">
        <v>2.776</v>
      </c>
      <c r="X141" s="38" t="n">
        <v>5.004999999999999</v>
      </c>
      <c r="Y141" s="38" t="n">
        <v>79.48799999999994</v>
      </c>
      <c r="Z141" s="38" t="n">
        <v>0</v>
      </c>
      <c r="AA141" s="36" t="n">
        <v>152</v>
      </c>
      <c r="AB141" s="37" t="n">
        <v>0.7102803738317757</v>
      </c>
      <c r="AC141" s="36" t="n">
        <v>77</v>
      </c>
      <c r="AD141" s="37" t="n">
        <v>0.6695652173913044</v>
      </c>
      <c r="AE141" s="36" t="n">
        <v>75</v>
      </c>
      <c r="AF141" s="37" t="n">
        <v>0.7575757575757576</v>
      </c>
      <c r="AG141" s="36" t="n">
        <v>42</v>
      </c>
      <c r="AH141" s="37" t="n">
        <v>0.5454545454545454</v>
      </c>
    </row>
    <row r="142">
      <c r="A142" s="53" t="n">
        <v>45813</v>
      </c>
      <c r="B142" t="inlineStr">
        <is>
          <t>R01_Sumbagut</t>
        </is>
      </c>
      <c r="C142" t="inlineStr">
        <is>
          <t>NOP PEMATANG SIANTAR</t>
        </is>
      </c>
      <c r="D142" s="38" t="n">
        <v>0.662</v>
      </c>
      <c r="E142" s="38" t="n">
        <v>2.732</v>
      </c>
      <c r="F142" s="36" t="n">
        <v>7.49</v>
      </c>
      <c r="G142" s="36" t="n">
        <v>6.308999999999999</v>
      </c>
      <c r="H142" s="36" t="n">
        <v>32</v>
      </c>
      <c r="I142" s="37" t="n">
        <v>0.3950617283950617</v>
      </c>
      <c r="J142" s="36" t="n">
        <v>11</v>
      </c>
      <c r="K142" s="37" t="n">
        <v>0.6875</v>
      </c>
      <c r="L142" s="36" t="n">
        <v>21</v>
      </c>
      <c r="M142" s="37" t="n">
        <v>0.3230769230769231</v>
      </c>
      <c r="N142" s="36" t="n">
        <v>4</v>
      </c>
      <c r="O142" s="37" t="n">
        <v>0.3636363636363636</v>
      </c>
      <c r="P142" s="36" t="n">
        <v>4</v>
      </c>
      <c r="Q142" s="37" t="n">
        <v>0.3636363636363636</v>
      </c>
      <c r="R142" s="36" t="n">
        <v>81</v>
      </c>
      <c r="S142" s="37" t="n">
        <v>1</v>
      </c>
      <c r="T142" s="36" t="n">
        <v>22</v>
      </c>
      <c r="U142" s="37" t="n">
        <v>0.2716049382716049</v>
      </c>
      <c r="V142" s="38" t="n">
        <v>0</v>
      </c>
      <c r="W142" s="38" t="n">
        <v>3.910000000000001</v>
      </c>
      <c r="X142" s="38" t="n">
        <v>81.20600000000002</v>
      </c>
      <c r="Y142" s="38" t="n">
        <v>108.745</v>
      </c>
      <c r="Z142" s="38" t="n">
        <v>0</v>
      </c>
      <c r="AA142" s="36" t="n">
        <v>93</v>
      </c>
      <c r="AB142" s="37" t="n">
        <v>0.6549295774647887</v>
      </c>
      <c r="AC142" s="36" t="n">
        <v>43</v>
      </c>
      <c r="AD142" s="37" t="n">
        <v>0.7288135593220338</v>
      </c>
      <c r="AE142" s="36" t="n">
        <v>49</v>
      </c>
      <c r="AF142" s="37" t="n">
        <v>0.620253164556962</v>
      </c>
      <c r="AG142" s="36" t="n">
        <v>24</v>
      </c>
      <c r="AH142" s="37" t="n">
        <v>0.5581395348837209</v>
      </c>
    </row>
    <row r="143">
      <c r="A143" s="53" t="n">
        <v>45813</v>
      </c>
      <c r="B143" t="inlineStr">
        <is>
          <t>R01_Sumbagut</t>
        </is>
      </c>
      <c r="C143" t="inlineStr">
        <is>
          <t>NOP RANTAU PRAPAT</t>
        </is>
      </c>
      <c r="D143" s="38" t="n">
        <v>2.105</v>
      </c>
      <c r="E143" s="38" t="n">
        <v>2.2</v>
      </c>
      <c r="F143" s="36" t="n">
        <v>1.819</v>
      </c>
      <c r="G143" s="36" t="n">
        <v>4.974999999999999</v>
      </c>
      <c r="H143" s="36" t="n">
        <v>62</v>
      </c>
      <c r="I143" s="37" t="n">
        <v>0.4881889763779528</v>
      </c>
      <c r="J143" s="36" t="n">
        <v>11</v>
      </c>
      <c r="K143" s="37" t="n">
        <v>0.4782608695652174</v>
      </c>
      <c r="L143" s="36" t="n">
        <v>51</v>
      </c>
      <c r="M143" s="37" t="n">
        <v>0.4903846153846154</v>
      </c>
      <c r="N143" s="36" t="n">
        <v>5</v>
      </c>
      <c r="O143" s="37" t="n">
        <v>0.4545454545454545</v>
      </c>
      <c r="P143" s="36" t="n">
        <v>5</v>
      </c>
      <c r="Q143" s="37" t="n">
        <v>0.4545454545454545</v>
      </c>
      <c r="R143" s="36" t="n">
        <v>127</v>
      </c>
      <c r="S143" s="37" t="n">
        <v>1</v>
      </c>
      <c r="T143" s="36" t="n">
        <v>36</v>
      </c>
      <c r="U143" s="37" t="n">
        <v>0.2834645669291339</v>
      </c>
      <c r="V143" s="38" t="n">
        <v>0</v>
      </c>
      <c r="W143" s="38" t="n">
        <v>2.885</v>
      </c>
      <c r="X143" s="38" t="n">
        <v>29.50599999999999</v>
      </c>
      <c r="Y143" s="38" t="n">
        <v>66.70600000000002</v>
      </c>
      <c r="Z143" s="38" t="n">
        <v>0</v>
      </c>
      <c r="AA143" s="36" t="n">
        <v>38</v>
      </c>
      <c r="AB143" s="37" t="n">
        <v>0.2483660130718954</v>
      </c>
      <c r="AC143" s="36" t="n">
        <v>14</v>
      </c>
      <c r="AD143" s="37" t="n">
        <v>0.3888888888888889</v>
      </c>
      <c r="AE143" s="36" t="n">
        <v>22</v>
      </c>
      <c r="AF143" s="37" t="n">
        <v>0.1964285714285714</v>
      </c>
      <c r="AG143" s="36" t="n">
        <v>6</v>
      </c>
      <c r="AH143" s="37" t="n">
        <v>0.4285714285714285</v>
      </c>
    </row>
    <row r="144">
      <c r="A144" s="53" t="n">
        <v>45813</v>
      </c>
      <c r="B144" t="inlineStr">
        <is>
          <t>R10_Sumbagteng</t>
        </is>
      </c>
      <c r="C144" t="inlineStr">
        <is>
          <t>NOP BATAM</t>
        </is>
      </c>
      <c r="D144" s="38" t="n">
        <v>2.132</v>
      </c>
      <c r="E144" s="38" t="n">
        <v>9.101999999999988</v>
      </c>
      <c r="F144" s="36" t="n">
        <v>3.878000000000001</v>
      </c>
      <c r="G144" s="36" t="n">
        <v>5.62</v>
      </c>
      <c r="H144" s="36" t="n">
        <v>41</v>
      </c>
      <c r="I144" s="37" t="n">
        <v>0.5540540540540541</v>
      </c>
      <c r="J144" s="36" t="n">
        <v>16</v>
      </c>
      <c r="K144" s="37" t="n">
        <v>0.7619047619047619</v>
      </c>
      <c r="L144" s="36" t="n">
        <v>25</v>
      </c>
      <c r="M144" s="37" t="n">
        <v>0.4716981132075472</v>
      </c>
      <c r="N144" s="36" t="n">
        <v>15</v>
      </c>
      <c r="O144" s="37" t="n">
        <v>0.9375</v>
      </c>
      <c r="P144" s="36" t="n">
        <v>15</v>
      </c>
      <c r="Q144" s="37" t="n">
        <v>0.9375</v>
      </c>
      <c r="R144" s="36" t="n">
        <v>74</v>
      </c>
      <c r="S144" s="37" t="n">
        <v>1</v>
      </c>
      <c r="T144" s="36" t="n">
        <v>31</v>
      </c>
      <c r="U144" s="37" t="n">
        <v>0.4189189189189189</v>
      </c>
      <c r="V144" s="38" t="n">
        <v>0</v>
      </c>
      <c r="W144" s="38" t="n">
        <v>9.611999999999995</v>
      </c>
      <c r="X144" s="38" t="n">
        <v>94.52000000000007</v>
      </c>
      <c r="Y144" s="38" t="n">
        <v>162.836</v>
      </c>
      <c r="Z144" s="38" t="n">
        <v>0</v>
      </c>
      <c r="AA144" s="36" t="n">
        <v>97</v>
      </c>
      <c r="AB144" s="37" t="n">
        <v>0.377431906614786</v>
      </c>
      <c r="AC144" s="36" t="n">
        <v>36</v>
      </c>
      <c r="AD144" s="37" t="n">
        <v>0.5806451612903226</v>
      </c>
      <c r="AE144" s="36" t="n">
        <v>57</v>
      </c>
      <c r="AF144" s="37" t="n">
        <v>0.3015873015873016</v>
      </c>
      <c r="AG144" s="36" t="n">
        <v>31</v>
      </c>
      <c r="AH144" s="37" t="n">
        <v>0.8611111111111112</v>
      </c>
    </row>
    <row r="145">
      <c r="A145" s="53" t="n">
        <v>45813</v>
      </c>
      <c r="B145" t="inlineStr">
        <is>
          <t>R10_Sumbagteng</t>
        </is>
      </c>
      <c r="C145" t="inlineStr">
        <is>
          <t>NOP BUKITTINGGI</t>
        </is>
      </c>
      <c r="D145" s="38" t="n">
        <v>0</v>
      </c>
      <c r="E145" s="38" t="n">
        <v>3.29</v>
      </c>
      <c r="F145" s="36" t="n">
        <v>2.38</v>
      </c>
      <c r="G145" s="36" t="n">
        <v>2.24</v>
      </c>
      <c r="H145" s="36" t="n">
        <v>57</v>
      </c>
      <c r="I145" s="37" t="n">
        <v>0.6705882352941176</v>
      </c>
      <c r="J145" s="36" t="n">
        <v>21</v>
      </c>
      <c r="K145" s="37" t="n">
        <v>0.8076923076923077</v>
      </c>
      <c r="L145" s="36" t="n">
        <v>36</v>
      </c>
      <c r="M145" s="37" t="n">
        <v>0.6101694915254238</v>
      </c>
      <c r="N145" s="36" t="n">
        <v>12</v>
      </c>
      <c r="O145" s="37" t="n">
        <v>0.5714285714285714</v>
      </c>
      <c r="P145" s="36" t="n">
        <v>12</v>
      </c>
      <c r="Q145" s="37" t="n">
        <v>0.5714285714285714</v>
      </c>
      <c r="R145" s="36" t="n">
        <v>84</v>
      </c>
      <c r="S145" s="37" t="n">
        <v>0.9882352941176471</v>
      </c>
      <c r="T145" s="36" t="n">
        <v>34</v>
      </c>
      <c r="U145" s="37" t="n">
        <v>0.4</v>
      </c>
      <c r="V145" s="38" t="n">
        <v>0</v>
      </c>
      <c r="W145" s="38" t="n">
        <v>2.957</v>
      </c>
      <c r="X145" s="38" t="n">
        <v>97.20999999999999</v>
      </c>
      <c r="Y145" s="38" t="n">
        <v>137.607</v>
      </c>
      <c r="Z145" s="38" t="n">
        <v>0</v>
      </c>
      <c r="AA145" s="36" t="n">
        <v>52</v>
      </c>
      <c r="AB145" s="37" t="n">
        <v>0.5531914893617021</v>
      </c>
      <c r="AC145" s="36" t="n">
        <v>12</v>
      </c>
      <c r="AD145" s="37" t="n">
        <v>1</v>
      </c>
      <c r="AE145" s="36" t="n">
        <v>38</v>
      </c>
      <c r="AF145" s="37" t="n">
        <v>0.4810126582278481</v>
      </c>
      <c r="AG145" s="36" t="n">
        <v>7</v>
      </c>
      <c r="AH145" s="37" t="n">
        <v>0.5833333333333334</v>
      </c>
    </row>
    <row r="146">
      <c r="A146" s="53" t="n">
        <v>45813</v>
      </c>
      <c r="B146" t="inlineStr">
        <is>
          <t>R10_Sumbagteng</t>
        </is>
      </c>
      <c r="C146" t="inlineStr">
        <is>
          <t>NOP DUMAI</t>
        </is>
      </c>
      <c r="D146" s="38" t="n">
        <v>2.080000000000001</v>
      </c>
      <c r="E146" s="38" t="n">
        <v>3.516000000000002</v>
      </c>
      <c r="F146" s="36" t="n">
        <v>9.294</v>
      </c>
      <c r="G146" s="36" t="n">
        <v>9.4</v>
      </c>
      <c r="H146" s="36" t="n">
        <v>73</v>
      </c>
      <c r="I146" s="37" t="n">
        <v>0.5887096774193549</v>
      </c>
      <c r="J146" s="36" t="n">
        <v>11</v>
      </c>
      <c r="K146" s="37" t="n">
        <v>0.3793103448275862</v>
      </c>
      <c r="L146" s="36" t="n">
        <v>62</v>
      </c>
      <c r="M146" s="37" t="n">
        <v>0.6526315789473685</v>
      </c>
      <c r="N146" s="36" t="n">
        <v>10</v>
      </c>
      <c r="O146" s="37" t="n">
        <v>0.9090909090909091</v>
      </c>
      <c r="P146" s="36" t="n">
        <v>10</v>
      </c>
      <c r="Q146" s="37" t="n">
        <v>0.9090909090909091</v>
      </c>
      <c r="R146" s="36" t="n">
        <v>122</v>
      </c>
      <c r="S146" s="37" t="n">
        <v>0.9838709677419355</v>
      </c>
      <c r="T146" s="36" t="n">
        <v>48</v>
      </c>
      <c r="U146" s="37" t="n">
        <v>0.3870967741935484</v>
      </c>
      <c r="V146" s="38" t="n">
        <v>0</v>
      </c>
      <c r="W146" s="38" t="n">
        <v>12.405</v>
      </c>
      <c r="X146" s="38" t="n">
        <v>65.82000000000009</v>
      </c>
      <c r="Y146" s="38" t="n">
        <v>98.13399999999996</v>
      </c>
      <c r="Z146" s="38" t="n">
        <v>0</v>
      </c>
      <c r="AA146" s="36" t="n">
        <v>86</v>
      </c>
      <c r="AB146" s="37" t="n">
        <v>0.2422535211267606</v>
      </c>
      <c r="AC146" s="36" t="n">
        <v>26</v>
      </c>
      <c r="AD146" s="37" t="n">
        <v>0.3939393939393939</v>
      </c>
      <c r="AE146" s="36" t="n">
        <v>58</v>
      </c>
      <c r="AF146" s="37" t="n">
        <v>0.2035087719298246</v>
      </c>
      <c r="AG146" s="36" t="n">
        <v>24</v>
      </c>
      <c r="AH146" s="37" t="n">
        <v>0.9230769230769231</v>
      </c>
    </row>
    <row r="147">
      <c r="A147" s="53" t="n">
        <v>45813</v>
      </c>
      <c r="B147" t="inlineStr">
        <is>
          <t>R10_Sumbagteng</t>
        </is>
      </c>
      <c r="C147" t="inlineStr">
        <is>
          <t>NOP PADANG</t>
        </is>
      </c>
      <c r="D147" s="38" t="n">
        <v>0</v>
      </c>
      <c r="E147" s="38" t="n">
        <v>4.486</v>
      </c>
      <c r="F147" s="36" t="n">
        <v>3.02</v>
      </c>
      <c r="G147" s="36" t="n">
        <v>1.54</v>
      </c>
      <c r="H147" s="36" t="n">
        <v>31</v>
      </c>
      <c r="I147" s="37" t="n">
        <v>0.5166666666666667</v>
      </c>
      <c r="J147" s="36" t="n">
        <v>4</v>
      </c>
      <c r="K147" s="37" t="n">
        <v>0.8</v>
      </c>
      <c r="L147" s="36" t="n">
        <v>27</v>
      </c>
      <c r="M147" s="37" t="n">
        <v>0.4909090909090909</v>
      </c>
      <c r="N147" s="36" t="n">
        <v>3</v>
      </c>
      <c r="O147" s="37" t="n">
        <v>0.75</v>
      </c>
      <c r="P147" s="36" t="n">
        <v>3</v>
      </c>
      <c r="Q147" s="37" t="n">
        <v>0.75</v>
      </c>
      <c r="R147" s="36" t="n">
        <v>58</v>
      </c>
      <c r="S147" s="37" t="n">
        <v>0.9666666666666667</v>
      </c>
      <c r="T147" s="36" t="n">
        <v>23</v>
      </c>
      <c r="U147" s="37" t="n">
        <v>0.3833333333333334</v>
      </c>
      <c r="V147" s="38" t="n">
        <v>0</v>
      </c>
      <c r="W147" s="38" t="n">
        <v>5.603000000000001</v>
      </c>
      <c r="X147" s="38" t="n">
        <v>76.92599999999996</v>
      </c>
      <c r="Y147" s="38" t="n">
        <v>179.24</v>
      </c>
      <c r="Z147" s="38" t="n">
        <v>0</v>
      </c>
      <c r="AA147" s="36" t="n">
        <v>93</v>
      </c>
      <c r="AB147" s="37" t="n">
        <v>0.8378378378378378</v>
      </c>
      <c r="AC147" s="36" t="n">
        <v>24</v>
      </c>
      <c r="AD147" s="37" t="n">
        <v>0.75</v>
      </c>
      <c r="AE147" s="36" t="n">
        <v>68</v>
      </c>
      <c r="AF147" s="37" t="n">
        <v>0.8717948717948718</v>
      </c>
      <c r="AG147" s="36" t="n">
        <v>12</v>
      </c>
      <c r="AH147" s="37" t="n">
        <v>0.5</v>
      </c>
    </row>
    <row r="148">
      <c r="A148" s="53" t="n">
        <v>45813</v>
      </c>
      <c r="B148" t="inlineStr">
        <is>
          <t>R10_Sumbagteng</t>
        </is>
      </c>
      <c r="C148" t="inlineStr">
        <is>
          <t>NOP PEKANBARU</t>
        </is>
      </c>
      <c r="D148" s="38" t="n">
        <v>0</v>
      </c>
      <c r="E148" s="38" t="n">
        <v>4.059999999999999</v>
      </c>
      <c r="F148" s="36" t="n">
        <v>3.298</v>
      </c>
      <c r="G148" s="36" t="n">
        <v>3.306</v>
      </c>
      <c r="H148" s="36" t="n">
        <v>35</v>
      </c>
      <c r="I148" s="37" t="n">
        <v>0.2611940298507462</v>
      </c>
      <c r="J148" s="36" t="n">
        <v>6</v>
      </c>
      <c r="K148" s="37" t="n">
        <v>0.3157894736842105</v>
      </c>
      <c r="L148" s="36" t="n">
        <v>29</v>
      </c>
      <c r="M148" s="37" t="n">
        <v>0.2521739130434782</v>
      </c>
      <c r="N148" s="36" t="n">
        <v>6</v>
      </c>
      <c r="O148" s="37" t="n">
        <v>1</v>
      </c>
      <c r="P148" s="36" t="n">
        <v>6</v>
      </c>
      <c r="Q148" s="37" t="n">
        <v>1</v>
      </c>
      <c r="R148" s="36" t="n">
        <v>134</v>
      </c>
      <c r="S148" s="37" t="n">
        <v>1</v>
      </c>
      <c r="T148" s="36" t="n">
        <v>21</v>
      </c>
      <c r="U148" s="37" t="n">
        <v>0.1567164179104478</v>
      </c>
      <c r="V148" s="38" t="n">
        <v>0</v>
      </c>
      <c r="W148" s="38" t="n">
        <v>6.071000000000003</v>
      </c>
      <c r="X148" s="38" t="n">
        <v>41.98</v>
      </c>
      <c r="Y148" s="38" t="n">
        <v>84.12200000000004</v>
      </c>
      <c r="Z148" s="38" t="n">
        <v>0</v>
      </c>
      <c r="AA148" s="36" t="n">
        <v>78</v>
      </c>
      <c r="AB148" s="37" t="n">
        <v>0.3035019455252918</v>
      </c>
      <c r="AC148" s="36" t="n">
        <v>20</v>
      </c>
      <c r="AD148" s="37" t="n">
        <v>0.3333333333333333</v>
      </c>
      <c r="AE148" s="36" t="n">
        <v>58</v>
      </c>
      <c r="AF148" s="37" t="n">
        <v>0.2989690721649484</v>
      </c>
      <c r="AG148" s="36" t="n">
        <v>19</v>
      </c>
      <c r="AH148" s="37" t="n">
        <v>0.95</v>
      </c>
    </row>
    <row r="149">
      <c r="A149" s="53" t="n">
        <v>45813</v>
      </c>
      <c r="B149" t="inlineStr">
        <is>
          <t>R02_Sumbagsel</t>
        </is>
      </c>
      <c r="C149" t="inlineStr">
        <is>
          <t>NOP BENGKULU</t>
        </is>
      </c>
      <c r="D149" s="38" t="n">
        <v>0.788</v>
      </c>
      <c r="E149" s="38" t="n">
        <v>2.979999999999998</v>
      </c>
      <c r="F149" s="36" t="n">
        <v>2.32</v>
      </c>
      <c r="G149" s="36" t="n">
        <v>6.607</v>
      </c>
      <c r="H149" s="36" t="n">
        <v>35</v>
      </c>
      <c r="I149" s="37" t="n">
        <v>0.4794520547945205</v>
      </c>
      <c r="J149" s="36" t="n">
        <v>1</v>
      </c>
      <c r="K149" s="37" t="n">
        <v>0.07692307692307693</v>
      </c>
      <c r="L149" s="36" t="n">
        <v>34</v>
      </c>
      <c r="M149" s="37" t="n">
        <v>0.5666666666666667</v>
      </c>
      <c r="N149" s="36" t="n">
        <v>1</v>
      </c>
      <c r="O149" s="37" t="n">
        <v>1</v>
      </c>
      <c r="P149" s="36" t="n">
        <v>1</v>
      </c>
      <c r="Q149" s="37" t="n">
        <v>1</v>
      </c>
      <c r="R149" s="36" t="n">
        <v>70</v>
      </c>
      <c r="S149" s="37" t="n">
        <v>0.958904109589041</v>
      </c>
      <c r="T149" s="36" t="n">
        <v>17</v>
      </c>
      <c r="U149" s="37" t="n">
        <v>0.2328767123287671</v>
      </c>
      <c r="V149" s="38" t="n">
        <v>0</v>
      </c>
      <c r="W149" s="38" t="n">
        <v>6.461999999999997</v>
      </c>
      <c r="X149" s="38" t="n">
        <v>4.379</v>
      </c>
      <c r="Y149" s="38" t="n">
        <v>4.994</v>
      </c>
      <c r="Z149" s="38" t="n">
        <v>0</v>
      </c>
      <c r="AA149" s="36" t="n">
        <v>85</v>
      </c>
      <c r="AB149" s="37" t="n">
        <v>0.4913294797687861</v>
      </c>
      <c r="AC149" s="36" t="n">
        <v>35</v>
      </c>
      <c r="AD149" s="37" t="n">
        <v>0.3763440860215054</v>
      </c>
      <c r="AE149" s="36" t="n">
        <v>37</v>
      </c>
      <c r="AF149" s="37" t="n">
        <v>0.5692307692307692</v>
      </c>
      <c r="AG149" s="36" t="n">
        <v>30</v>
      </c>
      <c r="AH149" s="37" t="n">
        <v>0.8571428571428571</v>
      </c>
    </row>
    <row r="150">
      <c r="A150" s="53" t="n">
        <v>45813</v>
      </c>
      <c r="B150" t="inlineStr">
        <is>
          <t>R02_Sumbagsel</t>
        </is>
      </c>
      <c r="C150" t="inlineStr">
        <is>
          <t>NOP JAMBI</t>
        </is>
      </c>
      <c r="D150" s="38" t="n">
        <v>3.47</v>
      </c>
      <c r="E150" s="38" t="n">
        <v>2.666</v>
      </c>
      <c r="F150" s="36" t="n">
        <v>3.46</v>
      </c>
      <c r="G150" s="36" t="n">
        <v>4.610000000000007</v>
      </c>
      <c r="H150" s="36" t="n">
        <v>44</v>
      </c>
      <c r="I150" s="37" t="n">
        <v>0.2732919254658385</v>
      </c>
      <c r="J150" s="36" t="n">
        <v>19</v>
      </c>
      <c r="K150" s="37" t="n">
        <v>0.3877551020408163</v>
      </c>
      <c r="L150" s="36" t="n">
        <v>25</v>
      </c>
      <c r="M150" s="37" t="n">
        <v>0.2232142857142857</v>
      </c>
      <c r="N150" s="36" t="n">
        <v>10</v>
      </c>
      <c r="O150" s="37" t="n">
        <v>0.5263157894736842</v>
      </c>
      <c r="P150" s="36" t="n">
        <v>10</v>
      </c>
      <c r="Q150" s="37" t="n">
        <v>0.5263157894736842</v>
      </c>
      <c r="R150" s="36" t="n">
        <v>161</v>
      </c>
      <c r="S150" s="37" t="n">
        <v>1</v>
      </c>
      <c r="T150" s="36" t="n">
        <v>23</v>
      </c>
      <c r="U150" s="37" t="n">
        <v>0.1428571428571428</v>
      </c>
      <c r="V150" s="38" t="n">
        <v>0</v>
      </c>
      <c r="W150" s="38" t="n">
        <v>2.366</v>
      </c>
      <c r="X150" s="38" t="n">
        <v>5.700000000000001</v>
      </c>
      <c r="Y150" s="38" t="n">
        <v>85.74200000000003</v>
      </c>
      <c r="Z150" s="38" t="n">
        <v>0</v>
      </c>
      <c r="AA150" s="36" t="n">
        <v>50</v>
      </c>
      <c r="AB150" s="37" t="n">
        <v>0.2016129032258064</v>
      </c>
      <c r="AC150" s="36" t="n">
        <v>23</v>
      </c>
      <c r="AD150" s="37" t="n">
        <v>0.1608391608391608</v>
      </c>
      <c r="AE150" s="36" t="n">
        <v>25</v>
      </c>
      <c r="AF150" s="37" t="n">
        <v>0.2976190476190476</v>
      </c>
      <c r="AG150" s="36" t="n">
        <v>14</v>
      </c>
      <c r="AH150" s="37" t="n">
        <v>0.6086956521739131</v>
      </c>
    </row>
    <row r="151">
      <c r="A151" s="53" t="n">
        <v>45813</v>
      </c>
      <c r="B151" t="inlineStr">
        <is>
          <t>R02_Sumbagsel</t>
        </is>
      </c>
      <c r="C151" t="inlineStr">
        <is>
          <t>NOP LAMPUNG</t>
        </is>
      </c>
      <c r="D151" s="38" t="n">
        <v>0</v>
      </c>
      <c r="E151" s="38" t="n">
        <v>3.864000000000002</v>
      </c>
      <c r="F151" s="36" t="n">
        <v>1.45</v>
      </c>
      <c r="G151" s="36" t="n">
        <v>2.36</v>
      </c>
      <c r="H151" s="36" t="n">
        <v>16</v>
      </c>
      <c r="I151" s="37" t="n">
        <v>0.5333333333333333</v>
      </c>
      <c r="J151" s="36" t="n">
        <v>4</v>
      </c>
      <c r="K151" s="37" t="n">
        <v>0.5714285714285714</v>
      </c>
      <c r="L151" s="36" t="n">
        <v>12</v>
      </c>
      <c r="M151" s="37" t="n">
        <v>0.5217391304347826</v>
      </c>
      <c r="N151" s="36" t="n">
        <v>3</v>
      </c>
      <c r="O151" s="37" t="n">
        <v>0.75</v>
      </c>
      <c r="P151" s="36" t="n">
        <v>3</v>
      </c>
      <c r="Q151" s="37" t="n">
        <v>0.75</v>
      </c>
      <c r="R151" s="36" t="n">
        <v>28</v>
      </c>
      <c r="S151" s="37" t="n">
        <v>0.9333333333333333</v>
      </c>
      <c r="T151" s="36" t="n">
        <v>12</v>
      </c>
      <c r="U151" s="37" t="n">
        <v>0.4</v>
      </c>
      <c r="V151" s="38" t="n">
        <v>0</v>
      </c>
      <c r="W151" s="38" t="n">
        <v>10.28900000000001</v>
      </c>
      <c r="X151" s="38" t="n">
        <v>5.116000000000001</v>
      </c>
      <c r="Y151" s="38" t="n">
        <v>62.417</v>
      </c>
      <c r="Z151" s="38" t="n">
        <v>0</v>
      </c>
      <c r="AA151" s="36" t="n">
        <v>98</v>
      </c>
      <c r="AB151" s="37" t="n">
        <v>0.8672566371681416</v>
      </c>
      <c r="AC151" s="36" t="n">
        <v>26</v>
      </c>
      <c r="AD151" s="37" t="n">
        <v>0.8125</v>
      </c>
      <c r="AE151" s="36" t="n">
        <v>71</v>
      </c>
      <c r="AF151" s="37" t="n">
        <v>0.8987341772151899</v>
      </c>
      <c r="AG151" s="36" t="n">
        <v>20</v>
      </c>
      <c r="AH151" s="37" t="n">
        <v>0.7692307692307693</v>
      </c>
    </row>
    <row r="152">
      <c r="A152" s="53" t="n">
        <v>45813</v>
      </c>
      <c r="B152" t="inlineStr">
        <is>
          <t>R02_Sumbagsel</t>
        </is>
      </c>
      <c r="C152" t="inlineStr">
        <is>
          <t>NOP MUARA ENIM</t>
        </is>
      </c>
      <c r="D152" s="38" t="n">
        <v>0</v>
      </c>
      <c r="E152" s="38" t="n">
        <v>5.668</v>
      </c>
      <c r="F152" s="36" t="n">
        <v>8.883000000000003</v>
      </c>
      <c r="G152" s="36" t="n">
        <v>3.355000000000002</v>
      </c>
      <c r="H152" s="36" t="n">
        <v>28</v>
      </c>
      <c r="I152" s="37" t="n">
        <v>0.3076923076923077</v>
      </c>
      <c r="J152" s="36" t="n">
        <v>4</v>
      </c>
      <c r="K152" s="37" t="n">
        <v>0.4444444444444444</v>
      </c>
      <c r="L152" s="36" t="n">
        <v>24</v>
      </c>
      <c r="M152" s="37" t="n">
        <v>0.2926829268292683</v>
      </c>
      <c r="N152" s="36" t="n">
        <v>4</v>
      </c>
      <c r="O152" s="37" t="n">
        <v>1</v>
      </c>
      <c r="P152" s="36" t="n">
        <v>4</v>
      </c>
      <c r="Q152" s="37" t="n">
        <v>1</v>
      </c>
      <c r="R152" s="36" t="n">
        <v>91</v>
      </c>
      <c r="S152" s="37" t="n">
        <v>1</v>
      </c>
      <c r="T152" s="36" t="n">
        <v>17</v>
      </c>
      <c r="U152" s="37" t="n">
        <v>0.1868131868131868</v>
      </c>
      <c r="V152" s="38" t="n">
        <v>0</v>
      </c>
      <c r="W152" s="38" t="n">
        <v>9.029999999999999</v>
      </c>
      <c r="X152" s="38" t="n">
        <v>25.60600000000004</v>
      </c>
      <c r="Y152" s="38" t="n">
        <v>5.050000000000002</v>
      </c>
      <c r="Z152" s="38" t="n">
        <v>0</v>
      </c>
      <c r="AA152" s="36" t="n">
        <v>96</v>
      </c>
      <c r="AB152" s="37" t="n">
        <v>0.4948453608247423</v>
      </c>
      <c r="AC152" s="36" t="n">
        <v>36</v>
      </c>
      <c r="AD152" s="37" t="n">
        <v>0.4186046511627907</v>
      </c>
      <c r="AE152" s="36" t="n">
        <v>56</v>
      </c>
      <c r="AF152" s="37" t="n">
        <v>0.5656565656565656</v>
      </c>
      <c r="AG152" s="36" t="n">
        <v>26</v>
      </c>
      <c r="AH152" s="37" t="n">
        <v>0.7222222222222222</v>
      </c>
    </row>
    <row r="153">
      <c r="A153" s="53" t="n">
        <v>45813</v>
      </c>
      <c r="B153" t="inlineStr">
        <is>
          <t>R02_Sumbagsel</t>
        </is>
      </c>
      <c r="C153" t="inlineStr">
        <is>
          <t>NOP PALEMBANG</t>
        </is>
      </c>
      <c r="D153" s="38" t="n">
        <v>1.546</v>
      </c>
      <c r="E153" s="38" t="n">
        <v>2.333</v>
      </c>
      <c r="F153" s="36" t="n">
        <v>4.927000000000001</v>
      </c>
      <c r="G153" s="36" t="n">
        <v>6.328</v>
      </c>
      <c r="H153" s="36" t="n">
        <v>38</v>
      </c>
      <c r="I153" s="37" t="n">
        <v>0.3015873015873016</v>
      </c>
      <c r="J153" s="36" t="n">
        <v>2</v>
      </c>
      <c r="K153" s="37" t="n">
        <v>0.1333333333333333</v>
      </c>
      <c r="L153" s="36" t="n">
        <v>36</v>
      </c>
      <c r="M153" s="37" t="n">
        <v>0.3243243243243243</v>
      </c>
      <c r="N153" s="36" t="n">
        <v>1</v>
      </c>
      <c r="O153" s="37" t="n">
        <v>0.5</v>
      </c>
      <c r="P153" s="36" t="n">
        <v>1</v>
      </c>
      <c r="Q153" s="37" t="n">
        <v>0.5</v>
      </c>
      <c r="R153" s="36" t="n">
        <v>126</v>
      </c>
      <c r="S153" s="37" t="n">
        <v>1</v>
      </c>
      <c r="T153" s="36" t="n">
        <v>23</v>
      </c>
      <c r="U153" s="37" t="n">
        <v>0.1825396825396825</v>
      </c>
      <c r="V153" s="38" t="n">
        <v>0</v>
      </c>
      <c r="W153" s="38" t="n">
        <v>3.685</v>
      </c>
      <c r="X153" s="38" t="n">
        <v>16.07200000000002</v>
      </c>
      <c r="Y153" s="38" t="n">
        <v>36.71199999999997</v>
      </c>
      <c r="Z153" s="38" t="n">
        <v>0</v>
      </c>
      <c r="AA153" s="36" t="n">
        <v>20</v>
      </c>
      <c r="AB153" s="37" t="n">
        <v>0.1257861635220126</v>
      </c>
      <c r="AC153" s="36" t="n">
        <v>10</v>
      </c>
      <c r="AD153" s="37" t="n">
        <v>0.1162790697674419</v>
      </c>
      <c r="AE153" s="36" t="n">
        <v>10</v>
      </c>
      <c r="AF153" s="37" t="n">
        <v>0.1851851851851852</v>
      </c>
      <c r="AG153" s="36" t="n">
        <v>9</v>
      </c>
      <c r="AH153" s="37" t="n">
        <v>0.9</v>
      </c>
    </row>
    <row r="154">
      <c r="A154" s="53" t="n">
        <v>45813</v>
      </c>
      <c r="B154" t="inlineStr">
        <is>
          <t>R02_Sumbagsel</t>
        </is>
      </c>
      <c r="C154" t="inlineStr">
        <is>
          <t>NOP PANGKAL PINANG</t>
        </is>
      </c>
      <c r="D154" s="38" t="n">
        <v>0</v>
      </c>
      <c r="E154" s="38" t="n">
        <v>0</v>
      </c>
      <c r="F154" s="36" t="n">
        <v>2.93</v>
      </c>
      <c r="G154" s="36" t="n">
        <v>2.426</v>
      </c>
      <c r="H154" s="36" t="n">
        <v>5</v>
      </c>
      <c r="I154" s="37" t="n">
        <v>0.4545454545454545</v>
      </c>
      <c r="J154" s="36" t="n">
        <v>0</v>
      </c>
      <c r="K154" s="37" t="n">
        <v>0</v>
      </c>
      <c r="L154" s="36" t="n">
        <v>5</v>
      </c>
      <c r="M154" s="37" t="n">
        <v>0.4545454545454545</v>
      </c>
      <c r="N154" s="36" t="n">
        <v>0</v>
      </c>
      <c r="O154" s="37" t="n">
        <v>0</v>
      </c>
      <c r="P154" s="36" t="n">
        <v>0</v>
      </c>
      <c r="Q154" s="37" t="n">
        <v>0</v>
      </c>
      <c r="R154" s="36" t="n">
        <v>11</v>
      </c>
      <c r="S154" s="37" t="n">
        <v>1</v>
      </c>
      <c r="T154" s="36" t="n">
        <v>5</v>
      </c>
      <c r="U154" s="37" t="n">
        <v>0.4545454545454545</v>
      </c>
      <c r="V154" s="38" t="n">
        <v>0</v>
      </c>
      <c r="W154" s="38" t="n">
        <v>9.345000000000002</v>
      </c>
      <c r="X154" s="38" t="n">
        <v>4.114000000000001</v>
      </c>
      <c r="Y154" s="38" t="n">
        <v>5.01</v>
      </c>
      <c r="Z154" s="38" t="n">
        <v>0</v>
      </c>
      <c r="AA154" s="36" t="n">
        <v>58</v>
      </c>
      <c r="AB154" s="37" t="n">
        <v>0.8787878787878788</v>
      </c>
      <c r="AC154" s="36" t="n">
        <v>13</v>
      </c>
      <c r="AD154" s="37" t="n">
        <v>0.9285714285714286</v>
      </c>
      <c r="AE154" s="36" t="n">
        <v>45</v>
      </c>
      <c r="AF154" s="37" t="n">
        <v>0.9</v>
      </c>
      <c r="AG154" s="36" t="n">
        <v>11</v>
      </c>
      <c r="AH154" s="37" t="n">
        <v>0.8461538461538461</v>
      </c>
    </row>
    <row r="155">
      <c r="A155" s="53" t="n">
        <v>45813</v>
      </c>
      <c r="B155" t="inlineStr">
        <is>
          <t>R05_Jawa Tengah DIY</t>
        </is>
      </c>
      <c r="C155" t="inlineStr">
        <is>
          <t>NOP MAGELANG</t>
        </is>
      </c>
      <c r="D155" s="38" t="n">
        <v>0</v>
      </c>
      <c r="E155" s="38" t="n">
        <v>0</v>
      </c>
      <c r="F155" s="36" t="n">
        <v>2.45</v>
      </c>
      <c r="G155" s="36" t="n">
        <v>0</v>
      </c>
      <c r="H155" s="36" t="n">
        <v>8</v>
      </c>
      <c r="I155" s="37" t="n">
        <v>0.7272727272727273</v>
      </c>
      <c r="J155" s="36" t="n">
        <v>0</v>
      </c>
      <c r="K155" s="37" t="n">
        <v>0</v>
      </c>
      <c r="L155" s="36" t="n">
        <v>8</v>
      </c>
      <c r="M155" s="37" t="n">
        <v>0.7272727272727273</v>
      </c>
      <c r="N155" s="36" t="n">
        <v>0</v>
      </c>
      <c r="O155" s="37" t="n">
        <v>0</v>
      </c>
      <c r="P155" s="36" t="n">
        <v>0</v>
      </c>
      <c r="Q155" s="37" t="n">
        <v>0</v>
      </c>
      <c r="R155" s="36" t="n">
        <v>11</v>
      </c>
      <c r="S155" s="37" t="n">
        <v>1</v>
      </c>
      <c r="T155" s="36" t="n">
        <v>7</v>
      </c>
      <c r="U155" s="37" t="n">
        <v>0.6363636363636364</v>
      </c>
      <c r="V155" s="38" t="n">
        <v>0</v>
      </c>
      <c r="W155" s="38" t="n">
        <v>2.122</v>
      </c>
      <c r="X155" s="38" t="n">
        <v>4.999000000000001</v>
      </c>
      <c r="Y155" s="38" t="n">
        <v>13.93</v>
      </c>
      <c r="Z155" s="38" t="n">
        <v>0</v>
      </c>
      <c r="AA155" s="36" t="n">
        <v>57</v>
      </c>
      <c r="AB155" s="37" t="n">
        <v>0.9661016949152542</v>
      </c>
      <c r="AC155" s="36" t="n">
        <v>7</v>
      </c>
      <c r="AD155" s="37" t="n">
        <v>1</v>
      </c>
      <c r="AE155" s="36" t="n">
        <v>50</v>
      </c>
      <c r="AF155" s="37" t="n">
        <v>0.9615384615384616</v>
      </c>
      <c r="AG155" s="36" t="n">
        <v>7</v>
      </c>
      <c r="AH155" s="37" t="n">
        <v>1</v>
      </c>
    </row>
    <row r="156">
      <c r="A156" s="53" t="n">
        <v>45813</v>
      </c>
      <c r="B156" t="inlineStr">
        <is>
          <t>R05_Jawa Tengah DIY</t>
        </is>
      </c>
      <c r="C156" t="inlineStr">
        <is>
          <t>NOP PEKALONGAN</t>
        </is>
      </c>
      <c r="D156" s="38" t="n">
        <v>1.19</v>
      </c>
      <c r="E156" s="38" t="n">
        <v>0</v>
      </c>
      <c r="F156" s="36" t="n">
        <v>0</v>
      </c>
      <c r="G156" s="36" t="n">
        <v>4.228000000000001</v>
      </c>
      <c r="H156" s="36" t="n">
        <v>2</v>
      </c>
      <c r="I156" s="37" t="n">
        <v>0.5</v>
      </c>
      <c r="J156" s="36" t="n">
        <v>1</v>
      </c>
      <c r="K156" s="37" t="n">
        <v>1</v>
      </c>
      <c r="L156" s="36" t="n">
        <v>1</v>
      </c>
      <c r="M156" s="37" t="n">
        <v>0.3333333333333333</v>
      </c>
      <c r="N156" s="36" t="n">
        <v>1</v>
      </c>
      <c r="O156" s="37" t="n">
        <v>1</v>
      </c>
      <c r="P156" s="36" t="n">
        <v>1</v>
      </c>
      <c r="Q156" s="37" t="n">
        <v>1</v>
      </c>
      <c r="R156" s="36" t="n">
        <v>4</v>
      </c>
      <c r="S156" s="37" t="n">
        <v>1</v>
      </c>
      <c r="T156" s="36" t="n">
        <v>2</v>
      </c>
      <c r="U156" s="37" t="n">
        <v>0.5</v>
      </c>
      <c r="V156" s="38" t="n">
        <v>0</v>
      </c>
      <c r="W156" s="38" t="n">
        <v>3.219</v>
      </c>
      <c r="X156" s="38" t="n">
        <v>3.940000000000001</v>
      </c>
      <c r="Y156" s="38" t="n">
        <v>43.45</v>
      </c>
      <c r="Z156" s="38" t="n">
        <v>0</v>
      </c>
      <c r="AA156" s="36" t="n">
        <v>25</v>
      </c>
      <c r="AB156" s="37" t="n">
        <v>0.7142857142857143</v>
      </c>
      <c r="AC156" s="36" t="n">
        <v>2</v>
      </c>
      <c r="AD156" s="37" t="n">
        <v>0.5</v>
      </c>
      <c r="AE156" s="36" t="n">
        <v>23</v>
      </c>
      <c r="AF156" s="37" t="n">
        <v>0.7419354838709677</v>
      </c>
      <c r="AG156" s="36" t="n">
        <v>1</v>
      </c>
      <c r="AH156" s="37" t="n">
        <v>0.5</v>
      </c>
    </row>
    <row r="157">
      <c r="A157" s="53" t="n">
        <v>45813</v>
      </c>
      <c r="B157" t="inlineStr">
        <is>
          <t>R05_Jawa Tengah DIY</t>
        </is>
      </c>
      <c r="C157" t="inlineStr">
        <is>
          <t>NOP PURWOKERTO</t>
        </is>
      </c>
      <c r="D157" s="38" t="n">
        <v>0</v>
      </c>
      <c r="E157" s="38" t="n">
        <v>0</v>
      </c>
      <c r="F157" s="36" t="n">
        <v>3.814000000000002</v>
      </c>
      <c r="G157" s="36" t="n">
        <v>3.612000000000001</v>
      </c>
      <c r="H157" s="36" t="n">
        <v>9</v>
      </c>
      <c r="I157" s="37" t="n">
        <v>0.6428571428571429</v>
      </c>
      <c r="J157" s="36" t="n">
        <v>0</v>
      </c>
      <c r="K157" s="37" t="n">
        <v>0</v>
      </c>
      <c r="L157" s="36" t="n">
        <v>9</v>
      </c>
      <c r="M157" s="37" t="n">
        <v>0.6428571428571429</v>
      </c>
      <c r="N157" s="36" t="n">
        <v>0</v>
      </c>
      <c r="O157" s="37" t="n">
        <v>0</v>
      </c>
      <c r="P157" s="36" t="n">
        <v>0</v>
      </c>
      <c r="Q157" s="37" t="n">
        <v>0</v>
      </c>
      <c r="R157" s="36" t="n">
        <v>13</v>
      </c>
      <c r="S157" s="37" t="n">
        <v>0.9285714285714286</v>
      </c>
      <c r="T157" s="36" t="n">
        <v>6</v>
      </c>
      <c r="U157" s="37" t="n">
        <v>0.4285714285714285</v>
      </c>
      <c r="V157" s="38" t="n">
        <v>0.55</v>
      </c>
      <c r="W157" s="38" t="n">
        <v>1.19</v>
      </c>
      <c r="X157" s="38" t="n">
        <v>2.722</v>
      </c>
      <c r="Y157" s="38" t="n">
        <v>14.765</v>
      </c>
      <c r="Z157" s="38" t="n">
        <v>0</v>
      </c>
      <c r="AA157" s="36" t="n">
        <v>13</v>
      </c>
      <c r="AB157" s="37" t="n">
        <v>0.9285714285714286</v>
      </c>
      <c r="AC157" s="36" t="n">
        <v>4</v>
      </c>
      <c r="AD157" s="37" t="n">
        <v>0.8</v>
      </c>
      <c r="AE157" s="36" t="n">
        <v>9</v>
      </c>
      <c r="AF157" s="37" t="n">
        <v>1</v>
      </c>
      <c r="AG157" s="36" t="n">
        <v>2</v>
      </c>
      <c r="AH157" s="37" t="n">
        <v>0.5</v>
      </c>
    </row>
    <row r="158">
      <c r="A158" s="53" t="n">
        <v>45813</v>
      </c>
      <c r="B158" t="inlineStr">
        <is>
          <t>R05_Jawa Tengah DIY</t>
        </is>
      </c>
      <c r="C158" t="inlineStr">
        <is>
          <t>NOP SEMARANG</t>
        </is>
      </c>
      <c r="D158" s="38" t="n">
        <v>2.633</v>
      </c>
      <c r="E158" s="38" t="n">
        <v>0</v>
      </c>
      <c r="F158" s="36" t="n">
        <v>1.612</v>
      </c>
      <c r="G158" s="36" t="n">
        <v>2.534</v>
      </c>
      <c r="H158" s="36" t="n">
        <v>8</v>
      </c>
      <c r="I158" s="37" t="n">
        <v>0.3809523809523809</v>
      </c>
      <c r="J158" s="36" t="n">
        <v>1</v>
      </c>
      <c r="K158" s="37" t="n">
        <v>0.5</v>
      </c>
      <c r="L158" s="36" t="n">
        <v>7</v>
      </c>
      <c r="M158" s="37" t="n">
        <v>0.3684210526315789</v>
      </c>
      <c r="N158" s="36" t="n">
        <v>1</v>
      </c>
      <c r="O158" s="37" t="n">
        <v>1</v>
      </c>
      <c r="P158" s="36" t="n">
        <v>1</v>
      </c>
      <c r="Q158" s="37" t="n">
        <v>1</v>
      </c>
      <c r="R158" s="36" t="n">
        <v>19</v>
      </c>
      <c r="S158" s="37" t="n">
        <v>0.9047619047619048</v>
      </c>
      <c r="T158" s="36" t="n">
        <v>6</v>
      </c>
      <c r="U158" s="37" t="n">
        <v>0.2857142857142857</v>
      </c>
      <c r="V158" s="38" t="n">
        <v>0</v>
      </c>
      <c r="W158" s="38" t="n">
        <v>3.21</v>
      </c>
      <c r="X158" s="38" t="n">
        <v>7.06</v>
      </c>
      <c r="Y158" s="38" t="n">
        <v>155.47</v>
      </c>
      <c r="Z158" s="38" t="n">
        <v>0</v>
      </c>
      <c r="AA158" s="36" t="n">
        <v>33</v>
      </c>
      <c r="AB158" s="37" t="n">
        <v>0.8918918918918919</v>
      </c>
      <c r="AC158" s="36" t="n">
        <v>13</v>
      </c>
      <c r="AD158" s="37" t="n">
        <v>0.9285714285714286</v>
      </c>
      <c r="AE158" s="36" t="n">
        <v>20</v>
      </c>
      <c r="AF158" s="37" t="n">
        <v>0.8695652173913043</v>
      </c>
      <c r="AG158" s="36" t="n">
        <v>13</v>
      </c>
      <c r="AH158" s="37" t="n">
        <v>1</v>
      </c>
    </row>
    <row r="159">
      <c r="A159" s="53" t="n">
        <v>45813</v>
      </c>
      <c r="B159" t="inlineStr">
        <is>
          <t>R05_Jawa Tengah DIY</t>
        </is>
      </c>
      <c r="C159" t="inlineStr">
        <is>
          <t>NOP SURAKARTA</t>
        </is>
      </c>
      <c r="D159" s="38" t="n">
        <v>0</v>
      </c>
      <c r="E159" s="38" t="n">
        <v>0</v>
      </c>
      <c r="F159" s="36" t="n">
        <v>0</v>
      </c>
      <c r="G159" s="36" t="n">
        <v>3.215</v>
      </c>
      <c r="H159" s="36" t="n">
        <v>4</v>
      </c>
      <c r="I159" s="37" t="n">
        <v>0.6666666666666666</v>
      </c>
      <c r="J159" s="36" t="n">
        <v>0</v>
      </c>
      <c r="K159" s="37" t="n">
        <v>0</v>
      </c>
      <c r="L159" s="36" t="n">
        <v>4</v>
      </c>
      <c r="M159" s="37" t="n">
        <v>0.6666666666666666</v>
      </c>
      <c r="N159" s="36" t="n">
        <v>0</v>
      </c>
      <c r="O159" s="37" t="n">
        <v>0</v>
      </c>
      <c r="P159" s="36" t="n">
        <v>0</v>
      </c>
      <c r="Q159" s="37" t="n">
        <v>0</v>
      </c>
      <c r="R159" s="36" t="n">
        <v>6</v>
      </c>
      <c r="S159" s="37" t="n">
        <v>1</v>
      </c>
      <c r="T159" s="36" t="n">
        <v>2</v>
      </c>
      <c r="U159" s="37" t="n">
        <v>0.3333333333333333</v>
      </c>
      <c r="V159" s="38" t="n">
        <v>0</v>
      </c>
      <c r="W159" s="38" t="n">
        <v>7.468000000000001</v>
      </c>
      <c r="X159" s="38" t="n">
        <v>10.716</v>
      </c>
      <c r="Y159" s="38" t="n">
        <v>31.30600000000001</v>
      </c>
      <c r="Z159" s="38" t="n">
        <v>0</v>
      </c>
      <c r="AA159" s="36" t="n">
        <v>19</v>
      </c>
      <c r="AB159" s="37" t="n">
        <v>0.9047619047619048</v>
      </c>
      <c r="AC159" s="36" t="n">
        <v>4</v>
      </c>
      <c r="AD159" s="37" t="n">
        <v>0.8</v>
      </c>
      <c r="AE159" s="36" t="n">
        <v>15</v>
      </c>
      <c r="AF159" s="37" t="n">
        <v>0.9375</v>
      </c>
      <c r="AG159" s="36" t="n">
        <v>3</v>
      </c>
      <c r="AH159" s="37" t="n">
        <v>0.75</v>
      </c>
    </row>
    <row r="160">
      <c r="A160" s="53" t="n">
        <v>45813</v>
      </c>
      <c r="B160" t="inlineStr">
        <is>
          <t>R05_Jawa Tengah DIY</t>
        </is>
      </c>
      <c r="C160" t="inlineStr">
        <is>
          <t>NOP YOGYAKARTA</t>
        </is>
      </c>
      <c r="D160" s="38" t="n">
        <v>0</v>
      </c>
      <c r="E160" s="38" t="n">
        <v>0</v>
      </c>
      <c r="F160" s="36" t="n">
        <v>2.16</v>
      </c>
      <c r="G160" s="36" t="n">
        <v>1.424</v>
      </c>
      <c r="H160" s="36" t="n">
        <v>10</v>
      </c>
      <c r="I160" s="37" t="n">
        <v>0.6666666666666666</v>
      </c>
      <c r="J160" s="36" t="n">
        <v>0</v>
      </c>
      <c r="K160" s="37" t="n">
        <v>0</v>
      </c>
      <c r="L160" s="36" t="n">
        <v>10</v>
      </c>
      <c r="M160" s="37" t="n">
        <v>0.6666666666666666</v>
      </c>
      <c r="N160" s="36" t="n">
        <v>0</v>
      </c>
      <c r="O160" s="37" t="n">
        <v>0</v>
      </c>
      <c r="P160" s="36" t="n">
        <v>0</v>
      </c>
      <c r="Q160" s="37" t="n">
        <v>0</v>
      </c>
      <c r="R160" s="36" t="n">
        <v>15</v>
      </c>
      <c r="S160" s="37" t="n">
        <v>1</v>
      </c>
      <c r="T160" s="36" t="n">
        <v>7</v>
      </c>
      <c r="U160" s="37" t="n">
        <v>0.4666666666666667</v>
      </c>
      <c r="V160" s="38" t="n">
        <v>0</v>
      </c>
      <c r="W160" s="38" t="n">
        <v>5.512</v>
      </c>
      <c r="X160" s="38" t="n">
        <v>11.93599999999998</v>
      </c>
      <c r="Y160" s="38" t="n">
        <v>36.946</v>
      </c>
      <c r="Z160" s="38" t="n">
        <v>0</v>
      </c>
      <c r="AA160" s="36" t="n">
        <v>17</v>
      </c>
      <c r="AB160" s="37" t="n">
        <v>0.85</v>
      </c>
      <c r="AC160" s="36" t="n">
        <v>2</v>
      </c>
      <c r="AD160" s="37" t="n">
        <v>1</v>
      </c>
      <c r="AE160" s="36" t="n">
        <v>15</v>
      </c>
      <c r="AF160" s="37" t="n">
        <v>0.8333333333333334</v>
      </c>
      <c r="AG160" s="36" t="n">
        <v>2</v>
      </c>
      <c r="AH160" s="37" t="n">
        <v>1</v>
      </c>
    </row>
    <row r="161">
      <c r="A161" s="53" t="n">
        <v>45813</v>
      </c>
      <c r="B161" t="inlineStr">
        <is>
          <t>R06_Jawa Timur</t>
        </is>
      </c>
      <c r="C161" t="inlineStr">
        <is>
          <t>NOP JEMBER</t>
        </is>
      </c>
      <c r="D161" s="38" t="n">
        <v>0</v>
      </c>
      <c r="E161" s="38" t="n">
        <v>0</v>
      </c>
      <c r="F161" s="36" t="n">
        <v>0.8400000000000001</v>
      </c>
      <c r="G161" s="36" t="n">
        <v>2.476</v>
      </c>
      <c r="H161" s="36" t="n">
        <v>3</v>
      </c>
      <c r="I161" s="37" t="n">
        <v>0.6</v>
      </c>
      <c r="J161" s="36" t="n">
        <v>0</v>
      </c>
      <c r="K161" s="37" t="n">
        <v>0</v>
      </c>
      <c r="L161" s="36" t="n">
        <v>3</v>
      </c>
      <c r="M161" s="37" t="n">
        <v>0.6</v>
      </c>
      <c r="N161" s="36" t="n">
        <v>0</v>
      </c>
      <c r="O161" s="37" t="n">
        <v>0</v>
      </c>
      <c r="P161" s="36" t="n">
        <v>0</v>
      </c>
      <c r="Q161" s="37" t="n">
        <v>0</v>
      </c>
      <c r="R161" s="36" t="n">
        <v>5</v>
      </c>
      <c r="S161" s="37" t="n">
        <v>1</v>
      </c>
      <c r="T161" s="36" t="n">
        <v>3</v>
      </c>
      <c r="U161" s="37" t="n">
        <v>0.6</v>
      </c>
      <c r="V161" s="38" t="n">
        <v>0</v>
      </c>
      <c r="W161" s="38" t="n">
        <v>1.104</v>
      </c>
      <c r="X161" s="38" t="n">
        <v>6.778</v>
      </c>
      <c r="Y161" s="38" t="n">
        <v>118.67</v>
      </c>
      <c r="Z161" s="38" t="n">
        <v>0</v>
      </c>
      <c r="AA161" s="36" t="n">
        <v>9</v>
      </c>
      <c r="AB161" s="37" t="n">
        <v>0.6428571428571429</v>
      </c>
      <c r="AC161" s="36" t="n">
        <v>1</v>
      </c>
      <c r="AD161" s="37" t="n">
        <v>0.25</v>
      </c>
      <c r="AE161" s="36" t="n">
        <v>8</v>
      </c>
      <c r="AF161" s="37" t="n">
        <v>0.8</v>
      </c>
      <c r="AG161" s="36" t="n">
        <v>1</v>
      </c>
      <c r="AH161" s="37" t="n">
        <v>1</v>
      </c>
    </row>
    <row r="162">
      <c r="A162" s="53" t="n">
        <v>45813</v>
      </c>
      <c r="B162" t="inlineStr">
        <is>
          <t>R06_Jawa Timur</t>
        </is>
      </c>
      <c r="C162" t="inlineStr">
        <is>
          <t>NOP KEDIRI</t>
        </is>
      </c>
      <c r="D162" s="38" t="n">
        <v>0</v>
      </c>
      <c r="E162" s="38" t="n">
        <v>0</v>
      </c>
      <c r="F162" s="36" t="n">
        <v>1.445</v>
      </c>
      <c r="G162" s="36" t="n">
        <v>2.491</v>
      </c>
      <c r="H162" s="36" t="n">
        <v>8</v>
      </c>
      <c r="I162" s="37" t="n">
        <v>0.8</v>
      </c>
      <c r="J162" s="36" t="n">
        <v>0</v>
      </c>
      <c r="K162" s="37" t="n">
        <v>0</v>
      </c>
      <c r="L162" s="36" t="n">
        <v>8</v>
      </c>
      <c r="M162" s="37" t="n">
        <v>0.8</v>
      </c>
      <c r="N162" s="36" t="n">
        <v>0</v>
      </c>
      <c r="O162" s="37" t="n">
        <v>0</v>
      </c>
      <c r="P162" s="36" t="n">
        <v>0</v>
      </c>
      <c r="Q162" s="37" t="n">
        <v>0</v>
      </c>
      <c r="R162" s="36" t="n">
        <v>10</v>
      </c>
      <c r="S162" s="37" t="n">
        <v>1</v>
      </c>
      <c r="T162" s="36" t="n">
        <v>7</v>
      </c>
      <c r="U162" s="37" t="n">
        <v>0.7</v>
      </c>
      <c r="V162" s="38" t="n">
        <v>0</v>
      </c>
      <c r="W162" s="38" t="n">
        <v>1.348</v>
      </c>
      <c r="X162" s="38" t="n">
        <v>1.429</v>
      </c>
      <c r="Y162" s="38" t="n">
        <v>0</v>
      </c>
      <c r="Z162" s="38" t="n">
        <v>0</v>
      </c>
      <c r="AA162" s="36" t="n">
        <v>9</v>
      </c>
      <c r="AB162" s="37" t="n">
        <v>0.75</v>
      </c>
      <c r="AC162" s="36" t="n">
        <v>3</v>
      </c>
      <c r="AD162" s="37" t="n">
        <v>0.75</v>
      </c>
      <c r="AE162" s="36" t="n">
        <v>6</v>
      </c>
      <c r="AF162" s="37" t="n">
        <v>0.75</v>
      </c>
      <c r="AG162" s="36" t="n">
        <v>3</v>
      </c>
      <c r="AH162" s="37" t="n">
        <v>1</v>
      </c>
    </row>
    <row r="163">
      <c r="A163" s="53" t="n">
        <v>45813</v>
      </c>
      <c r="B163" t="inlineStr">
        <is>
          <t>R06_Jawa Timur</t>
        </is>
      </c>
      <c r="C163" t="inlineStr">
        <is>
          <t>NOP LAMONGAN</t>
        </is>
      </c>
      <c r="D163" s="38" t="n">
        <v>0</v>
      </c>
      <c r="E163" s="38" t="n">
        <v>0</v>
      </c>
      <c r="F163" s="36" t="n">
        <v>1.302</v>
      </c>
      <c r="G163" s="36" t="n">
        <v>1.499</v>
      </c>
      <c r="H163" s="36" t="n">
        <v>8</v>
      </c>
      <c r="I163" s="37" t="n">
        <v>0.8888888888888888</v>
      </c>
      <c r="J163" s="36" t="n">
        <v>0</v>
      </c>
      <c r="K163" s="37" t="n">
        <v>0</v>
      </c>
      <c r="L163" s="36" t="n">
        <v>8</v>
      </c>
      <c r="M163" s="37" t="n">
        <v>0.8888888888888888</v>
      </c>
      <c r="N163" s="36" t="n">
        <v>0</v>
      </c>
      <c r="O163" s="37" t="n">
        <v>0</v>
      </c>
      <c r="P163" s="36" t="n">
        <v>0</v>
      </c>
      <c r="Q163" s="37" t="n">
        <v>0</v>
      </c>
      <c r="R163" s="36" t="n">
        <v>9</v>
      </c>
      <c r="S163" s="37" t="n">
        <v>1</v>
      </c>
      <c r="T163" s="36" t="n">
        <v>6</v>
      </c>
      <c r="U163" s="37" t="n">
        <v>0.6666666666666666</v>
      </c>
      <c r="V163" s="38" t="n">
        <v>0</v>
      </c>
      <c r="W163" s="38" t="n">
        <v>2.513</v>
      </c>
      <c r="X163" s="38" t="n">
        <v>5.635</v>
      </c>
      <c r="Y163" s="38" t="n">
        <v>23.04</v>
      </c>
      <c r="Z163" s="38" t="n">
        <v>0</v>
      </c>
      <c r="AA163" s="36" t="n">
        <v>9</v>
      </c>
      <c r="AB163" s="37" t="n">
        <v>1</v>
      </c>
      <c r="AC163" s="36" t="n">
        <v>2</v>
      </c>
      <c r="AD163" s="37" t="n">
        <v>1</v>
      </c>
      <c r="AE163" s="36" t="n">
        <v>7</v>
      </c>
      <c r="AF163" s="37" t="n">
        <v>1</v>
      </c>
      <c r="AG163" s="36" t="n">
        <v>2</v>
      </c>
      <c r="AH163" s="37" t="n">
        <v>1</v>
      </c>
    </row>
    <row r="164">
      <c r="A164" s="53" t="n">
        <v>45813</v>
      </c>
      <c r="B164" t="inlineStr">
        <is>
          <t>R06_Jawa Timur</t>
        </is>
      </c>
      <c r="C164" t="inlineStr">
        <is>
          <t>NOP MADIUN</t>
        </is>
      </c>
      <c r="D164" s="38" t="n">
        <v>0</v>
      </c>
      <c r="E164" s="38" t="n">
        <v>0</v>
      </c>
      <c r="F164" s="36" t="n">
        <v>4.242</v>
      </c>
      <c r="G164" s="36" t="n">
        <v>7.198</v>
      </c>
      <c r="H164" s="36" t="n">
        <v>8</v>
      </c>
      <c r="I164" s="37" t="n">
        <v>0.6666666666666666</v>
      </c>
      <c r="J164" s="36" t="n">
        <v>0</v>
      </c>
      <c r="K164" s="37" t="n">
        <v>0</v>
      </c>
      <c r="L164" s="36" t="n">
        <v>8</v>
      </c>
      <c r="M164" s="37" t="n">
        <v>0.6666666666666666</v>
      </c>
      <c r="N164" s="36" t="n">
        <v>0</v>
      </c>
      <c r="O164" s="37" t="n">
        <v>0</v>
      </c>
      <c r="P164" s="36" t="n">
        <v>0</v>
      </c>
      <c r="Q164" s="37" t="n">
        <v>0</v>
      </c>
      <c r="R164" s="36" t="n">
        <v>11</v>
      </c>
      <c r="S164" s="37" t="n">
        <v>0.9166666666666666</v>
      </c>
      <c r="T164" s="36" t="n">
        <v>5</v>
      </c>
      <c r="U164" s="37" t="n">
        <v>0.4166666666666667</v>
      </c>
      <c r="V164" s="38" t="n">
        <v>0</v>
      </c>
      <c r="W164" s="38" t="n">
        <v>1.903</v>
      </c>
      <c r="X164" s="38" t="n">
        <v>2.4</v>
      </c>
      <c r="Y164" s="38" t="n">
        <v>19.778</v>
      </c>
      <c r="Z164" s="38" t="n">
        <v>0</v>
      </c>
      <c r="AA164" s="36" t="n">
        <v>9</v>
      </c>
      <c r="AB164" s="37" t="n">
        <v>0.9</v>
      </c>
      <c r="AC164" s="36" t="n">
        <v>1</v>
      </c>
      <c r="AD164" s="37" t="n">
        <v>0.5</v>
      </c>
      <c r="AE164" s="36" t="n">
        <v>8</v>
      </c>
      <c r="AF164" s="37" t="n">
        <v>1</v>
      </c>
      <c r="AG164" s="36" t="n">
        <v>1</v>
      </c>
      <c r="AH164" s="37" t="n">
        <v>1</v>
      </c>
    </row>
    <row r="165">
      <c r="A165" s="53" t="n">
        <v>45813</v>
      </c>
      <c r="B165" t="inlineStr">
        <is>
          <t>R06_Jawa Timur</t>
        </is>
      </c>
      <c r="C165" t="inlineStr">
        <is>
          <t>NOP MALANG</t>
        </is>
      </c>
      <c r="D165" s="38" t="n">
        <v>0</v>
      </c>
      <c r="E165" s="38" t="n">
        <v>0</v>
      </c>
      <c r="F165" s="36" t="n">
        <v>1.992</v>
      </c>
      <c r="G165" s="36" t="n">
        <v>1.062</v>
      </c>
      <c r="H165" s="36" t="n">
        <v>7</v>
      </c>
      <c r="I165" s="37" t="n">
        <v>0.875</v>
      </c>
      <c r="J165" s="36" t="n">
        <v>0</v>
      </c>
      <c r="K165" s="37" t="n">
        <v>0</v>
      </c>
      <c r="L165" s="36" t="n">
        <v>7</v>
      </c>
      <c r="M165" s="37" t="n">
        <v>0.875</v>
      </c>
      <c r="N165" s="36" t="n">
        <v>0</v>
      </c>
      <c r="O165" s="37" t="n">
        <v>0</v>
      </c>
      <c r="P165" s="36" t="n">
        <v>0</v>
      </c>
      <c r="Q165" s="37" t="n">
        <v>0</v>
      </c>
      <c r="R165" s="36" t="n">
        <v>8</v>
      </c>
      <c r="S165" s="37" t="n">
        <v>1</v>
      </c>
      <c r="T165" s="36" t="n">
        <v>7</v>
      </c>
      <c r="U165" s="37" t="n">
        <v>0.875</v>
      </c>
      <c r="V165" s="38" t="n">
        <v>0</v>
      </c>
      <c r="W165" s="38" t="n">
        <v>2.72</v>
      </c>
      <c r="X165" s="38" t="n">
        <v>1.988</v>
      </c>
      <c r="Y165" s="38" t="n">
        <v>7</v>
      </c>
      <c r="Z165" s="38" t="n">
        <v>0</v>
      </c>
      <c r="AA165" s="36" t="n">
        <v>9</v>
      </c>
      <c r="AB165" s="37" t="n">
        <v>0.6923076923076923</v>
      </c>
      <c r="AC165" s="36" t="n">
        <v>5</v>
      </c>
      <c r="AD165" s="37" t="n">
        <v>0.7142857142857143</v>
      </c>
      <c r="AE165" s="36" t="n">
        <v>4</v>
      </c>
      <c r="AF165" s="37" t="n">
        <v>0.6666666666666666</v>
      </c>
      <c r="AG165" s="36" t="n">
        <v>5</v>
      </c>
      <c r="AH165" s="37" t="n">
        <v>1</v>
      </c>
    </row>
    <row r="166">
      <c r="A166" s="53" t="n">
        <v>45813</v>
      </c>
      <c r="B166" t="inlineStr">
        <is>
          <t>R06_Jawa Timur</t>
        </is>
      </c>
      <c r="C166" t="inlineStr">
        <is>
          <t>NOP SIDOARJO</t>
        </is>
      </c>
      <c r="D166" s="38" t="n">
        <v>0</v>
      </c>
      <c r="E166" s="38" t="n">
        <v>0</v>
      </c>
      <c r="F166" s="36" t="n">
        <v>1.115</v>
      </c>
      <c r="G166" s="36" t="n">
        <v>1.616</v>
      </c>
      <c r="H166" s="36" t="n">
        <v>9</v>
      </c>
      <c r="I166" s="37" t="n">
        <v>1</v>
      </c>
      <c r="J166" s="36" t="n">
        <v>0</v>
      </c>
      <c r="K166" s="37" t="n">
        <v>0</v>
      </c>
      <c r="L166" s="36" t="n">
        <v>9</v>
      </c>
      <c r="M166" s="37" t="n">
        <v>1</v>
      </c>
      <c r="N166" s="36" t="n">
        <v>0</v>
      </c>
      <c r="O166" s="37" t="n">
        <v>0</v>
      </c>
      <c r="P166" s="36" t="n">
        <v>0</v>
      </c>
      <c r="Q166" s="37" t="n">
        <v>0</v>
      </c>
      <c r="R166" s="36" t="n">
        <v>7</v>
      </c>
      <c r="S166" s="37" t="n">
        <v>0.7777777777777778</v>
      </c>
      <c r="T166" s="36" t="n">
        <v>7</v>
      </c>
      <c r="U166" s="37" t="n">
        <v>0.7777777777777778</v>
      </c>
      <c r="V166" s="38" t="n">
        <v>0</v>
      </c>
      <c r="W166" s="38" t="n">
        <v>1.238</v>
      </c>
      <c r="X166" s="38" t="n">
        <v>29.59200000000001</v>
      </c>
      <c r="Y166" s="38" t="n">
        <v>27.86</v>
      </c>
      <c r="Z166" s="38" t="n">
        <v>0</v>
      </c>
      <c r="AA166" s="36" t="n">
        <v>10</v>
      </c>
      <c r="AB166" s="37" t="n">
        <v>0.7692307692307693</v>
      </c>
      <c r="AC166" s="36" t="n">
        <v>2</v>
      </c>
      <c r="AD166" s="37" t="n">
        <v>0.6666666666666666</v>
      </c>
      <c r="AE166" s="36" t="n">
        <v>8</v>
      </c>
      <c r="AF166" s="37" t="n">
        <v>0.8</v>
      </c>
      <c r="AG166" s="36" t="n">
        <v>2</v>
      </c>
      <c r="AH166" s="37" t="n">
        <v>1</v>
      </c>
    </row>
    <row r="167">
      <c r="A167" s="53" t="n">
        <v>45813</v>
      </c>
      <c r="B167" t="inlineStr">
        <is>
          <t>R06_Jawa Timur</t>
        </is>
      </c>
      <c r="C167" t="inlineStr">
        <is>
          <t>NOP SURABAYA</t>
        </is>
      </c>
      <c r="D167" s="38" t="n">
        <v>0</v>
      </c>
      <c r="E167" s="38" t="n">
        <v>0</v>
      </c>
      <c r="F167" s="36" t="n">
        <v>2.524</v>
      </c>
      <c r="G167" s="36" t="n">
        <v>2.456</v>
      </c>
      <c r="H167" s="36" t="n">
        <v>9</v>
      </c>
      <c r="I167" s="37" t="n">
        <v>0.5294117647058824</v>
      </c>
      <c r="J167" s="36" t="n">
        <v>0</v>
      </c>
      <c r="K167" s="37" t="n">
        <v>0</v>
      </c>
      <c r="L167" s="36" t="n">
        <v>9</v>
      </c>
      <c r="M167" s="37" t="n">
        <v>0.5294117647058824</v>
      </c>
      <c r="N167" s="36" t="n">
        <v>0</v>
      </c>
      <c r="O167" s="37" t="n">
        <v>0</v>
      </c>
      <c r="P167" s="36" t="n">
        <v>0</v>
      </c>
      <c r="Q167" s="37" t="n">
        <v>0</v>
      </c>
      <c r="R167" s="36" t="n">
        <v>17</v>
      </c>
      <c r="S167" s="37" t="n">
        <v>1</v>
      </c>
      <c r="T167" s="36" t="n">
        <v>5</v>
      </c>
      <c r="U167" s="37" t="n">
        <v>0.2941176470588235</v>
      </c>
      <c r="V167" s="38" t="n">
        <v>0</v>
      </c>
      <c r="W167" s="38" t="n">
        <v>0.756</v>
      </c>
      <c r="X167" s="38" t="n">
        <v>6.758000000000004</v>
      </c>
      <c r="Y167" s="38" t="n">
        <v>8.215</v>
      </c>
      <c r="Z167" s="38" t="n">
        <v>0</v>
      </c>
      <c r="AA167" s="36" t="n">
        <v>20</v>
      </c>
      <c r="AB167" s="37" t="n">
        <v>0.6666666666666666</v>
      </c>
      <c r="AC167" s="36" t="n">
        <v>2</v>
      </c>
      <c r="AD167" s="37" t="n">
        <v>1</v>
      </c>
      <c r="AE167" s="36" t="n">
        <v>18</v>
      </c>
      <c r="AF167" s="37" t="n">
        <v>0.6428571428571429</v>
      </c>
      <c r="AG167" s="36" t="n">
        <v>2</v>
      </c>
      <c r="AH167" s="37" t="n">
        <v>1</v>
      </c>
    </row>
    <row r="168">
      <c r="A168" s="53" t="n">
        <v>45813</v>
      </c>
      <c r="B168" t="inlineStr">
        <is>
          <t>R07_Bali Nusra</t>
        </is>
      </c>
      <c r="C168" t="inlineStr">
        <is>
          <t>NOP DENPASAR</t>
        </is>
      </c>
      <c r="D168" s="38" t="n">
        <v>0</v>
      </c>
      <c r="E168" s="38" t="n">
        <v>0</v>
      </c>
      <c r="F168" s="36" t="n">
        <v>1.189</v>
      </c>
      <c r="G168" s="36" t="n">
        <v>0.9340000000000001</v>
      </c>
      <c r="H168" s="36" t="n">
        <v>4</v>
      </c>
      <c r="I168" s="37" t="n">
        <v>0.8</v>
      </c>
      <c r="J168" s="36" t="n">
        <v>0</v>
      </c>
      <c r="K168" s="37" t="n">
        <v>0</v>
      </c>
      <c r="L168" s="36" t="n">
        <v>4</v>
      </c>
      <c r="M168" s="37" t="n">
        <v>0.8</v>
      </c>
      <c r="N168" s="36" t="n">
        <v>0</v>
      </c>
      <c r="O168" s="37" t="n">
        <v>0</v>
      </c>
      <c r="P168" s="36" t="n">
        <v>0</v>
      </c>
      <c r="Q168" s="37" t="n">
        <v>0</v>
      </c>
      <c r="R168" s="36" t="n">
        <v>5</v>
      </c>
      <c r="S168" s="37" t="n">
        <v>1</v>
      </c>
      <c r="T168" s="36" t="n">
        <v>4</v>
      </c>
      <c r="U168" s="37" t="n">
        <v>0.8</v>
      </c>
      <c r="V168" s="38" t="n">
        <v>0</v>
      </c>
      <c r="W168" s="38" t="n">
        <v>9.471000000000002</v>
      </c>
      <c r="X168" s="38" t="n">
        <v>3.739999999999999</v>
      </c>
      <c r="Y168" s="38" t="n">
        <v>21.402</v>
      </c>
      <c r="Z168" s="38" t="n">
        <v>0</v>
      </c>
      <c r="AA168" s="36" t="n">
        <v>19</v>
      </c>
      <c r="AB168" s="37" t="n">
        <v>0.6333333333333333</v>
      </c>
      <c r="AC168" s="36" t="n">
        <v>7</v>
      </c>
      <c r="AD168" s="37" t="n">
        <v>0.5833333333333334</v>
      </c>
      <c r="AE168" s="36" t="n">
        <v>12</v>
      </c>
      <c r="AF168" s="37" t="n">
        <v>0.6666666666666666</v>
      </c>
      <c r="AG168" s="36" t="n">
        <v>5</v>
      </c>
      <c r="AH168" s="37" t="n">
        <v>0.7142857142857143</v>
      </c>
    </row>
    <row r="169">
      <c r="A169" s="53" t="n">
        <v>45813</v>
      </c>
      <c r="B169" t="inlineStr">
        <is>
          <t>R07_Bali Nusra</t>
        </is>
      </c>
      <c r="C169" t="inlineStr">
        <is>
          <t>NOP FLORES</t>
        </is>
      </c>
      <c r="D169" s="38" t="n">
        <v>0</v>
      </c>
      <c r="E169" s="38" t="n">
        <v>5.18</v>
      </c>
      <c r="F169" s="36" t="n">
        <v>6.066000000000001</v>
      </c>
      <c r="G169" s="36" t="n">
        <v>7.59</v>
      </c>
      <c r="H169" s="36" t="n">
        <v>48</v>
      </c>
      <c r="I169" s="37" t="n">
        <v>0.3809523809523809</v>
      </c>
      <c r="J169" s="36" t="n">
        <v>9</v>
      </c>
      <c r="K169" s="37" t="n">
        <v>0.8181818181818182</v>
      </c>
      <c r="L169" s="36" t="n">
        <v>39</v>
      </c>
      <c r="M169" s="37" t="n">
        <v>0.3391304347826087</v>
      </c>
      <c r="N169" s="36" t="n">
        <v>4</v>
      </c>
      <c r="O169" s="37" t="n">
        <v>0.4444444444444444</v>
      </c>
      <c r="P169" s="36" t="n">
        <v>4</v>
      </c>
      <c r="Q169" s="37" t="n">
        <v>0.4444444444444444</v>
      </c>
      <c r="R169" s="36" t="n">
        <v>126</v>
      </c>
      <c r="S169" s="37" t="n">
        <v>1</v>
      </c>
      <c r="T169" s="36" t="n">
        <v>30</v>
      </c>
      <c r="U169" s="37" t="n">
        <v>0.2380952380952381</v>
      </c>
      <c r="V169" s="38" t="n">
        <v>0</v>
      </c>
      <c r="W169" s="38" t="n">
        <v>8.532</v>
      </c>
      <c r="X169" s="38" t="n">
        <v>13.44</v>
      </c>
      <c r="Y169" s="38" t="n">
        <v>8.699999999999999</v>
      </c>
      <c r="Z169" s="38" t="n">
        <v>0</v>
      </c>
      <c r="AA169" s="36" t="n">
        <v>62</v>
      </c>
      <c r="AB169" s="37" t="n">
        <v>0.6666666666666666</v>
      </c>
      <c r="AC169" s="36" t="n">
        <v>48</v>
      </c>
      <c r="AD169" s="37" t="n">
        <v>0.6857142857142857</v>
      </c>
      <c r="AE169" s="36" t="n">
        <v>14</v>
      </c>
      <c r="AF169" s="37" t="n">
        <v>0.6086956521739131</v>
      </c>
      <c r="AG169" s="36" t="n">
        <v>43</v>
      </c>
      <c r="AH169" s="37" t="n">
        <v>0.8958333333333334</v>
      </c>
    </row>
    <row r="170">
      <c r="A170" s="53" t="n">
        <v>45813</v>
      </c>
      <c r="B170" t="inlineStr">
        <is>
          <t>R07_Bali Nusra</t>
        </is>
      </c>
      <c r="C170" t="inlineStr">
        <is>
          <t>NOP KUPANG</t>
        </is>
      </c>
      <c r="D170" s="38" t="n">
        <v>0</v>
      </c>
      <c r="E170" s="38" t="n">
        <v>2.4</v>
      </c>
      <c r="F170" s="36" t="n">
        <v>5.776</v>
      </c>
      <c r="G170" s="36" t="n">
        <v>9.313999999999993</v>
      </c>
      <c r="H170" s="36" t="n">
        <v>19</v>
      </c>
      <c r="I170" s="37" t="n">
        <v>0.7307692307692307</v>
      </c>
      <c r="J170" s="36" t="n">
        <v>1</v>
      </c>
      <c r="K170" s="37" t="n">
        <v>1</v>
      </c>
      <c r="L170" s="36" t="n">
        <v>18</v>
      </c>
      <c r="M170" s="37" t="n">
        <v>0.72</v>
      </c>
      <c r="N170" s="36" t="n">
        <v>0</v>
      </c>
      <c r="O170" s="37" t="n">
        <v>0</v>
      </c>
      <c r="P170" s="36" t="n">
        <v>0</v>
      </c>
      <c r="Q170" s="37" t="n">
        <v>0</v>
      </c>
      <c r="R170" s="36" t="n">
        <v>26</v>
      </c>
      <c r="S170" s="37" t="n">
        <v>1</v>
      </c>
      <c r="T170" s="36" t="n">
        <v>5</v>
      </c>
      <c r="U170" s="37" t="n">
        <v>0.1923076923076923</v>
      </c>
      <c r="V170" s="38" t="n">
        <v>0</v>
      </c>
      <c r="W170" s="38" t="n">
        <v>7.367999999999999</v>
      </c>
      <c r="X170" s="38" t="n">
        <v>23.77599999999999</v>
      </c>
      <c r="Y170" s="38" t="n">
        <v>8.013</v>
      </c>
      <c r="Z170" s="38" t="n">
        <v>0</v>
      </c>
      <c r="AA170" s="36" t="n">
        <v>21</v>
      </c>
      <c r="AB170" s="37" t="n">
        <v>0.4375</v>
      </c>
      <c r="AC170" s="36" t="n">
        <v>10</v>
      </c>
      <c r="AD170" s="37" t="n">
        <v>0.5263157894736842</v>
      </c>
      <c r="AE170" s="36" t="n">
        <v>11</v>
      </c>
      <c r="AF170" s="37" t="n">
        <v>0.3793103448275862</v>
      </c>
      <c r="AG170" s="36" t="n">
        <v>5</v>
      </c>
      <c r="AH170" s="37" t="n">
        <v>0.5</v>
      </c>
    </row>
    <row r="171">
      <c r="A171" s="53" t="n">
        <v>45813</v>
      </c>
      <c r="B171" t="inlineStr">
        <is>
          <t>R07_Bali Nusra</t>
        </is>
      </c>
      <c r="C171" t="inlineStr">
        <is>
          <t>NOP MATARAM</t>
        </is>
      </c>
      <c r="D171" s="38" t="n">
        <v>0.55</v>
      </c>
      <c r="E171" s="38" t="n">
        <v>0.708</v>
      </c>
      <c r="F171" s="36" t="n">
        <v>1.949</v>
      </c>
      <c r="G171" s="36" t="n">
        <v>3.854000000000001</v>
      </c>
      <c r="H171" s="36" t="n">
        <v>7</v>
      </c>
      <c r="I171" s="37" t="n">
        <v>0.3888888888888889</v>
      </c>
      <c r="J171" s="36" t="n">
        <v>0</v>
      </c>
      <c r="K171" s="37" t="n">
        <v>0</v>
      </c>
      <c r="L171" s="36" t="n">
        <v>7</v>
      </c>
      <c r="M171" s="37" t="n">
        <v>0.5</v>
      </c>
      <c r="N171" s="36" t="n">
        <v>0</v>
      </c>
      <c r="O171" s="37" t="n">
        <v>0</v>
      </c>
      <c r="P171" s="36" t="n">
        <v>0</v>
      </c>
      <c r="Q171" s="37" t="n">
        <v>0</v>
      </c>
      <c r="R171" s="36" t="n">
        <v>18</v>
      </c>
      <c r="S171" s="37" t="n">
        <v>1</v>
      </c>
      <c r="T171" s="36" t="n">
        <v>5</v>
      </c>
      <c r="U171" s="37" t="n">
        <v>0.2777777777777778</v>
      </c>
      <c r="V171" s="38" t="n">
        <v>0.02</v>
      </c>
      <c r="W171" s="38" t="n">
        <v>19.26200000000002</v>
      </c>
      <c r="X171" s="38" t="n">
        <v>71.99600000000001</v>
      </c>
      <c r="Y171" s="38" t="n">
        <v>59.61</v>
      </c>
      <c r="Z171" s="38" t="n">
        <v>0</v>
      </c>
      <c r="AA171" s="36" t="n">
        <v>14</v>
      </c>
      <c r="AB171" s="37" t="n">
        <v>0.3414634146341464</v>
      </c>
      <c r="AC171" s="36" t="n">
        <v>10</v>
      </c>
      <c r="AD171" s="37" t="n">
        <v>0.2941176470588235</v>
      </c>
      <c r="AE171" s="36" t="n">
        <v>4</v>
      </c>
      <c r="AF171" s="37" t="n">
        <v>0.5714285714285714</v>
      </c>
      <c r="AG171" s="36" t="n">
        <v>4</v>
      </c>
      <c r="AH171" s="37" t="n">
        <v>0.4</v>
      </c>
    </row>
    <row r="172">
      <c r="A172" s="53" t="n">
        <v>45814</v>
      </c>
      <c r="B172" t="inlineStr">
        <is>
          <t>R01_Sumbagut</t>
        </is>
      </c>
      <c r="C172" t="inlineStr">
        <is>
          <t>NOP ACEH</t>
        </is>
      </c>
      <c r="D172" s="38" t="n">
        <v>0</v>
      </c>
      <c r="E172" s="38" t="n">
        <v>1.162</v>
      </c>
      <c r="F172" s="36" t="n">
        <v>3.023000000000002</v>
      </c>
      <c r="G172" s="36" t="n">
        <v>11.87</v>
      </c>
      <c r="H172" s="36" t="n">
        <v>89</v>
      </c>
      <c r="I172" s="37" t="n">
        <v>0.7807017543859649</v>
      </c>
      <c r="J172" s="36" t="n">
        <v>5</v>
      </c>
      <c r="K172" s="37" t="n">
        <v>0.625</v>
      </c>
      <c r="L172" s="36" t="n">
        <v>84</v>
      </c>
      <c r="M172" s="37" t="n">
        <v>0.7924528301886793</v>
      </c>
      <c r="N172" s="36" t="n">
        <v>3</v>
      </c>
      <c r="O172" s="37" t="n">
        <v>0.6</v>
      </c>
      <c r="P172" s="36" t="n">
        <v>3</v>
      </c>
      <c r="Q172" s="37" t="n">
        <v>0.6</v>
      </c>
      <c r="R172" s="36" t="n">
        <v>114</v>
      </c>
      <c r="S172" s="37" t="n">
        <v>1</v>
      </c>
      <c r="T172" s="36" t="n">
        <v>36</v>
      </c>
      <c r="U172" s="37" t="n">
        <v>0.3157894736842105</v>
      </c>
      <c r="V172" s="38" t="n">
        <v>2.733</v>
      </c>
      <c r="W172" s="38" t="n">
        <v>1.922</v>
      </c>
      <c r="X172" s="38" t="n">
        <v>80.00000000000001</v>
      </c>
      <c r="Y172" s="38" t="n">
        <v>128.365</v>
      </c>
      <c r="Z172" s="38" t="n">
        <v>0</v>
      </c>
      <c r="AA172" s="36" t="n">
        <v>136</v>
      </c>
      <c r="AB172" s="37" t="n">
        <v>0.8192771084337349</v>
      </c>
      <c r="AC172" s="36" t="n">
        <v>24</v>
      </c>
      <c r="AD172" s="37" t="n">
        <v>0.5454545454545454</v>
      </c>
      <c r="AE172" s="36" t="n">
        <v>112</v>
      </c>
      <c r="AF172" s="37" t="n">
        <v>0.9333333333333333</v>
      </c>
      <c r="AG172" s="36" t="n">
        <v>8</v>
      </c>
      <c r="AH172" s="37" t="n">
        <v>0.3333333333333333</v>
      </c>
    </row>
    <row r="173">
      <c r="A173" s="53" t="n">
        <v>45814</v>
      </c>
      <c r="B173" t="inlineStr">
        <is>
          <t>R01_Sumbagut</t>
        </is>
      </c>
      <c r="C173" t="inlineStr">
        <is>
          <t>NOP BINJAI</t>
        </is>
      </c>
      <c r="D173" s="38" t="n">
        <v>0</v>
      </c>
      <c r="E173" s="38" t="n">
        <v>2.052</v>
      </c>
      <c r="F173" s="36" t="n">
        <v>3.748000000000002</v>
      </c>
      <c r="G173" s="36" t="n">
        <v>1.728</v>
      </c>
      <c r="H173" s="36" t="n">
        <v>34</v>
      </c>
      <c r="I173" s="37" t="n">
        <v>0.6538461538461539</v>
      </c>
      <c r="J173" s="36" t="n">
        <v>9</v>
      </c>
      <c r="K173" s="37" t="n">
        <v>0.6923076923076923</v>
      </c>
      <c r="L173" s="36" t="n">
        <v>25</v>
      </c>
      <c r="M173" s="37" t="n">
        <v>0.6410256410256411</v>
      </c>
      <c r="N173" s="36" t="n">
        <v>4</v>
      </c>
      <c r="O173" s="37" t="n">
        <v>0.4444444444444444</v>
      </c>
      <c r="P173" s="36" t="n">
        <v>4</v>
      </c>
      <c r="Q173" s="37" t="n">
        <v>0.4444444444444444</v>
      </c>
      <c r="R173" s="36" t="n">
        <v>50</v>
      </c>
      <c r="S173" s="37" t="n">
        <v>0.9615384615384616</v>
      </c>
      <c r="T173" s="36" t="n">
        <v>14</v>
      </c>
      <c r="U173" s="37" t="n">
        <v>0.2692307692307692</v>
      </c>
      <c r="V173" s="38" t="n">
        <v>0</v>
      </c>
      <c r="W173" s="38" t="n">
        <v>1.805000000000001</v>
      </c>
      <c r="X173" s="38" t="n">
        <v>49.90200000000004</v>
      </c>
      <c r="Y173" s="38" t="n">
        <v>54.875</v>
      </c>
      <c r="Z173" s="38" t="n">
        <v>0</v>
      </c>
      <c r="AA173" s="36" t="n">
        <v>52</v>
      </c>
      <c r="AB173" s="37" t="n">
        <v>0.7428571428571429</v>
      </c>
      <c r="AC173" s="36" t="n">
        <v>12</v>
      </c>
      <c r="AD173" s="37" t="n">
        <v>0.6</v>
      </c>
      <c r="AE173" s="36" t="n">
        <v>38</v>
      </c>
      <c r="AF173" s="37" t="n">
        <v>0.8444444444444444</v>
      </c>
      <c r="AG173" s="36" t="n">
        <v>7</v>
      </c>
      <c r="AH173" s="37" t="n">
        <v>0.5833333333333334</v>
      </c>
    </row>
    <row r="174">
      <c r="A174" s="53" t="n">
        <v>45814</v>
      </c>
      <c r="B174" t="inlineStr">
        <is>
          <t>R01_Sumbagut</t>
        </is>
      </c>
      <c r="C174" t="inlineStr">
        <is>
          <t>NOP MEDAN</t>
        </is>
      </c>
      <c r="D174" s="38" t="n">
        <v>0</v>
      </c>
      <c r="E174" s="38" t="n">
        <v>8.659999999999997</v>
      </c>
      <c r="F174" s="36" t="n">
        <v>1.812</v>
      </c>
      <c r="G174" s="36" t="n">
        <v>3.824</v>
      </c>
      <c r="H174" s="36" t="n">
        <v>12</v>
      </c>
      <c r="I174" s="37" t="n">
        <v>0.3157894736842105</v>
      </c>
      <c r="J174" s="36" t="n">
        <v>2</v>
      </c>
      <c r="K174" s="37" t="n">
        <v>0.25</v>
      </c>
      <c r="L174" s="36" t="n">
        <v>10</v>
      </c>
      <c r="M174" s="37" t="n">
        <v>0.3333333333333333</v>
      </c>
      <c r="N174" s="36" t="n">
        <v>2</v>
      </c>
      <c r="O174" s="37" t="n">
        <v>1</v>
      </c>
      <c r="P174" s="36" t="n">
        <v>2</v>
      </c>
      <c r="Q174" s="37" t="n">
        <v>1</v>
      </c>
      <c r="R174" s="36" t="n">
        <v>38</v>
      </c>
      <c r="S174" s="37" t="n">
        <v>1</v>
      </c>
      <c r="T174" s="36" t="n">
        <v>4</v>
      </c>
      <c r="U174" s="37" t="n">
        <v>0.1052631578947368</v>
      </c>
      <c r="V174" s="38" t="n">
        <v>0</v>
      </c>
      <c r="W174" s="38" t="n">
        <v>2.481000000000001</v>
      </c>
      <c r="X174" s="38" t="n">
        <v>16.857</v>
      </c>
      <c r="Y174" s="38" t="n">
        <v>23.145</v>
      </c>
      <c r="Z174" s="38" t="n">
        <v>0</v>
      </c>
      <c r="AA174" s="36" t="n">
        <v>12</v>
      </c>
      <c r="AB174" s="37" t="n">
        <v>0.3</v>
      </c>
      <c r="AC174" s="36" t="n">
        <v>4</v>
      </c>
      <c r="AD174" s="37" t="n">
        <v>0.2222222222222222</v>
      </c>
      <c r="AE174" s="36" t="n">
        <v>8</v>
      </c>
      <c r="AF174" s="37" t="n">
        <v>0.4</v>
      </c>
      <c r="AG174" s="36" t="n">
        <v>3</v>
      </c>
      <c r="AH174" s="37" t="n">
        <v>0.75</v>
      </c>
    </row>
    <row r="175">
      <c r="A175" s="53" t="n">
        <v>45814</v>
      </c>
      <c r="B175" t="inlineStr">
        <is>
          <t>R01_Sumbagut</t>
        </is>
      </c>
      <c r="C175" t="inlineStr">
        <is>
          <t>NOP PADANG SIDEMPUAN</t>
        </is>
      </c>
      <c r="D175" s="38" t="n">
        <v>0</v>
      </c>
      <c r="E175" s="38" t="n">
        <v>2.668</v>
      </c>
      <c r="F175" s="36" t="n">
        <v>3.7</v>
      </c>
      <c r="G175" s="36" t="n">
        <v>4.308000000000002</v>
      </c>
      <c r="H175" s="36" t="n">
        <v>12</v>
      </c>
      <c r="I175" s="37" t="n">
        <v>0.4137931034482759</v>
      </c>
      <c r="J175" s="36" t="n">
        <v>3</v>
      </c>
      <c r="K175" s="37" t="n">
        <v>0.75</v>
      </c>
      <c r="L175" s="36" t="n">
        <v>9</v>
      </c>
      <c r="M175" s="37" t="n">
        <v>0.36</v>
      </c>
      <c r="N175" s="36" t="n">
        <v>2</v>
      </c>
      <c r="O175" s="37" t="n">
        <v>0.6666666666666666</v>
      </c>
      <c r="P175" s="36" t="n">
        <v>2</v>
      </c>
      <c r="Q175" s="37" t="n">
        <v>0.6666666666666666</v>
      </c>
      <c r="R175" s="36" t="n">
        <v>29</v>
      </c>
      <c r="S175" s="37" t="n">
        <v>1</v>
      </c>
      <c r="T175" s="36" t="n">
        <v>6</v>
      </c>
      <c r="U175" s="37" t="n">
        <v>0.2068965517241379</v>
      </c>
      <c r="V175" s="38" t="n">
        <v>0</v>
      </c>
      <c r="W175" s="38" t="n">
        <v>2.133000000000005</v>
      </c>
      <c r="X175" s="38" t="n">
        <v>8.94</v>
      </c>
      <c r="Y175" s="38" t="n">
        <v>15.83300000000001</v>
      </c>
      <c r="Z175" s="38" t="n">
        <v>0</v>
      </c>
      <c r="AA175" s="36" t="n">
        <v>72</v>
      </c>
      <c r="AB175" s="37" t="n">
        <v>0.631578947368421</v>
      </c>
      <c r="AC175" s="36" t="n">
        <v>20</v>
      </c>
      <c r="AD175" s="37" t="n">
        <v>0.5263157894736842</v>
      </c>
      <c r="AE175" s="36" t="n">
        <v>50</v>
      </c>
      <c r="AF175" s="37" t="n">
        <v>0.6756756756756757</v>
      </c>
      <c r="AG175" s="36" t="n">
        <v>13</v>
      </c>
      <c r="AH175" s="37" t="n">
        <v>0.65</v>
      </c>
    </row>
    <row r="176">
      <c r="A176" s="53" t="n">
        <v>45814</v>
      </c>
      <c r="B176" t="inlineStr">
        <is>
          <t>R01_Sumbagut</t>
        </is>
      </c>
      <c r="C176" t="inlineStr">
        <is>
          <t>NOP PEMATANG SIANTAR</t>
        </is>
      </c>
      <c r="D176" s="38" t="n">
        <v>0.445</v>
      </c>
      <c r="E176" s="38" t="n">
        <v>1.56</v>
      </c>
      <c r="F176" s="36" t="n">
        <v>7.397999999999996</v>
      </c>
      <c r="G176" s="36" t="n">
        <v>6.014000000000001</v>
      </c>
      <c r="H176" s="36" t="n">
        <v>27</v>
      </c>
      <c r="I176" s="37" t="n">
        <v>0.75</v>
      </c>
      <c r="J176" s="36" t="n">
        <v>5</v>
      </c>
      <c r="K176" s="37" t="n">
        <v>1</v>
      </c>
      <c r="L176" s="36" t="n">
        <v>22</v>
      </c>
      <c r="M176" s="37" t="n">
        <v>0.7096774193548387</v>
      </c>
      <c r="N176" s="36" t="n">
        <v>1</v>
      </c>
      <c r="O176" s="37" t="n">
        <v>0.2</v>
      </c>
      <c r="P176" s="36" t="n">
        <v>1</v>
      </c>
      <c r="Q176" s="37" t="n">
        <v>0.2</v>
      </c>
      <c r="R176" s="36" t="n">
        <v>36</v>
      </c>
      <c r="S176" s="37" t="n">
        <v>1</v>
      </c>
      <c r="T176" s="36" t="n">
        <v>15</v>
      </c>
      <c r="U176" s="37" t="n">
        <v>0.4166666666666667</v>
      </c>
      <c r="V176" s="38" t="n">
        <v>0</v>
      </c>
      <c r="W176" s="38" t="n">
        <v>2.698</v>
      </c>
      <c r="X176" s="38" t="n">
        <v>80.58000000000001</v>
      </c>
      <c r="Y176" s="38" t="n">
        <v>89.12</v>
      </c>
      <c r="Z176" s="38" t="n">
        <v>0</v>
      </c>
      <c r="AA176" s="36" t="n">
        <v>44</v>
      </c>
      <c r="AB176" s="37" t="n">
        <v>0.6567164179104478</v>
      </c>
      <c r="AC176" s="36" t="n">
        <v>16</v>
      </c>
      <c r="AD176" s="37" t="n">
        <v>0.6956521739130435</v>
      </c>
      <c r="AE176" s="36" t="n">
        <v>27</v>
      </c>
      <c r="AF176" s="37" t="n">
        <v>0.6923076923076923</v>
      </c>
      <c r="AG176" s="36" t="n">
        <v>6</v>
      </c>
      <c r="AH176" s="37" t="n">
        <v>0.375</v>
      </c>
    </row>
    <row r="177">
      <c r="A177" s="53" t="n">
        <v>45814</v>
      </c>
      <c r="B177" t="inlineStr">
        <is>
          <t>R01_Sumbagut</t>
        </is>
      </c>
      <c r="C177" t="inlineStr">
        <is>
          <t>NOP RANTAU PRAPAT</t>
        </is>
      </c>
      <c r="D177" s="38" t="n">
        <v>0.657</v>
      </c>
      <c r="E177" s="38" t="n">
        <v>1.186</v>
      </c>
      <c r="F177" s="36" t="n">
        <v>2.255</v>
      </c>
      <c r="G177" s="36" t="n">
        <v>13.454</v>
      </c>
      <c r="H177" s="36" t="n">
        <v>40</v>
      </c>
      <c r="I177" s="37" t="n">
        <v>0.4395604395604396</v>
      </c>
      <c r="J177" s="36" t="n">
        <v>2</v>
      </c>
      <c r="K177" s="37" t="n">
        <v>0.1666666666666667</v>
      </c>
      <c r="L177" s="36" t="n">
        <v>38</v>
      </c>
      <c r="M177" s="37" t="n">
        <v>0.4810126582278481</v>
      </c>
      <c r="N177" s="36" t="n">
        <v>0</v>
      </c>
      <c r="O177" s="37" t="n">
        <v>0</v>
      </c>
      <c r="P177" s="36" t="n">
        <v>0</v>
      </c>
      <c r="Q177" s="37" t="n">
        <v>0</v>
      </c>
      <c r="R177" s="36" t="n">
        <v>87</v>
      </c>
      <c r="S177" s="37" t="n">
        <v>0.9560439560439561</v>
      </c>
      <c r="T177" s="36" t="n">
        <v>25</v>
      </c>
      <c r="U177" s="37" t="n">
        <v>0.2747252747252747</v>
      </c>
      <c r="V177" s="38" t="n">
        <v>0.03</v>
      </c>
      <c r="W177" s="38" t="n">
        <v>1.558</v>
      </c>
      <c r="X177" s="38" t="n">
        <v>23.45199999999999</v>
      </c>
      <c r="Y177" s="38" t="n">
        <v>131</v>
      </c>
      <c r="Z177" s="38" t="n">
        <v>0</v>
      </c>
      <c r="AA177" s="36" t="n">
        <v>42</v>
      </c>
      <c r="AB177" s="37" t="n">
        <v>0.2386363636363636</v>
      </c>
      <c r="AC177" s="36" t="n">
        <v>10</v>
      </c>
      <c r="AD177" s="37" t="n">
        <v>0.25</v>
      </c>
      <c r="AE177" s="36" t="n">
        <v>30</v>
      </c>
      <c r="AF177" s="37" t="n">
        <v>0.2272727272727273</v>
      </c>
      <c r="AG177" s="36" t="n">
        <v>3</v>
      </c>
      <c r="AH177" s="37" t="n">
        <v>0.3</v>
      </c>
    </row>
    <row r="178">
      <c r="A178" s="53" t="n">
        <v>45814</v>
      </c>
      <c r="B178" t="inlineStr">
        <is>
          <t>R10_Sumbagteng</t>
        </is>
      </c>
      <c r="C178" t="inlineStr">
        <is>
          <t>NOP BATAM</t>
        </is>
      </c>
      <c r="D178" s="38" t="n">
        <v>0</v>
      </c>
      <c r="E178" s="38" t="n">
        <v>10.03</v>
      </c>
      <c r="F178" s="36" t="n">
        <v>10.52600000000001</v>
      </c>
      <c r="G178" s="36" t="n">
        <v>12.29800000000001</v>
      </c>
      <c r="H178" s="36" t="n">
        <v>28</v>
      </c>
      <c r="I178" s="37" t="n">
        <v>0.3010752688172043</v>
      </c>
      <c r="J178" s="36" t="n">
        <v>8</v>
      </c>
      <c r="K178" s="37" t="n">
        <v>0.5333333333333333</v>
      </c>
      <c r="L178" s="36" t="n">
        <v>20</v>
      </c>
      <c r="M178" s="37" t="n">
        <v>0.2564102564102564</v>
      </c>
      <c r="N178" s="36" t="n">
        <v>7</v>
      </c>
      <c r="O178" s="37" t="n">
        <v>0.875</v>
      </c>
      <c r="P178" s="36" t="n">
        <v>7</v>
      </c>
      <c r="Q178" s="37" t="n">
        <v>0.875</v>
      </c>
      <c r="R178" s="36" t="n">
        <v>93</v>
      </c>
      <c r="S178" s="37" t="n">
        <v>1</v>
      </c>
      <c r="T178" s="36" t="n">
        <v>24</v>
      </c>
      <c r="U178" s="37" t="n">
        <v>0.2580645161290323</v>
      </c>
      <c r="V178" s="38" t="n">
        <v>0.049</v>
      </c>
      <c r="W178" s="38" t="n">
        <v>19.45600000000002</v>
      </c>
      <c r="X178" s="38" t="n">
        <v>48.795</v>
      </c>
      <c r="Y178" s="38" t="n">
        <v>44.11499999999999</v>
      </c>
      <c r="Z178" s="38" t="n">
        <v>0</v>
      </c>
      <c r="AA178" s="36" t="n">
        <v>56</v>
      </c>
      <c r="AB178" s="37" t="n">
        <v>0.2343096234309623</v>
      </c>
      <c r="AC178" s="36" t="n">
        <v>21</v>
      </c>
      <c r="AD178" s="37" t="n">
        <v>0.3818181818181818</v>
      </c>
      <c r="AE178" s="36" t="n">
        <v>35</v>
      </c>
      <c r="AF178" s="37" t="n">
        <v>0.1923076923076923</v>
      </c>
      <c r="AG178" s="36" t="n">
        <v>17</v>
      </c>
      <c r="AH178" s="37" t="n">
        <v>0.8095238095238095</v>
      </c>
    </row>
    <row r="179">
      <c r="A179" s="53" t="n">
        <v>45814</v>
      </c>
      <c r="B179" t="inlineStr">
        <is>
          <t>R10_Sumbagteng</t>
        </is>
      </c>
      <c r="C179" t="inlineStr">
        <is>
          <t>NOP BUKITTINGGI</t>
        </is>
      </c>
      <c r="D179" s="38" t="n">
        <v>1.08</v>
      </c>
      <c r="E179" s="38" t="n">
        <v>2.66</v>
      </c>
      <c r="F179" s="36" t="n">
        <v>4.17</v>
      </c>
      <c r="G179" s="36" t="n">
        <v>3.971</v>
      </c>
      <c r="H179" s="36" t="n">
        <v>16</v>
      </c>
      <c r="I179" s="37" t="n">
        <v>0.5517241379310345</v>
      </c>
      <c r="J179" s="36" t="n">
        <v>7</v>
      </c>
      <c r="K179" s="37" t="n">
        <v>0.7</v>
      </c>
      <c r="L179" s="36" t="n">
        <v>9</v>
      </c>
      <c r="M179" s="37" t="n">
        <v>0.4736842105263158</v>
      </c>
      <c r="N179" s="36" t="n">
        <v>6</v>
      </c>
      <c r="O179" s="37" t="n">
        <v>0.8571428571428571</v>
      </c>
      <c r="P179" s="36" t="n">
        <v>6</v>
      </c>
      <c r="Q179" s="37" t="n">
        <v>0.8571428571428571</v>
      </c>
      <c r="R179" s="36" t="n">
        <v>29</v>
      </c>
      <c r="S179" s="37" t="n">
        <v>1</v>
      </c>
      <c r="T179" s="36" t="n">
        <v>16</v>
      </c>
      <c r="U179" s="37" t="n">
        <v>0.5517241379310345</v>
      </c>
      <c r="V179" s="38" t="n">
        <v>0.049</v>
      </c>
      <c r="W179" s="38" t="n">
        <v>10.362</v>
      </c>
      <c r="X179" s="38" t="n">
        <v>135</v>
      </c>
      <c r="Y179" s="38" t="n">
        <v>134.441</v>
      </c>
      <c r="Z179" s="38" t="n">
        <v>0</v>
      </c>
      <c r="AA179" s="36" t="n">
        <v>36</v>
      </c>
      <c r="AB179" s="37" t="n">
        <v>0.48</v>
      </c>
      <c r="AC179" s="36" t="n">
        <v>6</v>
      </c>
      <c r="AD179" s="37" t="n">
        <v>0.6</v>
      </c>
      <c r="AE179" s="36" t="n">
        <v>30</v>
      </c>
      <c r="AF179" s="37" t="n">
        <v>0.4615384615384616</v>
      </c>
      <c r="AG179" s="36" t="n">
        <v>3</v>
      </c>
      <c r="AH179" s="37" t="n">
        <v>0.5</v>
      </c>
    </row>
    <row r="180">
      <c r="A180" s="53" t="n">
        <v>45814</v>
      </c>
      <c r="B180" t="inlineStr">
        <is>
          <t>R10_Sumbagteng</t>
        </is>
      </c>
      <c r="C180" t="inlineStr">
        <is>
          <t>NOP DUMAI</t>
        </is>
      </c>
      <c r="D180" s="38" t="n">
        <v>1.255</v>
      </c>
      <c r="E180" s="38" t="n">
        <v>2.402</v>
      </c>
      <c r="F180" s="36" t="n">
        <v>2.108000000000001</v>
      </c>
      <c r="G180" s="36" t="n">
        <v>7.605999999999996</v>
      </c>
      <c r="H180" s="36" t="n">
        <v>47</v>
      </c>
      <c r="I180" s="37" t="n">
        <v>0.4311926605504587</v>
      </c>
      <c r="J180" s="36" t="n">
        <v>16</v>
      </c>
      <c r="K180" s="37" t="n">
        <v>0.4444444444444444</v>
      </c>
      <c r="L180" s="36" t="n">
        <v>31</v>
      </c>
      <c r="M180" s="37" t="n">
        <v>0.4246575342465753</v>
      </c>
      <c r="N180" s="36" t="n">
        <v>14</v>
      </c>
      <c r="O180" s="37" t="n">
        <v>0.875</v>
      </c>
      <c r="P180" s="36" t="n">
        <v>14</v>
      </c>
      <c r="Q180" s="37" t="n">
        <v>0.875</v>
      </c>
      <c r="R180" s="36" t="n">
        <v>109</v>
      </c>
      <c r="S180" s="37" t="n">
        <v>1</v>
      </c>
      <c r="T180" s="36" t="n">
        <v>28</v>
      </c>
      <c r="U180" s="37" t="n">
        <v>0.2568807339449541</v>
      </c>
      <c r="V180" s="38" t="n">
        <v>0</v>
      </c>
      <c r="W180" s="38" t="n">
        <v>20.838</v>
      </c>
      <c r="X180" s="38" t="n">
        <v>75.715</v>
      </c>
      <c r="Y180" s="38" t="n">
        <v>119.6139999999999</v>
      </c>
      <c r="Z180" s="38" t="n">
        <v>0</v>
      </c>
      <c r="AA180" s="36" t="n">
        <v>71</v>
      </c>
      <c r="AB180" s="37" t="n">
        <v>0.2456747404844291</v>
      </c>
      <c r="AC180" s="36" t="n">
        <v>12</v>
      </c>
      <c r="AD180" s="37" t="n">
        <v>0.2264150943396226</v>
      </c>
      <c r="AE180" s="36" t="n">
        <v>59</v>
      </c>
      <c r="AF180" s="37" t="n">
        <v>0.25</v>
      </c>
      <c r="AG180" s="36" t="n">
        <v>12</v>
      </c>
      <c r="AH180" s="37" t="n">
        <v>1</v>
      </c>
    </row>
    <row r="181">
      <c r="A181" s="53" t="n">
        <v>45814</v>
      </c>
      <c r="B181" t="inlineStr">
        <is>
          <t>R10_Sumbagteng</t>
        </is>
      </c>
      <c r="C181" t="inlineStr">
        <is>
          <t>NOP PADANG</t>
        </is>
      </c>
      <c r="D181" s="38" t="n">
        <v>0</v>
      </c>
      <c r="E181" s="38" t="n">
        <v>0.497</v>
      </c>
      <c r="F181" s="36" t="n">
        <v>3.436000000000003</v>
      </c>
      <c r="G181" s="36" t="n">
        <v>6.342000000000009</v>
      </c>
      <c r="H181" s="36" t="n">
        <v>23</v>
      </c>
      <c r="I181" s="37" t="n">
        <v>0.575</v>
      </c>
      <c r="J181" s="36" t="n">
        <v>2</v>
      </c>
      <c r="K181" s="37" t="n">
        <v>1</v>
      </c>
      <c r="L181" s="36" t="n">
        <v>21</v>
      </c>
      <c r="M181" s="37" t="n">
        <v>0.5526315789473685</v>
      </c>
      <c r="N181" s="36" t="n">
        <v>1</v>
      </c>
      <c r="O181" s="37" t="n">
        <v>0.5</v>
      </c>
      <c r="P181" s="36" t="n">
        <v>1</v>
      </c>
      <c r="Q181" s="37" t="n">
        <v>0.5</v>
      </c>
      <c r="R181" s="36" t="n">
        <v>40</v>
      </c>
      <c r="S181" s="37" t="n">
        <v>1</v>
      </c>
      <c r="T181" s="36" t="n">
        <v>7</v>
      </c>
      <c r="U181" s="37" t="n">
        <v>0.175</v>
      </c>
      <c r="V181" s="38" t="n">
        <v>10.674</v>
      </c>
      <c r="W181" s="38" t="n">
        <v>5.181000000000001</v>
      </c>
      <c r="X181" s="38" t="n">
        <v>49.59900000000009</v>
      </c>
      <c r="Y181" s="38" t="n">
        <v>61.737</v>
      </c>
      <c r="Z181" s="38" t="n">
        <v>0</v>
      </c>
      <c r="AA181" s="36" t="n">
        <v>77</v>
      </c>
      <c r="AB181" s="37" t="n">
        <v>0.7549019607843137</v>
      </c>
      <c r="AC181" s="36" t="n">
        <v>14</v>
      </c>
      <c r="AD181" s="37" t="n">
        <v>0.5600000000000001</v>
      </c>
      <c r="AE181" s="36" t="n">
        <v>62</v>
      </c>
      <c r="AF181" s="37" t="n">
        <v>0.8157894736842105</v>
      </c>
      <c r="AG181" s="36" t="n">
        <v>9</v>
      </c>
      <c r="AH181" s="37" t="n">
        <v>0.6428571428571429</v>
      </c>
    </row>
    <row r="182">
      <c r="A182" s="53" t="n">
        <v>45814</v>
      </c>
      <c r="B182" t="inlineStr">
        <is>
          <t>R10_Sumbagteng</t>
        </is>
      </c>
      <c r="C182" t="inlineStr">
        <is>
          <t>NOP PEKANBARU</t>
        </is>
      </c>
      <c r="D182" s="38" t="n">
        <v>0</v>
      </c>
      <c r="E182" s="38" t="n">
        <v>2.57</v>
      </c>
      <c r="F182" s="36" t="n">
        <v>3.364</v>
      </c>
      <c r="G182" s="36" t="n">
        <v>35.931</v>
      </c>
      <c r="H182" s="36" t="n">
        <v>21</v>
      </c>
      <c r="I182" s="37" t="n">
        <v>0.35</v>
      </c>
      <c r="J182" s="36" t="n">
        <v>4</v>
      </c>
      <c r="K182" s="37" t="n">
        <v>0.3636363636363636</v>
      </c>
      <c r="L182" s="36" t="n">
        <v>17</v>
      </c>
      <c r="M182" s="37" t="n">
        <v>0.3469387755102041</v>
      </c>
      <c r="N182" s="36" t="n">
        <v>4</v>
      </c>
      <c r="O182" s="37" t="n">
        <v>1</v>
      </c>
      <c r="P182" s="36" t="n">
        <v>4</v>
      </c>
      <c r="Q182" s="37" t="n">
        <v>1</v>
      </c>
      <c r="R182" s="36" t="n">
        <v>60</v>
      </c>
      <c r="S182" s="37" t="n">
        <v>1</v>
      </c>
      <c r="T182" s="36" t="n">
        <v>19</v>
      </c>
      <c r="U182" s="37" t="n">
        <v>0.3166666666666667</v>
      </c>
      <c r="V182" s="38" t="n">
        <v>0.07000000000000001</v>
      </c>
      <c r="W182" s="38" t="n">
        <v>2.26</v>
      </c>
      <c r="X182" s="38" t="n">
        <v>36.15700000000002</v>
      </c>
      <c r="Y182" s="38" t="n">
        <v>84.98999999999999</v>
      </c>
      <c r="Z182" s="38" t="n">
        <v>0</v>
      </c>
      <c r="AA182" s="36" t="n">
        <v>51</v>
      </c>
      <c r="AB182" s="37" t="n">
        <v>0.2151898734177215</v>
      </c>
      <c r="AC182" s="36" t="n">
        <v>11</v>
      </c>
      <c r="AD182" s="37" t="n">
        <v>0.1571428571428571</v>
      </c>
      <c r="AE182" s="36" t="n">
        <v>37</v>
      </c>
      <c r="AF182" s="37" t="n">
        <v>0.2298136645962733</v>
      </c>
      <c r="AG182" s="36" t="n">
        <v>9</v>
      </c>
      <c r="AH182" s="37" t="n">
        <v>0.8181818181818182</v>
      </c>
    </row>
    <row r="183">
      <c r="A183" s="53" t="n">
        <v>45814</v>
      </c>
      <c r="B183" t="inlineStr">
        <is>
          <t>R02_Sumbagsel</t>
        </is>
      </c>
      <c r="C183" t="inlineStr">
        <is>
          <t>NOP BENGKULU</t>
        </is>
      </c>
      <c r="D183" s="38" t="n">
        <v>0</v>
      </c>
      <c r="E183" s="38" t="n">
        <v>3.498</v>
      </c>
      <c r="F183" s="36" t="n">
        <v>3.359000000000002</v>
      </c>
      <c r="G183" s="36" t="n">
        <v>4.34</v>
      </c>
      <c r="H183" s="36" t="n">
        <v>23</v>
      </c>
      <c r="I183" s="37" t="n">
        <v>0.4181818181818182</v>
      </c>
      <c r="J183" s="36" t="n">
        <v>8</v>
      </c>
      <c r="K183" s="37" t="n">
        <v>0.5333333333333333</v>
      </c>
      <c r="L183" s="36" t="n">
        <v>15</v>
      </c>
      <c r="M183" s="37" t="n">
        <v>0.375</v>
      </c>
      <c r="N183" s="36" t="n">
        <v>4</v>
      </c>
      <c r="O183" s="37" t="n">
        <v>0.5</v>
      </c>
      <c r="P183" s="36" t="n">
        <v>4</v>
      </c>
      <c r="Q183" s="37" t="n">
        <v>0.5</v>
      </c>
      <c r="R183" s="36" t="n">
        <v>55</v>
      </c>
      <c r="S183" s="37" t="n">
        <v>1</v>
      </c>
      <c r="T183" s="36" t="n">
        <v>13</v>
      </c>
      <c r="U183" s="37" t="n">
        <v>0.2363636363636364</v>
      </c>
      <c r="V183" s="38" t="n">
        <v>0</v>
      </c>
      <c r="W183" s="38" t="n">
        <v>5.030000000000007</v>
      </c>
      <c r="X183" s="38" t="n">
        <v>12.20800000000001</v>
      </c>
      <c r="Y183" s="38" t="n">
        <v>7.300000000000001</v>
      </c>
      <c r="Z183" s="38" t="n">
        <v>0</v>
      </c>
      <c r="AA183" s="36" t="n">
        <v>68</v>
      </c>
      <c r="AB183" s="37" t="n">
        <v>0.4276729559748428</v>
      </c>
      <c r="AC183" s="36" t="n">
        <v>37</v>
      </c>
      <c r="AD183" s="37" t="n">
        <v>0.3627450980392157</v>
      </c>
      <c r="AE183" s="36" t="n">
        <v>30</v>
      </c>
      <c r="AF183" s="37" t="n">
        <v>0.5454545454545454</v>
      </c>
      <c r="AG183" s="36" t="n">
        <v>33</v>
      </c>
      <c r="AH183" s="37" t="n">
        <v>0.8918918918918919</v>
      </c>
    </row>
    <row r="184">
      <c r="A184" s="53" t="n">
        <v>45814</v>
      </c>
      <c r="B184" t="inlineStr">
        <is>
          <t>R02_Sumbagsel</t>
        </is>
      </c>
      <c r="C184" t="inlineStr">
        <is>
          <t>NOP JAMBI</t>
        </is>
      </c>
      <c r="D184" s="38" t="n">
        <v>3.55</v>
      </c>
      <c r="E184" s="38" t="n">
        <v>5.244</v>
      </c>
      <c r="F184" s="36" t="n">
        <v>2.353000000000002</v>
      </c>
      <c r="G184" s="36" t="n">
        <v>7.738</v>
      </c>
      <c r="H184" s="36" t="n">
        <v>26</v>
      </c>
      <c r="I184" s="37" t="n">
        <v>0.1538461538461539</v>
      </c>
      <c r="J184" s="36" t="n">
        <v>9</v>
      </c>
      <c r="K184" s="37" t="n">
        <v>0.1216216216216216</v>
      </c>
      <c r="L184" s="36" t="n">
        <v>17</v>
      </c>
      <c r="M184" s="37" t="n">
        <v>0.1789473684210526</v>
      </c>
      <c r="N184" s="36" t="n">
        <v>4</v>
      </c>
      <c r="O184" s="37" t="n">
        <v>0.4444444444444444</v>
      </c>
      <c r="P184" s="36" t="n">
        <v>4</v>
      </c>
      <c r="Q184" s="37" t="n">
        <v>0.4444444444444444</v>
      </c>
      <c r="R184" s="36" t="n">
        <v>159</v>
      </c>
      <c r="S184" s="37" t="n">
        <v>0.9408284023668639</v>
      </c>
      <c r="T184" s="36" t="n">
        <v>17</v>
      </c>
      <c r="U184" s="37" t="n">
        <v>0.1005917159763314</v>
      </c>
      <c r="V184" s="38" t="n">
        <v>0</v>
      </c>
      <c r="W184" s="38" t="n">
        <v>4.495000000000005</v>
      </c>
      <c r="X184" s="38" t="n">
        <v>10</v>
      </c>
      <c r="Y184" s="38" t="n">
        <v>18.651</v>
      </c>
      <c r="Z184" s="38" t="n">
        <v>0</v>
      </c>
      <c r="AA184" s="36" t="n">
        <v>25</v>
      </c>
      <c r="AB184" s="37" t="n">
        <v>0.1282051282051282</v>
      </c>
      <c r="AC184" s="36" t="n">
        <v>9</v>
      </c>
      <c r="AD184" s="37" t="n">
        <v>0.07377049180327869</v>
      </c>
      <c r="AE184" s="36" t="n">
        <v>12</v>
      </c>
      <c r="AF184" s="37" t="n">
        <v>0.1967213114754098</v>
      </c>
      <c r="AG184" s="36" t="n">
        <v>7</v>
      </c>
      <c r="AH184" s="37" t="n">
        <v>0.7777777777777778</v>
      </c>
    </row>
    <row r="185">
      <c r="A185" s="53" t="n">
        <v>45814</v>
      </c>
      <c r="B185" t="inlineStr">
        <is>
          <t>R02_Sumbagsel</t>
        </is>
      </c>
      <c r="C185" t="inlineStr">
        <is>
          <t>NOP LAMPUNG</t>
        </is>
      </c>
      <c r="D185" s="38" t="n">
        <v>0</v>
      </c>
      <c r="E185" s="38" t="n">
        <v>1.876</v>
      </c>
      <c r="F185" s="36" t="n">
        <v>5.436</v>
      </c>
      <c r="G185" s="36" t="n">
        <v>4.48</v>
      </c>
      <c r="H185" s="36" t="n">
        <v>6</v>
      </c>
      <c r="I185" s="37" t="n">
        <v>0.2727272727272727</v>
      </c>
      <c r="J185" s="36" t="n">
        <v>3</v>
      </c>
      <c r="K185" s="37" t="n">
        <v>0.4285714285714285</v>
      </c>
      <c r="L185" s="36" t="n">
        <v>3</v>
      </c>
      <c r="M185" s="37" t="n">
        <v>0.2</v>
      </c>
      <c r="N185" s="36" t="n">
        <v>3</v>
      </c>
      <c r="O185" s="37" t="n">
        <v>1</v>
      </c>
      <c r="P185" s="36" t="n">
        <v>3</v>
      </c>
      <c r="Q185" s="37" t="n">
        <v>1</v>
      </c>
      <c r="R185" s="36" t="n">
        <v>20</v>
      </c>
      <c r="S185" s="37" t="n">
        <v>0.9090909090909091</v>
      </c>
      <c r="T185" s="36" t="n">
        <v>5</v>
      </c>
      <c r="U185" s="37" t="n">
        <v>0.2272727272727273</v>
      </c>
      <c r="V185" s="38" t="n">
        <v>0</v>
      </c>
      <c r="W185" s="38" t="n">
        <v>52.525</v>
      </c>
      <c r="X185" s="38" t="n">
        <v>2.175</v>
      </c>
      <c r="Y185" s="38" t="n">
        <v>22.612</v>
      </c>
      <c r="Z185" s="38" t="n">
        <v>0</v>
      </c>
      <c r="AA185" s="36" t="n">
        <v>34</v>
      </c>
      <c r="AB185" s="37" t="n">
        <v>0.8292682926829268</v>
      </c>
      <c r="AC185" s="36" t="n">
        <v>11</v>
      </c>
      <c r="AD185" s="37" t="n">
        <v>0.6875</v>
      </c>
      <c r="AE185" s="36" t="n">
        <v>20</v>
      </c>
      <c r="AF185" s="37" t="n">
        <v>0.9523809523809523</v>
      </c>
      <c r="AG185" s="36" t="n">
        <v>7</v>
      </c>
      <c r="AH185" s="37" t="n">
        <v>0.6363636363636364</v>
      </c>
    </row>
    <row r="186">
      <c r="A186" s="53" t="n">
        <v>45814</v>
      </c>
      <c r="B186" t="inlineStr">
        <is>
          <t>R02_Sumbagsel</t>
        </is>
      </c>
      <c r="C186" t="inlineStr">
        <is>
          <t>NOP MUARA ENIM</t>
        </is>
      </c>
      <c r="D186" s="38" t="n">
        <v>0.61</v>
      </c>
      <c r="E186" s="38" t="n">
        <v>4.056999999999999</v>
      </c>
      <c r="F186" s="36" t="n">
        <v>4.592000000000005</v>
      </c>
      <c r="G186" s="36" t="n">
        <v>3.582</v>
      </c>
      <c r="H186" s="36" t="n">
        <v>17</v>
      </c>
      <c r="I186" s="37" t="n">
        <v>0.2207792207792208</v>
      </c>
      <c r="J186" s="36" t="n">
        <v>4</v>
      </c>
      <c r="K186" s="37" t="n">
        <v>0.25</v>
      </c>
      <c r="L186" s="36" t="n">
        <v>13</v>
      </c>
      <c r="M186" s="37" t="n">
        <v>0.2131147540983606</v>
      </c>
      <c r="N186" s="36" t="n">
        <v>2</v>
      </c>
      <c r="O186" s="37" t="n">
        <v>0.5</v>
      </c>
      <c r="P186" s="36" t="n">
        <v>2</v>
      </c>
      <c r="Q186" s="37" t="n">
        <v>0.5</v>
      </c>
      <c r="R186" s="36" t="n">
        <v>75</v>
      </c>
      <c r="S186" s="37" t="n">
        <v>0.974025974025974</v>
      </c>
      <c r="T186" s="36" t="n">
        <v>8</v>
      </c>
      <c r="U186" s="37" t="n">
        <v>0.1038961038961039</v>
      </c>
      <c r="V186" s="38" t="n">
        <v>0</v>
      </c>
      <c r="W186" s="38" t="n">
        <v>71.28</v>
      </c>
      <c r="X186" s="38" t="n">
        <v>49.19999999999998</v>
      </c>
      <c r="Y186" s="38" t="n">
        <v>11.19</v>
      </c>
      <c r="Z186" s="38" t="n">
        <v>0</v>
      </c>
      <c r="AA186" s="36" t="n">
        <v>54</v>
      </c>
      <c r="AB186" s="37" t="n">
        <v>0.4251968503937008</v>
      </c>
      <c r="AC186" s="36" t="n">
        <v>32</v>
      </c>
      <c r="AD186" s="37" t="n">
        <v>0.4507042253521127</v>
      </c>
      <c r="AE186" s="36" t="n">
        <v>18</v>
      </c>
      <c r="AF186" s="37" t="n">
        <v>0.375</v>
      </c>
      <c r="AG186" s="36" t="n">
        <v>28</v>
      </c>
      <c r="AH186" s="37" t="n">
        <v>0.875</v>
      </c>
    </row>
    <row r="187">
      <c r="A187" s="53" t="n">
        <v>45814</v>
      </c>
      <c r="B187" t="inlineStr">
        <is>
          <t>R02_Sumbagsel</t>
        </is>
      </c>
      <c r="C187" t="inlineStr">
        <is>
          <t>NOP PALEMBANG</t>
        </is>
      </c>
      <c r="D187" s="38" t="n">
        <v>0.786</v>
      </c>
      <c r="E187" s="38" t="n">
        <v>2.669999999999999</v>
      </c>
      <c r="F187" s="36" t="n">
        <v>1.72</v>
      </c>
      <c r="G187" s="36" t="n">
        <v>6.65</v>
      </c>
      <c r="H187" s="36" t="n">
        <v>33</v>
      </c>
      <c r="I187" s="37" t="n">
        <v>0.237410071942446</v>
      </c>
      <c r="J187" s="36" t="n">
        <v>1</v>
      </c>
      <c r="K187" s="37" t="n">
        <v>0.05882352941176471</v>
      </c>
      <c r="L187" s="36" t="n">
        <v>32</v>
      </c>
      <c r="M187" s="37" t="n">
        <v>0.2622950819672131</v>
      </c>
      <c r="N187" s="36" t="n">
        <v>1</v>
      </c>
      <c r="O187" s="37" t="n">
        <v>1</v>
      </c>
      <c r="P187" s="36" t="n">
        <v>1</v>
      </c>
      <c r="Q187" s="37" t="n">
        <v>1</v>
      </c>
      <c r="R187" s="36" t="n">
        <v>139</v>
      </c>
      <c r="S187" s="37" t="n">
        <v>1</v>
      </c>
      <c r="T187" s="36" t="n">
        <v>12</v>
      </c>
      <c r="U187" s="37" t="n">
        <v>0.08633093525179857</v>
      </c>
      <c r="V187" s="38" t="n">
        <v>0</v>
      </c>
      <c r="W187" s="38" t="n">
        <v>3.257</v>
      </c>
      <c r="X187" s="38" t="n">
        <v>9.212000000000023</v>
      </c>
      <c r="Y187" s="38" t="n">
        <v>10.325</v>
      </c>
      <c r="Z187" s="38" t="n">
        <v>0</v>
      </c>
      <c r="AA187" s="36" t="n">
        <v>28</v>
      </c>
      <c r="AB187" s="37" t="n">
        <v>0.175</v>
      </c>
      <c r="AC187" s="36" t="n">
        <v>14</v>
      </c>
      <c r="AD187" s="37" t="n">
        <v>0.1944444444444444</v>
      </c>
      <c r="AE187" s="36" t="n">
        <v>14</v>
      </c>
      <c r="AF187" s="37" t="n">
        <v>0.1866666666666667</v>
      </c>
      <c r="AG187" s="36" t="n">
        <v>8</v>
      </c>
      <c r="AH187" s="37" t="n">
        <v>0.5714285714285714</v>
      </c>
    </row>
    <row r="188">
      <c r="A188" s="53" t="n">
        <v>45814</v>
      </c>
      <c r="B188" t="inlineStr">
        <is>
          <t>R02_Sumbagsel</t>
        </is>
      </c>
      <c r="C188" t="inlineStr">
        <is>
          <t>NOP PANGKAL PINANG</t>
        </is>
      </c>
      <c r="D188" s="38" t="n">
        <v>0</v>
      </c>
      <c r="E188" s="38" t="n">
        <v>8.23</v>
      </c>
      <c r="F188" s="36" t="n">
        <v>4.86</v>
      </c>
      <c r="G188" s="36" t="n">
        <v>11.194</v>
      </c>
      <c r="H188" s="36" t="n">
        <v>14</v>
      </c>
      <c r="I188" s="37" t="n">
        <v>0.8235294117647058</v>
      </c>
      <c r="J188" s="36" t="n">
        <v>1</v>
      </c>
      <c r="K188" s="37" t="n">
        <v>1</v>
      </c>
      <c r="L188" s="36" t="n">
        <v>13</v>
      </c>
      <c r="M188" s="37" t="n">
        <v>0.8125</v>
      </c>
      <c r="N188" s="36" t="n">
        <v>0</v>
      </c>
      <c r="O188" s="37" t="n">
        <v>0</v>
      </c>
      <c r="P188" s="36" t="n">
        <v>0</v>
      </c>
      <c r="Q188" s="37" t="n">
        <v>0</v>
      </c>
      <c r="R188" s="36" t="n">
        <v>17</v>
      </c>
      <c r="S188" s="37" t="n">
        <v>1</v>
      </c>
      <c r="T188" s="36" t="n">
        <v>8</v>
      </c>
      <c r="U188" s="37" t="n">
        <v>0.4705882352941176</v>
      </c>
      <c r="V188" s="38" t="n">
        <v>0</v>
      </c>
      <c r="W188" s="38" t="n">
        <v>1.276</v>
      </c>
      <c r="X188" s="38" t="n">
        <v>39.72499999999999</v>
      </c>
      <c r="Y188" s="38" t="n">
        <v>4.891000000000003</v>
      </c>
      <c r="Z188" s="38" t="n">
        <v>0</v>
      </c>
      <c r="AA188" s="36" t="n">
        <v>39</v>
      </c>
      <c r="AB188" s="37" t="n">
        <v>0.8125</v>
      </c>
      <c r="AC188" s="36" t="n">
        <v>7</v>
      </c>
      <c r="AD188" s="37" t="n">
        <v>1</v>
      </c>
      <c r="AE188" s="36" t="n">
        <v>30</v>
      </c>
      <c r="AF188" s="37" t="n">
        <v>0.7894736842105263</v>
      </c>
      <c r="AG188" s="36" t="n">
        <v>6</v>
      </c>
      <c r="AH188" s="37" t="n">
        <v>0.8571428571428571</v>
      </c>
    </row>
    <row r="189">
      <c r="A189" s="53" t="n">
        <v>45814</v>
      </c>
      <c r="B189" t="inlineStr">
        <is>
          <t>R05_Jawa Tengah DIY</t>
        </is>
      </c>
      <c r="C189" t="inlineStr">
        <is>
          <t>NOP MAGELANG</t>
        </is>
      </c>
      <c r="D189" s="38" t="n">
        <v>3.9</v>
      </c>
      <c r="E189" s="38" t="n">
        <v>0</v>
      </c>
      <c r="F189" s="36" t="n">
        <v>0</v>
      </c>
      <c r="G189" s="36" t="n">
        <v>11.391</v>
      </c>
      <c r="H189" s="36" t="n">
        <v>3</v>
      </c>
      <c r="I189" s="37" t="n">
        <v>0.75</v>
      </c>
      <c r="J189" s="36" t="n">
        <v>2</v>
      </c>
      <c r="K189" s="37" t="n">
        <v>1</v>
      </c>
      <c r="L189" s="36" t="n">
        <v>1</v>
      </c>
      <c r="M189" s="37" t="n">
        <v>0.5</v>
      </c>
      <c r="N189" s="36" t="n">
        <v>2</v>
      </c>
      <c r="O189" s="37" t="n">
        <v>1</v>
      </c>
      <c r="P189" s="36" t="n">
        <v>2</v>
      </c>
      <c r="Q189" s="37" t="n">
        <v>1</v>
      </c>
      <c r="R189" s="36" t="n">
        <v>4</v>
      </c>
      <c r="S189" s="37" t="n">
        <v>1</v>
      </c>
      <c r="T189" s="36" t="n">
        <v>3</v>
      </c>
      <c r="U189" s="37" t="n">
        <v>0.75</v>
      </c>
      <c r="V189" s="38" t="n">
        <v>0</v>
      </c>
      <c r="W189" s="38" t="n">
        <v>0</v>
      </c>
      <c r="X189" s="38" t="n">
        <v>4.223000000000001</v>
      </c>
      <c r="Y189" s="38" t="n">
        <v>19.436</v>
      </c>
      <c r="Z189" s="38" t="n">
        <v>0</v>
      </c>
      <c r="AA189" s="36" t="n">
        <v>38</v>
      </c>
      <c r="AB189" s="37" t="n">
        <v>0.926829268292683</v>
      </c>
      <c r="AC189" s="36" t="n">
        <v>0</v>
      </c>
      <c r="AD189" s="37" t="n">
        <v>0</v>
      </c>
      <c r="AE189" s="36" t="n">
        <v>38</v>
      </c>
      <c r="AF189" s="37" t="n">
        <v>0.926829268292683</v>
      </c>
      <c r="AG189" s="36" t="n">
        <v>0</v>
      </c>
      <c r="AH189" s="37" t="n">
        <v>0</v>
      </c>
    </row>
    <row r="190">
      <c r="A190" s="53" t="n">
        <v>45814</v>
      </c>
      <c r="B190" t="inlineStr">
        <is>
          <t>R05_Jawa Tengah DIY</t>
        </is>
      </c>
      <c r="C190" t="inlineStr">
        <is>
          <t>NOP PEKALONGAN</t>
        </is>
      </c>
      <c r="D190" s="38" t="n">
        <v>3.354</v>
      </c>
      <c r="E190" s="38" t="n">
        <v>0</v>
      </c>
      <c r="F190" s="36" t="n">
        <v>0</v>
      </c>
      <c r="G190" s="36" t="n">
        <v>0</v>
      </c>
      <c r="H190" s="36" t="n">
        <v>2</v>
      </c>
      <c r="I190" s="37" t="n">
        <v>0.6666666666666666</v>
      </c>
      <c r="J190" s="36" t="n">
        <v>2</v>
      </c>
      <c r="K190" s="37" t="n">
        <v>0.6666666666666666</v>
      </c>
      <c r="L190" s="36" t="n">
        <v>0</v>
      </c>
      <c r="M190" s="37" t="n">
        <v>0</v>
      </c>
      <c r="N190" s="36" t="n">
        <v>2</v>
      </c>
      <c r="O190" s="37" t="n">
        <v>1</v>
      </c>
      <c r="P190" s="36" t="n">
        <v>2</v>
      </c>
      <c r="Q190" s="37" t="n">
        <v>1</v>
      </c>
      <c r="R190" s="36" t="n">
        <v>2</v>
      </c>
      <c r="S190" s="37" t="n">
        <v>0.6666666666666666</v>
      </c>
      <c r="T190" s="36" t="n">
        <v>3</v>
      </c>
      <c r="U190" s="37" t="n">
        <v>1</v>
      </c>
      <c r="V190" s="38" t="n">
        <v>0</v>
      </c>
      <c r="W190" s="38" t="n">
        <v>0</v>
      </c>
      <c r="X190" s="38" t="n">
        <v>2.459</v>
      </c>
      <c r="Y190" s="38" t="n">
        <v>19.96</v>
      </c>
      <c r="Z190" s="38" t="n">
        <v>0</v>
      </c>
      <c r="AA190" s="36" t="n">
        <v>8</v>
      </c>
      <c r="AB190" s="37" t="n">
        <v>0.8</v>
      </c>
      <c r="AC190" s="36" t="n">
        <v>0</v>
      </c>
      <c r="AD190" s="37" t="n">
        <v>0</v>
      </c>
      <c r="AE190" s="36" t="n">
        <v>8</v>
      </c>
      <c r="AF190" s="37" t="n">
        <v>0.8</v>
      </c>
      <c r="AG190" s="36" t="n">
        <v>0</v>
      </c>
      <c r="AH190" s="37" t="n">
        <v>0</v>
      </c>
    </row>
    <row r="191">
      <c r="A191" s="53" t="n">
        <v>45814</v>
      </c>
      <c r="B191" t="inlineStr">
        <is>
          <t>R05_Jawa Tengah DIY</t>
        </is>
      </c>
      <c r="C191" t="inlineStr">
        <is>
          <t>NOP PURWOKERTO</t>
        </is>
      </c>
      <c r="D191" s="38" t="n">
        <v>0</v>
      </c>
      <c r="E191" s="38" t="n">
        <v>0</v>
      </c>
      <c r="F191" s="36" t="n">
        <v>1.611</v>
      </c>
      <c r="G191" s="36" t="n">
        <v>2.685</v>
      </c>
      <c r="H191" s="36" t="n">
        <v>5</v>
      </c>
      <c r="I191" s="37" t="n">
        <v>0.5</v>
      </c>
      <c r="J191" s="36" t="n">
        <v>0</v>
      </c>
      <c r="K191" s="37" t="n">
        <v>0</v>
      </c>
      <c r="L191" s="36" t="n">
        <v>5</v>
      </c>
      <c r="M191" s="37" t="n">
        <v>0.5</v>
      </c>
      <c r="N191" s="36" t="n">
        <v>0</v>
      </c>
      <c r="O191" s="37" t="n">
        <v>0</v>
      </c>
      <c r="P191" s="36" t="n">
        <v>0</v>
      </c>
      <c r="Q191" s="37" t="n">
        <v>0</v>
      </c>
      <c r="R191" s="36" t="n">
        <v>10</v>
      </c>
      <c r="S191" s="37" t="n">
        <v>1</v>
      </c>
      <c r="T191" s="36" t="n">
        <v>3</v>
      </c>
      <c r="U191" s="37" t="n">
        <v>0.3</v>
      </c>
      <c r="V191" s="38" t="n">
        <v>0</v>
      </c>
      <c r="W191" s="38" t="n">
        <v>1.481</v>
      </c>
      <c r="X191" s="38" t="n">
        <v>2.2</v>
      </c>
      <c r="Y191" s="38" t="n">
        <v>61.793</v>
      </c>
      <c r="Z191" s="38" t="n">
        <v>0</v>
      </c>
      <c r="AA191" s="36" t="n">
        <v>7</v>
      </c>
      <c r="AB191" s="37" t="n">
        <v>0.7</v>
      </c>
      <c r="AC191" s="36" t="n">
        <v>2</v>
      </c>
      <c r="AD191" s="37" t="n">
        <v>1</v>
      </c>
      <c r="AE191" s="36" t="n">
        <v>5</v>
      </c>
      <c r="AF191" s="37" t="n">
        <v>0.625</v>
      </c>
      <c r="AG191" s="36" t="n">
        <v>2</v>
      </c>
      <c r="AH191" s="37" t="n">
        <v>1</v>
      </c>
    </row>
    <row r="192">
      <c r="A192" s="53" t="n">
        <v>45814</v>
      </c>
      <c r="B192" t="inlineStr">
        <is>
          <t>R05_Jawa Tengah DIY</t>
        </is>
      </c>
      <c r="C192" t="inlineStr">
        <is>
          <t>NOP SEMARANG</t>
        </is>
      </c>
      <c r="D192" s="38" t="n">
        <v>0</v>
      </c>
      <c r="E192" s="38" t="n">
        <v>0</v>
      </c>
      <c r="F192" s="36" t="n">
        <v>2.042</v>
      </c>
      <c r="G192" s="36" t="n">
        <v>1.05</v>
      </c>
      <c r="H192" s="36" t="n">
        <v>8</v>
      </c>
      <c r="I192" s="37" t="n">
        <v>0.8</v>
      </c>
      <c r="J192" s="36" t="n">
        <v>0</v>
      </c>
      <c r="K192" s="37" t="n">
        <v>0</v>
      </c>
      <c r="L192" s="36" t="n">
        <v>8</v>
      </c>
      <c r="M192" s="37" t="n">
        <v>0.8</v>
      </c>
      <c r="N192" s="36" t="n">
        <v>0</v>
      </c>
      <c r="O192" s="37" t="n">
        <v>0</v>
      </c>
      <c r="P192" s="36" t="n">
        <v>0</v>
      </c>
      <c r="Q192" s="37" t="n">
        <v>0</v>
      </c>
      <c r="R192" s="36" t="n">
        <v>10</v>
      </c>
      <c r="S192" s="37" t="n">
        <v>1</v>
      </c>
      <c r="T192" s="36" t="n">
        <v>4</v>
      </c>
      <c r="U192" s="37" t="n">
        <v>0.4</v>
      </c>
      <c r="V192" s="38" t="n">
        <v>0</v>
      </c>
      <c r="W192" s="38" t="n">
        <v>63.75299999999996</v>
      </c>
      <c r="X192" s="38" t="n">
        <v>12.20500000000001</v>
      </c>
      <c r="Y192" s="38" t="n">
        <v>18.66</v>
      </c>
      <c r="Z192" s="38" t="n">
        <v>0</v>
      </c>
      <c r="AA192" s="36" t="n">
        <v>29</v>
      </c>
      <c r="AB192" s="37" t="n">
        <v>0.8787878787878788</v>
      </c>
      <c r="AC192" s="36" t="n">
        <v>6</v>
      </c>
      <c r="AD192" s="37" t="n">
        <v>0.75</v>
      </c>
      <c r="AE192" s="36" t="n">
        <v>23</v>
      </c>
      <c r="AF192" s="37" t="n">
        <v>0.92</v>
      </c>
      <c r="AG192" s="36" t="n">
        <v>6</v>
      </c>
      <c r="AH192" s="37" t="n">
        <v>1</v>
      </c>
    </row>
    <row r="193">
      <c r="A193" s="53" t="n">
        <v>45814</v>
      </c>
      <c r="B193" t="inlineStr">
        <is>
          <t>R05_Jawa Tengah DIY</t>
        </is>
      </c>
      <c r="C193" t="inlineStr">
        <is>
          <t>NOP SURAKARTA</t>
        </is>
      </c>
      <c r="D193" s="38" t="n">
        <v>0.63</v>
      </c>
      <c r="E193" s="38" t="n">
        <v>0</v>
      </c>
      <c r="F193" s="36" t="n">
        <v>2.375</v>
      </c>
      <c r="G193" s="36" t="n">
        <v>2.332</v>
      </c>
      <c r="H193" s="36" t="n">
        <v>14</v>
      </c>
      <c r="I193" s="37" t="n">
        <v>0.7368421052631579</v>
      </c>
      <c r="J193" s="36" t="n">
        <v>1</v>
      </c>
      <c r="K193" s="37" t="n">
        <v>1</v>
      </c>
      <c r="L193" s="36" t="n">
        <v>13</v>
      </c>
      <c r="M193" s="37" t="n">
        <v>0.7222222222222222</v>
      </c>
      <c r="N193" s="36" t="n">
        <v>1</v>
      </c>
      <c r="O193" s="37" t="n">
        <v>1</v>
      </c>
      <c r="P193" s="36" t="n">
        <v>1</v>
      </c>
      <c r="Q193" s="37" t="n">
        <v>1</v>
      </c>
      <c r="R193" s="36" t="n">
        <v>19</v>
      </c>
      <c r="S193" s="37" t="n">
        <v>1</v>
      </c>
      <c r="T193" s="36" t="n">
        <v>9</v>
      </c>
      <c r="U193" s="37" t="n">
        <v>0.4736842105263158</v>
      </c>
      <c r="V193" s="38" t="n">
        <v>0.13</v>
      </c>
      <c r="W193" s="38" t="n">
        <v>4.827999999999999</v>
      </c>
      <c r="X193" s="38" t="n">
        <v>2.864</v>
      </c>
      <c r="Y193" s="38" t="n">
        <v>67.28999999999999</v>
      </c>
      <c r="Z193" s="38" t="n">
        <v>0</v>
      </c>
      <c r="AA193" s="36" t="n">
        <v>22</v>
      </c>
      <c r="AB193" s="37" t="n">
        <v>0.8461538461538461</v>
      </c>
      <c r="AC193" s="36" t="n">
        <v>6</v>
      </c>
      <c r="AD193" s="37" t="n">
        <v>0.6666666666666666</v>
      </c>
      <c r="AE193" s="36" t="n">
        <v>16</v>
      </c>
      <c r="AF193" s="37" t="n">
        <v>0.9411764705882353</v>
      </c>
      <c r="AG193" s="36" t="n">
        <v>4</v>
      </c>
      <c r="AH193" s="37" t="n">
        <v>0.6666666666666666</v>
      </c>
    </row>
    <row r="194">
      <c r="A194" s="53" t="n">
        <v>45814</v>
      </c>
      <c r="B194" t="inlineStr">
        <is>
          <t>R05_Jawa Tengah DIY</t>
        </is>
      </c>
      <c r="C194" t="inlineStr">
        <is>
          <t>NOP YOGYAKARTA</t>
        </is>
      </c>
      <c r="D194" s="38" t="n">
        <v>0</v>
      </c>
      <c r="E194" s="38" t="n">
        <v>0</v>
      </c>
      <c r="F194" s="36" t="n">
        <v>1.599</v>
      </c>
      <c r="G194" s="36" t="n">
        <v>1.425</v>
      </c>
      <c r="H194" s="36" t="n">
        <v>8</v>
      </c>
      <c r="I194" s="37" t="n">
        <v>0.8</v>
      </c>
      <c r="J194" s="36" t="n">
        <v>0</v>
      </c>
      <c r="K194" s="37" t="n">
        <v>0</v>
      </c>
      <c r="L194" s="36" t="n">
        <v>8</v>
      </c>
      <c r="M194" s="37" t="n">
        <v>0.8</v>
      </c>
      <c r="N194" s="36" t="n">
        <v>0</v>
      </c>
      <c r="O194" s="37" t="n">
        <v>0</v>
      </c>
      <c r="P194" s="36" t="n">
        <v>0</v>
      </c>
      <c r="Q194" s="37" t="n">
        <v>0</v>
      </c>
      <c r="R194" s="36" t="n">
        <v>10</v>
      </c>
      <c r="S194" s="37" t="n">
        <v>1</v>
      </c>
      <c r="T194" s="36" t="n">
        <v>4</v>
      </c>
      <c r="U194" s="37" t="n">
        <v>0.4</v>
      </c>
      <c r="V194" s="38" t="n">
        <v>0</v>
      </c>
      <c r="W194" s="38" t="n">
        <v>7.600000000000001</v>
      </c>
      <c r="X194" s="38" t="n">
        <v>4.04</v>
      </c>
      <c r="Y194" s="38" t="n">
        <v>30.012</v>
      </c>
      <c r="Z194" s="38" t="n">
        <v>0</v>
      </c>
      <c r="AA194" s="36" t="n">
        <v>31</v>
      </c>
      <c r="AB194" s="37" t="n">
        <v>0.9393939393939394</v>
      </c>
      <c r="AC194" s="36" t="n">
        <v>9</v>
      </c>
      <c r="AD194" s="37" t="n">
        <v>1</v>
      </c>
      <c r="AE194" s="36" t="n">
        <v>22</v>
      </c>
      <c r="AF194" s="37" t="n">
        <v>0.9166666666666666</v>
      </c>
      <c r="AG194" s="36" t="n">
        <v>9</v>
      </c>
      <c r="AH194" s="37" t="n">
        <v>1</v>
      </c>
    </row>
    <row r="195">
      <c r="A195" s="53" t="n">
        <v>45814</v>
      </c>
      <c r="B195" t="inlineStr">
        <is>
          <t>R06_Jawa Timur</t>
        </is>
      </c>
      <c r="C195" t="inlineStr">
        <is>
          <t>NOP JEMBER</t>
        </is>
      </c>
      <c r="D195" s="38" t="n">
        <v>0</v>
      </c>
      <c r="E195" s="38" t="n">
        <v>0</v>
      </c>
      <c r="F195" s="36" t="n">
        <v>0.6000000000000001</v>
      </c>
      <c r="G195" s="36" t="n">
        <v>0.7270000000000001</v>
      </c>
      <c r="H195" s="36" t="n">
        <v>2</v>
      </c>
      <c r="I195" s="37" t="n">
        <v>0.2857142857142857</v>
      </c>
      <c r="J195" s="36" t="n">
        <v>0</v>
      </c>
      <c r="K195" s="37" t="n">
        <v>0</v>
      </c>
      <c r="L195" s="36" t="n">
        <v>2</v>
      </c>
      <c r="M195" s="37" t="n">
        <v>0.2857142857142857</v>
      </c>
      <c r="N195" s="36" t="n">
        <v>0</v>
      </c>
      <c r="O195" s="37" t="n">
        <v>0</v>
      </c>
      <c r="P195" s="36" t="n">
        <v>0</v>
      </c>
      <c r="Q195" s="37" t="n">
        <v>0</v>
      </c>
      <c r="R195" s="36" t="n">
        <v>7</v>
      </c>
      <c r="S195" s="37" t="n">
        <v>1</v>
      </c>
      <c r="T195" s="36" t="n">
        <v>1</v>
      </c>
      <c r="U195" s="37" t="n">
        <v>0.1428571428571428</v>
      </c>
      <c r="V195" s="38" t="n">
        <v>0</v>
      </c>
      <c r="W195" s="38" t="n">
        <v>2.33</v>
      </c>
      <c r="X195" s="38" t="n">
        <v>19.932</v>
      </c>
      <c r="Y195" s="38" t="n">
        <v>31.15</v>
      </c>
      <c r="Z195" s="38" t="n">
        <v>0</v>
      </c>
      <c r="AA195" s="36" t="n">
        <v>3</v>
      </c>
      <c r="AB195" s="37" t="n">
        <v>0.6</v>
      </c>
      <c r="AC195" s="36" t="n">
        <v>1</v>
      </c>
      <c r="AD195" s="37" t="n">
        <v>1</v>
      </c>
      <c r="AE195" s="36" t="n">
        <v>2</v>
      </c>
      <c r="AF195" s="37" t="n">
        <v>0.5</v>
      </c>
      <c r="AG195" s="36" t="n">
        <v>0</v>
      </c>
      <c r="AH195" s="37" t="n">
        <v>0</v>
      </c>
    </row>
    <row r="196">
      <c r="A196" s="53" t="n">
        <v>45814</v>
      </c>
      <c r="B196" t="inlineStr">
        <is>
          <t>R06_Jawa Timur</t>
        </is>
      </c>
      <c r="C196" t="inlineStr">
        <is>
          <t>NOP KEDIRI</t>
        </is>
      </c>
      <c r="D196" s="38" t="n">
        <v>0</v>
      </c>
      <c r="E196" s="38" t="n">
        <v>0</v>
      </c>
      <c r="F196" s="36" t="n">
        <v>1.02</v>
      </c>
      <c r="G196" s="36" t="n">
        <v>1.454</v>
      </c>
      <c r="H196" s="36" t="n">
        <v>7</v>
      </c>
      <c r="I196" s="37" t="n">
        <v>1</v>
      </c>
      <c r="J196" s="36" t="n">
        <v>0</v>
      </c>
      <c r="K196" s="37" t="n">
        <v>0</v>
      </c>
      <c r="L196" s="36" t="n">
        <v>7</v>
      </c>
      <c r="M196" s="37" t="n">
        <v>1</v>
      </c>
      <c r="N196" s="36" t="n">
        <v>0</v>
      </c>
      <c r="O196" s="37" t="n">
        <v>0</v>
      </c>
      <c r="P196" s="36" t="n">
        <v>0</v>
      </c>
      <c r="Q196" s="37" t="n">
        <v>0</v>
      </c>
      <c r="R196" s="36" t="n">
        <v>7</v>
      </c>
      <c r="S196" s="37" t="n">
        <v>1</v>
      </c>
      <c r="T196" s="36" t="n">
        <v>7</v>
      </c>
      <c r="U196" s="37" t="n">
        <v>1</v>
      </c>
      <c r="V196" s="38" t="n">
        <v>0</v>
      </c>
      <c r="W196" s="38" t="n">
        <v>2.02</v>
      </c>
      <c r="X196" s="38" t="n">
        <v>12.05</v>
      </c>
      <c r="Y196" s="38" t="n">
        <v>0</v>
      </c>
      <c r="Z196" s="38" t="n">
        <v>0</v>
      </c>
      <c r="AA196" s="36" t="n">
        <v>7</v>
      </c>
      <c r="AB196" s="37" t="n">
        <v>0.875</v>
      </c>
      <c r="AC196" s="36" t="n">
        <v>0</v>
      </c>
      <c r="AD196" s="37" t="n">
        <v>0</v>
      </c>
      <c r="AE196" s="36" t="n">
        <v>7</v>
      </c>
      <c r="AF196" s="37" t="n">
        <v>1</v>
      </c>
      <c r="AG196" s="36" t="n">
        <v>0</v>
      </c>
      <c r="AH196" s="37" t="n">
        <v>0</v>
      </c>
    </row>
    <row r="197">
      <c r="A197" s="53" t="n">
        <v>45814</v>
      </c>
      <c r="B197" t="inlineStr">
        <is>
          <t>R06_Jawa Timur</t>
        </is>
      </c>
      <c r="C197" t="inlineStr">
        <is>
          <t>NOP LAMONGAN</t>
        </is>
      </c>
      <c r="D197" s="38" t="n">
        <v>0</v>
      </c>
      <c r="E197" s="38" t="n">
        <v>0</v>
      </c>
      <c r="F197" s="36" t="n">
        <v>0</v>
      </c>
      <c r="G197" s="36" t="n">
        <v>2.79</v>
      </c>
      <c r="H197" s="36" t="n">
        <v>1</v>
      </c>
      <c r="I197" s="37" t="n">
        <v>1</v>
      </c>
      <c r="J197" s="36" t="n">
        <v>0</v>
      </c>
      <c r="K197" s="37" t="n">
        <v>0</v>
      </c>
      <c r="L197" s="36" t="n">
        <v>1</v>
      </c>
      <c r="M197" s="37" t="n">
        <v>1</v>
      </c>
      <c r="N197" s="36" t="n">
        <v>0</v>
      </c>
      <c r="O197" s="37" t="n">
        <v>0</v>
      </c>
      <c r="P197" s="36" t="n">
        <v>0</v>
      </c>
      <c r="Q197" s="37" t="n">
        <v>0</v>
      </c>
      <c r="R197" s="36" t="n">
        <v>1</v>
      </c>
      <c r="S197" s="37" t="n">
        <v>1</v>
      </c>
      <c r="T197" s="36" t="n">
        <v>1</v>
      </c>
      <c r="U197" s="37" t="n">
        <v>1</v>
      </c>
      <c r="V197" s="38" t="n">
        <v>0</v>
      </c>
      <c r="W197" s="38" t="n">
        <v>0.02</v>
      </c>
      <c r="X197" s="38" t="n">
        <v>0</v>
      </c>
      <c r="Y197" s="38" t="n">
        <v>0</v>
      </c>
      <c r="Z197" s="38" t="n">
        <v>0</v>
      </c>
      <c r="AA197" s="36" t="n">
        <v>0</v>
      </c>
      <c r="AB197" s="37" t="n">
        <v>0</v>
      </c>
      <c r="AC197" s="36" t="n">
        <v>0</v>
      </c>
      <c r="AD197" s="37" t="n">
        <v>0</v>
      </c>
      <c r="AE197" s="36" t="n">
        <v>0</v>
      </c>
      <c r="AF197" s="37" t="n">
        <v>0</v>
      </c>
      <c r="AG197" s="36" t="n">
        <v>0</v>
      </c>
      <c r="AH197" s="37" t="n">
        <v>0</v>
      </c>
    </row>
    <row r="198">
      <c r="A198" s="53" t="n">
        <v>45814</v>
      </c>
      <c r="B198" t="inlineStr">
        <is>
          <t>R06_Jawa Timur</t>
        </is>
      </c>
      <c r="C198" t="inlineStr">
        <is>
          <t>NOP MADIUN</t>
        </is>
      </c>
      <c r="D198" s="38" t="n">
        <v>0</v>
      </c>
      <c r="E198" s="38" t="n">
        <v>0</v>
      </c>
      <c r="F198" s="36" t="n">
        <v>2.1</v>
      </c>
      <c r="G198" s="36" t="n">
        <v>0.478</v>
      </c>
      <c r="H198" s="36" t="n">
        <v>1</v>
      </c>
      <c r="I198" s="37" t="n">
        <v>0.3333333333333333</v>
      </c>
      <c r="J198" s="36" t="n">
        <v>0</v>
      </c>
      <c r="K198" s="37" t="n">
        <v>0</v>
      </c>
      <c r="L198" s="36" t="n">
        <v>1</v>
      </c>
      <c r="M198" s="37" t="n">
        <v>0.3333333333333333</v>
      </c>
      <c r="N198" s="36" t="n">
        <v>0</v>
      </c>
      <c r="O198" s="37" t="n">
        <v>0</v>
      </c>
      <c r="P198" s="36" t="n">
        <v>0</v>
      </c>
      <c r="Q198" s="37" t="n">
        <v>0</v>
      </c>
      <c r="R198" s="36" t="n">
        <v>3</v>
      </c>
      <c r="S198" s="37" t="n">
        <v>1</v>
      </c>
      <c r="T198" s="36" t="n">
        <v>1</v>
      </c>
      <c r="U198" s="37" t="n">
        <v>0.3333333333333333</v>
      </c>
      <c r="V198" s="38" t="n">
        <v>0</v>
      </c>
      <c r="W198" s="38" t="n">
        <v>0</v>
      </c>
      <c r="X198" s="38" t="n">
        <v>29.756</v>
      </c>
      <c r="Y198" s="38" t="n">
        <v>36.91800000000001</v>
      </c>
      <c r="Z198" s="38" t="n">
        <v>0</v>
      </c>
      <c r="AA198" s="36" t="n">
        <v>5</v>
      </c>
      <c r="AB198" s="37" t="n">
        <v>1</v>
      </c>
      <c r="AC198" s="36" t="n">
        <v>0</v>
      </c>
      <c r="AD198" s="37" t="n">
        <v>0</v>
      </c>
      <c r="AE198" s="36" t="n">
        <v>5</v>
      </c>
      <c r="AF198" s="37" t="n">
        <v>1</v>
      </c>
      <c r="AG198" s="36" t="n">
        <v>0</v>
      </c>
      <c r="AH198" s="37" t="n">
        <v>0</v>
      </c>
    </row>
    <row r="199">
      <c r="A199" s="53" t="n">
        <v>45814</v>
      </c>
      <c r="B199" t="inlineStr">
        <is>
          <t>R06_Jawa Timur</t>
        </is>
      </c>
      <c r="C199" t="inlineStr">
        <is>
          <t>NOP MALANG</t>
        </is>
      </c>
      <c r="D199" s="38" t="n">
        <v>0</v>
      </c>
      <c r="E199" s="38" t="n">
        <v>0</v>
      </c>
      <c r="F199" s="36" t="n">
        <v>0.55</v>
      </c>
      <c r="G199" s="36" t="n">
        <v>0.6899999999999999</v>
      </c>
      <c r="H199" s="36" t="n">
        <v>7</v>
      </c>
      <c r="I199" s="37" t="n">
        <v>0.875</v>
      </c>
      <c r="J199" s="36" t="n">
        <v>0</v>
      </c>
      <c r="K199" s="37" t="n">
        <v>0</v>
      </c>
      <c r="L199" s="36" t="n">
        <v>7</v>
      </c>
      <c r="M199" s="37" t="n">
        <v>0.875</v>
      </c>
      <c r="N199" s="36" t="n">
        <v>0</v>
      </c>
      <c r="O199" s="37" t="n">
        <v>0</v>
      </c>
      <c r="P199" s="36" t="n">
        <v>0</v>
      </c>
      <c r="Q199" s="37" t="n">
        <v>0</v>
      </c>
      <c r="R199" s="36" t="n">
        <v>8</v>
      </c>
      <c r="S199" s="37" t="n">
        <v>1</v>
      </c>
      <c r="T199" s="36" t="n">
        <v>8</v>
      </c>
      <c r="U199" s="37" t="n">
        <v>1</v>
      </c>
      <c r="V199" s="38" t="n">
        <v>0</v>
      </c>
      <c r="W199" s="38" t="n">
        <v>0.718</v>
      </c>
      <c r="X199" s="38" t="n">
        <v>3.57</v>
      </c>
      <c r="Y199" s="38" t="n">
        <v>14.8</v>
      </c>
      <c r="Z199" s="38" t="n">
        <v>0</v>
      </c>
      <c r="AA199" s="36" t="n">
        <v>8</v>
      </c>
      <c r="AB199" s="37" t="n">
        <v>0.8888888888888888</v>
      </c>
      <c r="AC199" s="36" t="n">
        <v>3</v>
      </c>
      <c r="AD199" s="37" t="n">
        <v>0.75</v>
      </c>
      <c r="AE199" s="36" t="n">
        <v>5</v>
      </c>
      <c r="AF199" s="37" t="n">
        <v>1</v>
      </c>
      <c r="AG199" s="36" t="n">
        <v>2</v>
      </c>
      <c r="AH199" s="37" t="n">
        <v>0.6666666666666666</v>
      </c>
    </row>
    <row r="200">
      <c r="A200" s="53" t="n">
        <v>45814</v>
      </c>
      <c r="B200" t="inlineStr">
        <is>
          <t>R06_Jawa Timur</t>
        </is>
      </c>
      <c r="C200" t="inlineStr">
        <is>
          <t>NOP SIDOARJO</t>
        </is>
      </c>
      <c r="D200" s="38" t="n">
        <v>0</v>
      </c>
      <c r="E200" s="38" t="n">
        <v>0</v>
      </c>
      <c r="F200" s="36" t="n">
        <v>5.451000000000001</v>
      </c>
      <c r="G200" s="36" t="n">
        <v>20.506</v>
      </c>
      <c r="H200" s="36" t="n">
        <v>5</v>
      </c>
      <c r="I200" s="37" t="n">
        <v>0.8333333333333334</v>
      </c>
      <c r="J200" s="36" t="n">
        <v>0</v>
      </c>
      <c r="K200" s="37" t="n">
        <v>0</v>
      </c>
      <c r="L200" s="36" t="n">
        <v>5</v>
      </c>
      <c r="M200" s="37" t="n">
        <v>0.8333333333333334</v>
      </c>
      <c r="N200" s="36" t="n">
        <v>0</v>
      </c>
      <c r="O200" s="37" t="n">
        <v>0</v>
      </c>
      <c r="P200" s="36" t="n">
        <v>0</v>
      </c>
      <c r="Q200" s="37" t="n">
        <v>0</v>
      </c>
      <c r="R200" s="36" t="n">
        <v>6</v>
      </c>
      <c r="S200" s="37" t="n">
        <v>1</v>
      </c>
      <c r="T200" s="36" t="n">
        <v>5</v>
      </c>
      <c r="U200" s="37" t="n">
        <v>0.8333333333333334</v>
      </c>
      <c r="V200" s="38" t="n">
        <v>0</v>
      </c>
      <c r="W200" s="38" t="n">
        <v>10.93</v>
      </c>
      <c r="X200" s="38" t="n">
        <v>24.624</v>
      </c>
      <c r="Y200" s="38" t="n">
        <v>42.22</v>
      </c>
      <c r="Z200" s="38" t="n">
        <v>0</v>
      </c>
      <c r="AA200" s="36" t="n">
        <v>4</v>
      </c>
      <c r="AB200" s="37" t="n">
        <v>1</v>
      </c>
      <c r="AC200" s="36" t="n">
        <v>1</v>
      </c>
      <c r="AD200" s="37" t="n">
        <v>1</v>
      </c>
      <c r="AE200" s="36" t="n">
        <v>3</v>
      </c>
      <c r="AF200" s="37" t="n">
        <v>1</v>
      </c>
      <c r="AG200" s="36" t="n">
        <v>0</v>
      </c>
      <c r="AH200" s="37" t="n">
        <v>0</v>
      </c>
    </row>
    <row r="201">
      <c r="A201" s="53" t="n">
        <v>45814</v>
      </c>
      <c r="B201" t="inlineStr">
        <is>
          <t>R06_Jawa Timur</t>
        </is>
      </c>
      <c r="C201" t="inlineStr">
        <is>
          <t>NOP SURABAYA</t>
        </is>
      </c>
      <c r="D201" s="38" t="n">
        <v>0</v>
      </c>
      <c r="E201" s="38" t="n">
        <v>0</v>
      </c>
      <c r="F201" s="36" t="n">
        <v>2.36</v>
      </c>
      <c r="G201" s="36" t="n">
        <v>0.36</v>
      </c>
      <c r="H201" s="36" t="n">
        <v>3</v>
      </c>
      <c r="I201" s="37" t="n">
        <v>0.5</v>
      </c>
      <c r="J201" s="36" t="n">
        <v>0</v>
      </c>
      <c r="K201" s="37" t="n">
        <v>0</v>
      </c>
      <c r="L201" s="36" t="n">
        <v>3</v>
      </c>
      <c r="M201" s="37" t="n">
        <v>0.5</v>
      </c>
      <c r="N201" s="36" t="n">
        <v>0</v>
      </c>
      <c r="O201" s="37" t="n">
        <v>0</v>
      </c>
      <c r="P201" s="36" t="n">
        <v>0</v>
      </c>
      <c r="Q201" s="37" t="n">
        <v>0</v>
      </c>
      <c r="R201" s="36" t="n">
        <v>4</v>
      </c>
      <c r="S201" s="37" t="n">
        <v>0.6666666666666666</v>
      </c>
      <c r="T201" s="36" t="n">
        <v>0</v>
      </c>
      <c r="U201" s="37" t="n">
        <v>0</v>
      </c>
      <c r="V201" s="38" t="n">
        <v>0</v>
      </c>
      <c r="W201" s="38" t="n">
        <v>0</v>
      </c>
      <c r="X201" s="38" t="n">
        <v>12.887</v>
      </c>
      <c r="Y201" s="38" t="n">
        <v>22.728</v>
      </c>
      <c r="Z201" s="38" t="n">
        <v>0</v>
      </c>
      <c r="AA201" s="36" t="n">
        <v>5</v>
      </c>
      <c r="AB201" s="37" t="n">
        <v>0.3846153846153846</v>
      </c>
      <c r="AC201" s="36" t="n">
        <v>0</v>
      </c>
      <c r="AD201" s="37" t="n">
        <v>0</v>
      </c>
      <c r="AE201" s="36" t="n">
        <v>5</v>
      </c>
      <c r="AF201" s="37" t="n">
        <v>0.3846153846153846</v>
      </c>
      <c r="AG201" s="36" t="n">
        <v>0</v>
      </c>
      <c r="AH201" s="37" t="n">
        <v>0</v>
      </c>
    </row>
    <row r="202">
      <c r="A202" s="53" t="n">
        <v>45814</v>
      </c>
      <c r="B202" t="inlineStr">
        <is>
          <t>R07_Bali Nusra</t>
        </is>
      </c>
      <c r="C202" t="inlineStr">
        <is>
          <t>NOP DENPASAR</t>
        </is>
      </c>
      <c r="D202" s="38" t="n">
        <v>0</v>
      </c>
      <c r="E202" s="38" t="n">
        <v>0</v>
      </c>
      <c r="F202" s="36" t="n">
        <v>0.39</v>
      </c>
      <c r="G202" s="36" t="n">
        <v>0.8860000000000002</v>
      </c>
      <c r="H202" s="36" t="n">
        <v>5</v>
      </c>
      <c r="I202" s="37" t="n">
        <v>1</v>
      </c>
      <c r="J202" s="36" t="n">
        <v>0</v>
      </c>
      <c r="K202" s="37" t="n">
        <v>0</v>
      </c>
      <c r="L202" s="36" t="n">
        <v>5</v>
      </c>
      <c r="M202" s="37" t="n">
        <v>1</v>
      </c>
      <c r="N202" s="36" t="n">
        <v>0</v>
      </c>
      <c r="O202" s="37" t="n">
        <v>0</v>
      </c>
      <c r="P202" s="36" t="n">
        <v>0</v>
      </c>
      <c r="Q202" s="37" t="n">
        <v>0</v>
      </c>
      <c r="R202" s="36" t="n">
        <v>5</v>
      </c>
      <c r="S202" s="37" t="n">
        <v>1</v>
      </c>
      <c r="T202" s="36" t="n">
        <v>5</v>
      </c>
      <c r="U202" s="37" t="n">
        <v>1</v>
      </c>
      <c r="V202" s="38" t="n">
        <v>0</v>
      </c>
      <c r="W202" s="38" t="n">
        <v>4.700000000000004</v>
      </c>
      <c r="X202" s="38" t="n">
        <v>41.068</v>
      </c>
      <c r="Y202" s="38" t="n">
        <v>14.55</v>
      </c>
      <c r="Z202" s="38" t="n">
        <v>0</v>
      </c>
      <c r="AA202" s="36" t="n">
        <v>24</v>
      </c>
      <c r="AB202" s="37" t="n">
        <v>0.8888888888888888</v>
      </c>
      <c r="AC202" s="36" t="n">
        <v>7</v>
      </c>
      <c r="AD202" s="37" t="n">
        <v>1</v>
      </c>
      <c r="AE202" s="36" t="n">
        <v>17</v>
      </c>
      <c r="AF202" s="37" t="n">
        <v>0.85</v>
      </c>
      <c r="AG202" s="36" t="n">
        <v>3</v>
      </c>
      <c r="AH202" s="37" t="n">
        <v>0.4285714285714285</v>
      </c>
    </row>
    <row r="203">
      <c r="A203" s="53" t="n">
        <v>45814</v>
      </c>
      <c r="B203" t="inlineStr">
        <is>
          <t>R07_Bali Nusra</t>
        </is>
      </c>
      <c r="C203" t="inlineStr">
        <is>
          <t>NOP FLORES</t>
        </is>
      </c>
      <c r="D203" s="38" t="n">
        <v>1.747</v>
      </c>
      <c r="E203" s="38" t="n">
        <v>2.916000000000001</v>
      </c>
      <c r="F203" s="36" t="n">
        <v>15.48</v>
      </c>
      <c r="G203" s="36" t="n">
        <v>2.05</v>
      </c>
      <c r="H203" s="36" t="n">
        <v>25</v>
      </c>
      <c r="I203" s="37" t="n">
        <v>0.2631578947368421</v>
      </c>
      <c r="J203" s="36" t="n">
        <v>6</v>
      </c>
      <c r="K203" s="37" t="n">
        <v>0.6666666666666666</v>
      </c>
      <c r="L203" s="36" t="n">
        <v>19</v>
      </c>
      <c r="M203" s="37" t="n">
        <v>0.2209302325581395</v>
      </c>
      <c r="N203" s="36" t="n">
        <v>4</v>
      </c>
      <c r="O203" s="37" t="n">
        <v>0.6666666666666666</v>
      </c>
      <c r="P203" s="36" t="n">
        <v>4</v>
      </c>
      <c r="Q203" s="37" t="n">
        <v>0.6666666666666666</v>
      </c>
      <c r="R203" s="36" t="n">
        <v>95</v>
      </c>
      <c r="S203" s="37" t="n">
        <v>1</v>
      </c>
      <c r="T203" s="36" t="n">
        <v>12</v>
      </c>
      <c r="U203" s="37" t="n">
        <v>0.1263157894736842</v>
      </c>
      <c r="V203" s="38" t="n">
        <v>0</v>
      </c>
      <c r="W203" s="38" t="n">
        <v>10.122</v>
      </c>
      <c r="X203" s="38" t="n">
        <v>4.002</v>
      </c>
      <c r="Y203" s="38" t="n">
        <v>126.737</v>
      </c>
      <c r="Z203" s="38" t="n">
        <v>0</v>
      </c>
      <c r="AA203" s="36" t="n">
        <v>37</v>
      </c>
      <c r="AB203" s="37" t="n">
        <v>0.4157303370786517</v>
      </c>
      <c r="AC203" s="36" t="n">
        <v>25</v>
      </c>
      <c r="AD203" s="37" t="n">
        <v>0.4166666666666667</v>
      </c>
      <c r="AE203" s="36" t="n">
        <v>12</v>
      </c>
      <c r="AF203" s="37" t="n">
        <v>0.4137931034482759</v>
      </c>
      <c r="AG203" s="36" t="n">
        <v>19</v>
      </c>
      <c r="AH203" s="37" t="n">
        <v>0.76</v>
      </c>
    </row>
    <row r="204">
      <c r="A204" s="53" t="n">
        <v>45814</v>
      </c>
      <c r="B204" t="inlineStr">
        <is>
          <t>R07_Bali Nusra</t>
        </is>
      </c>
      <c r="C204" t="inlineStr">
        <is>
          <t>NOP KUPANG</t>
        </is>
      </c>
      <c r="D204" s="38" t="n">
        <v>0</v>
      </c>
      <c r="E204" s="38" t="n">
        <v>14.961</v>
      </c>
      <c r="F204" s="36" t="n">
        <v>2.04</v>
      </c>
      <c r="G204" s="36" t="n">
        <v>38.89099999999998</v>
      </c>
      <c r="H204" s="36" t="n">
        <v>11</v>
      </c>
      <c r="I204" s="37" t="n">
        <v>0.6875</v>
      </c>
      <c r="J204" s="36" t="n">
        <v>2</v>
      </c>
      <c r="K204" s="37" t="n">
        <v>0.5</v>
      </c>
      <c r="L204" s="36" t="n">
        <v>9</v>
      </c>
      <c r="M204" s="37" t="n">
        <v>0.75</v>
      </c>
      <c r="N204" s="36" t="n">
        <v>2</v>
      </c>
      <c r="O204" s="37" t="n">
        <v>1</v>
      </c>
      <c r="P204" s="36" t="n">
        <v>2</v>
      </c>
      <c r="Q204" s="37" t="n">
        <v>1</v>
      </c>
      <c r="R204" s="36" t="n">
        <v>16</v>
      </c>
      <c r="S204" s="37" t="n">
        <v>1</v>
      </c>
      <c r="T204" s="36" t="n">
        <v>5</v>
      </c>
      <c r="U204" s="37" t="n">
        <v>0.3125</v>
      </c>
      <c r="V204" s="38" t="n">
        <v>0</v>
      </c>
      <c r="W204" s="38" t="n">
        <v>1.831999999999999</v>
      </c>
      <c r="X204" s="38" t="n">
        <v>15.008</v>
      </c>
      <c r="Y204" s="38" t="n">
        <v>57.53800000000001</v>
      </c>
      <c r="Z204" s="38" t="n">
        <v>0</v>
      </c>
      <c r="AA204" s="36" t="n">
        <v>16</v>
      </c>
      <c r="AB204" s="37" t="n">
        <v>0.4210526315789473</v>
      </c>
      <c r="AC204" s="36" t="n">
        <v>7</v>
      </c>
      <c r="AD204" s="37" t="n">
        <v>0.4666666666666667</v>
      </c>
      <c r="AE204" s="36" t="n">
        <v>9</v>
      </c>
      <c r="AF204" s="37" t="n">
        <v>0.391304347826087</v>
      </c>
      <c r="AG204" s="36" t="n">
        <v>3</v>
      </c>
      <c r="AH204" s="37" t="n">
        <v>0.4285714285714285</v>
      </c>
    </row>
    <row r="205">
      <c r="A205" s="53" t="n">
        <v>45814</v>
      </c>
      <c r="B205" t="inlineStr">
        <is>
          <t>R07_Bali Nusra</t>
        </is>
      </c>
      <c r="C205" t="inlineStr">
        <is>
          <t>NOP MATARAM</t>
        </is>
      </c>
      <c r="D205" s="38" t="n">
        <v>0</v>
      </c>
      <c r="E205" s="38" t="n">
        <v>0</v>
      </c>
      <c r="F205" s="36" t="n">
        <v>2.956000000000001</v>
      </c>
      <c r="G205" s="36" t="n">
        <v>0.7810000000000001</v>
      </c>
      <c r="H205" s="36" t="n">
        <v>7</v>
      </c>
      <c r="I205" s="37" t="n">
        <v>0.7777777777777778</v>
      </c>
      <c r="J205" s="36" t="n">
        <v>0</v>
      </c>
      <c r="K205" s="37" t="n">
        <v>0</v>
      </c>
      <c r="L205" s="36" t="n">
        <v>7</v>
      </c>
      <c r="M205" s="37" t="n">
        <v>0.7777777777777778</v>
      </c>
      <c r="N205" s="36" t="n">
        <v>0</v>
      </c>
      <c r="O205" s="37" t="n">
        <v>0</v>
      </c>
      <c r="P205" s="36" t="n">
        <v>0</v>
      </c>
      <c r="Q205" s="37" t="n">
        <v>0</v>
      </c>
      <c r="R205" s="36" t="n">
        <v>9</v>
      </c>
      <c r="S205" s="37" t="n">
        <v>1</v>
      </c>
      <c r="T205" s="36" t="n">
        <v>1</v>
      </c>
      <c r="U205" s="37" t="n">
        <v>0.1111111111111111</v>
      </c>
      <c r="V205" s="38" t="n">
        <v>0</v>
      </c>
      <c r="W205" s="38" t="n">
        <v>13.605</v>
      </c>
      <c r="X205" s="38" t="n">
        <v>52.10900000000001</v>
      </c>
      <c r="Y205" s="38" t="n">
        <v>6.166</v>
      </c>
      <c r="Z205" s="38" t="n">
        <v>0</v>
      </c>
      <c r="AA205" s="36" t="n">
        <v>7</v>
      </c>
      <c r="AB205" s="37" t="n">
        <v>0.1346153846153846</v>
      </c>
      <c r="AC205" s="36" t="n">
        <v>6</v>
      </c>
      <c r="AD205" s="37" t="n">
        <v>0.1304347826086956</v>
      </c>
      <c r="AE205" s="36" t="n">
        <v>1</v>
      </c>
      <c r="AF205" s="37" t="n">
        <v>0.1666666666666667</v>
      </c>
      <c r="AG205" s="36" t="n">
        <v>3</v>
      </c>
      <c r="AH205" s="37" t="n">
        <v>0.5</v>
      </c>
    </row>
    <row r="206">
      <c r="A206" s="53" t="n">
        <v>45815</v>
      </c>
      <c r="B206" t="inlineStr">
        <is>
          <t>R01_Sumbagut</t>
        </is>
      </c>
      <c r="C206" t="inlineStr">
        <is>
          <t>NOP ACEH</t>
        </is>
      </c>
      <c r="D206" s="38" t="n">
        <v>1.84</v>
      </c>
      <c r="E206" s="38" t="n">
        <v>3.364000000000001</v>
      </c>
      <c r="F206" s="36" t="n">
        <v>7.2</v>
      </c>
      <c r="G206" s="36" t="n">
        <v>5.538</v>
      </c>
      <c r="H206" s="36" t="n">
        <v>206</v>
      </c>
      <c r="I206" s="37" t="n">
        <v>0.9279279279279279</v>
      </c>
      <c r="J206" s="36" t="n">
        <v>34</v>
      </c>
      <c r="K206" s="37" t="n">
        <v>0.7555555555555555</v>
      </c>
      <c r="L206" s="36" t="n">
        <v>172</v>
      </c>
      <c r="M206" s="37" t="n">
        <v>0.9717514124293786</v>
      </c>
      <c r="N206" s="36" t="n">
        <v>20</v>
      </c>
      <c r="O206" s="37" t="n">
        <v>0.5882352941176471</v>
      </c>
      <c r="P206" s="36" t="n">
        <v>20</v>
      </c>
      <c r="Q206" s="37" t="n">
        <v>0.5882352941176471</v>
      </c>
      <c r="R206" s="36" t="n">
        <v>221</v>
      </c>
      <c r="S206" s="37" t="n">
        <v>0.9954954954954955</v>
      </c>
      <c r="T206" s="36" t="n">
        <v>96</v>
      </c>
      <c r="U206" s="37" t="n">
        <v>0.4324324324324325</v>
      </c>
      <c r="V206" s="38" t="n">
        <v>0.027</v>
      </c>
      <c r="W206" s="38" t="n">
        <v>5.71</v>
      </c>
      <c r="X206" s="38" t="n">
        <v>76.91999999999996</v>
      </c>
      <c r="Y206" s="38" t="n">
        <v>79.09200000000006</v>
      </c>
      <c r="Z206" s="38" t="n">
        <v>0</v>
      </c>
      <c r="AA206" s="36" t="n">
        <v>249</v>
      </c>
      <c r="AB206" s="37" t="n">
        <v>0.8861209964412812</v>
      </c>
      <c r="AC206" s="36" t="n">
        <v>66</v>
      </c>
      <c r="AD206" s="37" t="n">
        <v>0.7586206896551724</v>
      </c>
      <c r="AE206" s="36" t="n">
        <v>182</v>
      </c>
      <c r="AF206" s="37" t="n">
        <v>0.9479166666666666</v>
      </c>
      <c r="AG206" s="36" t="n">
        <v>25</v>
      </c>
      <c r="AH206" s="37" t="n">
        <v>0.3787878787878788</v>
      </c>
    </row>
    <row r="207">
      <c r="A207" s="53" t="n">
        <v>45815</v>
      </c>
      <c r="B207" t="inlineStr">
        <is>
          <t>R01_Sumbagut</t>
        </is>
      </c>
      <c r="C207" t="inlineStr">
        <is>
          <t>NOP BINJAI</t>
        </is>
      </c>
      <c r="D207" s="38" t="n">
        <v>6.48</v>
      </c>
      <c r="E207" s="38" t="n">
        <v>2.346000000000001</v>
      </c>
      <c r="F207" s="36" t="n">
        <v>8.529999999999999</v>
      </c>
      <c r="G207" s="36" t="n">
        <v>4.650000000000002</v>
      </c>
      <c r="H207" s="36" t="n">
        <v>69</v>
      </c>
      <c r="I207" s="37" t="n">
        <v>0.5609756097560976</v>
      </c>
      <c r="J207" s="36" t="n">
        <v>18</v>
      </c>
      <c r="K207" s="37" t="n">
        <v>0.5294117647058824</v>
      </c>
      <c r="L207" s="36" t="n">
        <v>51</v>
      </c>
      <c r="M207" s="37" t="n">
        <v>0.5730337078651685</v>
      </c>
      <c r="N207" s="36" t="n">
        <v>9</v>
      </c>
      <c r="O207" s="37" t="n">
        <v>0.5</v>
      </c>
      <c r="P207" s="36" t="n">
        <v>9</v>
      </c>
      <c r="Q207" s="37" t="n">
        <v>0.5</v>
      </c>
      <c r="R207" s="36" t="n">
        <v>123</v>
      </c>
      <c r="S207" s="37" t="n">
        <v>1</v>
      </c>
      <c r="T207" s="36" t="n">
        <v>25</v>
      </c>
      <c r="U207" s="37" t="n">
        <v>0.2032520325203252</v>
      </c>
      <c r="V207" s="38" t="n">
        <v>0</v>
      </c>
      <c r="W207" s="38" t="n">
        <v>3.93</v>
      </c>
      <c r="X207" s="38" t="n">
        <v>26.54</v>
      </c>
      <c r="Y207" s="38" t="n">
        <v>75.38</v>
      </c>
      <c r="Z207" s="38" t="n">
        <v>0</v>
      </c>
      <c r="AA207" s="36" t="n">
        <v>69</v>
      </c>
      <c r="AB207" s="37" t="n">
        <v>0.6330275229357798</v>
      </c>
      <c r="AC207" s="36" t="n">
        <v>20</v>
      </c>
      <c r="AD207" s="37" t="n">
        <v>0.4878048780487805</v>
      </c>
      <c r="AE207" s="36" t="n">
        <v>46</v>
      </c>
      <c r="AF207" s="37" t="n">
        <v>0.7301587301587301</v>
      </c>
      <c r="AG207" s="36" t="n">
        <v>8</v>
      </c>
      <c r="AH207" s="37" t="n">
        <v>0.4</v>
      </c>
    </row>
    <row r="208">
      <c r="A208" s="53" t="n">
        <v>45815</v>
      </c>
      <c r="B208" t="inlineStr">
        <is>
          <t>R01_Sumbagut</t>
        </is>
      </c>
      <c r="C208" t="inlineStr">
        <is>
          <t>NOP MEDAN</t>
        </is>
      </c>
      <c r="D208" s="38" t="n">
        <v>0</v>
      </c>
      <c r="E208" s="38" t="n">
        <v>9.400000000000004</v>
      </c>
      <c r="F208" s="36" t="n">
        <v>1.744</v>
      </c>
      <c r="G208" s="36" t="n">
        <v>7.006999999999997</v>
      </c>
      <c r="H208" s="36" t="n">
        <v>14</v>
      </c>
      <c r="I208" s="37" t="n">
        <v>0.2372881355932203</v>
      </c>
      <c r="J208" s="36" t="n">
        <v>4</v>
      </c>
      <c r="K208" s="37" t="n">
        <v>0.3333333333333333</v>
      </c>
      <c r="L208" s="36" t="n">
        <v>10</v>
      </c>
      <c r="M208" s="37" t="n">
        <v>0.2127659574468085</v>
      </c>
      <c r="N208" s="36" t="n">
        <v>1</v>
      </c>
      <c r="O208" s="37" t="n">
        <v>0.25</v>
      </c>
      <c r="P208" s="36" t="n">
        <v>1</v>
      </c>
      <c r="Q208" s="37" t="n">
        <v>0.25</v>
      </c>
      <c r="R208" s="36" t="n">
        <v>59</v>
      </c>
      <c r="S208" s="37" t="n">
        <v>1</v>
      </c>
      <c r="T208" s="36" t="n">
        <v>9</v>
      </c>
      <c r="U208" s="37" t="n">
        <v>0.1525423728813559</v>
      </c>
      <c r="V208" s="38" t="n">
        <v>0</v>
      </c>
      <c r="W208" s="38" t="n">
        <v>1.625</v>
      </c>
      <c r="X208" s="38" t="n">
        <v>16.308</v>
      </c>
      <c r="Y208" s="38" t="n">
        <v>10.13</v>
      </c>
      <c r="Z208" s="38" t="n">
        <v>0</v>
      </c>
      <c r="AA208" s="36" t="n">
        <v>11</v>
      </c>
      <c r="AB208" s="37" t="n">
        <v>0.2391304347826087</v>
      </c>
      <c r="AC208" s="36" t="n">
        <v>2</v>
      </c>
      <c r="AD208" s="37" t="n">
        <v>0.1666666666666667</v>
      </c>
      <c r="AE208" s="36" t="n">
        <v>9</v>
      </c>
      <c r="AF208" s="37" t="n">
        <v>0.2647058823529412</v>
      </c>
      <c r="AG208" s="36" t="n">
        <v>1</v>
      </c>
      <c r="AH208" s="37" t="n">
        <v>0.5</v>
      </c>
    </row>
    <row r="209">
      <c r="A209" s="53" t="n">
        <v>45815</v>
      </c>
      <c r="B209" t="inlineStr">
        <is>
          <t>R01_Sumbagut</t>
        </is>
      </c>
      <c r="C209" t="inlineStr">
        <is>
          <t>NOP PADANG SIDEMPUAN</t>
        </is>
      </c>
      <c r="D209" s="38" t="n">
        <v>1.037</v>
      </c>
      <c r="E209" s="38" t="n">
        <v>1.414</v>
      </c>
      <c r="F209" s="36" t="n">
        <v>4.444000000000001</v>
      </c>
      <c r="G209" s="36" t="n">
        <v>2.99</v>
      </c>
      <c r="H209" s="36" t="n">
        <v>19</v>
      </c>
      <c r="I209" s="37" t="n">
        <v>0.3064516129032258</v>
      </c>
      <c r="J209" s="36" t="n">
        <v>4</v>
      </c>
      <c r="K209" s="37" t="n">
        <v>0.4444444444444444</v>
      </c>
      <c r="L209" s="36" t="n">
        <v>15</v>
      </c>
      <c r="M209" s="37" t="n">
        <v>0.2830188679245283</v>
      </c>
      <c r="N209" s="36" t="n">
        <v>2</v>
      </c>
      <c r="O209" s="37" t="n">
        <v>0.5</v>
      </c>
      <c r="P209" s="36" t="n">
        <v>2</v>
      </c>
      <c r="Q209" s="37" t="n">
        <v>0.5</v>
      </c>
      <c r="R209" s="36" t="n">
        <v>57</v>
      </c>
      <c r="S209" s="37" t="n">
        <v>0.9193548387096774</v>
      </c>
      <c r="T209" s="36" t="n">
        <v>8</v>
      </c>
      <c r="U209" s="37" t="n">
        <v>0.1290322580645161</v>
      </c>
      <c r="V209" s="38" t="n">
        <v>0</v>
      </c>
      <c r="W209" s="38" t="n">
        <v>2.124000000000001</v>
      </c>
      <c r="X209" s="38" t="n">
        <v>5.24</v>
      </c>
      <c r="Y209" s="38" t="n">
        <v>75.28700000000005</v>
      </c>
      <c r="Z209" s="38" t="n">
        <v>0</v>
      </c>
      <c r="AA209" s="36" t="n">
        <v>120</v>
      </c>
      <c r="AB209" s="37" t="n">
        <v>0.7453416149068323</v>
      </c>
      <c r="AC209" s="36" t="n">
        <v>52</v>
      </c>
      <c r="AD209" s="37" t="n">
        <v>0.7647058823529411</v>
      </c>
      <c r="AE209" s="36" t="n">
        <v>63</v>
      </c>
      <c r="AF209" s="37" t="n">
        <v>0.7325581395348837</v>
      </c>
      <c r="AG209" s="36" t="n">
        <v>34</v>
      </c>
      <c r="AH209" s="37" t="n">
        <v>0.6538461538461539</v>
      </c>
    </row>
    <row r="210">
      <c r="A210" s="53" t="n">
        <v>45815</v>
      </c>
      <c r="B210" t="inlineStr">
        <is>
          <t>R01_Sumbagut</t>
        </is>
      </c>
      <c r="C210" t="inlineStr">
        <is>
          <t>NOP PEMATANG SIANTAR</t>
        </is>
      </c>
      <c r="D210" s="38" t="n">
        <v>4.464</v>
      </c>
      <c r="E210" s="38" t="n">
        <v>4.08</v>
      </c>
      <c r="F210" s="36" t="n">
        <v>5.38500000000001</v>
      </c>
      <c r="G210" s="36" t="n">
        <v>5.091</v>
      </c>
      <c r="H210" s="36" t="n">
        <v>111</v>
      </c>
      <c r="I210" s="37" t="n">
        <v>0.581151832460733</v>
      </c>
      <c r="J210" s="36" t="n">
        <v>27</v>
      </c>
      <c r="K210" s="37" t="n">
        <v>0.9310344827586207</v>
      </c>
      <c r="L210" s="36" t="n">
        <v>84</v>
      </c>
      <c r="M210" s="37" t="n">
        <v>0.5185185185185185</v>
      </c>
      <c r="N210" s="36" t="n">
        <v>10</v>
      </c>
      <c r="O210" s="37" t="n">
        <v>0.3703703703703703</v>
      </c>
      <c r="P210" s="36" t="n">
        <v>10</v>
      </c>
      <c r="Q210" s="37" t="n">
        <v>0.3703703703703703</v>
      </c>
      <c r="R210" s="36" t="n">
        <v>190</v>
      </c>
      <c r="S210" s="37" t="n">
        <v>0.9947643979057592</v>
      </c>
      <c r="T210" s="36" t="n">
        <v>39</v>
      </c>
      <c r="U210" s="37" t="n">
        <v>0.2041884816753927</v>
      </c>
      <c r="V210" s="38" t="n">
        <v>0</v>
      </c>
      <c r="W210" s="38" t="n">
        <v>6.002</v>
      </c>
      <c r="X210" s="38" t="n">
        <v>65.312</v>
      </c>
      <c r="Y210" s="38" t="n">
        <v>85.33200000000001</v>
      </c>
      <c r="Z210" s="38" t="n">
        <v>0</v>
      </c>
      <c r="AA210" s="36" t="n">
        <v>94</v>
      </c>
      <c r="AB210" s="37" t="n">
        <v>0.6482758620689655</v>
      </c>
      <c r="AC210" s="36" t="n">
        <v>51</v>
      </c>
      <c r="AD210" s="37" t="n">
        <v>0.796875</v>
      </c>
      <c r="AE210" s="36" t="n">
        <v>41</v>
      </c>
      <c r="AF210" s="37" t="n">
        <v>0.5466666666666666</v>
      </c>
      <c r="AG210" s="36" t="n">
        <v>36</v>
      </c>
      <c r="AH210" s="37" t="n">
        <v>0.7058823529411765</v>
      </c>
    </row>
    <row r="211">
      <c r="A211" s="53" t="n">
        <v>45815</v>
      </c>
      <c r="B211" t="inlineStr">
        <is>
          <t>R01_Sumbagut</t>
        </is>
      </c>
      <c r="C211" t="inlineStr">
        <is>
          <t>NOP RANTAU PRAPAT</t>
        </is>
      </c>
      <c r="D211" s="38" t="n">
        <v>0</v>
      </c>
      <c r="E211" s="38" t="n">
        <v>3.032000000000001</v>
      </c>
      <c r="F211" s="36" t="n">
        <v>2.098</v>
      </c>
      <c r="G211" s="36" t="n">
        <v>5.278</v>
      </c>
      <c r="H211" s="36" t="n">
        <v>37</v>
      </c>
      <c r="I211" s="37" t="n">
        <v>0.3814432989690721</v>
      </c>
      <c r="J211" s="36" t="n">
        <v>8</v>
      </c>
      <c r="K211" s="37" t="n">
        <v>0.3636363636363636</v>
      </c>
      <c r="L211" s="36" t="n">
        <v>29</v>
      </c>
      <c r="M211" s="37" t="n">
        <v>0.3866666666666667</v>
      </c>
      <c r="N211" s="36" t="n">
        <v>6</v>
      </c>
      <c r="O211" s="37" t="n">
        <v>0.75</v>
      </c>
      <c r="P211" s="36" t="n">
        <v>6</v>
      </c>
      <c r="Q211" s="37" t="n">
        <v>0.75</v>
      </c>
      <c r="R211" s="36" t="n">
        <v>97</v>
      </c>
      <c r="S211" s="37" t="n">
        <v>1</v>
      </c>
      <c r="T211" s="36" t="n">
        <v>23</v>
      </c>
      <c r="U211" s="37" t="n">
        <v>0.2371134020618557</v>
      </c>
      <c r="V211" s="38" t="n">
        <v>0</v>
      </c>
      <c r="W211" s="38" t="n">
        <v>3.440000000000006</v>
      </c>
      <c r="X211" s="38" t="n">
        <v>37.11499999999999</v>
      </c>
      <c r="Y211" s="38" t="n">
        <v>105.12</v>
      </c>
      <c r="Z211" s="38" t="n">
        <v>0</v>
      </c>
      <c r="AA211" s="36" t="n">
        <v>37</v>
      </c>
      <c r="AB211" s="37" t="n">
        <v>0.2102272727272727</v>
      </c>
      <c r="AC211" s="36" t="n">
        <v>12</v>
      </c>
      <c r="AD211" s="37" t="n">
        <v>0.2222222222222222</v>
      </c>
      <c r="AE211" s="36" t="n">
        <v>23</v>
      </c>
      <c r="AF211" s="37" t="n">
        <v>0.1965811965811966</v>
      </c>
      <c r="AG211" s="36" t="n">
        <v>4</v>
      </c>
      <c r="AH211" s="37" t="n">
        <v>0.3333333333333333</v>
      </c>
    </row>
    <row r="212">
      <c r="A212" s="53" t="n">
        <v>45815</v>
      </c>
      <c r="B212" t="inlineStr">
        <is>
          <t>R10_Sumbagteng</t>
        </is>
      </c>
      <c r="C212" t="inlineStr">
        <is>
          <t>NOP BATAM</t>
        </is>
      </c>
      <c r="D212" s="38" t="n">
        <v>1.958</v>
      </c>
      <c r="E212" s="38" t="n">
        <v>3.734000000000001</v>
      </c>
      <c r="F212" s="36" t="n">
        <v>4.062</v>
      </c>
      <c r="G212" s="36" t="n">
        <v>6.408000000000005</v>
      </c>
      <c r="H212" s="36" t="n">
        <v>43</v>
      </c>
      <c r="I212" s="37" t="n">
        <v>0.3981481481481481</v>
      </c>
      <c r="J212" s="36" t="n">
        <v>14</v>
      </c>
      <c r="K212" s="37" t="n">
        <v>0.4516129032258064</v>
      </c>
      <c r="L212" s="36" t="n">
        <v>29</v>
      </c>
      <c r="M212" s="37" t="n">
        <v>0.3766233766233766</v>
      </c>
      <c r="N212" s="36" t="n">
        <v>7</v>
      </c>
      <c r="O212" s="37" t="n">
        <v>0.5</v>
      </c>
      <c r="P212" s="36" t="n">
        <v>7</v>
      </c>
      <c r="Q212" s="37" t="n">
        <v>0.5</v>
      </c>
      <c r="R212" s="36" t="n">
        <v>104</v>
      </c>
      <c r="S212" s="37" t="n">
        <v>0.9629629629629629</v>
      </c>
      <c r="T212" s="36" t="n">
        <v>27</v>
      </c>
      <c r="U212" s="37" t="n">
        <v>0.25</v>
      </c>
      <c r="V212" s="38" t="n">
        <v>0</v>
      </c>
      <c r="W212" s="38" t="n">
        <v>10.58</v>
      </c>
      <c r="X212" s="38" t="n">
        <v>88.03999999999999</v>
      </c>
      <c r="Y212" s="38" t="n">
        <v>108.142</v>
      </c>
      <c r="Z212" s="38" t="n">
        <v>0</v>
      </c>
      <c r="AA212" s="36" t="n">
        <v>59</v>
      </c>
      <c r="AB212" s="37" t="n">
        <v>0.2478991596638656</v>
      </c>
      <c r="AC212" s="36" t="n">
        <v>18</v>
      </c>
      <c r="AD212" s="37" t="n">
        <v>0.4390243902439024</v>
      </c>
      <c r="AE212" s="36" t="n">
        <v>40</v>
      </c>
      <c r="AF212" s="37" t="n">
        <v>0.2051282051282051</v>
      </c>
      <c r="AG212" s="36" t="n">
        <v>16</v>
      </c>
      <c r="AH212" s="37" t="n">
        <v>0.8888888888888888</v>
      </c>
    </row>
    <row r="213">
      <c r="A213" s="53" t="n">
        <v>45815</v>
      </c>
      <c r="B213" t="inlineStr">
        <is>
          <t>R10_Sumbagteng</t>
        </is>
      </c>
      <c r="C213" t="inlineStr">
        <is>
          <t>NOP BUKITTINGGI</t>
        </is>
      </c>
      <c r="D213" s="38" t="n">
        <v>0</v>
      </c>
      <c r="E213" s="38" t="n">
        <v>2.042</v>
      </c>
      <c r="F213" s="36" t="n">
        <v>1.426</v>
      </c>
      <c r="G213" s="36" t="n">
        <v>5.359999999999999</v>
      </c>
      <c r="H213" s="36" t="n">
        <v>21</v>
      </c>
      <c r="I213" s="37" t="n">
        <v>0.6176470588235294</v>
      </c>
      <c r="J213" s="36" t="n">
        <v>5</v>
      </c>
      <c r="K213" s="37" t="n">
        <v>1</v>
      </c>
      <c r="L213" s="36" t="n">
        <v>16</v>
      </c>
      <c r="M213" s="37" t="n">
        <v>0.5517241379310345</v>
      </c>
      <c r="N213" s="36" t="n">
        <v>2</v>
      </c>
      <c r="O213" s="37" t="n">
        <v>0.4</v>
      </c>
      <c r="P213" s="36" t="n">
        <v>2</v>
      </c>
      <c r="Q213" s="37" t="n">
        <v>0.4</v>
      </c>
      <c r="R213" s="36" t="n">
        <v>34</v>
      </c>
      <c r="S213" s="37" t="n">
        <v>1</v>
      </c>
      <c r="T213" s="36" t="n">
        <v>12</v>
      </c>
      <c r="U213" s="37" t="n">
        <v>0.3529411764705883</v>
      </c>
      <c r="V213" s="38" t="n">
        <v>0</v>
      </c>
      <c r="W213" s="38" t="n">
        <v>6.208</v>
      </c>
      <c r="X213" s="38" t="n">
        <v>61.82</v>
      </c>
      <c r="Y213" s="38" t="n">
        <v>107.51</v>
      </c>
      <c r="Z213" s="38" t="n">
        <v>0</v>
      </c>
      <c r="AA213" s="36" t="n">
        <v>35</v>
      </c>
      <c r="AB213" s="37" t="n">
        <v>0.546875</v>
      </c>
      <c r="AC213" s="36" t="n">
        <v>5</v>
      </c>
      <c r="AD213" s="37" t="n">
        <v>1</v>
      </c>
      <c r="AE213" s="36" t="n">
        <v>29</v>
      </c>
      <c r="AF213" s="37" t="n">
        <v>0.5</v>
      </c>
      <c r="AG213" s="36" t="n">
        <v>3</v>
      </c>
      <c r="AH213" s="37" t="n">
        <v>0.6</v>
      </c>
    </row>
    <row r="214">
      <c r="A214" s="53" t="n">
        <v>45815</v>
      </c>
      <c r="B214" t="inlineStr">
        <is>
          <t>R10_Sumbagteng</t>
        </is>
      </c>
      <c r="C214" t="inlineStr">
        <is>
          <t>NOP DUMAI</t>
        </is>
      </c>
      <c r="D214" s="38" t="n">
        <v>3.614</v>
      </c>
      <c r="E214" s="38" t="n">
        <v>4.63</v>
      </c>
      <c r="F214" s="36" t="n">
        <v>4.08</v>
      </c>
      <c r="G214" s="36" t="n">
        <v>4.359999999999999</v>
      </c>
      <c r="H214" s="36" t="n">
        <v>77</v>
      </c>
      <c r="I214" s="37" t="n">
        <v>0.5833333333333334</v>
      </c>
      <c r="J214" s="36" t="n">
        <v>19</v>
      </c>
      <c r="K214" s="37" t="n">
        <v>0.76</v>
      </c>
      <c r="L214" s="36" t="n">
        <v>58</v>
      </c>
      <c r="M214" s="37" t="n">
        <v>0.5420560747663551</v>
      </c>
      <c r="N214" s="36" t="n">
        <v>14</v>
      </c>
      <c r="O214" s="37" t="n">
        <v>0.7368421052631579</v>
      </c>
      <c r="P214" s="36" t="n">
        <v>14</v>
      </c>
      <c r="Q214" s="37" t="n">
        <v>0.7368421052631579</v>
      </c>
      <c r="R214" s="36" t="n">
        <v>131</v>
      </c>
      <c r="S214" s="37" t="n">
        <v>0.9924242424242424</v>
      </c>
      <c r="T214" s="36" t="n">
        <v>45</v>
      </c>
      <c r="U214" s="37" t="n">
        <v>0.3409090909090909</v>
      </c>
      <c r="V214" s="38" t="n">
        <v>0</v>
      </c>
      <c r="W214" s="38" t="n">
        <v>8.248000000000005</v>
      </c>
      <c r="X214" s="38" t="n">
        <v>49.566</v>
      </c>
      <c r="Y214" s="38" t="n">
        <v>139.8660000000003</v>
      </c>
      <c r="Z214" s="38" t="n">
        <v>0</v>
      </c>
      <c r="AA214" s="36" t="n">
        <v>83</v>
      </c>
      <c r="AB214" s="37" t="n">
        <v>0.2553846153846154</v>
      </c>
      <c r="AC214" s="36" t="n">
        <v>22</v>
      </c>
      <c r="AD214" s="37" t="n">
        <v>0.2933333333333333</v>
      </c>
      <c r="AE214" s="36" t="n">
        <v>61</v>
      </c>
      <c r="AF214" s="37" t="n">
        <v>0.2459677419354839</v>
      </c>
      <c r="AG214" s="36" t="n">
        <v>20</v>
      </c>
      <c r="AH214" s="37" t="n">
        <v>0.9090909090909091</v>
      </c>
    </row>
    <row r="215">
      <c r="A215" s="53" t="n">
        <v>45815</v>
      </c>
      <c r="B215" t="inlineStr">
        <is>
          <t>R10_Sumbagteng</t>
        </is>
      </c>
      <c r="C215" t="inlineStr">
        <is>
          <t>NOP PADANG</t>
        </is>
      </c>
      <c r="D215" s="38" t="n">
        <v>0</v>
      </c>
      <c r="E215" s="38" t="n">
        <v>0.5619999999999999</v>
      </c>
      <c r="F215" s="36" t="n">
        <v>1.389999999999999</v>
      </c>
      <c r="G215" s="36" t="n">
        <v>2.483999999999999</v>
      </c>
      <c r="H215" s="36" t="n">
        <v>30</v>
      </c>
      <c r="I215" s="37" t="n">
        <v>0.4347826086956522</v>
      </c>
      <c r="J215" s="36" t="n">
        <v>5</v>
      </c>
      <c r="K215" s="37" t="n">
        <v>0.625</v>
      </c>
      <c r="L215" s="36" t="n">
        <v>25</v>
      </c>
      <c r="M215" s="37" t="n">
        <v>0.4098360655737705</v>
      </c>
      <c r="N215" s="36" t="n">
        <v>1</v>
      </c>
      <c r="O215" s="37" t="n">
        <v>0.2</v>
      </c>
      <c r="P215" s="36" t="n">
        <v>1</v>
      </c>
      <c r="Q215" s="37" t="n">
        <v>0.2</v>
      </c>
      <c r="R215" s="36" t="n">
        <v>68</v>
      </c>
      <c r="S215" s="37" t="n">
        <v>0.9855072463768116</v>
      </c>
      <c r="T215" s="36" t="n">
        <v>8</v>
      </c>
      <c r="U215" s="37" t="n">
        <v>0.1159420289855072</v>
      </c>
      <c r="V215" s="38" t="n">
        <v>0</v>
      </c>
      <c r="W215" s="38" t="n">
        <v>38.141</v>
      </c>
      <c r="X215" s="38" t="n">
        <v>65.11599999999999</v>
      </c>
      <c r="Y215" s="38" t="n">
        <v>88.68899999999999</v>
      </c>
      <c r="Z215" s="38" t="n">
        <v>0</v>
      </c>
      <c r="AA215" s="36" t="n">
        <v>41</v>
      </c>
      <c r="AB215" s="37" t="n">
        <v>0.803921568627451</v>
      </c>
      <c r="AC215" s="36" t="n">
        <v>4</v>
      </c>
      <c r="AD215" s="37" t="n">
        <v>0.5</v>
      </c>
      <c r="AE215" s="36" t="n">
        <v>36</v>
      </c>
      <c r="AF215" s="37" t="n">
        <v>0.8571428571428571</v>
      </c>
      <c r="AG215" s="36" t="n">
        <v>4</v>
      </c>
      <c r="AH215" s="37" t="n">
        <v>1</v>
      </c>
    </row>
    <row r="216">
      <c r="A216" s="53" t="n">
        <v>45815</v>
      </c>
      <c r="B216" t="inlineStr">
        <is>
          <t>R10_Sumbagteng</t>
        </is>
      </c>
      <c r="C216" t="inlineStr">
        <is>
          <t>NOP PEKANBARU</t>
        </is>
      </c>
      <c r="D216" s="38" t="n">
        <v>5.475</v>
      </c>
      <c r="E216" s="38" t="n">
        <v>4.675000000000001</v>
      </c>
      <c r="F216" s="36" t="n">
        <v>5.308000000000003</v>
      </c>
      <c r="G216" s="36" t="n">
        <v>8.609999999999999</v>
      </c>
      <c r="H216" s="36" t="n">
        <v>49</v>
      </c>
      <c r="I216" s="37" t="n">
        <v>0.4454545454545454</v>
      </c>
      <c r="J216" s="36" t="n">
        <v>18</v>
      </c>
      <c r="K216" s="37" t="n">
        <v>0.6923076923076923</v>
      </c>
      <c r="L216" s="36" t="n">
        <v>31</v>
      </c>
      <c r="M216" s="37" t="n">
        <v>0.3690476190476191</v>
      </c>
      <c r="N216" s="36" t="n">
        <v>15</v>
      </c>
      <c r="O216" s="37" t="n">
        <v>0.8333333333333334</v>
      </c>
      <c r="P216" s="36" t="n">
        <v>15</v>
      </c>
      <c r="Q216" s="37" t="n">
        <v>0.8823529411764706</v>
      </c>
      <c r="R216" s="36" t="n">
        <v>110</v>
      </c>
      <c r="S216" s="37" t="n">
        <v>1</v>
      </c>
      <c r="T216" s="36" t="n">
        <v>25</v>
      </c>
      <c r="U216" s="37" t="n">
        <v>0.2272727272727273</v>
      </c>
      <c r="V216" s="38" t="n">
        <v>0</v>
      </c>
      <c r="W216" s="38" t="n">
        <v>7.39</v>
      </c>
      <c r="X216" s="38" t="n">
        <v>50.18000000000001</v>
      </c>
      <c r="Y216" s="38" t="n">
        <v>71.45400000000002</v>
      </c>
      <c r="Z216" s="38" t="n">
        <v>0</v>
      </c>
      <c r="AA216" s="36" t="n">
        <v>75</v>
      </c>
      <c r="AB216" s="37" t="n">
        <v>0.3112033195020747</v>
      </c>
      <c r="AC216" s="36" t="n">
        <v>29</v>
      </c>
      <c r="AD216" s="37" t="n">
        <v>0.4084507042253521</v>
      </c>
      <c r="AE216" s="36" t="n">
        <v>43</v>
      </c>
      <c r="AF216" s="37" t="n">
        <v>0.2590361445783133</v>
      </c>
      <c r="AG216" s="36" t="n">
        <v>21</v>
      </c>
      <c r="AH216" s="37" t="n">
        <v>0.7241379310344828</v>
      </c>
    </row>
    <row r="217">
      <c r="A217" s="53" t="n">
        <v>45815</v>
      </c>
      <c r="B217" t="inlineStr">
        <is>
          <t>R02_Sumbagsel</t>
        </is>
      </c>
      <c r="C217" t="inlineStr">
        <is>
          <t>NOP BENGKULU</t>
        </is>
      </c>
      <c r="D217" s="38" t="n">
        <v>3.625</v>
      </c>
      <c r="E217" s="38" t="n">
        <v>9.42</v>
      </c>
      <c r="F217" s="36" t="n">
        <v>3.6</v>
      </c>
      <c r="G217" s="36" t="n">
        <v>8.762000000000002</v>
      </c>
      <c r="H217" s="36" t="n">
        <v>48</v>
      </c>
      <c r="I217" s="37" t="n">
        <v>0.3636363636363636</v>
      </c>
      <c r="J217" s="36" t="n">
        <v>19</v>
      </c>
      <c r="K217" s="37" t="n">
        <v>0.5</v>
      </c>
      <c r="L217" s="36" t="n">
        <v>29</v>
      </c>
      <c r="M217" s="37" t="n">
        <v>0.3085106382978723</v>
      </c>
      <c r="N217" s="36" t="n">
        <v>11</v>
      </c>
      <c r="O217" s="37" t="n">
        <v>0.5789473684210527</v>
      </c>
      <c r="P217" s="36" t="n">
        <v>11</v>
      </c>
      <c r="Q217" s="37" t="n">
        <v>0.5789473684210527</v>
      </c>
      <c r="R217" s="36" t="n">
        <v>130</v>
      </c>
      <c r="S217" s="37" t="n">
        <v>0.9848484848484849</v>
      </c>
      <c r="T217" s="36" t="n">
        <v>29</v>
      </c>
      <c r="U217" s="37" t="n">
        <v>0.2196969696969697</v>
      </c>
      <c r="V217" s="38" t="n">
        <v>0</v>
      </c>
      <c r="W217" s="38" t="n">
        <v>5.235000000000002</v>
      </c>
      <c r="X217" s="38" t="n">
        <v>18.136</v>
      </c>
      <c r="Y217" s="38" t="n">
        <v>16.18600000000003</v>
      </c>
      <c r="Z217" s="38" t="n">
        <v>0</v>
      </c>
      <c r="AA217" s="36" t="n">
        <v>77</v>
      </c>
      <c r="AB217" s="37" t="n">
        <v>0.5</v>
      </c>
      <c r="AC217" s="36" t="n">
        <v>45</v>
      </c>
      <c r="AD217" s="37" t="n">
        <v>0.4326923076923077</v>
      </c>
      <c r="AE217" s="36" t="n">
        <v>29</v>
      </c>
      <c r="AF217" s="37" t="n">
        <v>0.6170212765957447</v>
      </c>
      <c r="AG217" s="36" t="n">
        <v>44</v>
      </c>
      <c r="AH217" s="37" t="n">
        <v>0.9777777777777777</v>
      </c>
    </row>
    <row r="218">
      <c r="A218" s="53" t="n">
        <v>45815</v>
      </c>
      <c r="B218" t="inlineStr">
        <is>
          <t>R02_Sumbagsel</t>
        </is>
      </c>
      <c r="C218" t="inlineStr">
        <is>
          <t>NOP JAMBI</t>
        </is>
      </c>
      <c r="D218" s="38" t="n">
        <v>2.609</v>
      </c>
      <c r="E218" s="38" t="n">
        <v>3.134</v>
      </c>
      <c r="F218" s="36" t="n">
        <v>6.422</v>
      </c>
      <c r="G218" s="36" t="n">
        <v>3.59</v>
      </c>
      <c r="H218" s="36" t="n">
        <v>24</v>
      </c>
      <c r="I218" s="37" t="n">
        <v>0.32</v>
      </c>
      <c r="J218" s="36" t="n">
        <v>7</v>
      </c>
      <c r="K218" s="37" t="n">
        <v>0.3043478260869565</v>
      </c>
      <c r="L218" s="36" t="n">
        <v>17</v>
      </c>
      <c r="M218" s="37" t="n">
        <v>0.3269230769230769</v>
      </c>
      <c r="N218" s="36" t="n">
        <v>5</v>
      </c>
      <c r="O218" s="37" t="n">
        <v>0.7142857142857143</v>
      </c>
      <c r="P218" s="36" t="n">
        <v>5</v>
      </c>
      <c r="Q218" s="37" t="n">
        <v>0.7142857142857143</v>
      </c>
      <c r="R218" s="36" t="n">
        <v>75</v>
      </c>
      <c r="S218" s="37" t="n">
        <v>1</v>
      </c>
      <c r="T218" s="36" t="n">
        <v>16</v>
      </c>
      <c r="U218" s="37" t="n">
        <v>0.2133333333333333</v>
      </c>
      <c r="V218" s="38" t="n">
        <v>0</v>
      </c>
      <c r="W218" s="38" t="n">
        <v>3.02</v>
      </c>
      <c r="X218" s="38" t="n">
        <v>13.981</v>
      </c>
      <c r="Y218" s="38" t="n">
        <v>20.598</v>
      </c>
      <c r="Z218" s="38" t="n">
        <v>0</v>
      </c>
      <c r="AA218" s="36" t="n">
        <v>38</v>
      </c>
      <c r="AB218" s="37" t="n">
        <v>0.2065217391304348</v>
      </c>
      <c r="AC218" s="36" t="n">
        <v>19</v>
      </c>
      <c r="AD218" s="37" t="n">
        <v>0.1711711711711712</v>
      </c>
      <c r="AE218" s="36" t="n">
        <v>17</v>
      </c>
      <c r="AF218" s="37" t="n">
        <v>0.2786885245901639</v>
      </c>
      <c r="AG218" s="36" t="n">
        <v>13</v>
      </c>
      <c r="AH218" s="37" t="n">
        <v>0.6842105263157895</v>
      </c>
    </row>
    <row r="219">
      <c r="A219" s="53" t="n">
        <v>45815</v>
      </c>
      <c r="B219" t="inlineStr">
        <is>
          <t>R02_Sumbagsel</t>
        </is>
      </c>
      <c r="C219" t="inlineStr">
        <is>
          <t>NOP LAMPUNG</t>
        </is>
      </c>
      <c r="D219" s="38" t="n">
        <v>0</v>
      </c>
      <c r="E219" s="38" t="n">
        <v>3.263</v>
      </c>
      <c r="F219" s="36" t="n">
        <v>0.961</v>
      </c>
      <c r="G219" s="36" t="n">
        <v>1.082</v>
      </c>
      <c r="H219" s="36" t="n">
        <v>8</v>
      </c>
      <c r="I219" s="37" t="n">
        <v>0.2162162162162162</v>
      </c>
      <c r="J219" s="36" t="n">
        <v>4</v>
      </c>
      <c r="K219" s="37" t="n">
        <v>1</v>
      </c>
      <c r="L219" s="36" t="n">
        <v>4</v>
      </c>
      <c r="M219" s="37" t="n">
        <v>0.1212121212121212</v>
      </c>
      <c r="N219" s="36" t="n">
        <v>4</v>
      </c>
      <c r="O219" s="37" t="n">
        <v>1</v>
      </c>
      <c r="P219" s="36" t="n">
        <v>4</v>
      </c>
      <c r="Q219" s="37" t="n">
        <v>1</v>
      </c>
      <c r="R219" s="36" t="n">
        <v>37</v>
      </c>
      <c r="S219" s="37" t="n">
        <v>1</v>
      </c>
      <c r="T219" s="36" t="n">
        <v>7</v>
      </c>
      <c r="U219" s="37" t="n">
        <v>0.1891891891891892</v>
      </c>
      <c r="V219" s="38" t="n">
        <v>0</v>
      </c>
      <c r="W219" s="38" t="n">
        <v>75.27799999999999</v>
      </c>
      <c r="X219" s="38" t="n">
        <v>1.616</v>
      </c>
      <c r="Y219" s="38" t="n">
        <v>25.83600000000001</v>
      </c>
      <c r="Z219" s="38" t="n">
        <v>0</v>
      </c>
      <c r="AA219" s="36" t="n">
        <v>61</v>
      </c>
      <c r="AB219" s="37" t="n">
        <v>0.8970588235294118</v>
      </c>
      <c r="AC219" s="36" t="n">
        <v>18</v>
      </c>
      <c r="AD219" s="37" t="n">
        <v>0.9473684210526315</v>
      </c>
      <c r="AE219" s="36" t="n">
        <v>40</v>
      </c>
      <c r="AF219" s="37" t="n">
        <v>0.8695652173913043</v>
      </c>
      <c r="AG219" s="36" t="n">
        <v>17</v>
      </c>
      <c r="AH219" s="37" t="n">
        <v>0.9444444444444444</v>
      </c>
    </row>
    <row r="220">
      <c r="A220" s="53" t="n">
        <v>45815</v>
      </c>
      <c r="B220" t="inlineStr">
        <is>
          <t>R02_Sumbagsel</t>
        </is>
      </c>
      <c r="C220" t="inlineStr">
        <is>
          <t>NOP MUARA ENIM</t>
        </is>
      </c>
      <c r="D220" s="38" t="n">
        <v>3.928</v>
      </c>
      <c r="E220" s="38" t="n">
        <v>2.14</v>
      </c>
      <c r="F220" s="36" t="n">
        <v>3.241000000000001</v>
      </c>
      <c r="G220" s="36" t="n">
        <v>3.798</v>
      </c>
      <c r="H220" s="36" t="n">
        <v>51</v>
      </c>
      <c r="I220" s="37" t="n">
        <v>0.3669064748201439</v>
      </c>
      <c r="J220" s="36" t="n">
        <v>16</v>
      </c>
      <c r="K220" s="37" t="n">
        <v>0.6153846153846154</v>
      </c>
      <c r="L220" s="36" t="n">
        <v>35</v>
      </c>
      <c r="M220" s="37" t="n">
        <v>0.3097345132743363</v>
      </c>
      <c r="N220" s="36" t="n">
        <v>7</v>
      </c>
      <c r="O220" s="37" t="n">
        <v>0.4375</v>
      </c>
      <c r="P220" s="36" t="n">
        <v>7</v>
      </c>
      <c r="Q220" s="37" t="n">
        <v>0.4375</v>
      </c>
      <c r="R220" s="36" t="n">
        <v>139</v>
      </c>
      <c r="S220" s="37" t="n">
        <v>1</v>
      </c>
      <c r="T220" s="36" t="n">
        <v>24</v>
      </c>
      <c r="U220" s="37" t="n">
        <v>0.1726618705035971</v>
      </c>
      <c r="V220" s="38" t="n">
        <v>0</v>
      </c>
      <c r="W220" s="38" t="n">
        <v>18.59</v>
      </c>
      <c r="X220" s="38" t="n">
        <v>16.272</v>
      </c>
      <c r="Y220" s="38" t="n">
        <v>19.08</v>
      </c>
      <c r="Z220" s="38" t="n">
        <v>0</v>
      </c>
      <c r="AA220" s="36" t="n">
        <v>77</v>
      </c>
      <c r="AB220" s="37" t="n">
        <v>0.4904458598726115</v>
      </c>
      <c r="AC220" s="36" t="n">
        <v>32</v>
      </c>
      <c r="AD220" s="37" t="n">
        <v>0.4848484848484849</v>
      </c>
      <c r="AE220" s="36" t="n">
        <v>43</v>
      </c>
      <c r="AF220" s="37" t="n">
        <v>0.5308641975308642</v>
      </c>
      <c r="AG220" s="36" t="n">
        <v>25</v>
      </c>
      <c r="AH220" s="37" t="n">
        <v>0.78125</v>
      </c>
    </row>
    <row r="221">
      <c r="A221" s="53" t="n">
        <v>45815</v>
      </c>
      <c r="B221" t="inlineStr">
        <is>
          <t>R02_Sumbagsel</t>
        </is>
      </c>
      <c r="C221" t="inlineStr">
        <is>
          <t>NOP PALEMBANG</t>
        </is>
      </c>
      <c r="D221" s="38" t="n">
        <v>1.995</v>
      </c>
      <c r="E221" s="38" t="n">
        <v>3.69</v>
      </c>
      <c r="F221" s="36" t="n">
        <v>2.26</v>
      </c>
      <c r="G221" s="36" t="n">
        <v>4.042000000000002</v>
      </c>
      <c r="H221" s="36" t="n">
        <v>33</v>
      </c>
      <c r="I221" s="37" t="n">
        <v>0.4177215189873418</v>
      </c>
      <c r="J221" s="36" t="n">
        <v>0</v>
      </c>
      <c r="K221" s="37" t="n">
        <v>0</v>
      </c>
      <c r="L221" s="36" t="n">
        <v>33</v>
      </c>
      <c r="M221" s="37" t="n">
        <v>0.4583333333333333</v>
      </c>
      <c r="N221" s="36" t="n">
        <v>0</v>
      </c>
      <c r="O221" s="37" t="n">
        <v>0</v>
      </c>
      <c r="P221" s="36" t="n">
        <v>0</v>
      </c>
      <c r="Q221" s="37" t="n">
        <v>0</v>
      </c>
      <c r="R221" s="36" t="n">
        <v>79</v>
      </c>
      <c r="S221" s="37" t="n">
        <v>1</v>
      </c>
      <c r="T221" s="36" t="n">
        <v>13</v>
      </c>
      <c r="U221" s="37" t="n">
        <v>0.1645569620253164</v>
      </c>
      <c r="V221" s="38" t="n">
        <v>0</v>
      </c>
      <c r="W221" s="38" t="n">
        <v>4.035</v>
      </c>
      <c r="X221" s="38" t="n">
        <v>10.76899999999999</v>
      </c>
      <c r="Y221" s="38" t="n">
        <v>23.47199999999998</v>
      </c>
      <c r="Z221" s="38" t="n">
        <v>0</v>
      </c>
      <c r="AA221" s="36" t="n">
        <v>21</v>
      </c>
      <c r="AB221" s="37" t="n">
        <v>0.1320754716981132</v>
      </c>
      <c r="AC221" s="36" t="n">
        <v>12</v>
      </c>
      <c r="AD221" s="37" t="n">
        <v>0.1395348837209302</v>
      </c>
      <c r="AE221" s="36" t="n">
        <v>9</v>
      </c>
      <c r="AF221" s="37" t="n">
        <v>0.1730769230769231</v>
      </c>
      <c r="AG221" s="36" t="n">
        <v>7</v>
      </c>
      <c r="AH221" s="37" t="n">
        <v>0.5833333333333334</v>
      </c>
    </row>
    <row r="222">
      <c r="A222" s="53" t="n">
        <v>45815</v>
      </c>
      <c r="B222" t="inlineStr">
        <is>
          <t>R02_Sumbagsel</t>
        </is>
      </c>
      <c r="C222" t="inlineStr">
        <is>
          <t>NOP PANGKAL PINANG</t>
        </is>
      </c>
      <c r="D222" s="38" t="n">
        <v>0</v>
      </c>
      <c r="E222" s="38" t="n">
        <v>0</v>
      </c>
      <c r="F222" s="36" t="n">
        <v>12.68</v>
      </c>
      <c r="G222" s="36" t="n">
        <v>10.394</v>
      </c>
      <c r="H222" s="36" t="n">
        <v>5</v>
      </c>
      <c r="I222" s="37" t="n">
        <v>0.8333333333333334</v>
      </c>
      <c r="J222" s="36" t="n">
        <v>0</v>
      </c>
      <c r="K222" s="37" t="n">
        <v>0</v>
      </c>
      <c r="L222" s="36" t="n">
        <v>5</v>
      </c>
      <c r="M222" s="37" t="n">
        <v>0.8333333333333334</v>
      </c>
      <c r="N222" s="36" t="n">
        <v>0</v>
      </c>
      <c r="O222" s="37" t="n">
        <v>0</v>
      </c>
      <c r="P222" s="36" t="n">
        <v>0</v>
      </c>
      <c r="Q222" s="37" t="n">
        <v>0</v>
      </c>
      <c r="R222" s="36" t="n">
        <v>6</v>
      </c>
      <c r="S222" s="37" t="n">
        <v>1</v>
      </c>
      <c r="T222" s="36" t="n">
        <v>3</v>
      </c>
      <c r="U222" s="37" t="n">
        <v>0.5</v>
      </c>
      <c r="V222" s="38" t="n">
        <v>0</v>
      </c>
      <c r="W222" s="38" t="n">
        <v>5.062000000000003</v>
      </c>
      <c r="X222" s="38" t="n">
        <v>6.74</v>
      </c>
      <c r="Y222" s="38" t="n">
        <v>3.678</v>
      </c>
      <c r="Z222" s="38" t="n">
        <v>0</v>
      </c>
      <c r="AA222" s="36" t="n">
        <v>60</v>
      </c>
      <c r="AB222" s="37" t="n">
        <v>0.967741935483871</v>
      </c>
      <c r="AC222" s="36" t="n">
        <v>16</v>
      </c>
      <c r="AD222" s="37" t="n">
        <v>0.9411764705882353</v>
      </c>
      <c r="AE222" s="36" t="n">
        <v>43</v>
      </c>
      <c r="AF222" s="37" t="n">
        <v>0.9772727272727273</v>
      </c>
      <c r="AG222" s="36" t="n">
        <v>14</v>
      </c>
      <c r="AH222" s="37" t="n">
        <v>0.875</v>
      </c>
    </row>
    <row r="223">
      <c r="A223" s="53" t="n">
        <v>45815</v>
      </c>
      <c r="B223" t="inlineStr">
        <is>
          <t>R05_Jawa Tengah DIY</t>
        </is>
      </c>
      <c r="C223" t="inlineStr">
        <is>
          <t>NOP MAGELANG</t>
        </is>
      </c>
      <c r="D223" s="38" t="n">
        <v>1.72</v>
      </c>
      <c r="E223" s="38" t="n">
        <v>0</v>
      </c>
      <c r="F223" s="36" t="n">
        <v>4.050000000000001</v>
      </c>
      <c r="G223" s="36" t="n">
        <v>4.132</v>
      </c>
      <c r="H223" s="36" t="n">
        <v>7</v>
      </c>
      <c r="I223" s="37" t="n">
        <v>0.7777777777777778</v>
      </c>
      <c r="J223" s="36" t="n">
        <v>1</v>
      </c>
      <c r="K223" s="37" t="n">
        <v>1</v>
      </c>
      <c r="L223" s="36" t="n">
        <v>6</v>
      </c>
      <c r="M223" s="37" t="n">
        <v>0.75</v>
      </c>
      <c r="N223" s="36" t="n">
        <v>1</v>
      </c>
      <c r="O223" s="37" t="n">
        <v>1</v>
      </c>
      <c r="P223" s="36" t="n">
        <v>1</v>
      </c>
      <c r="Q223" s="37" t="n">
        <v>1</v>
      </c>
      <c r="R223" s="36" t="n">
        <v>9</v>
      </c>
      <c r="S223" s="37" t="n">
        <v>1</v>
      </c>
      <c r="T223" s="36" t="n">
        <v>4</v>
      </c>
      <c r="U223" s="37" t="n">
        <v>0.4444444444444444</v>
      </c>
      <c r="V223" s="38" t="n">
        <v>0</v>
      </c>
      <c r="W223" s="38" t="n">
        <v>0.64</v>
      </c>
      <c r="X223" s="38" t="n">
        <v>6.070000000000001</v>
      </c>
      <c r="Y223" s="38" t="n">
        <v>12.989</v>
      </c>
      <c r="Z223" s="38" t="n">
        <v>0</v>
      </c>
      <c r="AA223" s="36" t="n">
        <v>32</v>
      </c>
      <c r="AB223" s="37" t="n">
        <v>0.8888888888888888</v>
      </c>
      <c r="AC223" s="36" t="n">
        <v>1</v>
      </c>
      <c r="AD223" s="37" t="n">
        <v>1</v>
      </c>
      <c r="AE223" s="36" t="n">
        <v>31</v>
      </c>
      <c r="AF223" s="37" t="n">
        <v>0.8857142857142857</v>
      </c>
      <c r="AG223" s="36" t="n">
        <v>0</v>
      </c>
      <c r="AH223" s="37" t="n">
        <v>0</v>
      </c>
    </row>
    <row r="224">
      <c r="A224" s="53" t="n">
        <v>45815</v>
      </c>
      <c r="B224" t="inlineStr">
        <is>
          <t>R05_Jawa Tengah DIY</t>
        </is>
      </c>
      <c r="C224" t="inlineStr">
        <is>
          <t>NOP PEKALONGAN</t>
        </is>
      </c>
      <c r="D224" s="38" t="n">
        <v>0</v>
      </c>
      <c r="E224" s="38" t="n">
        <v>0</v>
      </c>
      <c r="F224" s="36" t="n">
        <v>1.28</v>
      </c>
      <c r="G224" s="36" t="n">
        <v>1.95</v>
      </c>
      <c r="H224" s="36" t="n">
        <v>3</v>
      </c>
      <c r="I224" s="37" t="n">
        <v>0.75</v>
      </c>
      <c r="J224" s="36" t="n">
        <v>0</v>
      </c>
      <c r="K224" s="37" t="n">
        <v>0</v>
      </c>
      <c r="L224" s="36" t="n">
        <v>3</v>
      </c>
      <c r="M224" s="37" t="n">
        <v>0.75</v>
      </c>
      <c r="N224" s="36" t="n">
        <v>0</v>
      </c>
      <c r="O224" s="37" t="n">
        <v>0</v>
      </c>
      <c r="P224" s="36" t="n">
        <v>0</v>
      </c>
      <c r="Q224" s="37" t="n">
        <v>0</v>
      </c>
      <c r="R224" s="36" t="n">
        <v>4</v>
      </c>
      <c r="S224" s="37" t="n">
        <v>1</v>
      </c>
      <c r="T224" s="36" t="n">
        <v>3</v>
      </c>
      <c r="U224" s="37" t="n">
        <v>0.75</v>
      </c>
      <c r="V224" s="38" t="n">
        <v>0</v>
      </c>
      <c r="W224" s="38" t="n">
        <v>1.75</v>
      </c>
      <c r="X224" s="38" t="n">
        <v>3.06</v>
      </c>
      <c r="Y224" s="38" t="n">
        <v>47.16</v>
      </c>
      <c r="Z224" s="38" t="n">
        <v>0</v>
      </c>
      <c r="AA224" s="36" t="n">
        <v>24</v>
      </c>
      <c r="AB224" s="37" t="n">
        <v>0.8888888888888888</v>
      </c>
      <c r="AC224" s="36" t="n">
        <v>4</v>
      </c>
      <c r="AD224" s="37" t="n">
        <v>0.6666666666666666</v>
      </c>
      <c r="AE224" s="36" t="n">
        <v>20</v>
      </c>
      <c r="AF224" s="37" t="n">
        <v>0.9523809523809523</v>
      </c>
      <c r="AG224" s="36" t="n">
        <v>3</v>
      </c>
      <c r="AH224" s="37" t="n">
        <v>0.75</v>
      </c>
    </row>
    <row r="225">
      <c r="A225" s="53" t="n">
        <v>45815</v>
      </c>
      <c r="B225" t="inlineStr">
        <is>
          <t>R05_Jawa Tengah DIY</t>
        </is>
      </c>
      <c r="C225" t="inlineStr">
        <is>
          <t>NOP PURWOKERTO</t>
        </is>
      </c>
      <c r="D225" s="38" t="n">
        <v>0</v>
      </c>
      <c r="E225" s="38" t="n">
        <v>0</v>
      </c>
      <c r="F225" s="36" t="n">
        <v>1.868</v>
      </c>
      <c r="G225" s="36" t="n">
        <v>0.64</v>
      </c>
      <c r="H225" s="36" t="n">
        <v>2</v>
      </c>
      <c r="I225" s="37" t="n">
        <v>0.5</v>
      </c>
      <c r="J225" s="36" t="n">
        <v>0</v>
      </c>
      <c r="K225" s="37" t="n">
        <v>0</v>
      </c>
      <c r="L225" s="36" t="n">
        <v>2</v>
      </c>
      <c r="M225" s="37" t="n">
        <v>0.5</v>
      </c>
      <c r="N225" s="36" t="n">
        <v>0</v>
      </c>
      <c r="O225" s="37" t="n">
        <v>0</v>
      </c>
      <c r="P225" s="36" t="n">
        <v>0</v>
      </c>
      <c r="Q225" s="37" t="n">
        <v>0</v>
      </c>
      <c r="R225" s="36" t="n">
        <v>4</v>
      </c>
      <c r="S225" s="37" t="n">
        <v>1</v>
      </c>
      <c r="T225" s="36" t="n">
        <v>2</v>
      </c>
      <c r="U225" s="37" t="n">
        <v>0.5</v>
      </c>
      <c r="V225" s="38" t="n">
        <v>0</v>
      </c>
      <c r="W225" s="38" t="n">
        <v>0.85</v>
      </c>
      <c r="X225" s="38" t="n">
        <v>3.403</v>
      </c>
      <c r="Y225" s="38" t="n">
        <v>14.68</v>
      </c>
      <c r="Z225" s="38" t="n">
        <v>0</v>
      </c>
      <c r="AA225" s="36" t="n">
        <v>11</v>
      </c>
      <c r="AB225" s="37" t="n">
        <v>0.9166666666666666</v>
      </c>
      <c r="AC225" s="36" t="n">
        <v>0</v>
      </c>
      <c r="AD225" s="37" t="n">
        <v>0</v>
      </c>
      <c r="AE225" s="36" t="n">
        <v>11</v>
      </c>
      <c r="AF225" s="37" t="n">
        <v>1</v>
      </c>
      <c r="AG225" s="36" t="n">
        <v>0</v>
      </c>
      <c r="AH225" s="37" t="n">
        <v>0</v>
      </c>
    </row>
    <row r="226">
      <c r="A226" s="53" t="n">
        <v>45815</v>
      </c>
      <c r="B226" t="inlineStr">
        <is>
          <t>R05_Jawa Tengah DIY</t>
        </is>
      </c>
      <c r="C226" t="inlineStr">
        <is>
          <t>NOP SEMARANG</t>
        </is>
      </c>
      <c r="D226" s="38" t="n">
        <v>0.66</v>
      </c>
      <c r="E226" s="38" t="n">
        <v>0</v>
      </c>
      <c r="F226" s="36" t="n">
        <v>2.165</v>
      </c>
      <c r="G226" s="36" t="n">
        <v>2.032</v>
      </c>
      <c r="H226" s="36" t="n">
        <v>13</v>
      </c>
      <c r="I226" s="37" t="n">
        <v>0.65</v>
      </c>
      <c r="J226" s="36" t="n">
        <v>1</v>
      </c>
      <c r="K226" s="37" t="n">
        <v>1</v>
      </c>
      <c r="L226" s="36" t="n">
        <v>12</v>
      </c>
      <c r="M226" s="37" t="n">
        <v>0.631578947368421</v>
      </c>
      <c r="N226" s="36" t="n">
        <v>1</v>
      </c>
      <c r="O226" s="37" t="n">
        <v>1</v>
      </c>
      <c r="P226" s="36" t="n">
        <v>1</v>
      </c>
      <c r="Q226" s="37" t="n">
        <v>1</v>
      </c>
      <c r="R226" s="36" t="n">
        <v>20</v>
      </c>
      <c r="S226" s="37" t="n">
        <v>1</v>
      </c>
      <c r="T226" s="36" t="n">
        <v>9</v>
      </c>
      <c r="U226" s="37" t="n">
        <v>0.45</v>
      </c>
      <c r="V226" s="38" t="n">
        <v>0</v>
      </c>
      <c r="W226" s="38" t="n">
        <v>3.09</v>
      </c>
      <c r="X226" s="38" t="n">
        <v>4.318999999999999</v>
      </c>
      <c r="Y226" s="38" t="n">
        <v>15.074</v>
      </c>
      <c r="Z226" s="38" t="n">
        <v>0</v>
      </c>
      <c r="AA226" s="36" t="n">
        <v>20</v>
      </c>
      <c r="AB226" s="37" t="n">
        <v>0.8333333333333334</v>
      </c>
      <c r="AC226" s="36" t="n">
        <v>10</v>
      </c>
      <c r="AD226" s="37" t="n">
        <v>0.9090909090909091</v>
      </c>
      <c r="AE226" s="36" t="n">
        <v>10</v>
      </c>
      <c r="AF226" s="37" t="n">
        <v>0.7692307692307693</v>
      </c>
      <c r="AG226" s="36" t="n">
        <v>7</v>
      </c>
      <c r="AH226" s="37" t="n">
        <v>0.7</v>
      </c>
    </row>
    <row r="227">
      <c r="A227" s="53" t="n">
        <v>45815</v>
      </c>
      <c r="B227" t="inlineStr">
        <is>
          <t>R05_Jawa Tengah DIY</t>
        </is>
      </c>
      <c r="C227" t="inlineStr">
        <is>
          <t>NOP SURAKARTA</t>
        </is>
      </c>
      <c r="D227" s="38" t="n">
        <v>0</v>
      </c>
      <c r="E227" s="38" t="n">
        <v>0</v>
      </c>
      <c r="F227" s="36" t="n">
        <v>3.226</v>
      </c>
      <c r="G227" s="36" t="n">
        <v>3.996</v>
      </c>
      <c r="H227" s="36" t="n">
        <v>9</v>
      </c>
      <c r="I227" s="37" t="n">
        <v>0.75</v>
      </c>
      <c r="J227" s="36" t="n">
        <v>0</v>
      </c>
      <c r="K227" s="37" t="n">
        <v>0</v>
      </c>
      <c r="L227" s="36" t="n">
        <v>9</v>
      </c>
      <c r="M227" s="37" t="n">
        <v>0.75</v>
      </c>
      <c r="N227" s="36" t="n">
        <v>0</v>
      </c>
      <c r="O227" s="37" t="n">
        <v>0</v>
      </c>
      <c r="P227" s="36" t="n">
        <v>0</v>
      </c>
      <c r="Q227" s="37" t="n">
        <v>0</v>
      </c>
      <c r="R227" s="36" t="n">
        <v>12</v>
      </c>
      <c r="S227" s="37" t="n">
        <v>1</v>
      </c>
      <c r="T227" s="36" t="n">
        <v>8</v>
      </c>
      <c r="U227" s="37" t="n">
        <v>0.6666666666666666</v>
      </c>
      <c r="V227" s="38" t="n">
        <v>0</v>
      </c>
      <c r="W227" s="38" t="n">
        <v>3.954999999999999</v>
      </c>
      <c r="X227" s="38" t="n">
        <v>6.335</v>
      </c>
      <c r="Y227" s="38" t="n">
        <v>57.462</v>
      </c>
      <c r="Z227" s="38" t="n">
        <v>0</v>
      </c>
      <c r="AA227" s="36" t="n">
        <v>19</v>
      </c>
      <c r="AB227" s="37" t="n">
        <v>0.8260869565217391</v>
      </c>
      <c r="AC227" s="36" t="n">
        <v>7</v>
      </c>
      <c r="AD227" s="37" t="n">
        <v>0.7</v>
      </c>
      <c r="AE227" s="36" t="n">
        <v>12</v>
      </c>
      <c r="AF227" s="37" t="n">
        <v>0.9230769230769231</v>
      </c>
      <c r="AG227" s="36" t="n">
        <v>2</v>
      </c>
      <c r="AH227" s="37" t="n">
        <v>0.2857142857142857</v>
      </c>
    </row>
    <row r="228">
      <c r="A228" s="53" t="n">
        <v>45815</v>
      </c>
      <c r="B228" t="inlineStr">
        <is>
          <t>R05_Jawa Tengah DIY</t>
        </is>
      </c>
      <c r="C228" t="inlineStr">
        <is>
          <t>NOP YOGYAKARTA</t>
        </is>
      </c>
      <c r="D228" s="38" t="n">
        <v>1.16</v>
      </c>
      <c r="E228" s="38" t="n">
        <v>0</v>
      </c>
      <c r="F228" s="36" t="n">
        <v>2.188</v>
      </c>
      <c r="G228" s="36" t="n">
        <v>3.634</v>
      </c>
      <c r="H228" s="36" t="n">
        <v>9</v>
      </c>
      <c r="I228" s="37" t="n">
        <v>0.8181818181818182</v>
      </c>
      <c r="J228" s="36" t="n">
        <v>1</v>
      </c>
      <c r="K228" s="37" t="n">
        <v>1</v>
      </c>
      <c r="L228" s="36" t="n">
        <v>8</v>
      </c>
      <c r="M228" s="37" t="n">
        <v>0.8</v>
      </c>
      <c r="N228" s="36" t="n">
        <v>1</v>
      </c>
      <c r="O228" s="37" t="n">
        <v>1</v>
      </c>
      <c r="P228" s="36" t="n">
        <v>1</v>
      </c>
      <c r="Q228" s="37" t="n">
        <v>1</v>
      </c>
      <c r="R228" s="36" t="n">
        <v>11</v>
      </c>
      <c r="S228" s="37" t="n">
        <v>1</v>
      </c>
      <c r="T228" s="36" t="n">
        <v>9</v>
      </c>
      <c r="U228" s="37" t="n">
        <v>0.8181818181818182</v>
      </c>
      <c r="V228" s="38" t="n">
        <v>0</v>
      </c>
      <c r="W228" s="38" t="n">
        <v>12.622</v>
      </c>
      <c r="X228" s="38" t="n">
        <v>5.554</v>
      </c>
      <c r="Y228" s="38" t="n">
        <v>46.19</v>
      </c>
      <c r="Z228" s="38" t="n">
        <v>0</v>
      </c>
      <c r="AA228" s="36" t="n">
        <v>39</v>
      </c>
      <c r="AB228" s="37" t="n">
        <v>0.9285714285714286</v>
      </c>
      <c r="AC228" s="36" t="n">
        <v>7</v>
      </c>
      <c r="AD228" s="37" t="n">
        <v>1</v>
      </c>
      <c r="AE228" s="36" t="n">
        <v>32</v>
      </c>
      <c r="AF228" s="37" t="n">
        <v>0.9142857142857143</v>
      </c>
      <c r="AG228" s="36" t="n">
        <v>7</v>
      </c>
      <c r="AH228" s="37" t="n">
        <v>1</v>
      </c>
    </row>
    <row r="229">
      <c r="A229" s="53" t="n">
        <v>45815</v>
      </c>
      <c r="B229" t="inlineStr">
        <is>
          <t>R06_Jawa Timur</t>
        </is>
      </c>
      <c r="C229" t="inlineStr">
        <is>
          <t>NOP JEMBER</t>
        </is>
      </c>
      <c r="D229" s="38" t="n">
        <v>1.24</v>
      </c>
      <c r="E229" s="38" t="n">
        <v>0.4</v>
      </c>
      <c r="F229" s="36" t="n">
        <v>1.884</v>
      </c>
      <c r="G229" s="36" t="n">
        <v>1.252</v>
      </c>
      <c r="H229" s="36" t="n">
        <v>7</v>
      </c>
      <c r="I229" s="37" t="n">
        <v>0.5384615384615384</v>
      </c>
      <c r="J229" s="36" t="n">
        <v>1</v>
      </c>
      <c r="K229" s="37" t="n">
        <v>0.3333333333333333</v>
      </c>
      <c r="L229" s="36" t="n">
        <v>6</v>
      </c>
      <c r="M229" s="37" t="n">
        <v>0.6</v>
      </c>
      <c r="N229" s="36" t="n">
        <v>1</v>
      </c>
      <c r="O229" s="37" t="n">
        <v>1</v>
      </c>
      <c r="P229" s="36" t="n">
        <v>1</v>
      </c>
      <c r="Q229" s="37" t="n">
        <v>1</v>
      </c>
      <c r="R229" s="36" t="n">
        <v>13</v>
      </c>
      <c r="S229" s="37" t="n">
        <v>1</v>
      </c>
      <c r="T229" s="36" t="n">
        <v>4</v>
      </c>
      <c r="U229" s="37" t="n">
        <v>0.3076923076923077</v>
      </c>
      <c r="V229" s="38" t="n">
        <v>0</v>
      </c>
      <c r="W229" s="38" t="n">
        <v>1.687</v>
      </c>
      <c r="X229" s="38" t="n">
        <v>10.362</v>
      </c>
      <c r="Y229" s="38" t="n">
        <v>0</v>
      </c>
      <c r="Z229" s="38" t="n">
        <v>0</v>
      </c>
      <c r="AA229" s="36" t="n">
        <v>19</v>
      </c>
      <c r="AB229" s="37" t="n">
        <v>0.7916666666666666</v>
      </c>
      <c r="AC229" s="36" t="n">
        <v>1</v>
      </c>
      <c r="AD229" s="37" t="n">
        <v>0.5</v>
      </c>
      <c r="AE229" s="36" t="n">
        <v>18</v>
      </c>
      <c r="AF229" s="37" t="n">
        <v>0.8181818181818182</v>
      </c>
      <c r="AG229" s="36" t="n">
        <v>1</v>
      </c>
      <c r="AH229" s="37" t="n">
        <v>1</v>
      </c>
    </row>
    <row r="230">
      <c r="A230" s="53" t="n">
        <v>45815</v>
      </c>
      <c r="B230" t="inlineStr">
        <is>
          <t>R06_Jawa Timur</t>
        </is>
      </c>
      <c r="C230" t="inlineStr">
        <is>
          <t>NOP KEDIRI</t>
        </is>
      </c>
      <c r="D230" s="38" t="n">
        <v>0</v>
      </c>
      <c r="E230" s="38" t="n">
        <v>0</v>
      </c>
      <c r="F230" s="36" t="n">
        <v>1.61</v>
      </c>
      <c r="G230" s="36" t="n">
        <v>0.55</v>
      </c>
      <c r="H230" s="36" t="n">
        <v>2</v>
      </c>
      <c r="I230" s="37" t="n">
        <v>0.4</v>
      </c>
      <c r="J230" s="36" t="n">
        <v>0</v>
      </c>
      <c r="K230" s="37" t="n">
        <v>0</v>
      </c>
      <c r="L230" s="36" t="n">
        <v>2</v>
      </c>
      <c r="M230" s="37" t="n">
        <v>0.4</v>
      </c>
      <c r="N230" s="36" t="n">
        <v>0</v>
      </c>
      <c r="O230" s="37" t="n">
        <v>0</v>
      </c>
      <c r="P230" s="36" t="n">
        <v>0</v>
      </c>
      <c r="Q230" s="37" t="n">
        <v>0</v>
      </c>
      <c r="R230" s="36" t="n">
        <v>5</v>
      </c>
      <c r="S230" s="37" t="n">
        <v>1</v>
      </c>
      <c r="T230" s="36" t="n">
        <v>2</v>
      </c>
      <c r="U230" s="37" t="n">
        <v>0.4</v>
      </c>
      <c r="V230" s="38" t="n">
        <v>0</v>
      </c>
      <c r="W230" s="38" t="n">
        <v>1.628000000000001</v>
      </c>
      <c r="X230" s="38" t="n">
        <v>2.660000000000001</v>
      </c>
      <c r="Y230" s="38" t="n">
        <v>0</v>
      </c>
      <c r="Z230" s="38" t="n">
        <v>0</v>
      </c>
      <c r="AA230" s="36" t="n">
        <v>20</v>
      </c>
      <c r="AB230" s="37" t="n">
        <v>1</v>
      </c>
      <c r="AC230" s="36" t="n">
        <v>7</v>
      </c>
      <c r="AD230" s="37" t="n">
        <v>1</v>
      </c>
      <c r="AE230" s="36" t="n">
        <v>13</v>
      </c>
      <c r="AF230" s="37" t="n">
        <v>1</v>
      </c>
      <c r="AG230" s="36" t="n">
        <v>7</v>
      </c>
      <c r="AH230" s="37" t="n">
        <v>1</v>
      </c>
    </row>
    <row r="231">
      <c r="A231" s="53" t="n">
        <v>45815</v>
      </c>
      <c r="B231" t="inlineStr">
        <is>
          <t>R06_Jawa Timur</t>
        </is>
      </c>
      <c r="C231" t="inlineStr">
        <is>
          <t>NOP LAMONGAN</t>
        </is>
      </c>
      <c r="D231" s="38" t="n">
        <v>4.01</v>
      </c>
      <c r="E231" s="38" t="n">
        <v>0</v>
      </c>
      <c r="F231" s="36" t="n">
        <v>1.568</v>
      </c>
      <c r="G231" s="36" t="n">
        <v>0.742</v>
      </c>
      <c r="H231" s="36" t="n">
        <v>4</v>
      </c>
      <c r="I231" s="37" t="n">
        <v>0.6666666666666666</v>
      </c>
      <c r="J231" s="36" t="n">
        <v>1</v>
      </c>
      <c r="K231" s="37" t="n">
        <v>1</v>
      </c>
      <c r="L231" s="36" t="n">
        <v>3</v>
      </c>
      <c r="M231" s="37" t="n">
        <v>0.6</v>
      </c>
      <c r="N231" s="36" t="n">
        <v>1</v>
      </c>
      <c r="O231" s="37" t="n">
        <v>1</v>
      </c>
      <c r="P231" s="36" t="n">
        <v>1</v>
      </c>
      <c r="Q231" s="37" t="n">
        <v>1</v>
      </c>
      <c r="R231" s="36" t="n">
        <v>6</v>
      </c>
      <c r="S231" s="37" t="n">
        <v>1</v>
      </c>
      <c r="T231" s="36" t="n">
        <v>3</v>
      </c>
      <c r="U231" s="37" t="n">
        <v>0.5</v>
      </c>
      <c r="V231" s="38" t="n">
        <v>0</v>
      </c>
      <c r="W231" s="38" t="n">
        <v>0.77</v>
      </c>
      <c r="X231" s="38" t="n">
        <v>2.822</v>
      </c>
      <c r="Y231" s="38" t="n">
        <v>119.61</v>
      </c>
      <c r="Z231" s="38" t="n">
        <v>0</v>
      </c>
      <c r="AA231" s="36" t="n">
        <v>4</v>
      </c>
      <c r="AB231" s="37" t="n">
        <v>0.6666666666666666</v>
      </c>
      <c r="AC231" s="36" t="n">
        <v>0</v>
      </c>
      <c r="AD231" s="37" t="n">
        <v>0</v>
      </c>
      <c r="AE231" s="36" t="n">
        <v>4</v>
      </c>
      <c r="AF231" s="37" t="n">
        <v>1</v>
      </c>
      <c r="AG231" s="36" t="n">
        <v>0</v>
      </c>
      <c r="AH231" s="37" t="n">
        <v>0</v>
      </c>
    </row>
    <row r="232">
      <c r="A232" s="53" t="n">
        <v>45815</v>
      </c>
      <c r="B232" t="inlineStr">
        <is>
          <t>R06_Jawa Timur</t>
        </is>
      </c>
      <c r="C232" t="inlineStr">
        <is>
          <t>NOP MADIUN</t>
        </is>
      </c>
      <c r="D232" s="38" t="n">
        <v>0</v>
      </c>
      <c r="E232" s="38" t="n">
        <v>0</v>
      </c>
      <c r="F232" s="36" t="n">
        <v>1.27</v>
      </c>
      <c r="G232" s="36" t="n">
        <v>1.25</v>
      </c>
      <c r="H232" s="36" t="n">
        <v>2</v>
      </c>
      <c r="I232" s="37" t="n">
        <v>1</v>
      </c>
      <c r="J232" s="36" t="n">
        <v>0</v>
      </c>
      <c r="K232" s="37" t="n">
        <v>0</v>
      </c>
      <c r="L232" s="36" t="n">
        <v>2</v>
      </c>
      <c r="M232" s="37" t="n">
        <v>1</v>
      </c>
      <c r="N232" s="36" t="n">
        <v>0</v>
      </c>
      <c r="O232" s="37" t="n">
        <v>0</v>
      </c>
      <c r="P232" s="36" t="n">
        <v>0</v>
      </c>
      <c r="Q232" s="37" t="n">
        <v>0</v>
      </c>
      <c r="R232" s="36" t="n">
        <v>2</v>
      </c>
      <c r="S232" s="37" t="n">
        <v>1</v>
      </c>
      <c r="T232" s="36" t="n">
        <v>2</v>
      </c>
      <c r="U232" s="37" t="n">
        <v>1</v>
      </c>
      <c r="V232" s="38" t="n">
        <v>0</v>
      </c>
      <c r="W232" s="38" t="n">
        <v>1.496</v>
      </c>
      <c r="X232" s="38" t="n">
        <v>2.934</v>
      </c>
      <c r="Y232" s="38" t="n">
        <v>25.73</v>
      </c>
      <c r="Z232" s="38" t="n">
        <v>0</v>
      </c>
      <c r="AA232" s="36" t="n">
        <v>6</v>
      </c>
      <c r="AB232" s="37" t="n">
        <v>0.8571428571428571</v>
      </c>
      <c r="AC232" s="36" t="n">
        <v>3</v>
      </c>
      <c r="AD232" s="37" t="n">
        <v>1</v>
      </c>
      <c r="AE232" s="36" t="n">
        <v>3</v>
      </c>
      <c r="AF232" s="37" t="n">
        <v>0.75</v>
      </c>
      <c r="AG232" s="36" t="n">
        <v>2</v>
      </c>
      <c r="AH232" s="37" t="n">
        <v>0.6666666666666666</v>
      </c>
    </row>
    <row r="233">
      <c r="A233" s="53" t="n">
        <v>45815</v>
      </c>
      <c r="B233" t="inlineStr">
        <is>
          <t>R06_Jawa Timur</t>
        </is>
      </c>
      <c r="C233" t="inlineStr">
        <is>
          <t>NOP MALANG</t>
        </is>
      </c>
      <c r="D233" s="38" t="n">
        <v>0</v>
      </c>
      <c r="E233" s="38" t="n">
        <v>0</v>
      </c>
      <c r="F233" s="36" t="n">
        <v>0.644</v>
      </c>
      <c r="G233" s="36" t="n">
        <v>1.916</v>
      </c>
      <c r="H233" s="36" t="n">
        <v>11</v>
      </c>
      <c r="I233" s="37" t="n">
        <v>0.9166666666666666</v>
      </c>
      <c r="J233" s="36" t="n">
        <v>0</v>
      </c>
      <c r="K233" s="37" t="n">
        <v>0</v>
      </c>
      <c r="L233" s="36" t="n">
        <v>11</v>
      </c>
      <c r="M233" s="37" t="n">
        <v>0.9166666666666666</v>
      </c>
      <c r="N233" s="36" t="n">
        <v>0</v>
      </c>
      <c r="O233" s="37" t="n">
        <v>0</v>
      </c>
      <c r="P233" s="36" t="n">
        <v>0</v>
      </c>
      <c r="Q233" s="37" t="n">
        <v>0</v>
      </c>
      <c r="R233" s="36" t="n">
        <v>12</v>
      </c>
      <c r="S233" s="37" t="n">
        <v>1</v>
      </c>
      <c r="T233" s="36" t="n">
        <v>12</v>
      </c>
      <c r="U233" s="37" t="n">
        <v>1</v>
      </c>
      <c r="V233" s="38" t="n">
        <v>0</v>
      </c>
      <c r="W233" s="38" t="n">
        <v>0.3100000000000001</v>
      </c>
      <c r="X233" s="38" t="n">
        <v>1.05</v>
      </c>
      <c r="Y233" s="38" t="n">
        <v>14.6</v>
      </c>
      <c r="Z233" s="38" t="n">
        <v>0</v>
      </c>
      <c r="AA233" s="36" t="n">
        <v>3</v>
      </c>
      <c r="AB233" s="37" t="n">
        <v>0.6</v>
      </c>
      <c r="AC233" s="36" t="n">
        <v>1</v>
      </c>
      <c r="AD233" s="37" t="n">
        <v>0.5</v>
      </c>
      <c r="AE233" s="36" t="n">
        <v>2</v>
      </c>
      <c r="AF233" s="37" t="n">
        <v>0.6666666666666666</v>
      </c>
      <c r="AG233" s="36" t="n">
        <v>0</v>
      </c>
      <c r="AH233" s="37" t="n">
        <v>0</v>
      </c>
    </row>
    <row r="234">
      <c r="A234" s="53" t="n">
        <v>45815</v>
      </c>
      <c r="B234" t="inlineStr">
        <is>
          <t>R06_Jawa Timur</t>
        </is>
      </c>
      <c r="C234" t="inlineStr">
        <is>
          <t>NOP SIDOARJO</t>
        </is>
      </c>
      <c r="D234" s="38" t="n">
        <v>0</v>
      </c>
      <c r="E234" s="38" t="n">
        <v>0</v>
      </c>
      <c r="F234" s="36" t="n">
        <v>2.208</v>
      </c>
      <c r="G234" s="36" t="n">
        <v>0.8100000000000001</v>
      </c>
      <c r="H234" s="36" t="n">
        <v>6</v>
      </c>
      <c r="I234" s="37" t="n">
        <v>0.75</v>
      </c>
      <c r="J234" s="36" t="n">
        <v>0</v>
      </c>
      <c r="K234" s="37" t="n">
        <v>0</v>
      </c>
      <c r="L234" s="36" t="n">
        <v>6</v>
      </c>
      <c r="M234" s="37" t="n">
        <v>0.75</v>
      </c>
      <c r="N234" s="36" t="n">
        <v>0</v>
      </c>
      <c r="O234" s="37" t="n">
        <v>0</v>
      </c>
      <c r="P234" s="36" t="n">
        <v>0</v>
      </c>
      <c r="Q234" s="37" t="n">
        <v>0</v>
      </c>
      <c r="R234" s="36" t="n">
        <v>8</v>
      </c>
      <c r="S234" s="37" t="n">
        <v>1</v>
      </c>
      <c r="T234" s="36" t="n">
        <v>1</v>
      </c>
      <c r="U234" s="37" t="n">
        <v>0.125</v>
      </c>
      <c r="V234" s="38" t="n">
        <v>0</v>
      </c>
      <c r="W234" s="38" t="n">
        <v>1.2</v>
      </c>
      <c r="X234" s="38" t="n">
        <v>3.01</v>
      </c>
      <c r="Y234" s="38" t="n">
        <v>0</v>
      </c>
      <c r="Z234" s="38" t="n">
        <v>0</v>
      </c>
      <c r="AA234" s="36" t="n">
        <v>11</v>
      </c>
      <c r="AB234" s="37" t="n">
        <v>0.9166666666666666</v>
      </c>
      <c r="AC234" s="36" t="n">
        <v>1</v>
      </c>
      <c r="AD234" s="37" t="n">
        <v>1</v>
      </c>
      <c r="AE234" s="36" t="n">
        <v>10</v>
      </c>
      <c r="AF234" s="37" t="n">
        <v>0.9090909090909091</v>
      </c>
      <c r="AG234" s="36" t="n">
        <v>1</v>
      </c>
      <c r="AH234" s="37" t="n">
        <v>1</v>
      </c>
    </row>
    <row r="235">
      <c r="A235" s="53" t="n">
        <v>45815</v>
      </c>
      <c r="B235" t="inlineStr">
        <is>
          <t>R06_Jawa Timur</t>
        </is>
      </c>
      <c r="C235" t="inlineStr">
        <is>
          <t>NOP SURABAYA</t>
        </is>
      </c>
      <c r="D235" s="38" t="n">
        <v>0.38</v>
      </c>
      <c r="E235" s="38" t="n">
        <v>0</v>
      </c>
      <c r="F235" s="36" t="n">
        <v>2.139</v>
      </c>
      <c r="G235" s="36" t="n">
        <v>2.05</v>
      </c>
      <c r="H235" s="36" t="n">
        <v>5</v>
      </c>
      <c r="I235" s="37" t="n">
        <v>0.625</v>
      </c>
      <c r="J235" s="36" t="n">
        <v>1</v>
      </c>
      <c r="K235" s="37" t="n">
        <v>1</v>
      </c>
      <c r="L235" s="36" t="n">
        <v>4</v>
      </c>
      <c r="M235" s="37" t="n">
        <v>0.5714285714285714</v>
      </c>
      <c r="N235" s="36" t="n">
        <v>1</v>
      </c>
      <c r="O235" s="37" t="n">
        <v>1</v>
      </c>
      <c r="P235" s="36" t="n">
        <v>1</v>
      </c>
      <c r="Q235" s="37" t="n">
        <v>1</v>
      </c>
      <c r="R235" s="36" t="n">
        <v>7</v>
      </c>
      <c r="S235" s="37" t="n">
        <v>0.875</v>
      </c>
      <c r="T235" s="36" t="n">
        <v>3</v>
      </c>
      <c r="U235" s="37" t="n">
        <v>0.375</v>
      </c>
      <c r="V235" s="38" t="n">
        <v>0</v>
      </c>
      <c r="W235" s="38" t="n">
        <v>0</v>
      </c>
      <c r="X235" s="38" t="n">
        <v>11.14</v>
      </c>
      <c r="Y235" s="38" t="n">
        <v>17.573</v>
      </c>
      <c r="Z235" s="38" t="n">
        <v>0</v>
      </c>
      <c r="AA235" s="36" t="n">
        <v>11</v>
      </c>
      <c r="AB235" s="37" t="n">
        <v>0.8461538461538461</v>
      </c>
      <c r="AC235" s="36" t="n">
        <v>0</v>
      </c>
      <c r="AD235" s="37" t="n">
        <v>0</v>
      </c>
      <c r="AE235" s="36" t="n">
        <v>11</v>
      </c>
      <c r="AF235" s="37" t="n">
        <v>0.8461538461538461</v>
      </c>
      <c r="AG235" s="36" t="n">
        <v>0</v>
      </c>
      <c r="AH235" s="37" t="n">
        <v>0</v>
      </c>
    </row>
    <row r="236">
      <c r="A236" s="53" t="n">
        <v>45815</v>
      </c>
      <c r="B236" t="inlineStr">
        <is>
          <t>R07_Bali Nusra</t>
        </is>
      </c>
      <c r="C236" t="inlineStr">
        <is>
          <t>NOP DENPASAR</t>
        </is>
      </c>
      <c r="D236" s="38" t="n">
        <v>2.284</v>
      </c>
      <c r="E236" s="38" t="n">
        <v>0</v>
      </c>
      <c r="F236" s="36" t="n">
        <v>1.497</v>
      </c>
      <c r="G236" s="36" t="n">
        <v>3.69</v>
      </c>
      <c r="H236" s="36" t="n">
        <v>20</v>
      </c>
      <c r="I236" s="37" t="n">
        <v>0.8695652173913043</v>
      </c>
      <c r="J236" s="36" t="n">
        <v>4</v>
      </c>
      <c r="K236" s="37" t="n">
        <v>1</v>
      </c>
      <c r="L236" s="36" t="n">
        <v>16</v>
      </c>
      <c r="M236" s="37" t="n">
        <v>0.8421052631578947</v>
      </c>
      <c r="N236" s="36" t="n">
        <v>4</v>
      </c>
      <c r="O236" s="37" t="n">
        <v>1</v>
      </c>
      <c r="P236" s="36" t="n">
        <v>4</v>
      </c>
      <c r="Q236" s="37" t="n">
        <v>1</v>
      </c>
      <c r="R236" s="36" t="n">
        <v>23</v>
      </c>
      <c r="S236" s="37" t="n">
        <v>1</v>
      </c>
      <c r="T236" s="36" t="n">
        <v>22</v>
      </c>
      <c r="U236" s="37" t="n">
        <v>0.9565217391304348</v>
      </c>
      <c r="V236" s="38" t="n">
        <v>0</v>
      </c>
      <c r="W236" s="38" t="n">
        <v>7.074999999999999</v>
      </c>
      <c r="X236" s="38" t="n">
        <v>10.528</v>
      </c>
      <c r="Y236" s="38" t="n">
        <v>9.44</v>
      </c>
      <c r="Z236" s="38" t="n">
        <v>0</v>
      </c>
      <c r="AA236" s="36" t="n">
        <v>14</v>
      </c>
      <c r="AB236" s="37" t="n">
        <v>0.8235294117647058</v>
      </c>
      <c r="AC236" s="36" t="n">
        <v>5</v>
      </c>
      <c r="AD236" s="37" t="n">
        <v>0.8333333333333334</v>
      </c>
      <c r="AE236" s="36" t="n">
        <v>9</v>
      </c>
      <c r="AF236" s="37" t="n">
        <v>0.8181818181818182</v>
      </c>
      <c r="AG236" s="36" t="n">
        <v>5</v>
      </c>
      <c r="AH236" s="37" t="n">
        <v>1</v>
      </c>
    </row>
    <row r="237">
      <c r="A237" s="53" t="n">
        <v>45815</v>
      </c>
      <c r="B237" t="inlineStr">
        <is>
          <t>R07_Bali Nusra</t>
        </is>
      </c>
      <c r="C237" t="inlineStr">
        <is>
          <t>NOP FLORES</t>
        </is>
      </c>
      <c r="D237" s="38" t="n">
        <v>3.472000000000001</v>
      </c>
      <c r="E237" s="38" t="n">
        <v>4.592</v>
      </c>
      <c r="F237" s="36" t="n">
        <v>3.939000000000001</v>
      </c>
      <c r="G237" s="36" t="n">
        <v>10.31600000000002</v>
      </c>
      <c r="H237" s="36" t="n">
        <v>46</v>
      </c>
      <c r="I237" s="37" t="n">
        <v>0.3511450381679389</v>
      </c>
      <c r="J237" s="36" t="n">
        <v>13</v>
      </c>
      <c r="K237" s="37" t="n">
        <v>0.5416666666666666</v>
      </c>
      <c r="L237" s="36" t="n">
        <v>33</v>
      </c>
      <c r="M237" s="37" t="n">
        <v>0.308411214953271</v>
      </c>
      <c r="N237" s="36" t="n">
        <v>10</v>
      </c>
      <c r="O237" s="37" t="n">
        <v>0.7692307692307693</v>
      </c>
      <c r="P237" s="36" t="n">
        <v>10</v>
      </c>
      <c r="Q237" s="37" t="n">
        <v>0.7692307692307693</v>
      </c>
      <c r="R237" s="36" t="n">
        <v>126</v>
      </c>
      <c r="S237" s="37" t="n">
        <v>0.9618320610687023</v>
      </c>
      <c r="T237" s="36" t="n">
        <v>20</v>
      </c>
      <c r="U237" s="37" t="n">
        <v>0.1526717557251908</v>
      </c>
      <c r="V237" s="38" t="n">
        <v>0</v>
      </c>
      <c r="W237" s="38" t="n">
        <v>8.303000000000003</v>
      </c>
      <c r="X237" s="38" t="n">
        <v>6.572000000000005</v>
      </c>
      <c r="Y237" s="38" t="n">
        <v>19.898</v>
      </c>
      <c r="Z237" s="38" t="n">
        <v>0</v>
      </c>
      <c r="AA237" s="36" t="n">
        <v>61</v>
      </c>
      <c r="AB237" s="37" t="n">
        <v>0.4452554744525548</v>
      </c>
      <c r="AC237" s="36" t="n">
        <v>42</v>
      </c>
      <c r="AD237" s="37" t="n">
        <v>0.4565217391304348</v>
      </c>
      <c r="AE237" s="36" t="n">
        <v>19</v>
      </c>
      <c r="AF237" s="37" t="n">
        <v>0.4222222222222222</v>
      </c>
      <c r="AG237" s="36" t="n">
        <v>29</v>
      </c>
      <c r="AH237" s="37" t="n">
        <v>0.6904761904761905</v>
      </c>
    </row>
    <row r="238">
      <c r="A238" s="53" t="n">
        <v>45815</v>
      </c>
      <c r="B238" t="inlineStr">
        <is>
          <t>R07_Bali Nusra</t>
        </is>
      </c>
      <c r="C238" t="inlineStr">
        <is>
          <t>NOP KUPANG</t>
        </is>
      </c>
      <c r="D238" s="38" t="n">
        <v>0</v>
      </c>
      <c r="E238" s="38" t="n">
        <v>10.3</v>
      </c>
      <c r="F238" s="36" t="n">
        <v>2.151</v>
      </c>
      <c r="G238" s="36" t="n">
        <v>7.556999999999997</v>
      </c>
      <c r="H238" s="36" t="n">
        <v>1</v>
      </c>
      <c r="I238" s="37" t="n">
        <v>0.09090909090909091</v>
      </c>
      <c r="J238" s="36" t="n">
        <v>0</v>
      </c>
      <c r="K238" s="37" t="n">
        <v>0</v>
      </c>
      <c r="L238" s="36" t="n">
        <v>1</v>
      </c>
      <c r="M238" s="37" t="n">
        <v>0.1</v>
      </c>
      <c r="N238" s="36" t="n">
        <v>0</v>
      </c>
      <c r="O238" s="37" t="n">
        <v>0</v>
      </c>
      <c r="P238" s="36" t="n">
        <v>0</v>
      </c>
      <c r="Q238" s="37" t="n">
        <v>0</v>
      </c>
      <c r="R238" s="36" t="n">
        <v>11</v>
      </c>
      <c r="S238" s="37" t="n">
        <v>1</v>
      </c>
      <c r="T238" s="36" t="n">
        <v>1</v>
      </c>
      <c r="U238" s="37" t="n">
        <v>0.09090909090909091</v>
      </c>
      <c r="V238" s="38" t="n">
        <v>0</v>
      </c>
      <c r="W238" s="38" t="n">
        <v>6.120000000000003</v>
      </c>
      <c r="X238" s="38" t="n">
        <v>18.42</v>
      </c>
      <c r="Y238" s="38" t="n">
        <v>7.27</v>
      </c>
      <c r="Z238" s="38" t="n">
        <v>0</v>
      </c>
      <c r="AA238" s="36" t="n">
        <v>7</v>
      </c>
      <c r="AB238" s="37" t="n">
        <v>0.1666666666666667</v>
      </c>
      <c r="AC238" s="36" t="n">
        <v>2</v>
      </c>
      <c r="AD238" s="37" t="n">
        <v>0.1538461538461539</v>
      </c>
      <c r="AE238" s="36" t="n">
        <v>5</v>
      </c>
      <c r="AF238" s="37" t="n">
        <v>0.1724137931034483</v>
      </c>
      <c r="AG238" s="36" t="n">
        <v>2</v>
      </c>
      <c r="AH238" s="37" t="n">
        <v>1</v>
      </c>
    </row>
    <row r="239">
      <c r="A239" s="53" t="n">
        <v>45815</v>
      </c>
      <c r="B239" t="inlineStr">
        <is>
          <t>R07_Bali Nusra</t>
        </is>
      </c>
      <c r="C239" t="inlineStr">
        <is>
          <t>NOP MATARAM</t>
        </is>
      </c>
      <c r="D239" s="38" t="n">
        <v>0</v>
      </c>
      <c r="E239" s="38" t="n">
        <v>2.43</v>
      </c>
      <c r="F239" s="36" t="n">
        <v>3.936</v>
      </c>
      <c r="G239" s="36" t="n">
        <v>7.526</v>
      </c>
      <c r="H239" s="36" t="n">
        <v>10</v>
      </c>
      <c r="I239" s="37" t="n">
        <v>0.4347826086956522</v>
      </c>
      <c r="J239" s="36" t="n">
        <v>1</v>
      </c>
      <c r="K239" s="37" t="n">
        <v>0.5</v>
      </c>
      <c r="L239" s="36" t="n">
        <v>9</v>
      </c>
      <c r="M239" s="37" t="n">
        <v>0.4285714285714285</v>
      </c>
      <c r="N239" s="36" t="n">
        <v>1</v>
      </c>
      <c r="O239" s="37" t="n">
        <v>1</v>
      </c>
      <c r="P239" s="36" t="n">
        <v>1</v>
      </c>
      <c r="Q239" s="37" t="n">
        <v>1</v>
      </c>
      <c r="R239" s="36" t="n">
        <v>23</v>
      </c>
      <c r="S239" s="37" t="n">
        <v>1</v>
      </c>
      <c r="T239" s="36" t="n">
        <v>8</v>
      </c>
      <c r="U239" s="37" t="n">
        <v>0.3478260869565217</v>
      </c>
      <c r="V239" s="38" t="n">
        <v>0</v>
      </c>
      <c r="W239" s="38" t="n">
        <v>70.63799999999998</v>
      </c>
      <c r="X239" s="38" t="n">
        <v>18.93</v>
      </c>
      <c r="Y239" s="38" t="n">
        <v>6.612000000000001</v>
      </c>
      <c r="Z239" s="38" t="n">
        <v>0</v>
      </c>
      <c r="AA239" s="36" t="n">
        <v>15</v>
      </c>
      <c r="AB239" s="37" t="n">
        <v>0.3571428571428572</v>
      </c>
      <c r="AC239" s="36" t="n">
        <v>11</v>
      </c>
      <c r="AD239" s="37" t="n">
        <v>0.3793103448275862</v>
      </c>
      <c r="AE239" s="36" t="n">
        <v>4</v>
      </c>
      <c r="AF239" s="37" t="n">
        <v>0.3076923076923077</v>
      </c>
      <c r="AG239" s="36" t="n">
        <v>4</v>
      </c>
      <c r="AH239" s="37" t="n">
        <v>0.3636363636363636</v>
      </c>
    </row>
    <row r="240">
      <c r="A240" s="53" t="n">
        <v>45816</v>
      </c>
      <c r="B240" t="inlineStr">
        <is>
          <t>R01_Sumbagut</t>
        </is>
      </c>
      <c r="C240" t="inlineStr">
        <is>
          <t>NOP ACEH</t>
        </is>
      </c>
      <c r="D240" s="38" t="n">
        <v>3.072</v>
      </c>
      <c r="E240" s="38" t="n">
        <v>3.44</v>
      </c>
      <c r="F240" s="36" t="n">
        <v>3.676000000000007</v>
      </c>
      <c r="G240" s="36" t="n">
        <v>4.550000000000002</v>
      </c>
      <c r="H240" s="36" t="n">
        <v>159</v>
      </c>
      <c r="I240" s="37" t="n">
        <v>0.8153846153846154</v>
      </c>
      <c r="J240" s="36" t="n">
        <v>44</v>
      </c>
      <c r="K240" s="37" t="n">
        <v>0.8627450980392157</v>
      </c>
      <c r="L240" s="36" t="n">
        <v>115</v>
      </c>
      <c r="M240" s="37" t="n">
        <v>0.7986111111111112</v>
      </c>
      <c r="N240" s="36" t="n">
        <v>25</v>
      </c>
      <c r="O240" s="37" t="n">
        <v>0.5681818181818182</v>
      </c>
      <c r="P240" s="36" t="n">
        <v>24</v>
      </c>
      <c r="Q240" s="37" t="n">
        <v>0.5581395348837209</v>
      </c>
      <c r="R240" s="36" t="n">
        <v>195</v>
      </c>
      <c r="S240" s="37" t="n">
        <v>1</v>
      </c>
      <c r="T240" s="36" t="n">
        <v>66</v>
      </c>
      <c r="U240" s="37" t="n">
        <v>0.3384615384615385</v>
      </c>
      <c r="V240" s="38" t="n">
        <v>0</v>
      </c>
      <c r="W240" s="38" t="n">
        <v>3.323000000000004</v>
      </c>
      <c r="X240" s="38" t="n">
        <v>71.14999999999992</v>
      </c>
      <c r="Y240" s="38" t="n">
        <v>82.958</v>
      </c>
      <c r="Z240" s="38" t="n">
        <v>0</v>
      </c>
      <c r="AA240" s="36" t="n">
        <v>227</v>
      </c>
      <c r="AB240" s="37" t="n">
        <v>0.8901960784313725</v>
      </c>
      <c r="AC240" s="36" t="n">
        <v>35</v>
      </c>
      <c r="AD240" s="37" t="n">
        <v>0.7291666666666666</v>
      </c>
      <c r="AE240" s="36" t="n">
        <v>189</v>
      </c>
      <c r="AF240" s="37" t="n">
        <v>0.9264705882352942</v>
      </c>
      <c r="AG240" s="36" t="n">
        <v>13</v>
      </c>
      <c r="AH240" s="37" t="n">
        <v>0.3714285714285714</v>
      </c>
    </row>
    <row r="241">
      <c r="A241" s="53" t="n">
        <v>45816</v>
      </c>
      <c r="B241" t="inlineStr">
        <is>
          <t>R01_Sumbagut</t>
        </is>
      </c>
      <c r="C241" t="inlineStr">
        <is>
          <t>NOP BINJAI</t>
        </is>
      </c>
      <c r="D241" s="38" t="n">
        <v>0</v>
      </c>
      <c r="E241" s="38" t="n">
        <v>2.362</v>
      </c>
      <c r="F241" s="36" t="n">
        <v>1.672</v>
      </c>
      <c r="G241" s="36" t="n">
        <v>15.58</v>
      </c>
      <c r="H241" s="36" t="n">
        <v>43</v>
      </c>
      <c r="I241" s="37" t="n">
        <v>0.5733333333333334</v>
      </c>
      <c r="J241" s="36" t="n">
        <v>7</v>
      </c>
      <c r="K241" s="37" t="n">
        <v>0.7777777777777778</v>
      </c>
      <c r="L241" s="36" t="n">
        <v>36</v>
      </c>
      <c r="M241" s="37" t="n">
        <v>0.5454545454545454</v>
      </c>
      <c r="N241" s="36" t="n">
        <v>2</v>
      </c>
      <c r="O241" s="37" t="n">
        <v>0.2857142857142857</v>
      </c>
      <c r="P241" s="36" t="n">
        <v>2</v>
      </c>
      <c r="Q241" s="37" t="n">
        <v>0.2857142857142857</v>
      </c>
      <c r="R241" s="36" t="n">
        <v>75</v>
      </c>
      <c r="S241" s="37" t="n">
        <v>1</v>
      </c>
      <c r="T241" s="36" t="n">
        <v>13</v>
      </c>
      <c r="U241" s="37" t="n">
        <v>0.1733333333333333</v>
      </c>
      <c r="V241" s="38" t="n">
        <v>0</v>
      </c>
      <c r="W241" s="38" t="n">
        <v>1.667</v>
      </c>
      <c r="X241" s="38" t="n">
        <v>43.33000000000002</v>
      </c>
      <c r="Y241" s="38" t="n">
        <v>20.667</v>
      </c>
      <c r="Z241" s="38" t="n">
        <v>0</v>
      </c>
      <c r="AA241" s="36" t="n">
        <v>70</v>
      </c>
      <c r="AB241" s="37" t="n">
        <v>0.7142857142857143</v>
      </c>
      <c r="AC241" s="36" t="n">
        <v>22</v>
      </c>
      <c r="AD241" s="37" t="n">
        <v>0.6470588235294118</v>
      </c>
      <c r="AE241" s="36" t="n">
        <v>44</v>
      </c>
      <c r="AF241" s="37" t="n">
        <v>0.7719298245614035</v>
      </c>
      <c r="AG241" s="36" t="n">
        <v>10</v>
      </c>
      <c r="AH241" s="37" t="n">
        <v>0.4545454545454545</v>
      </c>
    </row>
    <row r="242">
      <c r="A242" s="53" t="n">
        <v>45816</v>
      </c>
      <c r="B242" t="inlineStr">
        <is>
          <t>R01_Sumbagut</t>
        </is>
      </c>
      <c r="C242" t="inlineStr">
        <is>
          <t>NOP MEDAN</t>
        </is>
      </c>
      <c r="D242" s="38" t="n">
        <v>0</v>
      </c>
      <c r="E242" s="38" t="n">
        <v>8.638</v>
      </c>
      <c r="F242" s="36" t="n">
        <v>1.625</v>
      </c>
      <c r="G242" s="36" t="n">
        <v>1.87</v>
      </c>
      <c r="H242" s="36" t="n">
        <v>1</v>
      </c>
      <c r="I242" s="37" t="n">
        <v>0.04</v>
      </c>
      <c r="J242" s="36" t="n">
        <v>0</v>
      </c>
      <c r="K242" s="37" t="n">
        <v>0</v>
      </c>
      <c r="L242" s="36" t="n">
        <v>1</v>
      </c>
      <c r="M242" s="37" t="n">
        <v>0.05882352941176471</v>
      </c>
      <c r="N242" s="36" t="n">
        <v>0</v>
      </c>
      <c r="O242" s="37" t="n">
        <v>0</v>
      </c>
      <c r="P242" s="36" t="n">
        <v>0</v>
      </c>
      <c r="Q242" s="37" t="n">
        <v>0</v>
      </c>
      <c r="R242" s="36" t="n">
        <v>24</v>
      </c>
      <c r="S242" s="37" t="n">
        <v>0.96</v>
      </c>
      <c r="T242" s="36" t="n">
        <v>0</v>
      </c>
      <c r="U242" s="37" t="n">
        <v>0</v>
      </c>
      <c r="V242" s="38" t="n">
        <v>0</v>
      </c>
      <c r="W242" s="38" t="n">
        <v>1.135</v>
      </c>
      <c r="X242" s="38" t="n">
        <v>12.441</v>
      </c>
      <c r="Y242" s="38" t="n">
        <v>2.38</v>
      </c>
      <c r="Z242" s="38" t="n">
        <v>0</v>
      </c>
      <c r="AA242" s="36" t="n">
        <v>10</v>
      </c>
      <c r="AB242" s="37" t="n">
        <v>0.3225806451612903</v>
      </c>
      <c r="AC242" s="36" t="n">
        <v>0</v>
      </c>
      <c r="AD242" s="37" t="n">
        <v>0</v>
      </c>
      <c r="AE242" s="36" t="n">
        <v>10</v>
      </c>
      <c r="AF242" s="37" t="n">
        <v>0.4</v>
      </c>
      <c r="AG242" s="36" t="n">
        <v>0</v>
      </c>
      <c r="AH242" s="37" t="n">
        <v>0</v>
      </c>
    </row>
    <row r="243">
      <c r="A243" s="53" t="n">
        <v>45816</v>
      </c>
      <c r="B243" t="inlineStr">
        <is>
          <t>R01_Sumbagut</t>
        </is>
      </c>
      <c r="C243" t="inlineStr">
        <is>
          <t>NOP PADANG SIDEMPUAN</t>
        </is>
      </c>
      <c r="D243" s="38" t="n">
        <v>0.59</v>
      </c>
      <c r="E243" s="38" t="n">
        <v>2.839</v>
      </c>
      <c r="F243" s="36" t="n">
        <v>1.659999999999998</v>
      </c>
      <c r="G243" s="36" t="n">
        <v>3.603000000000008</v>
      </c>
      <c r="H243" s="36" t="n">
        <v>13</v>
      </c>
      <c r="I243" s="37" t="n">
        <v>0.3023255813953488</v>
      </c>
      <c r="J243" s="36" t="n">
        <v>2</v>
      </c>
      <c r="K243" s="37" t="n">
        <v>0.6666666666666666</v>
      </c>
      <c r="L243" s="36" t="n">
        <v>11</v>
      </c>
      <c r="M243" s="37" t="n">
        <v>0.275</v>
      </c>
      <c r="N243" s="36" t="n">
        <v>1</v>
      </c>
      <c r="O243" s="37" t="n">
        <v>0.5</v>
      </c>
      <c r="P243" s="36" t="n">
        <v>1</v>
      </c>
      <c r="Q243" s="37" t="n">
        <v>0.5</v>
      </c>
      <c r="R243" s="36" t="n">
        <v>43</v>
      </c>
      <c r="S243" s="37" t="n">
        <v>1</v>
      </c>
      <c r="T243" s="36" t="n">
        <v>7</v>
      </c>
      <c r="U243" s="37" t="n">
        <v>0.1627906976744186</v>
      </c>
      <c r="V243" s="38" t="n">
        <v>0.01</v>
      </c>
      <c r="W243" s="38" t="n">
        <v>2.025</v>
      </c>
      <c r="X243" s="38" t="n">
        <v>4.773000000000002</v>
      </c>
      <c r="Y243" s="38" t="n">
        <v>32.61600000000001</v>
      </c>
      <c r="Z243" s="38" t="n">
        <v>0</v>
      </c>
      <c r="AA243" s="36" t="n">
        <v>98</v>
      </c>
      <c r="AB243" s="37" t="n">
        <v>0.7101449275362319</v>
      </c>
      <c r="AC243" s="36" t="n">
        <v>52</v>
      </c>
      <c r="AD243" s="37" t="n">
        <v>0.6753246753246753</v>
      </c>
      <c r="AE243" s="36" t="n">
        <v>45</v>
      </c>
      <c r="AF243" s="37" t="n">
        <v>0.7758620689655172</v>
      </c>
      <c r="AG243" s="36" t="n">
        <v>30</v>
      </c>
      <c r="AH243" s="37" t="n">
        <v>0.5769230769230769</v>
      </c>
    </row>
    <row r="244">
      <c r="A244" s="53" t="n">
        <v>45816</v>
      </c>
      <c r="B244" t="inlineStr">
        <is>
          <t>R01_Sumbagut</t>
        </is>
      </c>
      <c r="C244" t="inlineStr">
        <is>
          <t>NOP PEMATANG SIANTAR</t>
        </is>
      </c>
      <c r="D244" s="38" t="n">
        <v>0.862</v>
      </c>
      <c r="E244" s="38" t="n">
        <v>2.98</v>
      </c>
      <c r="F244" s="36" t="n">
        <v>2.084000000000001</v>
      </c>
      <c r="G244" s="36" t="n">
        <v>5.843</v>
      </c>
      <c r="H244" s="36" t="n">
        <v>37</v>
      </c>
      <c r="I244" s="37" t="n">
        <v>0.5</v>
      </c>
      <c r="J244" s="36" t="n">
        <v>13</v>
      </c>
      <c r="K244" s="37" t="n">
        <v>0.8666666666666667</v>
      </c>
      <c r="L244" s="36" t="n">
        <v>24</v>
      </c>
      <c r="M244" s="37" t="n">
        <v>0.4067796610169492</v>
      </c>
      <c r="N244" s="36" t="n">
        <v>2</v>
      </c>
      <c r="O244" s="37" t="n">
        <v>0.1538461538461539</v>
      </c>
      <c r="P244" s="36" t="n">
        <v>2</v>
      </c>
      <c r="Q244" s="37" t="n">
        <v>0.1538461538461539</v>
      </c>
      <c r="R244" s="36" t="n">
        <v>74</v>
      </c>
      <c r="S244" s="37" t="n">
        <v>1</v>
      </c>
      <c r="T244" s="36" t="n">
        <v>13</v>
      </c>
      <c r="U244" s="37" t="n">
        <v>0.1756756756756757</v>
      </c>
      <c r="V244" s="38" t="n">
        <v>0</v>
      </c>
      <c r="W244" s="38" t="n">
        <v>4.49800000000001</v>
      </c>
      <c r="X244" s="38" t="n">
        <v>44.88</v>
      </c>
      <c r="Y244" s="38" t="n">
        <v>40.56</v>
      </c>
      <c r="Z244" s="38" t="n">
        <v>0</v>
      </c>
      <c r="AA244" s="36" t="n">
        <v>78</v>
      </c>
      <c r="AB244" s="37" t="n">
        <v>0.6902654867256637</v>
      </c>
      <c r="AC244" s="36" t="n">
        <v>39</v>
      </c>
      <c r="AD244" s="37" t="n">
        <v>0.7959183673469388</v>
      </c>
      <c r="AE244" s="36" t="n">
        <v>38</v>
      </c>
      <c r="AF244" s="37" t="n">
        <v>0.6440677966101694</v>
      </c>
      <c r="AG244" s="36" t="n">
        <v>23</v>
      </c>
      <c r="AH244" s="37" t="n">
        <v>0.5897435897435898</v>
      </c>
    </row>
    <row r="245">
      <c r="A245" s="53" t="n">
        <v>45816</v>
      </c>
      <c r="B245" t="inlineStr">
        <is>
          <t>R01_Sumbagut</t>
        </is>
      </c>
      <c r="C245" t="inlineStr">
        <is>
          <t>NOP RANTAU PRAPAT</t>
        </is>
      </c>
      <c r="D245" s="38" t="n">
        <v>10.791</v>
      </c>
      <c r="E245" s="38" t="n">
        <v>2.44</v>
      </c>
      <c r="F245" s="36" t="n">
        <v>4.283000000000003</v>
      </c>
      <c r="G245" s="36" t="n">
        <v>3.335</v>
      </c>
      <c r="H245" s="36" t="n">
        <v>56</v>
      </c>
      <c r="I245" s="37" t="n">
        <v>0.3888888888888889</v>
      </c>
      <c r="J245" s="36" t="n">
        <v>7</v>
      </c>
      <c r="K245" s="37" t="n">
        <v>0.3888888888888889</v>
      </c>
      <c r="L245" s="36" t="n">
        <v>49</v>
      </c>
      <c r="M245" s="37" t="n">
        <v>0.3888888888888889</v>
      </c>
      <c r="N245" s="36" t="n">
        <v>6</v>
      </c>
      <c r="O245" s="37" t="n">
        <v>0.8571428571428571</v>
      </c>
      <c r="P245" s="36" t="n">
        <v>6</v>
      </c>
      <c r="Q245" s="37" t="n">
        <v>0.8571428571428571</v>
      </c>
      <c r="R245" s="36" t="n">
        <v>142</v>
      </c>
      <c r="S245" s="37" t="n">
        <v>0.9861111111111112</v>
      </c>
      <c r="T245" s="36" t="n">
        <v>33</v>
      </c>
      <c r="U245" s="37" t="n">
        <v>0.2291666666666667</v>
      </c>
      <c r="V245" s="38" t="n">
        <v>0</v>
      </c>
      <c r="W245" s="38" t="n">
        <v>3.423</v>
      </c>
      <c r="X245" s="38" t="n">
        <v>24.371</v>
      </c>
      <c r="Y245" s="38" t="n">
        <v>48.139</v>
      </c>
      <c r="Z245" s="38" t="n">
        <v>0</v>
      </c>
      <c r="AA245" s="36" t="n">
        <v>38</v>
      </c>
      <c r="AB245" s="37" t="n">
        <v>0.2317073170731707</v>
      </c>
      <c r="AC245" s="36" t="n">
        <v>5</v>
      </c>
      <c r="AD245" s="37" t="n">
        <v>0.1785714285714286</v>
      </c>
      <c r="AE245" s="36" t="n">
        <v>30</v>
      </c>
      <c r="AF245" s="37" t="n">
        <v>0.2307692307692308</v>
      </c>
      <c r="AG245" s="36" t="n">
        <v>2</v>
      </c>
      <c r="AH245" s="37" t="n">
        <v>0.4</v>
      </c>
    </row>
    <row r="246">
      <c r="A246" s="53" t="n">
        <v>45816</v>
      </c>
      <c r="B246" t="inlineStr">
        <is>
          <t>R10_Sumbagteng</t>
        </is>
      </c>
      <c r="C246" t="inlineStr">
        <is>
          <t>NOP BATAM</t>
        </is>
      </c>
      <c r="D246" s="38" t="n">
        <v>0</v>
      </c>
      <c r="E246" s="38" t="n">
        <v>4.334</v>
      </c>
      <c r="F246" s="36" t="n">
        <v>5.67</v>
      </c>
      <c r="G246" s="36" t="n">
        <v>9.298</v>
      </c>
      <c r="H246" s="36" t="n">
        <v>50</v>
      </c>
      <c r="I246" s="37" t="n">
        <v>0.4854368932038835</v>
      </c>
      <c r="J246" s="36" t="n">
        <v>1</v>
      </c>
      <c r="K246" s="37" t="n">
        <v>0.06666666666666667</v>
      </c>
      <c r="L246" s="36" t="n">
        <v>49</v>
      </c>
      <c r="M246" s="37" t="n">
        <v>0.5568181818181818</v>
      </c>
      <c r="N246" s="36" t="n">
        <v>1</v>
      </c>
      <c r="O246" s="37" t="n">
        <v>1</v>
      </c>
      <c r="P246" s="36" t="n">
        <v>1</v>
      </c>
      <c r="Q246" s="37" t="n">
        <v>1</v>
      </c>
      <c r="R246" s="36" t="n">
        <v>103</v>
      </c>
      <c r="S246" s="37" t="n">
        <v>1</v>
      </c>
      <c r="T246" s="36" t="n">
        <v>37</v>
      </c>
      <c r="U246" s="37" t="n">
        <v>0.3592233009708738</v>
      </c>
      <c r="V246" s="38" t="n">
        <v>0</v>
      </c>
      <c r="W246" s="38" t="n">
        <v>10.062</v>
      </c>
      <c r="X246" s="38" t="n">
        <v>74.24999999999997</v>
      </c>
      <c r="Y246" s="38" t="n">
        <v>90.79300000000002</v>
      </c>
      <c r="Z246" s="38" t="n">
        <v>0</v>
      </c>
      <c r="AA246" s="36" t="n">
        <v>55</v>
      </c>
      <c r="AB246" s="37" t="n">
        <v>0.2</v>
      </c>
      <c r="AC246" s="36" t="n">
        <v>17</v>
      </c>
      <c r="AD246" s="37" t="n">
        <v>0.3269230769230769</v>
      </c>
      <c r="AE246" s="36" t="n">
        <v>38</v>
      </c>
      <c r="AF246" s="37" t="n">
        <v>0.1704035874439462</v>
      </c>
      <c r="AG246" s="36" t="n">
        <v>12</v>
      </c>
      <c r="AH246" s="37" t="n">
        <v>0.7058823529411765</v>
      </c>
    </row>
    <row r="247">
      <c r="A247" s="53" t="n">
        <v>45816</v>
      </c>
      <c r="B247" t="inlineStr">
        <is>
          <t>R10_Sumbagteng</t>
        </is>
      </c>
      <c r="C247" t="inlineStr">
        <is>
          <t>NOP BUKITTINGGI</t>
        </is>
      </c>
      <c r="D247" s="38" t="n">
        <v>1.848</v>
      </c>
      <c r="E247" s="38" t="n">
        <v>2.036</v>
      </c>
      <c r="F247" s="36" t="n">
        <v>2.355</v>
      </c>
      <c r="G247" s="36" t="n">
        <v>2.584000000000001</v>
      </c>
      <c r="H247" s="36" t="n">
        <v>35</v>
      </c>
      <c r="I247" s="37" t="n">
        <v>0.625</v>
      </c>
      <c r="J247" s="36" t="n">
        <v>13</v>
      </c>
      <c r="K247" s="37" t="n">
        <v>0.9285714285714286</v>
      </c>
      <c r="L247" s="36" t="n">
        <v>22</v>
      </c>
      <c r="M247" s="37" t="n">
        <v>0.5238095238095238</v>
      </c>
      <c r="N247" s="36" t="n">
        <v>10</v>
      </c>
      <c r="O247" s="37" t="n">
        <v>0.7692307692307693</v>
      </c>
      <c r="P247" s="36" t="n">
        <v>10</v>
      </c>
      <c r="Q247" s="37" t="n">
        <v>0.7692307692307693</v>
      </c>
      <c r="R247" s="36" t="n">
        <v>49</v>
      </c>
      <c r="S247" s="37" t="n">
        <v>0.875</v>
      </c>
      <c r="T247" s="36" t="n">
        <v>23</v>
      </c>
      <c r="U247" s="37" t="n">
        <v>0.4107142857142857</v>
      </c>
      <c r="V247" s="38" t="n">
        <v>0</v>
      </c>
      <c r="W247" s="38" t="n">
        <v>2.835</v>
      </c>
      <c r="X247" s="38" t="n">
        <v>61.96200000000002</v>
      </c>
      <c r="Y247" s="38" t="n">
        <v>70.482</v>
      </c>
      <c r="Z247" s="38" t="n">
        <v>0</v>
      </c>
      <c r="AA247" s="36" t="n">
        <v>57</v>
      </c>
      <c r="AB247" s="37" t="n">
        <v>0.6627906976744186</v>
      </c>
      <c r="AC247" s="36" t="n">
        <v>12</v>
      </c>
      <c r="AD247" s="37" t="n">
        <v>0.75</v>
      </c>
      <c r="AE247" s="36" t="n">
        <v>45</v>
      </c>
      <c r="AF247" s="37" t="n">
        <v>0.6617647058823529</v>
      </c>
      <c r="AG247" s="36" t="n">
        <v>7</v>
      </c>
      <c r="AH247" s="37" t="n">
        <v>0.5833333333333334</v>
      </c>
    </row>
    <row r="248">
      <c r="A248" s="53" t="n">
        <v>45816</v>
      </c>
      <c r="B248" t="inlineStr">
        <is>
          <t>R10_Sumbagteng</t>
        </is>
      </c>
      <c r="C248" t="inlineStr">
        <is>
          <t>NOP DUMAI</t>
        </is>
      </c>
      <c r="D248" s="38" t="n">
        <v>1.91</v>
      </c>
      <c r="E248" s="38" t="n">
        <v>4.244</v>
      </c>
      <c r="F248" s="36" t="n">
        <v>2.876999999999998</v>
      </c>
      <c r="G248" s="36" t="n">
        <v>4.993999999999998</v>
      </c>
      <c r="H248" s="36" t="n">
        <v>85</v>
      </c>
      <c r="I248" s="37" t="n">
        <v>0.5</v>
      </c>
      <c r="J248" s="36" t="n">
        <v>39</v>
      </c>
      <c r="K248" s="37" t="n">
        <v>0.7090909090909091</v>
      </c>
      <c r="L248" s="36" t="n">
        <v>46</v>
      </c>
      <c r="M248" s="37" t="n">
        <v>0.4</v>
      </c>
      <c r="N248" s="36" t="n">
        <v>19</v>
      </c>
      <c r="O248" s="37" t="n">
        <v>0.4871794871794872</v>
      </c>
      <c r="P248" s="36" t="n">
        <v>19</v>
      </c>
      <c r="Q248" s="37" t="n">
        <v>0.5277777777777778</v>
      </c>
      <c r="R248" s="36" t="n">
        <v>166</v>
      </c>
      <c r="S248" s="37" t="n">
        <v>0.9764705882352941</v>
      </c>
      <c r="T248" s="36" t="n">
        <v>47</v>
      </c>
      <c r="U248" s="37" t="n">
        <v>0.2764705882352941</v>
      </c>
      <c r="V248" s="38" t="n">
        <v>0</v>
      </c>
      <c r="W248" s="38" t="n">
        <v>4.312000000000005</v>
      </c>
      <c r="X248" s="38" t="n">
        <v>44.63600000000001</v>
      </c>
      <c r="Y248" s="38" t="n">
        <v>67.69100000000003</v>
      </c>
      <c r="Z248" s="38" t="n">
        <v>0</v>
      </c>
      <c r="AA248" s="36" t="n">
        <v>80</v>
      </c>
      <c r="AB248" s="37" t="n">
        <v>0.2</v>
      </c>
      <c r="AC248" s="36" t="n">
        <v>28</v>
      </c>
      <c r="AD248" s="37" t="n">
        <v>0.2947368421052631</v>
      </c>
      <c r="AE248" s="36" t="n">
        <v>51</v>
      </c>
      <c r="AF248" s="37" t="n">
        <v>0.1683168316831683</v>
      </c>
      <c r="AG248" s="36" t="n">
        <v>28</v>
      </c>
      <c r="AH248" s="37" t="n">
        <v>1</v>
      </c>
    </row>
    <row r="249">
      <c r="A249" s="53" t="n">
        <v>45816</v>
      </c>
      <c r="B249" t="inlineStr">
        <is>
          <t>R10_Sumbagteng</t>
        </is>
      </c>
      <c r="C249" t="inlineStr">
        <is>
          <t>NOP PADANG</t>
        </is>
      </c>
      <c r="D249" s="38" t="n">
        <v>0</v>
      </c>
      <c r="E249" s="38" t="n">
        <v>0.9470000000000001</v>
      </c>
      <c r="F249" s="36" t="n">
        <v>1.818</v>
      </c>
      <c r="G249" s="36" t="n">
        <v>9.190000000000005</v>
      </c>
      <c r="H249" s="36" t="n">
        <v>18</v>
      </c>
      <c r="I249" s="37" t="n">
        <v>0.7826086956521739</v>
      </c>
      <c r="J249" s="36" t="n">
        <v>2</v>
      </c>
      <c r="K249" s="37" t="n">
        <v>1</v>
      </c>
      <c r="L249" s="36" t="n">
        <v>16</v>
      </c>
      <c r="M249" s="37" t="n">
        <v>0.7619047619047619</v>
      </c>
      <c r="N249" s="36" t="n">
        <v>1</v>
      </c>
      <c r="O249" s="37" t="n">
        <v>0.5</v>
      </c>
      <c r="P249" s="36" t="n">
        <v>1</v>
      </c>
      <c r="Q249" s="37" t="n">
        <v>0.5</v>
      </c>
      <c r="R249" s="36" t="n">
        <v>22</v>
      </c>
      <c r="S249" s="37" t="n">
        <v>0.9565217391304348</v>
      </c>
      <c r="T249" s="36" t="n">
        <v>6</v>
      </c>
      <c r="U249" s="37" t="n">
        <v>0.2608695652173913</v>
      </c>
      <c r="V249" s="38" t="n">
        <v>0</v>
      </c>
      <c r="W249" s="38" t="n">
        <v>4.006000000000001</v>
      </c>
      <c r="X249" s="38" t="n">
        <v>25.754</v>
      </c>
      <c r="Y249" s="38" t="n">
        <v>73.276</v>
      </c>
      <c r="Z249" s="38" t="n">
        <v>0</v>
      </c>
      <c r="AA249" s="36" t="n">
        <v>52</v>
      </c>
      <c r="AB249" s="37" t="n">
        <v>0.8253968253968254</v>
      </c>
      <c r="AC249" s="36" t="n">
        <v>11</v>
      </c>
      <c r="AD249" s="37" t="n">
        <v>0.6470588235294118</v>
      </c>
      <c r="AE249" s="36" t="n">
        <v>41</v>
      </c>
      <c r="AF249" s="37" t="n">
        <v>0.8913043478260869</v>
      </c>
      <c r="AG249" s="36" t="n">
        <v>8</v>
      </c>
      <c r="AH249" s="37" t="n">
        <v>0.7272727272727273</v>
      </c>
    </row>
    <row r="250">
      <c r="A250" s="53" t="n">
        <v>45816</v>
      </c>
      <c r="B250" t="inlineStr">
        <is>
          <t>R10_Sumbagteng</t>
        </is>
      </c>
      <c r="C250" t="inlineStr">
        <is>
          <t>NOP PEKANBARU</t>
        </is>
      </c>
      <c r="D250" s="38" t="n">
        <v>0.589</v>
      </c>
      <c r="E250" s="38" t="n">
        <v>19.7</v>
      </c>
      <c r="F250" s="36" t="n">
        <v>5.943999999999995</v>
      </c>
      <c r="G250" s="36" t="n">
        <v>3.842</v>
      </c>
      <c r="H250" s="36" t="n">
        <v>65</v>
      </c>
      <c r="I250" s="37" t="n">
        <v>0.5909090909090909</v>
      </c>
      <c r="J250" s="36" t="n">
        <v>14</v>
      </c>
      <c r="K250" s="37" t="n">
        <v>0.5600000000000001</v>
      </c>
      <c r="L250" s="36" t="n">
        <v>51</v>
      </c>
      <c r="M250" s="37" t="n">
        <v>0.6</v>
      </c>
      <c r="N250" s="36" t="n">
        <v>10</v>
      </c>
      <c r="O250" s="37" t="n">
        <v>0.7142857142857143</v>
      </c>
      <c r="P250" s="36" t="n">
        <v>10</v>
      </c>
      <c r="Q250" s="37" t="n">
        <v>0.7142857142857143</v>
      </c>
      <c r="R250" s="36" t="n">
        <v>108</v>
      </c>
      <c r="S250" s="37" t="n">
        <v>0.9818181818181818</v>
      </c>
      <c r="T250" s="36" t="n">
        <v>36</v>
      </c>
      <c r="U250" s="37" t="n">
        <v>0.3272727272727273</v>
      </c>
      <c r="V250" s="38" t="n">
        <v>0</v>
      </c>
      <c r="W250" s="38" t="n">
        <v>3.840000000000003</v>
      </c>
      <c r="X250" s="38" t="n">
        <v>48.44800000000001</v>
      </c>
      <c r="Y250" s="38" t="n">
        <v>51.98500000000009</v>
      </c>
      <c r="Z250" s="38" t="n">
        <v>0</v>
      </c>
      <c r="AA250" s="36" t="n">
        <v>63</v>
      </c>
      <c r="AB250" s="37" t="n">
        <v>0.24609375</v>
      </c>
      <c r="AC250" s="36" t="n">
        <v>26</v>
      </c>
      <c r="AD250" s="37" t="n">
        <v>0.3291139240506329</v>
      </c>
      <c r="AE250" s="36" t="n">
        <v>36</v>
      </c>
      <c r="AF250" s="37" t="n">
        <v>0.208092485549133</v>
      </c>
      <c r="AG250" s="36" t="n">
        <v>19</v>
      </c>
      <c r="AH250" s="37" t="n">
        <v>0.7307692307692307</v>
      </c>
    </row>
    <row r="251">
      <c r="A251" s="53" t="n">
        <v>45816</v>
      </c>
      <c r="B251" t="inlineStr">
        <is>
          <t>R02_Sumbagsel</t>
        </is>
      </c>
      <c r="C251" t="inlineStr">
        <is>
          <t>NOP BENGKULU</t>
        </is>
      </c>
      <c r="D251" s="38" t="n">
        <v>1.55</v>
      </c>
      <c r="E251" s="38" t="n">
        <v>3.659999999999997</v>
      </c>
      <c r="F251" s="36" t="n">
        <v>2.74</v>
      </c>
      <c r="G251" s="36" t="n">
        <v>3.296000000000002</v>
      </c>
      <c r="H251" s="36" t="n">
        <v>20</v>
      </c>
      <c r="I251" s="37" t="n">
        <v>0.1904761904761905</v>
      </c>
      <c r="J251" s="36" t="n">
        <v>4</v>
      </c>
      <c r="K251" s="37" t="n">
        <v>0.1818181818181818</v>
      </c>
      <c r="L251" s="36" t="n">
        <v>16</v>
      </c>
      <c r="M251" s="37" t="n">
        <v>0.1927710843373494</v>
      </c>
      <c r="N251" s="36" t="n">
        <v>2</v>
      </c>
      <c r="O251" s="37" t="n">
        <v>0.5</v>
      </c>
      <c r="P251" s="36" t="n">
        <v>2</v>
      </c>
      <c r="Q251" s="37" t="n">
        <v>0.5</v>
      </c>
      <c r="R251" s="36" t="n">
        <v>104</v>
      </c>
      <c r="S251" s="37" t="n">
        <v>0.9904761904761905</v>
      </c>
      <c r="T251" s="36" t="n">
        <v>13</v>
      </c>
      <c r="U251" s="37" t="n">
        <v>0.1238095238095238</v>
      </c>
      <c r="V251" s="38" t="n">
        <v>0</v>
      </c>
      <c r="W251" s="38" t="n">
        <v>3.634000000000001</v>
      </c>
      <c r="X251" s="38" t="n">
        <v>4.054</v>
      </c>
      <c r="Y251" s="38" t="n">
        <v>16.626</v>
      </c>
      <c r="Z251" s="38" t="n">
        <v>0</v>
      </c>
      <c r="AA251" s="36" t="n">
        <v>87</v>
      </c>
      <c r="AB251" s="37" t="n">
        <v>0.4677419354838709</v>
      </c>
      <c r="AC251" s="36" t="n">
        <v>60</v>
      </c>
      <c r="AD251" s="37" t="n">
        <v>0.4615384615384616</v>
      </c>
      <c r="AE251" s="36" t="n">
        <v>23</v>
      </c>
      <c r="AF251" s="37" t="n">
        <v>0.4893617021276596</v>
      </c>
      <c r="AG251" s="36" t="n">
        <v>57</v>
      </c>
      <c r="AH251" s="37" t="n">
        <v>0.95</v>
      </c>
    </row>
    <row r="252">
      <c r="A252" s="53" t="n">
        <v>45816</v>
      </c>
      <c r="B252" t="inlineStr">
        <is>
          <t>R02_Sumbagsel</t>
        </is>
      </c>
      <c r="C252" t="inlineStr">
        <is>
          <t>NOP JAMBI</t>
        </is>
      </c>
      <c r="D252" s="38" t="n">
        <v>0</v>
      </c>
      <c r="E252" s="38" t="n">
        <v>4.338</v>
      </c>
      <c r="F252" s="36" t="n">
        <v>7.133000000000004</v>
      </c>
      <c r="G252" s="36" t="n">
        <v>6.609999999999999</v>
      </c>
      <c r="H252" s="36" t="n">
        <v>18</v>
      </c>
      <c r="I252" s="37" t="n">
        <v>0.2222222222222222</v>
      </c>
      <c r="J252" s="36" t="n">
        <v>4</v>
      </c>
      <c r="K252" s="37" t="n">
        <v>0.2352941176470588</v>
      </c>
      <c r="L252" s="36" t="n">
        <v>14</v>
      </c>
      <c r="M252" s="37" t="n">
        <v>0.21875</v>
      </c>
      <c r="N252" s="36" t="n">
        <v>3</v>
      </c>
      <c r="O252" s="37" t="n">
        <v>0.75</v>
      </c>
      <c r="P252" s="36" t="n">
        <v>3</v>
      </c>
      <c r="Q252" s="37" t="n">
        <v>0.75</v>
      </c>
      <c r="R252" s="36" t="n">
        <v>81</v>
      </c>
      <c r="S252" s="37" t="n">
        <v>1</v>
      </c>
      <c r="T252" s="36" t="n">
        <v>13</v>
      </c>
      <c r="U252" s="37" t="n">
        <v>0.1604938271604938</v>
      </c>
      <c r="V252" s="38" t="n">
        <v>0</v>
      </c>
      <c r="W252" s="38" t="n">
        <v>4.931000000000002</v>
      </c>
      <c r="X252" s="38" t="n">
        <v>23.724</v>
      </c>
      <c r="Y252" s="38" t="n">
        <v>22.718</v>
      </c>
      <c r="Z252" s="38" t="n">
        <v>0</v>
      </c>
      <c r="AA252" s="36" t="n">
        <v>28</v>
      </c>
      <c r="AB252" s="37" t="n">
        <v>0.1666666666666667</v>
      </c>
      <c r="AC252" s="36" t="n">
        <v>13</v>
      </c>
      <c r="AD252" s="37" t="n">
        <v>0.1625</v>
      </c>
      <c r="AE252" s="36" t="n">
        <v>13</v>
      </c>
      <c r="AF252" s="37" t="n">
        <v>0.1688311688311688</v>
      </c>
      <c r="AG252" s="36" t="n">
        <v>8</v>
      </c>
      <c r="AH252" s="37" t="n">
        <v>0.6153846153846154</v>
      </c>
    </row>
    <row r="253">
      <c r="A253" s="53" t="n">
        <v>45816</v>
      </c>
      <c r="B253" t="inlineStr">
        <is>
          <t>R02_Sumbagsel</t>
        </is>
      </c>
      <c r="C253" t="inlineStr">
        <is>
          <t>NOP LAMPUNG</t>
        </is>
      </c>
      <c r="D253" s="38" t="n">
        <v>0</v>
      </c>
      <c r="E253" s="38" t="n">
        <v>3.406</v>
      </c>
      <c r="F253" s="36" t="n">
        <v>1.639999999999999</v>
      </c>
      <c r="G253" s="36" t="n">
        <v>1.08</v>
      </c>
      <c r="H253" s="36" t="n">
        <v>16</v>
      </c>
      <c r="I253" s="37" t="n">
        <v>0.5</v>
      </c>
      <c r="J253" s="36" t="n">
        <v>2</v>
      </c>
      <c r="K253" s="37" t="n">
        <v>0.6666666666666666</v>
      </c>
      <c r="L253" s="36" t="n">
        <v>14</v>
      </c>
      <c r="M253" s="37" t="n">
        <v>0.4827586206896552</v>
      </c>
      <c r="N253" s="36" t="n">
        <v>2</v>
      </c>
      <c r="O253" s="37" t="n">
        <v>1</v>
      </c>
      <c r="P253" s="36" t="n">
        <v>2</v>
      </c>
      <c r="Q253" s="37" t="n">
        <v>1</v>
      </c>
      <c r="R253" s="36" t="n">
        <v>32</v>
      </c>
      <c r="S253" s="37" t="n">
        <v>1</v>
      </c>
      <c r="T253" s="36" t="n">
        <v>7</v>
      </c>
      <c r="U253" s="37" t="n">
        <v>0.21875</v>
      </c>
      <c r="V253" s="38" t="n">
        <v>0.038</v>
      </c>
      <c r="W253" s="38" t="n">
        <v>6.612999999999999</v>
      </c>
      <c r="X253" s="38" t="n">
        <v>7.442999999999998</v>
      </c>
      <c r="Y253" s="38" t="n">
        <v>33.646</v>
      </c>
      <c r="Z253" s="38" t="n">
        <v>0</v>
      </c>
      <c r="AA253" s="36" t="n">
        <v>37</v>
      </c>
      <c r="AB253" s="37" t="n">
        <v>0.8809523809523809</v>
      </c>
      <c r="AC253" s="36" t="n">
        <v>10</v>
      </c>
      <c r="AD253" s="37" t="n">
        <v>0.9090909090909091</v>
      </c>
      <c r="AE253" s="36" t="n">
        <v>27</v>
      </c>
      <c r="AF253" s="37" t="n">
        <v>0.9310344827586207</v>
      </c>
      <c r="AG253" s="36" t="n">
        <v>10</v>
      </c>
      <c r="AH253" s="37" t="n">
        <v>1</v>
      </c>
    </row>
    <row r="254">
      <c r="A254" s="53" t="n">
        <v>45816</v>
      </c>
      <c r="B254" t="inlineStr">
        <is>
          <t>R02_Sumbagsel</t>
        </is>
      </c>
      <c r="C254" t="inlineStr">
        <is>
          <t>NOP MUARA ENIM</t>
        </is>
      </c>
      <c r="D254" s="38" t="n">
        <v>10.929</v>
      </c>
      <c r="E254" s="38" t="n">
        <v>3.613</v>
      </c>
      <c r="F254" s="36" t="n">
        <v>3.599000000000003</v>
      </c>
      <c r="G254" s="36" t="n">
        <v>4.164000000000001</v>
      </c>
      <c r="H254" s="36" t="n">
        <v>29</v>
      </c>
      <c r="I254" s="37" t="n">
        <v>0.4461538461538462</v>
      </c>
      <c r="J254" s="36" t="n">
        <v>9</v>
      </c>
      <c r="K254" s="37" t="n">
        <v>0.6428571428571429</v>
      </c>
      <c r="L254" s="36" t="n">
        <v>20</v>
      </c>
      <c r="M254" s="37" t="n">
        <v>0.392156862745098</v>
      </c>
      <c r="N254" s="36" t="n">
        <v>6</v>
      </c>
      <c r="O254" s="37" t="n">
        <v>0.6666666666666666</v>
      </c>
      <c r="P254" s="36" t="n">
        <v>6</v>
      </c>
      <c r="Q254" s="37" t="n">
        <v>0.6666666666666666</v>
      </c>
      <c r="R254" s="36" t="n">
        <v>65</v>
      </c>
      <c r="S254" s="37" t="n">
        <v>1</v>
      </c>
      <c r="T254" s="36" t="n">
        <v>17</v>
      </c>
      <c r="U254" s="37" t="n">
        <v>0.2615384615384616</v>
      </c>
      <c r="V254" s="38" t="n">
        <v>0</v>
      </c>
      <c r="W254" s="38" t="n">
        <v>31.84400000000002</v>
      </c>
      <c r="X254" s="38" t="n">
        <v>14.495</v>
      </c>
      <c r="Y254" s="38" t="n">
        <v>2.858</v>
      </c>
      <c r="Z254" s="38" t="n">
        <v>0</v>
      </c>
      <c r="AA254" s="36" t="n">
        <v>70</v>
      </c>
      <c r="AB254" s="37" t="n">
        <v>0.5737704918032787</v>
      </c>
      <c r="AC254" s="36" t="n">
        <v>24</v>
      </c>
      <c r="AD254" s="37" t="n">
        <v>0.5333333333333333</v>
      </c>
      <c r="AE254" s="36" t="n">
        <v>43</v>
      </c>
      <c r="AF254" s="37" t="n">
        <v>0.6323529411764706</v>
      </c>
      <c r="AG254" s="36" t="n">
        <v>20</v>
      </c>
      <c r="AH254" s="37" t="n">
        <v>0.8333333333333334</v>
      </c>
    </row>
    <row r="255">
      <c r="A255" s="53" t="n">
        <v>45816</v>
      </c>
      <c r="B255" t="inlineStr">
        <is>
          <t>R02_Sumbagsel</t>
        </is>
      </c>
      <c r="C255" t="inlineStr">
        <is>
          <t>NOP PALEMBANG</t>
        </is>
      </c>
      <c r="D255" s="38" t="n">
        <v>0.93</v>
      </c>
      <c r="E255" s="38" t="n">
        <v>1.168</v>
      </c>
      <c r="F255" s="36" t="n">
        <v>3.07</v>
      </c>
      <c r="G255" s="36" t="n">
        <v>4.423000000000002</v>
      </c>
      <c r="H255" s="36" t="n">
        <v>10</v>
      </c>
      <c r="I255" s="37" t="n">
        <v>0.1886792452830189</v>
      </c>
      <c r="J255" s="36" t="n">
        <v>1</v>
      </c>
      <c r="K255" s="37" t="n">
        <v>0.1666666666666667</v>
      </c>
      <c r="L255" s="36" t="n">
        <v>9</v>
      </c>
      <c r="M255" s="37" t="n">
        <v>0.1914893617021277</v>
      </c>
      <c r="N255" s="36" t="n">
        <v>1</v>
      </c>
      <c r="O255" s="37" t="n">
        <v>1</v>
      </c>
      <c r="P255" s="36" t="n">
        <v>1</v>
      </c>
      <c r="Q255" s="37" t="n">
        <v>1</v>
      </c>
      <c r="R255" s="36" t="n">
        <v>53</v>
      </c>
      <c r="S255" s="37" t="n">
        <v>1</v>
      </c>
      <c r="T255" s="36" t="n">
        <v>5</v>
      </c>
      <c r="U255" s="37" t="n">
        <v>0.09433962264150944</v>
      </c>
      <c r="V255" s="38" t="n">
        <v>0</v>
      </c>
      <c r="W255" s="38" t="n">
        <v>3.098</v>
      </c>
      <c r="X255" s="38" t="n">
        <v>7.94</v>
      </c>
      <c r="Y255" s="38" t="n">
        <v>15.655</v>
      </c>
      <c r="Z255" s="38" t="n">
        <v>0</v>
      </c>
      <c r="AA255" s="36" t="n">
        <v>22</v>
      </c>
      <c r="AB255" s="37" t="n">
        <v>0.1549295774647887</v>
      </c>
      <c r="AC255" s="36" t="n">
        <v>6</v>
      </c>
      <c r="AD255" s="37" t="n">
        <v>0.0759493670886076</v>
      </c>
      <c r="AE255" s="36" t="n">
        <v>16</v>
      </c>
      <c r="AF255" s="37" t="n">
        <v>0.3404255319148936</v>
      </c>
      <c r="AG255" s="36" t="n">
        <v>6</v>
      </c>
      <c r="AH255" s="37" t="n">
        <v>1</v>
      </c>
    </row>
    <row r="256">
      <c r="A256" s="53" t="n">
        <v>45816</v>
      </c>
      <c r="B256" t="inlineStr">
        <is>
          <t>R02_Sumbagsel</t>
        </is>
      </c>
      <c r="C256" t="inlineStr">
        <is>
          <t>NOP PANGKAL PINANG</t>
        </is>
      </c>
      <c r="D256" s="38" t="n">
        <v>0</v>
      </c>
      <c r="E256" s="38" t="n">
        <v>0.79</v>
      </c>
      <c r="F256" s="36" t="n">
        <v>5.984</v>
      </c>
      <c r="G256" s="36" t="n">
        <v>2.572</v>
      </c>
      <c r="H256" s="36" t="n">
        <v>5</v>
      </c>
      <c r="I256" s="37" t="n">
        <v>0.8333333333333334</v>
      </c>
      <c r="J256" s="36" t="n">
        <v>1</v>
      </c>
      <c r="K256" s="37" t="n">
        <v>1</v>
      </c>
      <c r="L256" s="36" t="n">
        <v>4</v>
      </c>
      <c r="M256" s="37" t="n">
        <v>0.8</v>
      </c>
      <c r="N256" s="36" t="n">
        <v>1</v>
      </c>
      <c r="O256" s="37" t="n">
        <v>1</v>
      </c>
      <c r="P256" s="36" t="n">
        <v>1</v>
      </c>
      <c r="Q256" s="37" t="n">
        <v>1</v>
      </c>
      <c r="R256" s="36" t="n">
        <v>6</v>
      </c>
      <c r="S256" s="37" t="n">
        <v>1</v>
      </c>
      <c r="T256" s="36" t="n">
        <v>5</v>
      </c>
      <c r="U256" s="37" t="n">
        <v>0.8333333333333334</v>
      </c>
      <c r="V256" s="38" t="n">
        <v>0</v>
      </c>
      <c r="W256" s="38" t="n">
        <v>6.19</v>
      </c>
      <c r="X256" s="38" t="n">
        <v>18.259</v>
      </c>
      <c r="Y256" s="38" t="n">
        <v>7.304</v>
      </c>
      <c r="Z256" s="38" t="n">
        <v>0</v>
      </c>
      <c r="AA256" s="36" t="n">
        <v>61</v>
      </c>
      <c r="AB256" s="37" t="n">
        <v>0.9384615384615385</v>
      </c>
      <c r="AC256" s="36" t="n">
        <v>22</v>
      </c>
      <c r="AD256" s="37" t="n">
        <v>0.8461538461538461</v>
      </c>
      <c r="AE256" s="36" t="n">
        <v>39</v>
      </c>
      <c r="AF256" s="37" t="n">
        <v>1</v>
      </c>
      <c r="AG256" s="36" t="n">
        <v>17</v>
      </c>
      <c r="AH256" s="37" t="n">
        <v>0.7727272727272727</v>
      </c>
    </row>
    <row r="257">
      <c r="A257" s="53" t="n">
        <v>45816</v>
      </c>
      <c r="B257" t="inlineStr">
        <is>
          <t>R05_Jawa Tengah DIY</t>
        </is>
      </c>
      <c r="C257" t="inlineStr">
        <is>
          <t>NOP MAGELANG</t>
        </is>
      </c>
      <c r="D257" s="38" t="n">
        <v>0</v>
      </c>
      <c r="E257" s="38" t="n">
        <v>0</v>
      </c>
      <c r="F257" s="36" t="n">
        <v>2.222</v>
      </c>
      <c r="G257" s="36" t="n">
        <v>1.424</v>
      </c>
      <c r="H257" s="36" t="n">
        <v>9</v>
      </c>
      <c r="I257" s="37" t="n">
        <v>0.8181818181818182</v>
      </c>
      <c r="J257" s="36" t="n">
        <v>0</v>
      </c>
      <c r="K257" s="37" t="n">
        <v>0</v>
      </c>
      <c r="L257" s="36" t="n">
        <v>9</v>
      </c>
      <c r="M257" s="37" t="n">
        <v>0.8181818181818182</v>
      </c>
      <c r="N257" s="36" t="n">
        <v>0</v>
      </c>
      <c r="O257" s="37" t="n">
        <v>0</v>
      </c>
      <c r="P257" s="36" t="n">
        <v>0</v>
      </c>
      <c r="Q257" s="37" t="n">
        <v>0</v>
      </c>
      <c r="R257" s="36" t="n">
        <v>11</v>
      </c>
      <c r="S257" s="37" t="n">
        <v>1</v>
      </c>
      <c r="T257" s="36" t="n">
        <v>7</v>
      </c>
      <c r="U257" s="37" t="n">
        <v>0.6363636363636364</v>
      </c>
      <c r="V257" s="38" t="n">
        <v>0</v>
      </c>
      <c r="W257" s="38" t="n">
        <v>2.146</v>
      </c>
      <c r="X257" s="38" t="n">
        <v>5.466</v>
      </c>
      <c r="Y257" s="38" t="n">
        <v>23.53</v>
      </c>
      <c r="Z257" s="38" t="n">
        <v>0</v>
      </c>
      <c r="AA257" s="36" t="n">
        <v>35</v>
      </c>
      <c r="AB257" s="37" t="n">
        <v>0.9210526315789473</v>
      </c>
      <c r="AC257" s="36" t="n">
        <v>3</v>
      </c>
      <c r="AD257" s="37" t="n">
        <v>1</v>
      </c>
      <c r="AE257" s="36" t="n">
        <v>32</v>
      </c>
      <c r="AF257" s="37" t="n">
        <v>0.9142857142857143</v>
      </c>
      <c r="AG257" s="36" t="n">
        <v>3</v>
      </c>
      <c r="AH257" s="37" t="n">
        <v>1</v>
      </c>
    </row>
    <row r="258">
      <c r="A258" s="53" t="n">
        <v>45816</v>
      </c>
      <c r="B258" t="inlineStr">
        <is>
          <t>R05_Jawa Tengah DIY</t>
        </is>
      </c>
      <c r="C258" t="inlineStr">
        <is>
          <t>NOP PEKALONGAN</t>
        </is>
      </c>
      <c r="D258" s="38" t="n">
        <v>1.49</v>
      </c>
      <c r="E258" s="38" t="n">
        <v>0</v>
      </c>
      <c r="F258" s="36" t="n">
        <v>1.005</v>
      </c>
      <c r="G258" s="36" t="n">
        <v>5.256</v>
      </c>
      <c r="H258" s="36" t="n">
        <v>4</v>
      </c>
      <c r="I258" s="37" t="n">
        <v>0.4</v>
      </c>
      <c r="J258" s="36" t="n">
        <v>1</v>
      </c>
      <c r="K258" s="37" t="n">
        <v>1</v>
      </c>
      <c r="L258" s="36" t="n">
        <v>3</v>
      </c>
      <c r="M258" s="37" t="n">
        <v>0.3333333333333333</v>
      </c>
      <c r="N258" s="36" t="n">
        <v>1</v>
      </c>
      <c r="O258" s="37" t="n">
        <v>1</v>
      </c>
      <c r="P258" s="36" t="n">
        <v>1</v>
      </c>
      <c r="Q258" s="37" t="n">
        <v>1</v>
      </c>
      <c r="R258" s="36" t="n">
        <v>9</v>
      </c>
      <c r="S258" s="37" t="n">
        <v>0.9</v>
      </c>
      <c r="T258" s="36" t="n">
        <v>9</v>
      </c>
      <c r="U258" s="37" t="n">
        <v>0.9</v>
      </c>
      <c r="V258" s="38" t="n">
        <v>0</v>
      </c>
      <c r="W258" s="38" t="n">
        <v>0.986</v>
      </c>
      <c r="X258" s="38" t="n">
        <v>6.815000000000001</v>
      </c>
      <c r="Y258" s="38" t="n">
        <v>21.45</v>
      </c>
      <c r="Z258" s="38" t="n">
        <v>0</v>
      </c>
      <c r="AA258" s="36" t="n">
        <v>26</v>
      </c>
      <c r="AB258" s="37" t="n">
        <v>0.9285714285714286</v>
      </c>
      <c r="AC258" s="36" t="n">
        <v>3</v>
      </c>
      <c r="AD258" s="37" t="n">
        <v>1</v>
      </c>
      <c r="AE258" s="36" t="n">
        <v>23</v>
      </c>
      <c r="AF258" s="37" t="n">
        <v>0.92</v>
      </c>
      <c r="AG258" s="36" t="n">
        <v>1</v>
      </c>
      <c r="AH258" s="37" t="n">
        <v>0.3333333333333333</v>
      </c>
    </row>
    <row r="259">
      <c r="A259" s="53" t="n">
        <v>45816</v>
      </c>
      <c r="B259" t="inlineStr">
        <is>
          <t>R05_Jawa Tengah DIY</t>
        </is>
      </c>
      <c r="C259" t="inlineStr">
        <is>
          <t>NOP PURWOKERTO</t>
        </is>
      </c>
      <c r="D259" s="38" t="n">
        <v>3.72</v>
      </c>
      <c r="E259" s="38" t="n">
        <v>0</v>
      </c>
      <c r="F259" s="36" t="n">
        <v>1.69</v>
      </c>
      <c r="G259" s="36" t="n">
        <v>4.327</v>
      </c>
      <c r="H259" s="36" t="n">
        <v>8</v>
      </c>
      <c r="I259" s="37" t="n">
        <v>0.8</v>
      </c>
      <c r="J259" s="36" t="n">
        <v>1</v>
      </c>
      <c r="K259" s="37" t="n">
        <v>1</v>
      </c>
      <c r="L259" s="36" t="n">
        <v>7</v>
      </c>
      <c r="M259" s="37" t="n">
        <v>0.7777777777777778</v>
      </c>
      <c r="N259" s="36" t="n">
        <v>1</v>
      </c>
      <c r="O259" s="37" t="n">
        <v>1</v>
      </c>
      <c r="P259" s="36" t="n">
        <v>1</v>
      </c>
      <c r="Q259" s="37" t="n">
        <v>1</v>
      </c>
      <c r="R259" s="36" t="n">
        <v>10</v>
      </c>
      <c r="S259" s="37" t="n">
        <v>1</v>
      </c>
      <c r="T259" s="36" t="n">
        <v>4</v>
      </c>
      <c r="U259" s="37" t="n">
        <v>0.4</v>
      </c>
      <c r="V259" s="38" t="n">
        <v>0</v>
      </c>
      <c r="W259" s="38" t="n">
        <v>5.036</v>
      </c>
      <c r="X259" s="38" t="n">
        <v>3.655</v>
      </c>
      <c r="Y259" s="38" t="n">
        <v>21.66</v>
      </c>
      <c r="Z259" s="38" t="n">
        <v>0</v>
      </c>
      <c r="AA259" s="36" t="n">
        <v>12</v>
      </c>
      <c r="AB259" s="37" t="n">
        <v>0.8</v>
      </c>
      <c r="AC259" s="36" t="n">
        <v>3</v>
      </c>
      <c r="AD259" s="37" t="n">
        <v>1</v>
      </c>
      <c r="AE259" s="36" t="n">
        <v>9</v>
      </c>
      <c r="AF259" s="37" t="n">
        <v>0.75</v>
      </c>
      <c r="AG259" s="36" t="n">
        <v>3</v>
      </c>
      <c r="AH259" s="37" t="n">
        <v>1</v>
      </c>
    </row>
    <row r="260">
      <c r="A260" s="53" t="n">
        <v>45816</v>
      </c>
      <c r="B260" t="inlineStr">
        <is>
          <t>R05_Jawa Tengah DIY</t>
        </is>
      </c>
      <c r="C260" t="inlineStr">
        <is>
          <t>NOP SEMARANG</t>
        </is>
      </c>
      <c r="D260" s="38" t="n">
        <v>1.66</v>
      </c>
      <c r="E260" s="38" t="n">
        <v>0</v>
      </c>
      <c r="F260" s="36" t="n">
        <v>1.46</v>
      </c>
      <c r="G260" s="36" t="n">
        <v>1.64</v>
      </c>
      <c r="H260" s="36" t="n">
        <v>11</v>
      </c>
      <c r="I260" s="37" t="n">
        <v>0.5238095238095238</v>
      </c>
      <c r="J260" s="36" t="n">
        <v>1</v>
      </c>
      <c r="K260" s="37" t="n">
        <v>1</v>
      </c>
      <c r="L260" s="36" t="n">
        <v>10</v>
      </c>
      <c r="M260" s="37" t="n">
        <v>0.5</v>
      </c>
      <c r="N260" s="36" t="n">
        <v>1</v>
      </c>
      <c r="O260" s="37" t="n">
        <v>1</v>
      </c>
      <c r="P260" s="36" t="n">
        <v>1</v>
      </c>
      <c r="Q260" s="37" t="n">
        <v>1</v>
      </c>
      <c r="R260" s="36" t="n">
        <v>21</v>
      </c>
      <c r="S260" s="37" t="n">
        <v>1</v>
      </c>
      <c r="T260" s="36" t="n">
        <v>7</v>
      </c>
      <c r="U260" s="37" t="n">
        <v>0.3333333333333333</v>
      </c>
      <c r="V260" s="38" t="n">
        <v>0</v>
      </c>
      <c r="W260" s="38" t="n">
        <v>3.454</v>
      </c>
      <c r="X260" s="38" t="n">
        <v>3.948</v>
      </c>
      <c r="Y260" s="38" t="n">
        <v>31.094</v>
      </c>
      <c r="Z260" s="38" t="n">
        <v>0</v>
      </c>
      <c r="AA260" s="36" t="n">
        <v>31</v>
      </c>
      <c r="AB260" s="37" t="n">
        <v>0.9117647058823529</v>
      </c>
      <c r="AC260" s="36" t="n">
        <v>14</v>
      </c>
      <c r="AD260" s="37" t="n">
        <v>0.8235294117647058</v>
      </c>
      <c r="AE260" s="36" t="n">
        <v>17</v>
      </c>
      <c r="AF260" s="37" t="n">
        <v>1</v>
      </c>
      <c r="AG260" s="36" t="n">
        <v>11</v>
      </c>
      <c r="AH260" s="37" t="n">
        <v>0.7857142857142857</v>
      </c>
    </row>
    <row r="261">
      <c r="A261" s="53" t="n">
        <v>45816</v>
      </c>
      <c r="B261" t="inlineStr">
        <is>
          <t>R05_Jawa Tengah DIY</t>
        </is>
      </c>
      <c r="C261" t="inlineStr">
        <is>
          <t>NOP SURAKARTA</t>
        </is>
      </c>
      <c r="D261" s="38" t="n">
        <v>0.6</v>
      </c>
      <c r="E261" s="38" t="n">
        <v>0</v>
      </c>
      <c r="F261" s="36" t="n">
        <v>1.101</v>
      </c>
      <c r="G261" s="36" t="n">
        <v>2.446</v>
      </c>
      <c r="H261" s="36" t="n">
        <v>3</v>
      </c>
      <c r="I261" s="37" t="n">
        <v>0.2727272727272727</v>
      </c>
      <c r="J261" s="36" t="n">
        <v>0</v>
      </c>
      <c r="K261" s="37" t="n">
        <v>0</v>
      </c>
      <c r="L261" s="36" t="n">
        <v>3</v>
      </c>
      <c r="M261" s="37" t="n">
        <v>0.3333333333333333</v>
      </c>
      <c r="N261" s="36" t="n">
        <v>0</v>
      </c>
      <c r="O261" s="37" t="n">
        <v>0</v>
      </c>
      <c r="P261" s="36" t="n">
        <v>0</v>
      </c>
      <c r="Q261" s="37" t="n">
        <v>0</v>
      </c>
      <c r="R261" s="36" t="n">
        <v>9</v>
      </c>
      <c r="S261" s="37" t="n">
        <v>0.8181818181818182</v>
      </c>
      <c r="T261" s="36" t="n">
        <v>1</v>
      </c>
      <c r="U261" s="37" t="n">
        <v>0.09090909090909091</v>
      </c>
      <c r="V261" s="38" t="n">
        <v>0</v>
      </c>
      <c r="W261" s="38" t="n">
        <v>9.582000000000006</v>
      </c>
      <c r="X261" s="38" t="n">
        <v>2.824000000000001</v>
      </c>
      <c r="Y261" s="38" t="n">
        <v>76.36200000000002</v>
      </c>
      <c r="Z261" s="38" t="n">
        <v>0</v>
      </c>
      <c r="AA261" s="36" t="n">
        <v>21</v>
      </c>
      <c r="AB261" s="37" t="n">
        <v>0.7777777777777778</v>
      </c>
      <c r="AC261" s="36" t="n">
        <v>5</v>
      </c>
      <c r="AD261" s="37" t="n">
        <v>0.7142857142857143</v>
      </c>
      <c r="AE261" s="36" t="n">
        <v>16</v>
      </c>
      <c r="AF261" s="37" t="n">
        <v>0.8</v>
      </c>
      <c r="AG261" s="36" t="n">
        <v>4</v>
      </c>
      <c r="AH261" s="37" t="n">
        <v>0.8</v>
      </c>
    </row>
    <row r="262">
      <c r="A262" s="53" t="n">
        <v>45816</v>
      </c>
      <c r="B262" t="inlineStr">
        <is>
          <t>R05_Jawa Tengah DIY</t>
        </is>
      </c>
      <c r="C262" t="inlineStr">
        <is>
          <t>NOP YOGYAKARTA</t>
        </is>
      </c>
      <c r="D262" s="38" t="n">
        <v>0</v>
      </c>
      <c r="E262" s="38" t="n">
        <v>0</v>
      </c>
      <c r="F262" s="36" t="n">
        <v>12.19</v>
      </c>
      <c r="G262" s="36" t="n">
        <v>1.62</v>
      </c>
      <c r="H262" s="36" t="n">
        <v>2</v>
      </c>
      <c r="I262" s="37" t="n">
        <v>1</v>
      </c>
      <c r="J262" s="36" t="n">
        <v>0</v>
      </c>
      <c r="K262" s="37" t="n">
        <v>0</v>
      </c>
      <c r="L262" s="36" t="n">
        <v>2</v>
      </c>
      <c r="M262" s="37" t="n">
        <v>1</v>
      </c>
      <c r="N262" s="36" t="n">
        <v>0</v>
      </c>
      <c r="O262" s="37" t="n">
        <v>0</v>
      </c>
      <c r="P262" s="36" t="n">
        <v>0</v>
      </c>
      <c r="Q262" s="37" t="n">
        <v>0</v>
      </c>
      <c r="R262" s="36" t="n">
        <v>2</v>
      </c>
      <c r="S262" s="37" t="n">
        <v>1</v>
      </c>
      <c r="T262" s="36" t="n">
        <v>2</v>
      </c>
      <c r="U262" s="37" t="n">
        <v>1</v>
      </c>
      <c r="V262" s="38" t="n">
        <v>0</v>
      </c>
      <c r="W262" s="38" t="n">
        <v>5.861</v>
      </c>
      <c r="X262" s="38" t="n">
        <v>6.825</v>
      </c>
      <c r="Y262" s="38" t="n">
        <v>20.25</v>
      </c>
      <c r="Z262" s="38" t="n">
        <v>0</v>
      </c>
      <c r="AA262" s="36" t="n">
        <v>35</v>
      </c>
      <c r="AB262" s="37" t="n">
        <v>0.9459459459459459</v>
      </c>
      <c r="AC262" s="36" t="n">
        <v>9</v>
      </c>
      <c r="AD262" s="37" t="n">
        <v>0.9</v>
      </c>
      <c r="AE262" s="36" t="n">
        <v>26</v>
      </c>
      <c r="AF262" s="37" t="n">
        <v>0.9629629629629629</v>
      </c>
      <c r="AG262" s="36" t="n">
        <v>8</v>
      </c>
      <c r="AH262" s="37" t="n">
        <v>0.8888888888888888</v>
      </c>
    </row>
    <row r="263">
      <c r="A263" s="53" t="n">
        <v>45816</v>
      </c>
      <c r="B263" t="inlineStr">
        <is>
          <t>R06_Jawa Timur</t>
        </is>
      </c>
      <c r="C263" t="inlineStr">
        <is>
          <t>NOP JEMBER</t>
        </is>
      </c>
      <c r="D263" s="38" t="n">
        <v>1.796</v>
      </c>
      <c r="E263" s="38" t="n">
        <v>0</v>
      </c>
      <c r="F263" s="36" t="n">
        <v>3.039</v>
      </c>
      <c r="G263" s="36" t="n">
        <v>1.553</v>
      </c>
      <c r="H263" s="36" t="n">
        <v>29</v>
      </c>
      <c r="I263" s="37" t="n">
        <v>0.8285714285714286</v>
      </c>
      <c r="J263" s="36" t="n">
        <v>3</v>
      </c>
      <c r="K263" s="37" t="n">
        <v>1</v>
      </c>
      <c r="L263" s="36" t="n">
        <v>26</v>
      </c>
      <c r="M263" s="37" t="n">
        <v>0.8125</v>
      </c>
      <c r="N263" s="36" t="n">
        <v>3</v>
      </c>
      <c r="O263" s="37" t="n">
        <v>1</v>
      </c>
      <c r="P263" s="36" t="n">
        <v>3</v>
      </c>
      <c r="Q263" s="37" t="n">
        <v>1</v>
      </c>
      <c r="R263" s="36" t="n">
        <v>35</v>
      </c>
      <c r="S263" s="37" t="n">
        <v>1</v>
      </c>
      <c r="T263" s="36" t="n">
        <v>16</v>
      </c>
      <c r="U263" s="37" t="n">
        <v>0.4571428571428571</v>
      </c>
      <c r="V263" s="38" t="n">
        <v>0</v>
      </c>
      <c r="W263" s="38" t="n">
        <v>1.826</v>
      </c>
      <c r="X263" s="38" t="n">
        <v>4.644</v>
      </c>
      <c r="Y263" s="38" t="n">
        <v>40.402</v>
      </c>
      <c r="Z263" s="38" t="n">
        <v>0</v>
      </c>
      <c r="AA263" s="36" t="n">
        <v>24</v>
      </c>
      <c r="AB263" s="37" t="n">
        <v>0.9230769230769231</v>
      </c>
      <c r="AC263" s="36" t="n">
        <v>9</v>
      </c>
      <c r="AD263" s="37" t="n">
        <v>0.9</v>
      </c>
      <c r="AE263" s="36" t="n">
        <v>15</v>
      </c>
      <c r="AF263" s="37" t="n">
        <v>0.9375</v>
      </c>
      <c r="AG263" s="36" t="n">
        <v>8</v>
      </c>
      <c r="AH263" s="37" t="n">
        <v>0.8888888888888888</v>
      </c>
    </row>
    <row r="264">
      <c r="A264" s="53" t="n">
        <v>45816</v>
      </c>
      <c r="B264" t="inlineStr">
        <is>
          <t>R06_Jawa Timur</t>
        </is>
      </c>
      <c r="C264" t="inlineStr">
        <is>
          <t>NOP KEDIRI</t>
        </is>
      </c>
      <c r="D264" s="38" t="n">
        <v>0.66</v>
      </c>
      <c r="E264" s="38" t="n">
        <v>0</v>
      </c>
      <c r="F264" s="36" t="n">
        <v>1.909</v>
      </c>
      <c r="G264" s="36" t="n">
        <v>2.838</v>
      </c>
      <c r="H264" s="36" t="n">
        <v>7</v>
      </c>
      <c r="I264" s="37" t="n">
        <v>1</v>
      </c>
      <c r="J264" s="36" t="n">
        <v>1</v>
      </c>
      <c r="K264" s="37" t="n">
        <v>1</v>
      </c>
      <c r="L264" s="36" t="n">
        <v>6</v>
      </c>
      <c r="M264" s="37" t="n">
        <v>1</v>
      </c>
      <c r="N264" s="36" t="n">
        <v>1</v>
      </c>
      <c r="O264" s="37" t="n">
        <v>1</v>
      </c>
      <c r="P264" s="36" t="n">
        <v>1</v>
      </c>
      <c r="Q264" s="37" t="n">
        <v>1</v>
      </c>
      <c r="R264" s="36" t="n">
        <v>7</v>
      </c>
      <c r="S264" s="37" t="n">
        <v>1</v>
      </c>
      <c r="T264" s="36" t="n">
        <v>6</v>
      </c>
      <c r="U264" s="37" t="n">
        <v>0.8571428571428571</v>
      </c>
      <c r="V264" s="38" t="n">
        <v>0</v>
      </c>
      <c r="W264" s="38" t="n">
        <v>0</v>
      </c>
      <c r="X264" s="38" t="n">
        <v>3.166</v>
      </c>
      <c r="Y264" s="38" t="n">
        <v>0</v>
      </c>
      <c r="Z264" s="38" t="n">
        <v>0</v>
      </c>
      <c r="AA264" s="36" t="n">
        <v>6</v>
      </c>
      <c r="AB264" s="37" t="n">
        <v>0.8571428571428571</v>
      </c>
      <c r="AC264" s="36" t="n">
        <v>0</v>
      </c>
      <c r="AD264" s="37" t="n">
        <v>0</v>
      </c>
      <c r="AE264" s="36" t="n">
        <v>6</v>
      </c>
      <c r="AF264" s="37" t="n">
        <v>0.8571428571428571</v>
      </c>
      <c r="AG264" s="36" t="n">
        <v>0</v>
      </c>
      <c r="AH264" s="37" t="n">
        <v>0</v>
      </c>
    </row>
    <row r="265">
      <c r="A265" s="53" t="n">
        <v>45816</v>
      </c>
      <c r="B265" t="inlineStr">
        <is>
          <t>R06_Jawa Timur</t>
        </is>
      </c>
      <c r="C265" t="inlineStr">
        <is>
          <t>NOP LAMONGAN</t>
        </is>
      </c>
      <c r="D265" s="38" t="n">
        <v>0</v>
      </c>
      <c r="E265" s="38" t="n">
        <v>0</v>
      </c>
      <c r="F265" s="36" t="n">
        <v>1.817</v>
      </c>
      <c r="G265" s="36" t="n">
        <v>0.37</v>
      </c>
      <c r="H265" s="36" t="n">
        <v>3</v>
      </c>
      <c r="I265" s="37" t="n">
        <v>0.6</v>
      </c>
      <c r="J265" s="36" t="n">
        <v>0</v>
      </c>
      <c r="K265" s="37" t="n">
        <v>0</v>
      </c>
      <c r="L265" s="36" t="n">
        <v>3</v>
      </c>
      <c r="M265" s="37" t="n">
        <v>0.6</v>
      </c>
      <c r="N265" s="36" t="n">
        <v>0</v>
      </c>
      <c r="O265" s="37" t="n">
        <v>0</v>
      </c>
      <c r="P265" s="36" t="n">
        <v>0</v>
      </c>
      <c r="Q265" s="37" t="n">
        <v>0</v>
      </c>
      <c r="R265" s="36" t="n">
        <v>5</v>
      </c>
      <c r="S265" s="37" t="n">
        <v>1</v>
      </c>
      <c r="T265" s="36" t="n">
        <v>3</v>
      </c>
      <c r="U265" s="37" t="n">
        <v>0.6</v>
      </c>
      <c r="V265" s="38" t="n">
        <v>0</v>
      </c>
      <c r="W265" s="38" t="n">
        <v>1.982</v>
      </c>
      <c r="X265" s="38" t="n">
        <v>6.815</v>
      </c>
      <c r="Y265" s="38" t="n">
        <v>8.970000000000001</v>
      </c>
      <c r="Z265" s="38" t="n">
        <v>0</v>
      </c>
      <c r="AA265" s="36" t="n">
        <v>10</v>
      </c>
      <c r="AB265" s="37" t="n">
        <v>1</v>
      </c>
      <c r="AC265" s="36" t="n">
        <v>3</v>
      </c>
      <c r="AD265" s="37" t="n">
        <v>1</v>
      </c>
      <c r="AE265" s="36" t="n">
        <v>7</v>
      </c>
      <c r="AF265" s="37" t="n">
        <v>1</v>
      </c>
      <c r="AG265" s="36" t="n">
        <v>3</v>
      </c>
      <c r="AH265" s="37" t="n">
        <v>1</v>
      </c>
    </row>
    <row r="266">
      <c r="A266" s="53" t="n">
        <v>45816</v>
      </c>
      <c r="B266" t="inlineStr">
        <is>
          <t>R06_Jawa Timur</t>
        </is>
      </c>
      <c r="C266" t="inlineStr">
        <is>
          <t>NOP MADIUN</t>
        </is>
      </c>
      <c r="D266" s="38" t="n">
        <v>0</v>
      </c>
      <c r="E266" s="38" t="n">
        <v>0</v>
      </c>
      <c r="F266" s="36" t="n">
        <v>1.659</v>
      </c>
      <c r="G266" s="36" t="n">
        <v>2.189</v>
      </c>
      <c r="H266" s="36" t="n">
        <v>9</v>
      </c>
      <c r="I266" s="37" t="n">
        <v>0.5</v>
      </c>
      <c r="J266" s="36" t="n">
        <v>0</v>
      </c>
      <c r="K266" s="37" t="n">
        <v>0</v>
      </c>
      <c r="L266" s="36" t="n">
        <v>9</v>
      </c>
      <c r="M266" s="37" t="n">
        <v>0.5</v>
      </c>
      <c r="N266" s="36" t="n">
        <v>0</v>
      </c>
      <c r="O266" s="37" t="n">
        <v>0</v>
      </c>
      <c r="P266" s="36" t="n">
        <v>0</v>
      </c>
      <c r="Q266" s="37" t="n">
        <v>0</v>
      </c>
      <c r="R266" s="36" t="n">
        <v>18</v>
      </c>
      <c r="S266" s="37" t="n">
        <v>1</v>
      </c>
      <c r="T266" s="36" t="n">
        <v>7</v>
      </c>
      <c r="U266" s="37" t="n">
        <v>0.3888888888888889</v>
      </c>
      <c r="V266" s="38" t="n">
        <v>0</v>
      </c>
      <c r="W266" s="38" t="n">
        <v>3.07</v>
      </c>
      <c r="X266" s="38" t="n">
        <v>3.22</v>
      </c>
      <c r="Y266" s="38" t="n">
        <v>24.72</v>
      </c>
      <c r="Z266" s="38" t="n">
        <v>0</v>
      </c>
      <c r="AA266" s="36" t="n">
        <v>13</v>
      </c>
      <c r="AB266" s="37" t="n">
        <v>0.8125</v>
      </c>
      <c r="AC266" s="36" t="n">
        <v>4</v>
      </c>
      <c r="AD266" s="37" t="n">
        <v>1</v>
      </c>
      <c r="AE266" s="36" t="n">
        <v>9</v>
      </c>
      <c r="AF266" s="37" t="n">
        <v>0.75</v>
      </c>
      <c r="AG266" s="36" t="n">
        <v>3</v>
      </c>
      <c r="AH266" s="37" t="n">
        <v>0.75</v>
      </c>
    </row>
    <row r="267">
      <c r="A267" s="53" t="n">
        <v>45816</v>
      </c>
      <c r="B267" t="inlineStr">
        <is>
          <t>R06_Jawa Timur</t>
        </is>
      </c>
      <c r="C267" t="inlineStr">
        <is>
          <t>NOP MALANG</t>
        </is>
      </c>
      <c r="D267" s="38" t="n">
        <v>0</v>
      </c>
      <c r="E267" s="38" t="n">
        <v>0</v>
      </c>
      <c r="F267" s="36" t="n">
        <v>2.722</v>
      </c>
      <c r="G267" s="36" t="n">
        <v>2.882000000000001</v>
      </c>
      <c r="H267" s="36" t="n">
        <v>9</v>
      </c>
      <c r="I267" s="37" t="n">
        <v>1</v>
      </c>
      <c r="J267" s="36" t="n">
        <v>0</v>
      </c>
      <c r="K267" s="37" t="n">
        <v>0</v>
      </c>
      <c r="L267" s="36" t="n">
        <v>9</v>
      </c>
      <c r="M267" s="37" t="n">
        <v>1</v>
      </c>
      <c r="N267" s="36" t="n">
        <v>0</v>
      </c>
      <c r="O267" s="37" t="n">
        <v>0</v>
      </c>
      <c r="P267" s="36" t="n">
        <v>0</v>
      </c>
      <c r="Q267" s="37" t="n">
        <v>0</v>
      </c>
      <c r="R267" s="36" t="n">
        <v>9</v>
      </c>
      <c r="S267" s="37" t="n">
        <v>1</v>
      </c>
      <c r="T267" s="36" t="n">
        <v>7</v>
      </c>
      <c r="U267" s="37" t="n">
        <v>0.7777777777777778</v>
      </c>
      <c r="V267" s="38" t="n">
        <v>0</v>
      </c>
      <c r="W267" s="38" t="n">
        <v>3.769</v>
      </c>
      <c r="X267" s="38" t="n">
        <v>99.57600000000002</v>
      </c>
      <c r="Y267" s="38" t="n">
        <v>27.025</v>
      </c>
      <c r="Z267" s="38" t="n">
        <v>0</v>
      </c>
      <c r="AA267" s="36" t="n">
        <v>14</v>
      </c>
      <c r="AB267" s="37" t="n">
        <v>0.9333333333333333</v>
      </c>
      <c r="AC267" s="36" t="n">
        <v>8</v>
      </c>
      <c r="AD267" s="37" t="n">
        <v>1</v>
      </c>
      <c r="AE267" s="36" t="n">
        <v>6</v>
      </c>
      <c r="AF267" s="37" t="n">
        <v>0.8571428571428571</v>
      </c>
      <c r="AG267" s="36" t="n">
        <v>6</v>
      </c>
      <c r="AH267" s="37" t="n">
        <v>0.75</v>
      </c>
    </row>
    <row r="268">
      <c r="A268" s="53" t="n">
        <v>45816</v>
      </c>
      <c r="B268" t="inlineStr">
        <is>
          <t>R06_Jawa Timur</t>
        </is>
      </c>
      <c r="C268" t="inlineStr">
        <is>
          <t>NOP SIDOARJO</t>
        </is>
      </c>
      <c r="D268" s="38" t="n">
        <v>0.38</v>
      </c>
      <c r="E268" s="38" t="n">
        <v>0</v>
      </c>
      <c r="F268" s="36" t="n">
        <v>1.73</v>
      </c>
      <c r="G268" s="36" t="n">
        <v>18.85800000000001</v>
      </c>
      <c r="H268" s="36" t="n">
        <v>10</v>
      </c>
      <c r="I268" s="37" t="n">
        <v>0.625</v>
      </c>
      <c r="J268" s="36" t="n">
        <v>1</v>
      </c>
      <c r="K268" s="37" t="n">
        <v>1</v>
      </c>
      <c r="L268" s="36" t="n">
        <v>9</v>
      </c>
      <c r="M268" s="37" t="n">
        <v>0.6</v>
      </c>
      <c r="N268" s="36" t="n">
        <v>1</v>
      </c>
      <c r="O268" s="37" t="n">
        <v>1</v>
      </c>
      <c r="P268" s="36" t="n">
        <v>1</v>
      </c>
      <c r="Q268" s="37" t="n">
        <v>1</v>
      </c>
      <c r="R268" s="36" t="n">
        <v>15</v>
      </c>
      <c r="S268" s="37" t="n">
        <v>0.9375</v>
      </c>
      <c r="T268" s="36" t="n">
        <v>7</v>
      </c>
      <c r="U268" s="37" t="n">
        <v>0.4375</v>
      </c>
      <c r="V268" s="38" t="n">
        <v>0.01</v>
      </c>
      <c r="W268" s="38" t="n">
        <v>2.739</v>
      </c>
      <c r="X268" s="38" t="n">
        <v>7.99</v>
      </c>
      <c r="Y268" s="38" t="n">
        <v>3</v>
      </c>
      <c r="Z268" s="38" t="n">
        <v>0</v>
      </c>
      <c r="AA268" s="36" t="n">
        <v>14</v>
      </c>
      <c r="AB268" s="37" t="n">
        <v>0.9333333333333333</v>
      </c>
      <c r="AC268" s="36" t="n">
        <v>2</v>
      </c>
      <c r="AD268" s="37" t="n">
        <v>0.6666666666666666</v>
      </c>
      <c r="AE268" s="36" t="n">
        <v>12</v>
      </c>
      <c r="AF268" s="37" t="n">
        <v>1</v>
      </c>
      <c r="AG268" s="36" t="n">
        <v>1</v>
      </c>
      <c r="AH268" s="37" t="n">
        <v>0.5</v>
      </c>
    </row>
    <row r="269">
      <c r="A269" s="53" t="n">
        <v>45816</v>
      </c>
      <c r="B269" t="inlineStr">
        <is>
          <t>R06_Jawa Timur</t>
        </is>
      </c>
      <c r="C269" t="inlineStr">
        <is>
          <t>NOP SURABAYA</t>
        </is>
      </c>
      <c r="D269" s="38" t="n">
        <v>3.508</v>
      </c>
      <c r="E269" s="38" t="n">
        <v>0</v>
      </c>
      <c r="F269" s="36" t="n">
        <v>0</v>
      </c>
      <c r="G269" s="36" t="n">
        <v>5.822999999999999</v>
      </c>
      <c r="H269" s="36" t="n">
        <v>7</v>
      </c>
      <c r="I269" s="37" t="n">
        <v>0.6363636363636364</v>
      </c>
      <c r="J269" s="36" t="n">
        <v>2</v>
      </c>
      <c r="K269" s="37" t="n">
        <v>0.6666666666666666</v>
      </c>
      <c r="L269" s="36" t="n">
        <v>5</v>
      </c>
      <c r="M269" s="37" t="n">
        <v>0.625</v>
      </c>
      <c r="N269" s="36" t="n">
        <v>2</v>
      </c>
      <c r="O269" s="37" t="n">
        <v>1</v>
      </c>
      <c r="P269" s="36" t="n">
        <v>2</v>
      </c>
      <c r="Q269" s="37" t="n">
        <v>1</v>
      </c>
      <c r="R269" s="36" t="n">
        <v>10</v>
      </c>
      <c r="S269" s="37" t="n">
        <v>0.9090909090909091</v>
      </c>
      <c r="T269" s="36" t="n">
        <v>5</v>
      </c>
      <c r="U269" s="37" t="n">
        <v>0.4545454545454545</v>
      </c>
      <c r="V269" s="38" t="n">
        <v>0</v>
      </c>
      <c r="W269" s="38" t="n">
        <v>1.658</v>
      </c>
      <c r="X269" s="38" t="n">
        <v>5.42</v>
      </c>
      <c r="Y269" s="38" t="n">
        <v>20.479</v>
      </c>
      <c r="Z269" s="38" t="n">
        <v>0</v>
      </c>
      <c r="AA269" s="36" t="n">
        <v>14</v>
      </c>
      <c r="AB269" s="37" t="n">
        <v>0.6363636363636364</v>
      </c>
      <c r="AC269" s="36" t="n">
        <v>3</v>
      </c>
      <c r="AD269" s="37" t="n">
        <v>0.4285714285714285</v>
      </c>
      <c r="AE269" s="36" t="n">
        <v>11</v>
      </c>
      <c r="AF269" s="37" t="n">
        <v>0.7333333333333333</v>
      </c>
      <c r="AG269" s="36" t="n">
        <v>2</v>
      </c>
      <c r="AH269" s="37" t="n">
        <v>0.6666666666666666</v>
      </c>
    </row>
    <row r="270">
      <c r="A270" s="53" t="n">
        <v>45816</v>
      </c>
      <c r="B270" t="inlineStr">
        <is>
          <t>R07_Bali Nusra</t>
        </is>
      </c>
      <c r="C270" t="inlineStr">
        <is>
          <t>NOP DENPASAR</t>
        </is>
      </c>
      <c r="D270" s="38" t="n">
        <v>0</v>
      </c>
      <c r="E270" s="38" t="n">
        <v>7.467000000000001</v>
      </c>
      <c r="F270" s="36" t="n">
        <v>1.493</v>
      </c>
      <c r="G270" s="36" t="n">
        <v>5.958</v>
      </c>
      <c r="H270" s="36" t="n">
        <v>10</v>
      </c>
      <c r="I270" s="37" t="n">
        <v>0.7692307692307693</v>
      </c>
      <c r="J270" s="36" t="n">
        <v>0</v>
      </c>
      <c r="K270" s="37" t="n">
        <v>0</v>
      </c>
      <c r="L270" s="36" t="n">
        <v>10</v>
      </c>
      <c r="M270" s="37" t="n">
        <v>0.9090909090909091</v>
      </c>
      <c r="N270" s="36" t="n">
        <v>0</v>
      </c>
      <c r="O270" s="37" t="n">
        <v>0</v>
      </c>
      <c r="P270" s="36" t="n">
        <v>0</v>
      </c>
      <c r="Q270" s="37" t="n">
        <v>0</v>
      </c>
      <c r="R270" s="36" t="n">
        <v>13</v>
      </c>
      <c r="S270" s="37" t="n">
        <v>1</v>
      </c>
      <c r="T270" s="36" t="n">
        <v>13</v>
      </c>
      <c r="U270" s="37" t="n">
        <v>1</v>
      </c>
      <c r="V270" s="38" t="n">
        <v>0</v>
      </c>
      <c r="W270" s="38" t="n">
        <v>12.54</v>
      </c>
      <c r="X270" s="38" t="n">
        <v>10.264</v>
      </c>
      <c r="Y270" s="38" t="n">
        <v>44.104</v>
      </c>
      <c r="Z270" s="38" t="n">
        <v>0</v>
      </c>
      <c r="AA270" s="36" t="n">
        <v>16</v>
      </c>
      <c r="AB270" s="37" t="n">
        <v>0.8421052631578947</v>
      </c>
      <c r="AC270" s="36" t="n">
        <v>4</v>
      </c>
      <c r="AD270" s="37" t="n">
        <v>0.6666666666666666</v>
      </c>
      <c r="AE270" s="36" t="n">
        <v>12</v>
      </c>
      <c r="AF270" s="37" t="n">
        <v>0.9230769230769231</v>
      </c>
      <c r="AG270" s="36" t="n">
        <v>4</v>
      </c>
      <c r="AH270" s="37" t="n">
        <v>1</v>
      </c>
    </row>
    <row r="271">
      <c r="A271" s="53" t="n">
        <v>45816</v>
      </c>
      <c r="B271" t="inlineStr">
        <is>
          <t>R07_Bali Nusra</t>
        </is>
      </c>
      <c r="C271" t="inlineStr">
        <is>
          <t>NOP FLORES</t>
        </is>
      </c>
      <c r="D271" s="38" t="n">
        <v>0</v>
      </c>
      <c r="E271" s="38" t="n">
        <v>7.31</v>
      </c>
      <c r="F271" s="36" t="n">
        <v>4.54</v>
      </c>
      <c r="G271" s="36" t="n">
        <v>7.746000000000001</v>
      </c>
      <c r="H271" s="36" t="n">
        <v>10</v>
      </c>
      <c r="I271" s="37" t="n">
        <v>0.1063829787234043</v>
      </c>
      <c r="J271" s="36" t="n">
        <v>3</v>
      </c>
      <c r="K271" s="37" t="n">
        <v>0.2727272727272727</v>
      </c>
      <c r="L271" s="36" t="n">
        <v>7</v>
      </c>
      <c r="M271" s="37" t="n">
        <v>0.08433734939759036</v>
      </c>
      <c r="N271" s="36" t="n">
        <v>3</v>
      </c>
      <c r="O271" s="37" t="n">
        <v>1</v>
      </c>
      <c r="P271" s="36" t="n">
        <v>3</v>
      </c>
      <c r="Q271" s="37" t="n">
        <v>1</v>
      </c>
      <c r="R271" s="36" t="n">
        <v>94</v>
      </c>
      <c r="S271" s="37" t="n">
        <v>1</v>
      </c>
      <c r="T271" s="36" t="n">
        <v>8</v>
      </c>
      <c r="U271" s="37" t="n">
        <v>0.0851063829787234</v>
      </c>
      <c r="V271" s="38" t="n">
        <v>0</v>
      </c>
      <c r="W271" s="38" t="n">
        <v>19.7</v>
      </c>
      <c r="X271" s="38" t="n">
        <v>4.030000000000005</v>
      </c>
      <c r="Y271" s="38" t="n">
        <v>17.1</v>
      </c>
      <c r="Z271" s="38" t="n">
        <v>0</v>
      </c>
      <c r="AA271" s="36" t="n">
        <v>41</v>
      </c>
      <c r="AB271" s="37" t="n">
        <v>0.4659090909090909</v>
      </c>
      <c r="AC271" s="36" t="n">
        <v>32</v>
      </c>
      <c r="AD271" s="37" t="n">
        <v>0.5714285714285714</v>
      </c>
      <c r="AE271" s="36" t="n">
        <v>9</v>
      </c>
      <c r="AF271" s="37" t="n">
        <v>0.28125</v>
      </c>
      <c r="AG271" s="36" t="n">
        <v>31</v>
      </c>
      <c r="AH271" s="37" t="n">
        <v>0.96875</v>
      </c>
    </row>
    <row r="272">
      <c r="A272" s="53" t="n">
        <v>45816</v>
      </c>
      <c r="B272" t="inlineStr">
        <is>
          <t>R07_Bali Nusra</t>
        </is>
      </c>
      <c r="C272" t="inlineStr">
        <is>
          <t>NOP KUPANG</t>
        </is>
      </c>
      <c r="D272" s="38" t="n">
        <v>0</v>
      </c>
      <c r="E272" s="38" t="n">
        <v>0</v>
      </c>
      <c r="F272" s="36" t="n">
        <v>2.81</v>
      </c>
      <c r="G272" s="36" t="n">
        <v>5.700999999999995</v>
      </c>
      <c r="H272" s="36" t="n">
        <v>2</v>
      </c>
      <c r="I272" s="37" t="n">
        <v>0.09523809523809523</v>
      </c>
      <c r="J272" s="36" t="n">
        <v>0</v>
      </c>
      <c r="K272" s="37" t="n">
        <v>0</v>
      </c>
      <c r="L272" s="36" t="n">
        <v>2</v>
      </c>
      <c r="M272" s="37" t="n">
        <v>0.09523809523809523</v>
      </c>
      <c r="N272" s="36" t="n">
        <v>0</v>
      </c>
      <c r="O272" s="37" t="n">
        <v>0</v>
      </c>
      <c r="P272" s="36" t="n">
        <v>0</v>
      </c>
      <c r="Q272" s="37" t="n">
        <v>0</v>
      </c>
      <c r="R272" s="36" t="n">
        <v>21</v>
      </c>
      <c r="S272" s="37" t="n">
        <v>1</v>
      </c>
      <c r="T272" s="36" t="n">
        <v>2</v>
      </c>
      <c r="U272" s="37" t="n">
        <v>0.09523809523809523</v>
      </c>
      <c r="V272" s="38" t="n">
        <v>0</v>
      </c>
      <c r="W272" s="38" t="n">
        <v>5.438999999999998</v>
      </c>
      <c r="X272" s="38" t="n">
        <v>18.216</v>
      </c>
      <c r="Y272" s="38" t="n">
        <v>16.01300000000001</v>
      </c>
      <c r="Z272" s="38" t="n">
        <v>0</v>
      </c>
      <c r="AA272" s="36" t="n">
        <v>14</v>
      </c>
      <c r="AB272" s="37" t="n">
        <v>0.2745098039215687</v>
      </c>
      <c r="AC272" s="36" t="n">
        <v>10</v>
      </c>
      <c r="AD272" s="37" t="n">
        <v>0.4166666666666667</v>
      </c>
      <c r="AE272" s="36" t="n">
        <v>4</v>
      </c>
      <c r="AF272" s="37" t="n">
        <v>0.1481481481481481</v>
      </c>
      <c r="AG272" s="36" t="n">
        <v>4</v>
      </c>
      <c r="AH272" s="37" t="n">
        <v>0.4</v>
      </c>
    </row>
    <row r="273">
      <c r="A273" s="53" t="n">
        <v>45816</v>
      </c>
      <c r="B273" t="inlineStr">
        <is>
          <t>R07_Bali Nusra</t>
        </is>
      </c>
      <c r="C273" t="inlineStr">
        <is>
          <t>NOP MATARAM</t>
        </is>
      </c>
      <c r="D273" s="38" t="n">
        <v>0</v>
      </c>
      <c r="E273" s="38" t="n">
        <v>0</v>
      </c>
      <c r="F273" s="36" t="n">
        <v>1.899999999999999</v>
      </c>
      <c r="G273" s="36" t="n">
        <v>7.094</v>
      </c>
      <c r="H273" s="36" t="n">
        <v>13</v>
      </c>
      <c r="I273" s="37" t="n">
        <v>0.8666666666666667</v>
      </c>
      <c r="J273" s="36" t="n">
        <v>0</v>
      </c>
      <c r="K273" s="37" t="n">
        <v>0</v>
      </c>
      <c r="L273" s="36" t="n">
        <v>13</v>
      </c>
      <c r="M273" s="37" t="n">
        <v>0.8666666666666667</v>
      </c>
      <c r="N273" s="36" t="n">
        <v>0</v>
      </c>
      <c r="O273" s="37" t="n">
        <v>0</v>
      </c>
      <c r="P273" s="36" t="n">
        <v>0</v>
      </c>
      <c r="Q273" s="37" t="n">
        <v>0</v>
      </c>
      <c r="R273" s="36" t="n">
        <v>15</v>
      </c>
      <c r="S273" s="37" t="n">
        <v>1</v>
      </c>
      <c r="T273" s="36" t="n">
        <v>12</v>
      </c>
      <c r="U273" s="37" t="n">
        <v>0.8</v>
      </c>
      <c r="V273" s="38" t="n">
        <v>0</v>
      </c>
      <c r="W273" s="38" t="n">
        <v>15.60200000000001</v>
      </c>
      <c r="X273" s="38" t="n">
        <v>17.175</v>
      </c>
      <c r="Y273" s="38" t="n">
        <v>95.705</v>
      </c>
      <c r="Z273" s="38" t="n">
        <v>0</v>
      </c>
      <c r="AA273" s="36" t="n">
        <v>15</v>
      </c>
      <c r="AB273" s="37" t="n">
        <v>0.4054054054054054</v>
      </c>
      <c r="AC273" s="36" t="n">
        <v>8</v>
      </c>
      <c r="AD273" s="37" t="n">
        <v>0.32</v>
      </c>
      <c r="AE273" s="36" t="n">
        <v>7</v>
      </c>
      <c r="AF273" s="37" t="n">
        <v>0.5833333333333334</v>
      </c>
      <c r="AG273" s="36" t="n">
        <v>3</v>
      </c>
      <c r="AH273" s="37" t="n">
        <v>0.375</v>
      </c>
    </row>
    <row r="274">
      <c r="A274" s="53" t="n">
        <v>45817</v>
      </c>
      <c r="B274" t="inlineStr">
        <is>
          <t>R01_Sumbagut</t>
        </is>
      </c>
      <c r="C274" t="inlineStr">
        <is>
          <t>NOP ACEH</t>
        </is>
      </c>
      <c r="D274" s="38" t="n">
        <v>3</v>
      </c>
      <c r="E274" s="38" t="n">
        <v>1.948</v>
      </c>
      <c r="F274" s="36" t="n">
        <v>4.34</v>
      </c>
      <c r="G274" s="36" t="n">
        <v>8.386000000000001</v>
      </c>
      <c r="H274" s="36" t="n">
        <v>139</v>
      </c>
      <c r="I274" s="37" t="n">
        <v>0.8176470588235294</v>
      </c>
      <c r="J274" s="36" t="n">
        <v>32</v>
      </c>
      <c r="K274" s="37" t="n">
        <v>0.8</v>
      </c>
      <c r="L274" s="36" t="n">
        <v>107</v>
      </c>
      <c r="M274" s="37" t="n">
        <v>0.823076923076923</v>
      </c>
      <c r="N274" s="36" t="n">
        <v>17</v>
      </c>
      <c r="O274" s="37" t="n">
        <v>0.53125</v>
      </c>
      <c r="P274" s="36" t="n">
        <v>15</v>
      </c>
      <c r="Q274" s="37" t="n">
        <v>0.5172413793103449</v>
      </c>
      <c r="R274" s="36" t="n">
        <v>169</v>
      </c>
      <c r="S274" s="37" t="n">
        <v>0.9941176470588236</v>
      </c>
      <c r="T274" s="36" t="n">
        <v>57</v>
      </c>
      <c r="U274" s="37" t="n">
        <v>0.3352941176470588</v>
      </c>
      <c r="V274" s="38" t="n">
        <v>0.03</v>
      </c>
      <c r="W274" s="38" t="n">
        <v>4.836000000000017</v>
      </c>
      <c r="X274" s="38" t="n">
        <v>53.956</v>
      </c>
      <c r="Y274" s="38" t="n">
        <v>65.31200000000001</v>
      </c>
      <c r="Z274" s="38" t="n">
        <v>0</v>
      </c>
      <c r="AA274" s="36" t="n">
        <v>207</v>
      </c>
      <c r="AB274" s="37" t="n">
        <v>0.828</v>
      </c>
      <c r="AC274" s="36" t="n">
        <v>49</v>
      </c>
      <c r="AD274" s="37" t="n">
        <v>0.6049382716049383</v>
      </c>
      <c r="AE274" s="36" t="n">
        <v>156</v>
      </c>
      <c r="AF274" s="37" t="n">
        <v>0.9341317365269461</v>
      </c>
      <c r="AG274" s="36" t="n">
        <v>13</v>
      </c>
      <c r="AH274" s="37" t="n">
        <v>0.2653061224489796</v>
      </c>
    </row>
    <row r="275">
      <c r="A275" s="53" t="n">
        <v>45817</v>
      </c>
      <c r="B275" t="inlineStr">
        <is>
          <t>R01_Sumbagut</t>
        </is>
      </c>
      <c r="C275" t="inlineStr">
        <is>
          <t>NOP BINJAI</t>
        </is>
      </c>
      <c r="D275" s="38" t="n">
        <v>0</v>
      </c>
      <c r="E275" s="38" t="n">
        <v>1.37</v>
      </c>
      <c r="F275" s="36" t="n">
        <v>2.150000000000001</v>
      </c>
      <c r="G275" s="36" t="n">
        <v>3.282</v>
      </c>
      <c r="H275" s="36" t="n">
        <v>43</v>
      </c>
      <c r="I275" s="37" t="n">
        <v>0.5375</v>
      </c>
      <c r="J275" s="36" t="n">
        <v>4</v>
      </c>
      <c r="K275" s="37" t="n">
        <v>0.5714285714285714</v>
      </c>
      <c r="L275" s="36" t="n">
        <v>39</v>
      </c>
      <c r="M275" s="37" t="n">
        <v>0.5342465753424658</v>
      </c>
      <c r="N275" s="36" t="n">
        <v>1</v>
      </c>
      <c r="O275" s="37" t="n">
        <v>0.25</v>
      </c>
      <c r="P275" s="36" t="n">
        <v>1</v>
      </c>
      <c r="Q275" s="37" t="n">
        <v>0.25</v>
      </c>
      <c r="R275" s="36" t="n">
        <v>80</v>
      </c>
      <c r="S275" s="37" t="n">
        <v>1</v>
      </c>
      <c r="T275" s="36" t="n">
        <v>13</v>
      </c>
      <c r="U275" s="37" t="n">
        <v>0.1625</v>
      </c>
      <c r="V275" s="38" t="n">
        <v>0.02</v>
      </c>
      <c r="W275" s="38" t="n">
        <v>2.121</v>
      </c>
      <c r="X275" s="38" t="n">
        <v>37.63500000000001</v>
      </c>
      <c r="Y275" s="38" t="n">
        <v>62.82</v>
      </c>
      <c r="Z275" s="38" t="n">
        <v>0</v>
      </c>
      <c r="AA275" s="36" t="n">
        <v>91</v>
      </c>
      <c r="AB275" s="37" t="n">
        <v>0.7054263565891473</v>
      </c>
      <c r="AC275" s="36" t="n">
        <v>29</v>
      </c>
      <c r="AD275" s="37" t="n">
        <v>0.6444444444444445</v>
      </c>
      <c r="AE275" s="36" t="n">
        <v>57</v>
      </c>
      <c r="AF275" s="37" t="n">
        <v>0.7402597402597403</v>
      </c>
      <c r="AG275" s="36" t="n">
        <v>12</v>
      </c>
      <c r="AH275" s="37" t="n">
        <v>0.4137931034482759</v>
      </c>
    </row>
    <row r="276">
      <c r="A276" s="53" t="n">
        <v>45817</v>
      </c>
      <c r="B276" t="inlineStr">
        <is>
          <t>R01_Sumbagut</t>
        </is>
      </c>
      <c r="C276" t="inlineStr">
        <is>
          <t>NOP MEDAN</t>
        </is>
      </c>
      <c r="D276" s="38" t="n">
        <v>2.564</v>
      </c>
      <c r="E276" s="38" t="n">
        <v>2.909000000000001</v>
      </c>
      <c r="F276" s="36" t="n">
        <v>4.174</v>
      </c>
      <c r="G276" s="36" t="n">
        <v>2.736</v>
      </c>
      <c r="H276" s="36" t="n">
        <v>34</v>
      </c>
      <c r="I276" s="37" t="n">
        <v>0.5483870967741935</v>
      </c>
      <c r="J276" s="36" t="n">
        <v>16</v>
      </c>
      <c r="K276" s="37" t="n">
        <v>0.7619047619047619</v>
      </c>
      <c r="L276" s="36" t="n">
        <v>18</v>
      </c>
      <c r="M276" s="37" t="n">
        <v>0.4390243902439024</v>
      </c>
      <c r="N276" s="36" t="n">
        <v>12</v>
      </c>
      <c r="O276" s="37" t="n">
        <v>0.75</v>
      </c>
      <c r="P276" s="36" t="n">
        <v>12</v>
      </c>
      <c r="Q276" s="37" t="n">
        <v>0.75</v>
      </c>
      <c r="R276" s="36" t="n">
        <v>62</v>
      </c>
      <c r="S276" s="37" t="n">
        <v>1</v>
      </c>
      <c r="T276" s="36" t="n">
        <v>18</v>
      </c>
      <c r="U276" s="37" t="n">
        <v>0.2903225806451613</v>
      </c>
      <c r="V276" s="38" t="n">
        <v>0</v>
      </c>
      <c r="W276" s="38" t="n">
        <v>2.807</v>
      </c>
      <c r="X276" s="38" t="n">
        <v>13.932</v>
      </c>
      <c r="Y276" s="38" t="n">
        <v>18.56700000000001</v>
      </c>
      <c r="Z276" s="38" t="n">
        <v>0</v>
      </c>
      <c r="AA276" s="36" t="n">
        <v>23</v>
      </c>
      <c r="AB276" s="37" t="n">
        <v>0.3333333333333333</v>
      </c>
      <c r="AC276" s="36" t="n">
        <v>2</v>
      </c>
      <c r="AD276" s="37" t="n">
        <v>0.1428571428571428</v>
      </c>
      <c r="AE276" s="36" t="n">
        <v>21</v>
      </c>
      <c r="AF276" s="37" t="n">
        <v>0.3962264150943396</v>
      </c>
      <c r="AG276" s="36" t="n">
        <v>2</v>
      </c>
      <c r="AH276" s="37" t="n">
        <v>1</v>
      </c>
    </row>
    <row r="277">
      <c r="A277" s="53" t="n">
        <v>45817</v>
      </c>
      <c r="B277" t="inlineStr">
        <is>
          <t>R01_Sumbagut</t>
        </is>
      </c>
      <c r="C277" t="inlineStr">
        <is>
          <t>NOP PADANG SIDEMPUAN</t>
        </is>
      </c>
      <c r="D277" s="38" t="n">
        <v>0</v>
      </c>
      <c r="E277" s="38" t="n">
        <v>16.295</v>
      </c>
      <c r="F277" s="36" t="n">
        <v>12.97</v>
      </c>
      <c r="G277" s="36" t="n">
        <v>5.988000000000002</v>
      </c>
      <c r="H277" s="36" t="n">
        <v>45</v>
      </c>
      <c r="I277" s="37" t="n">
        <v>0.2922077922077922</v>
      </c>
      <c r="J277" s="36" t="n">
        <v>11</v>
      </c>
      <c r="K277" s="37" t="n">
        <v>0.6875</v>
      </c>
      <c r="L277" s="36" t="n">
        <v>34</v>
      </c>
      <c r="M277" s="37" t="n">
        <v>0.2463768115942029</v>
      </c>
      <c r="N277" s="36" t="n">
        <v>6</v>
      </c>
      <c r="O277" s="37" t="n">
        <v>0.5454545454545454</v>
      </c>
      <c r="P277" s="36" t="n">
        <v>6</v>
      </c>
      <c r="Q277" s="37" t="n">
        <v>0.5454545454545454</v>
      </c>
      <c r="R277" s="36" t="n">
        <v>151</v>
      </c>
      <c r="S277" s="37" t="n">
        <v>0.9805194805194806</v>
      </c>
      <c r="T277" s="36" t="n">
        <v>14</v>
      </c>
      <c r="U277" s="37" t="n">
        <v>0.09090909090909091</v>
      </c>
      <c r="V277" s="38" t="n">
        <v>0.02</v>
      </c>
      <c r="W277" s="38" t="n">
        <v>4.036000000000001</v>
      </c>
      <c r="X277" s="38" t="n">
        <v>20.256</v>
      </c>
      <c r="Y277" s="38" t="n">
        <v>25.255</v>
      </c>
      <c r="Z277" s="38" t="n">
        <v>0</v>
      </c>
      <c r="AA277" s="36" t="n">
        <v>180</v>
      </c>
      <c r="AB277" s="37" t="n">
        <v>0.7346938775510204</v>
      </c>
      <c r="AC277" s="36" t="n">
        <v>94</v>
      </c>
      <c r="AD277" s="37" t="n">
        <v>0.7014925373134329</v>
      </c>
      <c r="AE277" s="36" t="n">
        <v>84</v>
      </c>
      <c r="AF277" s="37" t="n">
        <v>0.7706422018348624</v>
      </c>
      <c r="AG277" s="36" t="n">
        <v>43</v>
      </c>
      <c r="AH277" s="37" t="n">
        <v>0.4574468085106383</v>
      </c>
    </row>
    <row r="278">
      <c r="A278" s="53" t="n">
        <v>45817</v>
      </c>
      <c r="B278" t="inlineStr">
        <is>
          <t>R01_Sumbagut</t>
        </is>
      </c>
      <c r="C278" t="inlineStr">
        <is>
          <t>NOP PEMATANG SIANTAR</t>
        </is>
      </c>
      <c r="D278" s="38" t="n">
        <v>0.52</v>
      </c>
      <c r="E278" s="38" t="n">
        <v>3.660000000000001</v>
      </c>
      <c r="F278" s="36" t="n">
        <v>2.824</v>
      </c>
      <c r="G278" s="36" t="n">
        <v>11.94400000000001</v>
      </c>
      <c r="H278" s="36" t="n">
        <v>57</v>
      </c>
      <c r="I278" s="37" t="n">
        <v>0.4285714285714285</v>
      </c>
      <c r="J278" s="36" t="n">
        <v>18</v>
      </c>
      <c r="K278" s="37" t="n">
        <v>0.6206896551724138</v>
      </c>
      <c r="L278" s="36" t="n">
        <v>39</v>
      </c>
      <c r="M278" s="37" t="n">
        <v>0.375</v>
      </c>
      <c r="N278" s="36" t="n">
        <v>8</v>
      </c>
      <c r="O278" s="37" t="n">
        <v>0.4444444444444444</v>
      </c>
      <c r="P278" s="36" t="n">
        <v>8</v>
      </c>
      <c r="Q278" s="37" t="n">
        <v>0.4444444444444444</v>
      </c>
      <c r="R278" s="36" t="n">
        <v>130</v>
      </c>
      <c r="S278" s="37" t="n">
        <v>0.9774436090225563</v>
      </c>
      <c r="T278" s="36" t="n">
        <v>30</v>
      </c>
      <c r="U278" s="37" t="n">
        <v>0.2255639097744361</v>
      </c>
      <c r="V278" s="38" t="n">
        <v>6.994</v>
      </c>
      <c r="W278" s="38" t="n">
        <v>3.622</v>
      </c>
      <c r="X278" s="38" t="n">
        <v>28.62600000000003</v>
      </c>
      <c r="Y278" s="38" t="n">
        <v>44.89999999999999</v>
      </c>
      <c r="Z278" s="38" t="n">
        <v>0</v>
      </c>
      <c r="AA278" s="36" t="n">
        <v>105</v>
      </c>
      <c r="AB278" s="37" t="n">
        <v>0.7342657342657343</v>
      </c>
      <c r="AC278" s="36" t="n">
        <v>53</v>
      </c>
      <c r="AD278" s="37" t="n">
        <v>0.828125</v>
      </c>
      <c r="AE278" s="36" t="n">
        <v>46</v>
      </c>
      <c r="AF278" s="37" t="n">
        <v>0.6764705882352942</v>
      </c>
      <c r="AG278" s="36" t="n">
        <v>27</v>
      </c>
      <c r="AH278" s="37" t="n">
        <v>0.5094339622641509</v>
      </c>
    </row>
    <row r="279">
      <c r="A279" s="53" t="n">
        <v>45817</v>
      </c>
      <c r="B279" t="inlineStr">
        <is>
          <t>R01_Sumbagut</t>
        </is>
      </c>
      <c r="C279" t="inlineStr">
        <is>
          <t>NOP RANTAU PRAPAT</t>
        </is>
      </c>
      <c r="D279" s="38" t="n">
        <v>0</v>
      </c>
      <c r="E279" s="38" t="n">
        <v>1.456000000000002</v>
      </c>
      <c r="F279" s="36" t="n">
        <v>1.92</v>
      </c>
      <c r="G279" s="36" t="n">
        <v>6.815</v>
      </c>
      <c r="H279" s="36" t="n">
        <v>65</v>
      </c>
      <c r="I279" s="37" t="n">
        <v>0.4814814814814815</v>
      </c>
      <c r="J279" s="36" t="n">
        <v>9</v>
      </c>
      <c r="K279" s="37" t="n">
        <v>0.45</v>
      </c>
      <c r="L279" s="36" t="n">
        <v>56</v>
      </c>
      <c r="M279" s="37" t="n">
        <v>0.4869565217391305</v>
      </c>
      <c r="N279" s="36" t="n">
        <v>7</v>
      </c>
      <c r="O279" s="37" t="n">
        <v>0.7777777777777778</v>
      </c>
      <c r="P279" s="36" t="n">
        <v>7</v>
      </c>
      <c r="Q279" s="37" t="n">
        <v>0.7777777777777778</v>
      </c>
      <c r="R279" s="36" t="n">
        <v>135</v>
      </c>
      <c r="S279" s="37" t="n">
        <v>1</v>
      </c>
      <c r="T279" s="36" t="n">
        <v>26</v>
      </c>
      <c r="U279" s="37" t="n">
        <v>0.1925925925925926</v>
      </c>
      <c r="V279" s="38" t="n">
        <v>0</v>
      </c>
      <c r="W279" s="38" t="n">
        <v>3.64</v>
      </c>
      <c r="X279" s="38" t="n">
        <v>22.488</v>
      </c>
      <c r="Y279" s="38" t="n">
        <v>61.834</v>
      </c>
      <c r="Z279" s="38" t="n">
        <v>0</v>
      </c>
      <c r="AA279" s="36" t="n">
        <v>70</v>
      </c>
      <c r="AB279" s="37" t="n">
        <v>0.2941176470588235</v>
      </c>
      <c r="AC279" s="36" t="n">
        <v>10</v>
      </c>
      <c r="AD279" s="37" t="n">
        <v>0.196078431372549</v>
      </c>
      <c r="AE279" s="36" t="n">
        <v>54</v>
      </c>
      <c r="AF279" s="37" t="n">
        <v>0.3050847457627119</v>
      </c>
      <c r="AG279" s="36" t="n">
        <v>0</v>
      </c>
      <c r="AH279" s="37" t="n">
        <v>0</v>
      </c>
    </row>
    <row r="280">
      <c r="A280" s="53" t="n">
        <v>45817</v>
      </c>
      <c r="B280" t="inlineStr">
        <is>
          <t>R10_Sumbagteng</t>
        </is>
      </c>
      <c r="C280" t="inlineStr">
        <is>
          <t>NOP BATAM</t>
        </is>
      </c>
      <c r="D280" s="38" t="n">
        <v>3.648</v>
      </c>
      <c r="E280" s="38" t="n">
        <v>8.333999999999998</v>
      </c>
      <c r="F280" s="36" t="n">
        <v>5.85</v>
      </c>
      <c r="G280" s="36" t="n">
        <v>12.08700000000001</v>
      </c>
      <c r="H280" s="36" t="n">
        <v>56</v>
      </c>
      <c r="I280" s="37" t="n">
        <v>0.5333333333333333</v>
      </c>
      <c r="J280" s="36" t="n">
        <v>14</v>
      </c>
      <c r="K280" s="37" t="n">
        <v>0.8235294117647058</v>
      </c>
      <c r="L280" s="36" t="n">
        <v>42</v>
      </c>
      <c r="M280" s="37" t="n">
        <v>0.4772727272727273</v>
      </c>
      <c r="N280" s="36" t="n">
        <v>7</v>
      </c>
      <c r="O280" s="37" t="n">
        <v>0.5</v>
      </c>
      <c r="P280" s="36" t="n">
        <v>7</v>
      </c>
      <c r="Q280" s="37" t="n">
        <v>0.5</v>
      </c>
      <c r="R280" s="36" t="n">
        <v>105</v>
      </c>
      <c r="S280" s="37" t="n">
        <v>1</v>
      </c>
      <c r="T280" s="36" t="n">
        <v>35</v>
      </c>
      <c r="U280" s="37" t="n">
        <v>0.3333333333333333</v>
      </c>
      <c r="V280" s="38" t="n">
        <v>0</v>
      </c>
      <c r="W280" s="38" t="n">
        <v>9.048</v>
      </c>
      <c r="X280" s="38" t="n">
        <v>53.21299999999999</v>
      </c>
      <c r="Y280" s="38" t="n">
        <v>71.37300000000002</v>
      </c>
      <c r="Z280" s="38" t="n">
        <v>0</v>
      </c>
      <c r="AA280" s="36" t="n">
        <v>93</v>
      </c>
      <c r="AB280" s="37" t="n">
        <v>0.3618677042801556</v>
      </c>
      <c r="AC280" s="36" t="n">
        <v>41</v>
      </c>
      <c r="AD280" s="37" t="n">
        <v>0.5616438356164384</v>
      </c>
      <c r="AE280" s="36" t="n">
        <v>50</v>
      </c>
      <c r="AF280" s="37" t="n">
        <v>0.2747252747252747</v>
      </c>
      <c r="AG280" s="36" t="n">
        <v>31</v>
      </c>
      <c r="AH280" s="37" t="n">
        <v>0.7560975609756098</v>
      </c>
    </row>
    <row r="281">
      <c r="A281" s="53" t="n">
        <v>45817</v>
      </c>
      <c r="B281" t="inlineStr">
        <is>
          <t>R10_Sumbagteng</t>
        </is>
      </c>
      <c r="C281" t="inlineStr">
        <is>
          <t>NOP BUKITTINGGI</t>
        </is>
      </c>
      <c r="D281" s="38" t="n">
        <v>1.19</v>
      </c>
      <c r="E281" s="38" t="n">
        <v>4.27</v>
      </c>
      <c r="F281" s="36" t="n">
        <v>1.836</v>
      </c>
      <c r="G281" s="36" t="n">
        <v>8.720000000000001</v>
      </c>
      <c r="H281" s="36" t="n">
        <v>83</v>
      </c>
      <c r="I281" s="37" t="n">
        <v>0.7217391304347827</v>
      </c>
      <c r="J281" s="36" t="n">
        <v>26</v>
      </c>
      <c r="K281" s="37" t="n">
        <v>0.9629629629629629</v>
      </c>
      <c r="L281" s="36" t="n">
        <v>57</v>
      </c>
      <c r="M281" s="37" t="n">
        <v>0.6477272727272727</v>
      </c>
      <c r="N281" s="36" t="n">
        <v>16</v>
      </c>
      <c r="O281" s="37" t="n">
        <v>0.6153846153846154</v>
      </c>
      <c r="P281" s="36" t="n">
        <v>16</v>
      </c>
      <c r="Q281" s="37" t="n">
        <v>0.7272727272727273</v>
      </c>
      <c r="R281" s="36" t="n">
        <v>101</v>
      </c>
      <c r="S281" s="37" t="n">
        <v>0.8782608695652174</v>
      </c>
      <c r="T281" s="36" t="n">
        <v>32</v>
      </c>
      <c r="U281" s="37" t="n">
        <v>0.2782608695652174</v>
      </c>
      <c r="V281" s="38" t="n">
        <v>0</v>
      </c>
      <c r="W281" s="38" t="n">
        <v>4.408000000000002</v>
      </c>
      <c r="X281" s="38" t="n">
        <v>24.805</v>
      </c>
      <c r="Y281" s="38" t="n">
        <v>86.75999999999998</v>
      </c>
      <c r="Z281" s="38" t="n">
        <v>0</v>
      </c>
      <c r="AA281" s="36" t="n">
        <v>64</v>
      </c>
      <c r="AB281" s="37" t="n">
        <v>0.5289256198347108</v>
      </c>
      <c r="AC281" s="36" t="n">
        <v>23</v>
      </c>
      <c r="AD281" s="37" t="n">
        <v>0.8214285714285714</v>
      </c>
      <c r="AE281" s="36" t="n">
        <v>39</v>
      </c>
      <c r="AF281" s="37" t="n">
        <v>0.4333333333333333</v>
      </c>
      <c r="AG281" s="36" t="n">
        <v>11</v>
      </c>
      <c r="AH281" s="37" t="n">
        <v>0.4782608695652174</v>
      </c>
    </row>
    <row r="282">
      <c r="A282" s="53" t="n">
        <v>45817</v>
      </c>
      <c r="B282" t="inlineStr">
        <is>
          <t>R10_Sumbagteng</t>
        </is>
      </c>
      <c r="C282" t="inlineStr">
        <is>
          <t>NOP DUMAI</t>
        </is>
      </c>
      <c r="D282" s="38" t="n">
        <v>4.62</v>
      </c>
      <c r="E282" s="38" t="n">
        <v>5</v>
      </c>
      <c r="F282" s="36" t="n">
        <v>5.409</v>
      </c>
      <c r="G282" s="36" t="n">
        <v>5.003000000000001</v>
      </c>
      <c r="H282" s="36" t="n">
        <v>203</v>
      </c>
      <c r="I282" s="37" t="n">
        <v>0.6744186046511628</v>
      </c>
      <c r="J282" s="36" t="n">
        <v>55</v>
      </c>
      <c r="K282" s="37" t="n">
        <v>0.7746478873239436</v>
      </c>
      <c r="L282" s="36" t="n">
        <v>148</v>
      </c>
      <c r="M282" s="37" t="n">
        <v>0.6434782608695652</v>
      </c>
      <c r="N282" s="36" t="n">
        <v>36</v>
      </c>
      <c r="O282" s="37" t="n">
        <v>0.6545454545454545</v>
      </c>
      <c r="P282" s="36" t="n">
        <v>36</v>
      </c>
      <c r="Q282" s="37" t="n">
        <v>0.6545454545454545</v>
      </c>
      <c r="R282" s="36" t="n">
        <v>300</v>
      </c>
      <c r="S282" s="37" t="n">
        <v>0.9966777408637874</v>
      </c>
      <c r="T282" s="36" t="n">
        <v>99</v>
      </c>
      <c r="U282" s="37" t="n">
        <v>0.3289036544850498</v>
      </c>
      <c r="V282" s="38" t="n">
        <v>0.3340000000000001</v>
      </c>
      <c r="W282" s="38" t="n">
        <v>6.494000000000011</v>
      </c>
      <c r="X282" s="38" t="n">
        <v>49.942</v>
      </c>
      <c r="Y282" s="38" t="n">
        <v>66.25</v>
      </c>
      <c r="Z282" s="38" t="n">
        <v>0</v>
      </c>
      <c r="AA282" s="36" t="n">
        <v>123</v>
      </c>
      <c r="AB282" s="37" t="n">
        <v>0.2650862068965517</v>
      </c>
      <c r="AC282" s="36" t="n">
        <v>60</v>
      </c>
      <c r="AD282" s="37" t="n">
        <v>0.3896103896103896</v>
      </c>
      <c r="AE282" s="36" t="n">
        <v>63</v>
      </c>
      <c r="AF282" s="37" t="n">
        <v>0.2058823529411765</v>
      </c>
      <c r="AG282" s="36" t="n">
        <v>56</v>
      </c>
      <c r="AH282" s="37" t="n">
        <v>0.9333333333333333</v>
      </c>
    </row>
    <row r="283">
      <c r="A283" s="53" t="n">
        <v>45817</v>
      </c>
      <c r="B283" t="inlineStr">
        <is>
          <t>R10_Sumbagteng</t>
        </is>
      </c>
      <c r="C283" t="inlineStr">
        <is>
          <t>NOP PADANG</t>
        </is>
      </c>
      <c r="D283" s="38" t="n">
        <v>0</v>
      </c>
      <c r="E283" s="38" t="n">
        <v>1.195</v>
      </c>
      <c r="F283" s="36" t="n">
        <v>3.048999999999999</v>
      </c>
      <c r="G283" s="36" t="n">
        <v>3.091000000000001</v>
      </c>
      <c r="H283" s="36" t="n">
        <v>44</v>
      </c>
      <c r="I283" s="37" t="n">
        <v>0.5789473684210527</v>
      </c>
      <c r="J283" s="36" t="n">
        <v>2</v>
      </c>
      <c r="K283" s="37" t="n">
        <v>0.3333333333333333</v>
      </c>
      <c r="L283" s="36" t="n">
        <v>42</v>
      </c>
      <c r="M283" s="37" t="n">
        <v>0.6</v>
      </c>
      <c r="N283" s="36" t="n">
        <v>1</v>
      </c>
      <c r="O283" s="37" t="n">
        <v>0.5</v>
      </c>
      <c r="P283" s="36" t="n">
        <v>1</v>
      </c>
      <c r="Q283" s="37" t="n">
        <v>0.5</v>
      </c>
      <c r="R283" s="36" t="n">
        <v>74</v>
      </c>
      <c r="S283" s="37" t="n">
        <v>0.9736842105263158</v>
      </c>
      <c r="T283" s="36" t="n">
        <v>21</v>
      </c>
      <c r="U283" s="37" t="n">
        <v>0.2763157894736842</v>
      </c>
      <c r="V283" s="38" t="n">
        <v>0.166</v>
      </c>
      <c r="W283" s="38" t="n">
        <v>4.322999999999999</v>
      </c>
      <c r="X283" s="38" t="n">
        <v>61.19500000000001</v>
      </c>
      <c r="Y283" s="38" t="n">
        <v>59.46</v>
      </c>
      <c r="Z283" s="38" t="n">
        <v>0</v>
      </c>
      <c r="AA283" s="36" t="n">
        <v>108</v>
      </c>
      <c r="AB283" s="37" t="n">
        <v>0.8</v>
      </c>
      <c r="AC283" s="36" t="n">
        <v>28</v>
      </c>
      <c r="AD283" s="37" t="n">
        <v>0.6363636363636364</v>
      </c>
      <c r="AE283" s="36" t="n">
        <v>78</v>
      </c>
      <c r="AF283" s="37" t="n">
        <v>0.8764044943820225</v>
      </c>
      <c r="AG283" s="36" t="n">
        <v>16</v>
      </c>
      <c r="AH283" s="37" t="n">
        <v>0.5714285714285714</v>
      </c>
    </row>
    <row r="284">
      <c r="A284" s="53" t="n">
        <v>45817</v>
      </c>
      <c r="B284" t="inlineStr">
        <is>
          <t>R10_Sumbagteng</t>
        </is>
      </c>
      <c r="C284" t="inlineStr">
        <is>
          <t>NOP PEKANBARU</t>
        </is>
      </c>
      <c r="D284" s="38" t="n">
        <v>1.822000000000001</v>
      </c>
      <c r="E284" s="38" t="n">
        <v>2.5</v>
      </c>
      <c r="F284" s="36" t="n">
        <v>3.387999999999999</v>
      </c>
      <c r="G284" s="36" t="n">
        <v>6.65</v>
      </c>
      <c r="H284" s="36" t="n">
        <v>90</v>
      </c>
      <c r="I284" s="37" t="n">
        <v>0.4433497536945813</v>
      </c>
      <c r="J284" s="36" t="n">
        <v>16</v>
      </c>
      <c r="K284" s="37" t="n">
        <v>0.3636363636363636</v>
      </c>
      <c r="L284" s="36" t="n">
        <v>74</v>
      </c>
      <c r="M284" s="37" t="n">
        <v>0.4654088050314465</v>
      </c>
      <c r="N284" s="36" t="n">
        <v>10</v>
      </c>
      <c r="O284" s="37" t="n">
        <v>0.625</v>
      </c>
      <c r="P284" s="36" t="n">
        <v>10</v>
      </c>
      <c r="Q284" s="37" t="n">
        <v>0.625</v>
      </c>
      <c r="R284" s="36" t="n">
        <v>200</v>
      </c>
      <c r="S284" s="37" t="n">
        <v>0.9852216748768473</v>
      </c>
      <c r="T284" s="36" t="n">
        <v>48</v>
      </c>
      <c r="U284" s="37" t="n">
        <v>0.2364532019704433</v>
      </c>
      <c r="V284" s="38" t="n">
        <v>1.442</v>
      </c>
      <c r="W284" s="38" t="n">
        <v>2.887000000000002</v>
      </c>
      <c r="X284" s="38" t="n">
        <v>26.972</v>
      </c>
      <c r="Y284" s="38" t="n">
        <v>59.64</v>
      </c>
      <c r="Z284" s="38" t="n">
        <v>0</v>
      </c>
      <c r="AA284" s="36" t="n">
        <v>129</v>
      </c>
      <c r="AB284" s="37" t="n">
        <v>0.3981481481481481</v>
      </c>
      <c r="AC284" s="36" t="n">
        <v>56</v>
      </c>
      <c r="AD284" s="37" t="n">
        <v>0.4869565217391305</v>
      </c>
      <c r="AE284" s="36" t="n">
        <v>71</v>
      </c>
      <c r="AF284" s="37" t="n">
        <v>0.3497536945812808</v>
      </c>
      <c r="AG284" s="36" t="n">
        <v>53</v>
      </c>
      <c r="AH284" s="37" t="n">
        <v>0.9464285714285714</v>
      </c>
    </row>
    <row r="285">
      <c r="A285" s="53" t="n">
        <v>45817</v>
      </c>
      <c r="B285" t="inlineStr">
        <is>
          <t>R02_Sumbagsel</t>
        </is>
      </c>
      <c r="C285" t="inlineStr">
        <is>
          <t>NOP BENGKULU</t>
        </is>
      </c>
      <c r="D285" s="38" t="n">
        <v>0</v>
      </c>
      <c r="E285" s="38" t="n">
        <v>6.37</v>
      </c>
      <c r="F285" s="36" t="n">
        <v>2.378</v>
      </c>
      <c r="G285" s="36" t="n">
        <v>6.47</v>
      </c>
      <c r="H285" s="36" t="n">
        <v>32</v>
      </c>
      <c r="I285" s="37" t="n">
        <v>0.64</v>
      </c>
      <c r="J285" s="36" t="n">
        <v>9</v>
      </c>
      <c r="K285" s="37" t="n">
        <v>0.75</v>
      </c>
      <c r="L285" s="36" t="n">
        <v>23</v>
      </c>
      <c r="M285" s="37" t="n">
        <v>0.6052631578947368</v>
      </c>
      <c r="N285" s="36" t="n">
        <v>6</v>
      </c>
      <c r="O285" s="37" t="n">
        <v>0.6666666666666666</v>
      </c>
      <c r="P285" s="36" t="n">
        <v>6</v>
      </c>
      <c r="Q285" s="37" t="n">
        <v>0.6666666666666666</v>
      </c>
      <c r="R285" s="36" t="n">
        <v>50</v>
      </c>
      <c r="S285" s="37" t="n">
        <v>1</v>
      </c>
      <c r="T285" s="36" t="n">
        <v>24</v>
      </c>
      <c r="U285" s="37" t="n">
        <v>0.48</v>
      </c>
      <c r="V285" s="38" t="n">
        <v>0</v>
      </c>
      <c r="W285" s="38" t="n">
        <v>6.89</v>
      </c>
      <c r="X285" s="38" t="n">
        <v>3.348</v>
      </c>
      <c r="Y285" s="38" t="n">
        <v>3.362</v>
      </c>
      <c r="Z285" s="38" t="n">
        <v>0</v>
      </c>
      <c r="AA285" s="36" t="n">
        <v>88</v>
      </c>
      <c r="AB285" s="37" t="n">
        <v>0.5866666666666667</v>
      </c>
      <c r="AC285" s="36" t="n">
        <v>40</v>
      </c>
      <c r="AD285" s="37" t="n">
        <v>0.4938271604938271</v>
      </c>
      <c r="AE285" s="36" t="n">
        <v>42</v>
      </c>
      <c r="AF285" s="37" t="n">
        <v>0.7241379310344828</v>
      </c>
      <c r="AG285" s="36" t="n">
        <v>34</v>
      </c>
      <c r="AH285" s="37" t="n">
        <v>0.85</v>
      </c>
    </row>
    <row r="286">
      <c r="A286" s="53" t="n">
        <v>45817</v>
      </c>
      <c r="B286" t="inlineStr">
        <is>
          <t>R02_Sumbagsel</t>
        </is>
      </c>
      <c r="C286" t="inlineStr">
        <is>
          <t>NOP JAMBI</t>
        </is>
      </c>
      <c r="D286" s="38" t="n">
        <v>4.962000000000001</v>
      </c>
      <c r="E286" s="38" t="n">
        <v>5.873999999999999</v>
      </c>
      <c r="F286" s="36" t="n">
        <v>4.593999999999999</v>
      </c>
      <c r="G286" s="36" t="n">
        <v>5.3</v>
      </c>
      <c r="H286" s="36" t="n">
        <v>40</v>
      </c>
      <c r="I286" s="37" t="n">
        <v>0.25</v>
      </c>
      <c r="J286" s="36" t="n">
        <v>12</v>
      </c>
      <c r="K286" s="37" t="n">
        <v>0.1935483870967742</v>
      </c>
      <c r="L286" s="36" t="n">
        <v>28</v>
      </c>
      <c r="M286" s="37" t="n">
        <v>0.2857142857142857</v>
      </c>
      <c r="N286" s="36" t="n">
        <v>4</v>
      </c>
      <c r="O286" s="37" t="n">
        <v>0.3333333333333333</v>
      </c>
      <c r="P286" s="36" t="n">
        <v>4</v>
      </c>
      <c r="Q286" s="37" t="n">
        <v>0.3333333333333333</v>
      </c>
      <c r="R286" s="36" t="n">
        <v>157</v>
      </c>
      <c r="S286" s="37" t="n">
        <v>0.98125</v>
      </c>
      <c r="T286" s="36" t="n">
        <v>19</v>
      </c>
      <c r="U286" s="37" t="n">
        <v>0.11875</v>
      </c>
      <c r="V286" s="38" t="n">
        <v>0</v>
      </c>
      <c r="W286" s="38" t="n">
        <v>3.278000000000003</v>
      </c>
      <c r="X286" s="38" t="n">
        <v>8.433999999999992</v>
      </c>
      <c r="Y286" s="38" t="n">
        <v>20.19</v>
      </c>
      <c r="Z286" s="38" t="n">
        <v>0</v>
      </c>
      <c r="AA286" s="36" t="n">
        <v>58</v>
      </c>
      <c r="AB286" s="37" t="n">
        <v>0.2140221402214022</v>
      </c>
      <c r="AC286" s="36" t="n">
        <v>28</v>
      </c>
      <c r="AD286" s="37" t="n">
        <v>0.1830065359477124</v>
      </c>
      <c r="AE286" s="36" t="n">
        <v>27</v>
      </c>
      <c r="AF286" s="37" t="n">
        <v>0.2755102040816326</v>
      </c>
      <c r="AG286" s="36" t="n">
        <v>21</v>
      </c>
      <c r="AH286" s="37" t="n">
        <v>0.75</v>
      </c>
    </row>
    <row r="287">
      <c r="A287" s="53" t="n">
        <v>45817</v>
      </c>
      <c r="B287" t="inlineStr">
        <is>
          <t>R02_Sumbagsel</t>
        </is>
      </c>
      <c r="C287" t="inlineStr">
        <is>
          <t>NOP LAMPUNG</t>
        </is>
      </c>
      <c r="D287" s="38" t="n">
        <v>0</v>
      </c>
      <c r="E287" s="38" t="n">
        <v>2.658</v>
      </c>
      <c r="F287" s="36" t="n">
        <v>1.16</v>
      </c>
      <c r="G287" s="36" t="n">
        <v>2.888000000000003</v>
      </c>
      <c r="H287" s="36" t="n">
        <v>24</v>
      </c>
      <c r="I287" s="37" t="n">
        <v>0.6857142857142857</v>
      </c>
      <c r="J287" s="36" t="n">
        <v>4</v>
      </c>
      <c r="K287" s="37" t="n">
        <v>0.8</v>
      </c>
      <c r="L287" s="36" t="n">
        <v>20</v>
      </c>
      <c r="M287" s="37" t="n">
        <v>0.6666666666666666</v>
      </c>
      <c r="N287" s="36" t="n">
        <v>4</v>
      </c>
      <c r="O287" s="37" t="n">
        <v>1</v>
      </c>
      <c r="P287" s="36" t="n">
        <v>4</v>
      </c>
      <c r="Q287" s="37" t="n">
        <v>1</v>
      </c>
      <c r="R287" s="36" t="n">
        <v>35</v>
      </c>
      <c r="S287" s="37" t="n">
        <v>1</v>
      </c>
      <c r="T287" s="36" t="n">
        <v>22</v>
      </c>
      <c r="U287" s="37" t="n">
        <v>0.6285714285714286</v>
      </c>
      <c r="V287" s="38" t="n">
        <v>0</v>
      </c>
      <c r="W287" s="38" t="n">
        <v>48.33399999999997</v>
      </c>
      <c r="X287" s="38" t="n">
        <v>2.243</v>
      </c>
      <c r="Y287" s="38" t="n">
        <v>28.095</v>
      </c>
      <c r="Z287" s="38" t="n">
        <v>0</v>
      </c>
      <c r="AA287" s="36" t="n">
        <v>85</v>
      </c>
      <c r="AB287" s="37" t="n">
        <v>0.9444444444444444</v>
      </c>
      <c r="AC287" s="36" t="n">
        <v>15</v>
      </c>
      <c r="AD287" s="37" t="n">
        <v>1</v>
      </c>
      <c r="AE287" s="36" t="n">
        <v>65</v>
      </c>
      <c r="AF287" s="37" t="n">
        <v>0.9285714285714286</v>
      </c>
      <c r="AG287" s="36" t="n">
        <v>15</v>
      </c>
      <c r="AH287" s="37" t="n">
        <v>1</v>
      </c>
    </row>
    <row r="288">
      <c r="A288" s="53" t="n">
        <v>45817</v>
      </c>
      <c r="B288" t="inlineStr">
        <is>
          <t>R02_Sumbagsel</t>
        </is>
      </c>
      <c r="C288" t="inlineStr">
        <is>
          <t>NOP MUARA ENIM</t>
        </is>
      </c>
      <c r="D288" s="38" t="n">
        <v>1.392</v>
      </c>
      <c r="E288" s="38" t="n">
        <v>8.524000000000003</v>
      </c>
      <c r="F288" s="36" t="n">
        <v>3.67</v>
      </c>
      <c r="G288" s="36" t="n">
        <v>5.572999999999999</v>
      </c>
      <c r="H288" s="36" t="n">
        <v>31</v>
      </c>
      <c r="I288" s="37" t="n">
        <v>0.4189189189189189</v>
      </c>
      <c r="J288" s="36" t="n">
        <v>7</v>
      </c>
      <c r="K288" s="37" t="n">
        <v>0.35</v>
      </c>
      <c r="L288" s="36" t="n">
        <v>24</v>
      </c>
      <c r="M288" s="37" t="n">
        <v>0.4444444444444444</v>
      </c>
      <c r="N288" s="36" t="n">
        <v>6</v>
      </c>
      <c r="O288" s="37" t="n">
        <v>0.8571428571428571</v>
      </c>
      <c r="P288" s="36" t="n">
        <v>6</v>
      </c>
      <c r="Q288" s="37" t="n">
        <v>0.8571428571428571</v>
      </c>
      <c r="R288" s="36" t="n">
        <v>74</v>
      </c>
      <c r="S288" s="37" t="n">
        <v>1</v>
      </c>
      <c r="T288" s="36" t="n">
        <v>20</v>
      </c>
      <c r="U288" s="37" t="n">
        <v>0.2702702702702703</v>
      </c>
      <c r="V288" s="38" t="n">
        <v>0</v>
      </c>
      <c r="W288" s="38" t="n">
        <v>22.20800000000001</v>
      </c>
      <c r="X288" s="38" t="n">
        <v>9.27</v>
      </c>
      <c r="Y288" s="38" t="n">
        <v>5.241000000000001</v>
      </c>
      <c r="Z288" s="38" t="n">
        <v>0</v>
      </c>
      <c r="AA288" s="36" t="n">
        <v>100</v>
      </c>
      <c r="AB288" s="37" t="n">
        <v>0.5780346820809249</v>
      </c>
      <c r="AC288" s="36" t="n">
        <v>28</v>
      </c>
      <c r="AD288" s="37" t="n">
        <v>0.4745762711864407</v>
      </c>
      <c r="AE288" s="36" t="n">
        <v>68</v>
      </c>
      <c r="AF288" s="37" t="n">
        <v>0.6732673267326733</v>
      </c>
      <c r="AG288" s="36" t="n">
        <v>19</v>
      </c>
      <c r="AH288" s="37" t="n">
        <v>0.6785714285714286</v>
      </c>
    </row>
    <row r="289">
      <c r="A289" s="53" t="n">
        <v>45817</v>
      </c>
      <c r="B289" t="inlineStr">
        <is>
          <t>R02_Sumbagsel</t>
        </is>
      </c>
      <c r="C289" t="inlineStr">
        <is>
          <t>NOP PALEMBANG</t>
        </is>
      </c>
      <c r="D289" s="38" t="n">
        <v>0</v>
      </c>
      <c r="E289" s="38" t="n">
        <v>0.745</v>
      </c>
      <c r="F289" s="36" t="n">
        <v>3.380000000000002</v>
      </c>
      <c r="G289" s="36" t="n">
        <v>4.859999999999999</v>
      </c>
      <c r="H289" s="36" t="n">
        <v>30</v>
      </c>
      <c r="I289" s="37" t="n">
        <v>0.3529411764705883</v>
      </c>
      <c r="J289" s="36" t="n">
        <v>0</v>
      </c>
      <c r="K289" s="37" t="n">
        <v>0</v>
      </c>
      <c r="L289" s="36" t="n">
        <v>30</v>
      </c>
      <c r="M289" s="37" t="n">
        <v>0.379746835443038</v>
      </c>
      <c r="N289" s="36" t="n">
        <v>0</v>
      </c>
      <c r="O289" s="37" t="n">
        <v>0</v>
      </c>
      <c r="P289" s="36" t="n">
        <v>0</v>
      </c>
      <c r="Q289" s="37" t="n">
        <v>0</v>
      </c>
      <c r="R289" s="36" t="n">
        <v>85</v>
      </c>
      <c r="S289" s="37" t="n">
        <v>1</v>
      </c>
      <c r="T289" s="36" t="n">
        <v>14</v>
      </c>
      <c r="U289" s="37" t="n">
        <v>0.1647058823529412</v>
      </c>
      <c r="V289" s="38" t="n">
        <v>0</v>
      </c>
      <c r="W289" s="38" t="n">
        <v>2.783999999999998</v>
      </c>
      <c r="X289" s="38" t="n">
        <v>9.73</v>
      </c>
      <c r="Y289" s="38" t="n">
        <v>10.57</v>
      </c>
      <c r="Z289" s="38" t="n">
        <v>0</v>
      </c>
      <c r="AA289" s="36" t="n">
        <v>26</v>
      </c>
      <c r="AB289" s="37" t="n">
        <v>0.1805555555555556</v>
      </c>
      <c r="AC289" s="36" t="n">
        <v>14</v>
      </c>
      <c r="AD289" s="37" t="n">
        <v>0.1686746987951807</v>
      </c>
      <c r="AE289" s="36" t="n">
        <v>12</v>
      </c>
      <c r="AF289" s="37" t="n">
        <v>0.2264150943396226</v>
      </c>
      <c r="AG289" s="36" t="n">
        <v>3</v>
      </c>
      <c r="AH289" s="37" t="n">
        <v>0.2142857142857143</v>
      </c>
    </row>
    <row r="290">
      <c r="A290" s="53" t="n">
        <v>45817</v>
      </c>
      <c r="B290" t="inlineStr">
        <is>
          <t>R02_Sumbagsel</t>
        </is>
      </c>
      <c r="C290" t="inlineStr">
        <is>
          <t>NOP PANGKAL PINANG</t>
        </is>
      </c>
      <c r="D290" s="38" t="n">
        <v>0</v>
      </c>
      <c r="E290" s="38" t="n">
        <v>0</v>
      </c>
      <c r="F290" s="36" t="n">
        <v>1.468</v>
      </c>
      <c r="G290" s="36" t="n">
        <v>4.698000000000001</v>
      </c>
      <c r="H290" s="36" t="n">
        <v>21</v>
      </c>
      <c r="I290" s="37" t="n">
        <v>0.875</v>
      </c>
      <c r="J290" s="36" t="n">
        <v>0</v>
      </c>
      <c r="K290" s="37" t="n">
        <v>0</v>
      </c>
      <c r="L290" s="36" t="n">
        <v>21</v>
      </c>
      <c r="M290" s="37" t="n">
        <v>0.875</v>
      </c>
      <c r="N290" s="36" t="n">
        <v>0</v>
      </c>
      <c r="O290" s="37" t="n">
        <v>0</v>
      </c>
      <c r="P290" s="36" t="n">
        <v>0</v>
      </c>
      <c r="Q290" s="37" t="n">
        <v>0</v>
      </c>
      <c r="R290" s="36" t="n">
        <v>24</v>
      </c>
      <c r="S290" s="37" t="n">
        <v>1</v>
      </c>
      <c r="T290" s="36" t="n">
        <v>18</v>
      </c>
      <c r="U290" s="37" t="n">
        <v>0.75</v>
      </c>
      <c r="V290" s="38" t="n">
        <v>0</v>
      </c>
      <c r="W290" s="38" t="n">
        <v>1.825</v>
      </c>
      <c r="X290" s="38" t="n">
        <v>20.148</v>
      </c>
      <c r="Y290" s="38" t="n">
        <v>1.578000000000001</v>
      </c>
      <c r="Z290" s="38" t="n">
        <v>0</v>
      </c>
      <c r="AA290" s="36" t="n">
        <v>51</v>
      </c>
      <c r="AB290" s="37" t="n">
        <v>0.9444444444444444</v>
      </c>
      <c r="AC290" s="36" t="n">
        <v>8</v>
      </c>
      <c r="AD290" s="37" t="n">
        <v>1</v>
      </c>
      <c r="AE290" s="36" t="n">
        <v>40</v>
      </c>
      <c r="AF290" s="37" t="n">
        <v>0.9523809523809523</v>
      </c>
      <c r="AG290" s="36" t="n">
        <v>6</v>
      </c>
      <c r="AH290" s="37" t="n">
        <v>0.75</v>
      </c>
    </row>
    <row r="291">
      <c r="A291" s="53" t="n">
        <v>45817</v>
      </c>
      <c r="B291" t="inlineStr">
        <is>
          <t>R05_Jawa Tengah DIY</t>
        </is>
      </c>
      <c r="C291" t="inlineStr">
        <is>
          <t>NOP MAGELANG</t>
        </is>
      </c>
      <c r="D291" s="38" t="n">
        <v>0</v>
      </c>
      <c r="E291" s="38" t="n">
        <v>0</v>
      </c>
      <c r="F291" s="36" t="n">
        <v>1.47</v>
      </c>
      <c r="G291" s="36" t="n">
        <v>1.901</v>
      </c>
      <c r="H291" s="36" t="n">
        <v>4</v>
      </c>
      <c r="I291" s="37" t="n">
        <v>0.8</v>
      </c>
      <c r="J291" s="36" t="n">
        <v>0</v>
      </c>
      <c r="K291" s="37" t="n">
        <v>0</v>
      </c>
      <c r="L291" s="36" t="n">
        <v>4</v>
      </c>
      <c r="M291" s="37" t="n">
        <v>0.8</v>
      </c>
      <c r="N291" s="36" t="n">
        <v>0</v>
      </c>
      <c r="O291" s="37" t="n">
        <v>0</v>
      </c>
      <c r="P291" s="36" t="n">
        <v>0</v>
      </c>
      <c r="Q291" s="37" t="n">
        <v>0</v>
      </c>
      <c r="R291" s="36" t="n">
        <v>5</v>
      </c>
      <c r="S291" s="37" t="n">
        <v>1</v>
      </c>
      <c r="T291" s="36" t="n">
        <v>3</v>
      </c>
      <c r="U291" s="37" t="n">
        <v>0.6</v>
      </c>
      <c r="V291" s="38" t="n">
        <v>0</v>
      </c>
      <c r="W291" s="38" t="n">
        <v>3.4</v>
      </c>
      <c r="X291" s="38" t="n">
        <v>6.772</v>
      </c>
      <c r="Y291" s="38" t="n">
        <v>14.871</v>
      </c>
      <c r="Z291" s="38" t="n">
        <v>0</v>
      </c>
      <c r="AA291" s="36" t="n">
        <v>36</v>
      </c>
      <c r="AB291" s="37" t="n">
        <v>0.9</v>
      </c>
      <c r="AC291" s="36" t="n">
        <v>4</v>
      </c>
      <c r="AD291" s="37" t="n">
        <v>1</v>
      </c>
      <c r="AE291" s="36" t="n">
        <v>32</v>
      </c>
      <c r="AF291" s="37" t="n">
        <v>0.8888888888888888</v>
      </c>
      <c r="AG291" s="36" t="n">
        <v>4</v>
      </c>
      <c r="AH291" s="37" t="n">
        <v>1</v>
      </c>
    </row>
    <row r="292">
      <c r="A292" s="53" t="n">
        <v>45817</v>
      </c>
      <c r="B292" t="inlineStr">
        <is>
          <t>R05_Jawa Tengah DIY</t>
        </is>
      </c>
      <c r="C292" t="inlineStr">
        <is>
          <t>NOP PEKALONGAN</t>
        </is>
      </c>
      <c r="D292" s="38" t="n">
        <v>0</v>
      </c>
      <c r="E292" s="38" t="n">
        <v>0</v>
      </c>
      <c r="F292" s="36" t="n">
        <v>0</v>
      </c>
      <c r="G292" s="36" t="n">
        <v>1.28</v>
      </c>
      <c r="H292" s="36" t="n">
        <v>0</v>
      </c>
      <c r="I292" s="37" t="n">
        <v>0</v>
      </c>
      <c r="J292" s="36" t="n">
        <v>0</v>
      </c>
      <c r="K292" s="37" t="n">
        <v>0</v>
      </c>
      <c r="L292" s="36" t="n">
        <v>0</v>
      </c>
      <c r="M292" s="37" t="n">
        <v>0</v>
      </c>
      <c r="N292" s="36" t="n">
        <v>0</v>
      </c>
      <c r="O292" s="37" t="n">
        <v>0</v>
      </c>
      <c r="P292" s="36" t="n">
        <v>0</v>
      </c>
      <c r="Q292" s="37" t="n">
        <v>0</v>
      </c>
      <c r="R292" s="36" t="n">
        <v>2</v>
      </c>
      <c r="S292" s="37" t="n">
        <v>1</v>
      </c>
      <c r="T292" s="36" t="n">
        <v>1</v>
      </c>
      <c r="U292" s="37" t="n">
        <v>0.5</v>
      </c>
      <c r="V292" s="38" t="n">
        <v>0</v>
      </c>
      <c r="W292" s="38" t="n">
        <v>10.208</v>
      </c>
      <c r="X292" s="38" t="n">
        <v>11.58</v>
      </c>
      <c r="Y292" s="38" t="n">
        <v>28.103</v>
      </c>
      <c r="Z292" s="38" t="n">
        <v>0</v>
      </c>
      <c r="AA292" s="36" t="n">
        <v>38</v>
      </c>
      <c r="AB292" s="37" t="n">
        <v>0.9047619047619048</v>
      </c>
      <c r="AC292" s="36" t="n">
        <v>7</v>
      </c>
      <c r="AD292" s="37" t="n">
        <v>0.7777777777777778</v>
      </c>
      <c r="AE292" s="36" t="n">
        <v>31</v>
      </c>
      <c r="AF292" s="37" t="n">
        <v>0.9393939393939394</v>
      </c>
      <c r="AG292" s="36" t="n">
        <v>4</v>
      </c>
      <c r="AH292" s="37" t="n">
        <v>0.5714285714285714</v>
      </c>
    </row>
    <row r="293">
      <c r="A293" s="53" t="n">
        <v>45817</v>
      </c>
      <c r="B293" t="inlineStr">
        <is>
          <t>R05_Jawa Tengah DIY</t>
        </is>
      </c>
      <c r="C293" t="inlineStr">
        <is>
          <t>NOP PURWOKERTO</t>
        </is>
      </c>
      <c r="D293" s="38" t="n">
        <v>0</v>
      </c>
      <c r="E293" s="38" t="n">
        <v>0</v>
      </c>
      <c r="F293" s="36" t="n">
        <v>0.766</v>
      </c>
      <c r="G293" s="36" t="n">
        <v>0</v>
      </c>
      <c r="H293" s="36" t="n">
        <v>1</v>
      </c>
      <c r="I293" s="37" t="n">
        <v>0.5</v>
      </c>
      <c r="J293" s="36" t="n">
        <v>0</v>
      </c>
      <c r="K293" s="37" t="n">
        <v>0</v>
      </c>
      <c r="L293" s="36" t="n">
        <v>1</v>
      </c>
      <c r="M293" s="37" t="n">
        <v>0.5</v>
      </c>
      <c r="N293" s="36" t="n">
        <v>0</v>
      </c>
      <c r="O293" s="37" t="n">
        <v>0</v>
      </c>
      <c r="P293" s="36" t="n">
        <v>0</v>
      </c>
      <c r="Q293" s="37" t="n">
        <v>0</v>
      </c>
      <c r="R293" s="36" t="n">
        <v>2</v>
      </c>
      <c r="S293" s="37" t="n">
        <v>1</v>
      </c>
      <c r="T293" s="36" t="n">
        <v>1</v>
      </c>
      <c r="U293" s="37" t="n">
        <v>0.5</v>
      </c>
      <c r="V293" s="38" t="n">
        <v>0</v>
      </c>
      <c r="W293" s="38" t="n">
        <v>2.287</v>
      </c>
      <c r="X293" s="38" t="n">
        <v>1.562</v>
      </c>
      <c r="Y293" s="38" t="n">
        <v>30.96200000000001</v>
      </c>
      <c r="Z293" s="38" t="n">
        <v>0</v>
      </c>
      <c r="AA293" s="36" t="n">
        <v>10</v>
      </c>
      <c r="AB293" s="37" t="n">
        <v>0.9090909090909091</v>
      </c>
      <c r="AC293" s="36" t="n">
        <v>4</v>
      </c>
      <c r="AD293" s="37" t="n">
        <v>1</v>
      </c>
      <c r="AE293" s="36" t="n">
        <v>6</v>
      </c>
      <c r="AF293" s="37" t="n">
        <v>0.8571428571428571</v>
      </c>
      <c r="AG293" s="36" t="n">
        <v>2</v>
      </c>
      <c r="AH293" s="37" t="n">
        <v>0.5</v>
      </c>
    </row>
    <row r="294">
      <c r="A294" s="53" t="n">
        <v>45817</v>
      </c>
      <c r="B294" t="inlineStr">
        <is>
          <t>R05_Jawa Tengah DIY</t>
        </is>
      </c>
      <c r="C294" t="inlineStr">
        <is>
          <t>NOP SEMARANG</t>
        </is>
      </c>
      <c r="D294" s="38" t="n">
        <v>1.448</v>
      </c>
      <c r="E294" s="38" t="n">
        <v>0</v>
      </c>
      <c r="F294" s="36" t="n">
        <v>2.493</v>
      </c>
      <c r="G294" s="36" t="n">
        <v>2.41</v>
      </c>
      <c r="H294" s="36" t="n">
        <v>17</v>
      </c>
      <c r="I294" s="37" t="n">
        <v>0.7391304347826086</v>
      </c>
      <c r="J294" s="36" t="n">
        <v>3</v>
      </c>
      <c r="K294" s="37" t="n">
        <v>1</v>
      </c>
      <c r="L294" s="36" t="n">
        <v>14</v>
      </c>
      <c r="M294" s="37" t="n">
        <v>0.7</v>
      </c>
      <c r="N294" s="36" t="n">
        <v>3</v>
      </c>
      <c r="O294" s="37" t="n">
        <v>1</v>
      </c>
      <c r="P294" s="36" t="n">
        <v>3</v>
      </c>
      <c r="Q294" s="37" t="n">
        <v>1</v>
      </c>
      <c r="R294" s="36" t="n">
        <v>23</v>
      </c>
      <c r="S294" s="37" t="n">
        <v>1</v>
      </c>
      <c r="T294" s="36" t="n">
        <v>13</v>
      </c>
      <c r="U294" s="37" t="n">
        <v>0.5652173913043478</v>
      </c>
      <c r="V294" s="38" t="n">
        <v>0</v>
      </c>
      <c r="W294" s="38" t="n">
        <v>22.79899999999999</v>
      </c>
      <c r="X294" s="38" t="n">
        <v>2.705</v>
      </c>
      <c r="Y294" s="38" t="n">
        <v>71.12800000000001</v>
      </c>
      <c r="Z294" s="38" t="n">
        <v>0</v>
      </c>
      <c r="AA294" s="36" t="n">
        <v>19</v>
      </c>
      <c r="AB294" s="37" t="n">
        <v>0.95</v>
      </c>
      <c r="AC294" s="36" t="n">
        <v>8</v>
      </c>
      <c r="AD294" s="37" t="n">
        <v>1</v>
      </c>
      <c r="AE294" s="36" t="n">
        <v>11</v>
      </c>
      <c r="AF294" s="37" t="n">
        <v>0.9166666666666666</v>
      </c>
      <c r="AG294" s="36" t="n">
        <v>8</v>
      </c>
      <c r="AH294" s="37" t="n">
        <v>1</v>
      </c>
    </row>
    <row r="295">
      <c r="A295" s="53" t="n">
        <v>45817</v>
      </c>
      <c r="B295" t="inlineStr">
        <is>
          <t>R05_Jawa Tengah DIY</t>
        </is>
      </c>
      <c r="C295" t="inlineStr">
        <is>
          <t>NOP SURAKARTA</t>
        </is>
      </c>
      <c r="D295" s="38" t="n">
        <v>0</v>
      </c>
      <c r="E295" s="38" t="n">
        <v>0</v>
      </c>
      <c r="F295" s="36" t="n">
        <v>5.717000000000001</v>
      </c>
      <c r="G295" s="36" t="n">
        <v>3.22</v>
      </c>
      <c r="H295" s="36" t="n">
        <v>11</v>
      </c>
      <c r="I295" s="37" t="n">
        <v>0.8461538461538461</v>
      </c>
      <c r="J295" s="36" t="n">
        <v>0</v>
      </c>
      <c r="K295" s="37" t="n">
        <v>0</v>
      </c>
      <c r="L295" s="36" t="n">
        <v>11</v>
      </c>
      <c r="M295" s="37" t="n">
        <v>0.8461538461538461</v>
      </c>
      <c r="N295" s="36" t="n">
        <v>0</v>
      </c>
      <c r="O295" s="37" t="n">
        <v>0</v>
      </c>
      <c r="P295" s="36" t="n">
        <v>0</v>
      </c>
      <c r="Q295" s="37" t="n">
        <v>0</v>
      </c>
      <c r="R295" s="36" t="n">
        <v>13</v>
      </c>
      <c r="S295" s="37" t="n">
        <v>1</v>
      </c>
      <c r="T295" s="36" t="n">
        <v>10</v>
      </c>
      <c r="U295" s="37" t="n">
        <v>0.7692307692307693</v>
      </c>
      <c r="V295" s="38" t="n">
        <v>0.156</v>
      </c>
      <c r="W295" s="38" t="n">
        <v>20.288</v>
      </c>
      <c r="X295" s="38" t="n">
        <v>1.746</v>
      </c>
      <c r="Y295" s="38" t="n">
        <v>31.81000000000001</v>
      </c>
      <c r="Z295" s="38" t="n">
        <v>0</v>
      </c>
      <c r="AA295" s="36" t="n">
        <v>36</v>
      </c>
      <c r="AB295" s="37" t="n">
        <v>0.9</v>
      </c>
      <c r="AC295" s="36" t="n">
        <v>16</v>
      </c>
      <c r="AD295" s="37" t="n">
        <v>0.8</v>
      </c>
      <c r="AE295" s="36" t="n">
        <v>20</v>
      </c>
      <c r="AF295" s="37" t="n">
        <v>1</v>
      </c>
      <c r="AG295" s="36" t="n">
        <v>6</v>
      </c>
      <c r="AH295" s="37" t="n">
        <v>0.375</v>
      </c>
    </row>
    <row r="296">
      <c r="A296" s="53" t="n">
        <v>45817</v>
      </c>
      <c r="B296" t="inlineStr">
        <is>
          <t>R05_Jawa Tengah DIY</t>
        </is>
      </c>
      <c r="C296" t="inlineStr">
        <is>
          <t>NOP YOGYAKARTA</t>
        </is>
      </c>
      <c r="D296" s="38" t="n">
        <v>0</v>
      </c>
      <c r="E296" s="38" t="n">
        <v>0</v>
      </c>
      <c r="F296" s="36" t="n">
        <v>2.035</v>
      </c>
      <c r="G296" s="36" t="n">
        <v>0.33</v>
      </c>
      <c r="H296" s="36" t="n">
        <v>5</v>
      </c>
      <c r="I296" s="37" t="n">
        <v>0.7142857142857143</v>
      </c>
      <c r="J296" s="36" t="n">
        <v>0</v>
      </c>
      <c r="K296" s="37" t="n">
        <v>0</v>
      </c>
      <c r="L296" s="36" t="n">
        <v>5</v>
      </c>
      <c r="M296" s="37" t="n">
        <v>0.7142857142857143</v>
      </c>
      <c r="N296" s="36" t="n">
        <v>0</v>
      </c>
      <c r="O296" s="37" t="n">
        <v>0</v>
      </c>
      <c r="P296" s="36" t="n">
        <v>0</v>
      </c>
      <c r="Q296" s="37" t="n">
        <v>0</v>
      </c>
      <c r="R296" s="36" t="n">
        <v>7</v>
      </c>
      <c r="S296" s="37" t="n">
        <v>1</v>
      </c>
      <c r="T296" s="36" t="n">
        <v>4</v>
      </c>
      <c r="U296" s="37" t="n">
        <v>0.5714285714285714</v>
      </c>
      <c r="V296" s="38" t="n">
        <v>0</v>
      </c>
      <c r="W296" s="38" t="n">
        <v>4.432</v>
      </c>
      <c r="X296" s="38" t="n">
        <v>5.144</v>
      </c>
      <c r="Y296" s="38" t="n">
        <v>23.572</v>
      </c>
      <c r="Z296" s="38" t="n">
        <v>0</v>
      </c>
      <c r="AA296" s="36" t="n">
        <v>41</v>
      </c>
      <c r="AB296" s="37" t="n">
        <v>0.9534883720930233</v>
      </c>
      <c r="AC296" s="36" t="n">
        <v>18</v>
      </c>
      <c r="AD296" s="37" t="n">
        <v>0.9473684210526315</v>
      </c>
      <c r="AE296" s="36" t="n">
        <v>23</v>
      </c>
      <c r="AF296" s="37" t="n">
        <v>0.9583333333333334</v>
      </c>
      <c r="AG296" s="36" t="n">
        <v>18</v>
      </c>
      <c r="AH296" s="37" t="n">
        <v>1</v>
      </c>
    </row>
    <row r="297">
      <c r="A297" s="53" t="n">
        <v>45817</v>
      </c>
      <c r="B297" t="inlineStr">
        <is>
          <t>R06_Jawa Timur</t>
        </is>
      </c>
      <c r="C297" t="inlineStr">
        <is>
          <t>NOP JEMBER</t>
        </is>
      </c>
      <c r="D297" s="38" t="n">
        <v>0</v>
      </c>
      <c r="E297" s="38" t="n">
        <v>0</v>
      </c>
      <c r="F297" s="36" t="n">
        <v>3.622</v>
      </c>
      <c r="G297" s="36" t="n">
        <v>2.69</v>
      </c>
      <c r="H297" s="36" t="n">
        <v>19</v>
      </c>
      <c r="I297" s="37" t="n">
        <v>0.76</v>
      </c>
      <c r="J297" s="36" t="n">
        <v>0</v>
      </c>
      <c r="K297" s="37" t="n">
        <v>0</v>
      </c>
      <c r="L297" s="36" t="n">
        <v>19</v>
      </c>
      <c r="M297" s="37" t="n">
        <v>0.76</v>
      </c>
      <c r="N297" s="36" t="n">
        <v>0</v>
      </c>
      <c r="O297" s="37" t="n">
        <v>0</v>
      </c>
      <c r="P297" s="36" t="n">
        <v>0</v>
      </c>
      <c r="Q297" s="37" t="n">
        <v>0</v>
      </c>
      <c r="R297" s="36" t="n">
        <v>24</v>
      </c>
      <c r="S297" s="37" t="n">
        <v>0.96</v>
      </c>
      <c r="T297" s="36" t="n">
        <v>12</v>
      </c>
      <c r="U297" s="37" t="n">
        <v>0.48</v>
      </c>
      <c r="V297" s="38" t="n">
        <v>0</v>
      </c>
      <c r="W297" s="38" t="n">
        <v>2.68</v>
      </c>
      <c r="X297" s="38" t="n">
        <v>4.690999999999999</v>
      </c>
      <c r="Y297" s="38" t="n">
        <v>6.53</v>
      </c>
      <c r="Z297" s="38" t="n">
        <v>0</v>
      </c>
      <c r="AA297" s="36" t="n">
        <v>32</v>
      </c>
      <c r="AB297" s="37" t="n">
        <v>0.9142857142857143</v>
      </c>
      <c r="AC297" s="36" t="n">
        <v>9</v>
      </c>
      <c r="AD297" s="37" t="n">
        <v>0.9</v>
      </c>
      <c r="AE297" s="36" t="n">
        <v>23</v>
      </c>
      <c r="AF297" s="37" t="n">
        <v>0.92</v>
      </c>
      <c r="AG297" s="36" t="n">
        <v>6</v>
      </c>
      <c r="AH297" s="37" t="n">
        <v>0.6666666666666666</v>
      </c>
    </row>
    <row r="298">
      <c r="A298" s="53" t="n">
        <v>45817</v>
      </c>
      <c r="B298" t="inlineStr">
        <is>
          <t>R06_Jawa Timur</t>
        </is>
      </c>
      <c r="C298" t="inlineStr">
        <is>
          <t>NOP KEDIRI</t>
        </is>
      </c>
      <c r="D298" s="38" t="n">
        <v>2.63</v>
      </c>
      <c r="E298" s="38" t="n">
        <v>0</v>
      </c>
      <c r="F298" s="36" t="n">
        <v>1.96</v>
      </c>
      <c r="G298" s="36" t="n">
        <v>2.687</v>
      </c>
      <c r="H298" s="36" t="n">
        <v>19</v>
      </c>
      <c r="I298" s="37" t="n">
        <v>1</v>
      </c>
      <c r="J298" s="36" t="n">
        <v>1</v>
      </c>
      <c r="K298" s="37" t="n">
        <v>1</v>
      </c>
      <c r="L298" s="36" t="n">
        <v>18</v>
      </c>
      <c r="M298" s="37" t="n">
        <v>1</v>
      </c>
      <c r="N298" s="36" t="n">
        <v>1</v>
      </c>
      <c r="O298" s="37" t="n">
        <v>1</v>
      </c>
      <c r="P298" s="36" t="n">
        <v>1</v>
      </c>
      <c r="Q298" s="37" t="n">
        <v>1</v>
      </c>
      <c r="R298" s="36" t="n">
        <v>19</v>
      </c>
      <c r="S298" s="37" t="n">
        <v>1</v>
      </c>
      <c r="T298" s="36" t="n">
        <v>14</v>
      </c>
      <c r="U298" s="37" t="n">
        <v>0.7368421052631579</v>
      </c>
      <c r="V298" s="38" t="n">
        <v>0</v>
      </c>
      <c r="W298" s="38" t="n">
        <v>2.192</v>
      </c>
      <c r="X298" s="38" t="n">
        <v>2.895000000000001</v>
      </c>
      <c r="Y298" s="38" t="n">
        <v>6.22</v>
      </c>
      <c r="Z298" s="38" t="n">
        <v>0</v>
      </c>
      <c r="AA298" s="36" t="n">
        <v>23</v>
      </c>
      <c r="AB298" s="37" t="n">
        <v>1</v>
      </c>
      <c r="AC298" s="36" t="n">
        <v>8</v>
      </c>
      <c r="AD298" s="37" t="n">
        <v>1</v>
      </c>
      <c r="AE298" s="36" t="n">
        <v>15</v>
      </c>
      <c r="AF298" s="37" t="n">
        <v>1</v>
      </c>
      <c r="AG298" s="36" t="n">
        <v>8</v>
      </c>
      <c r="AH298" s="37" t="n">
        <v>1</v>
      </c>
    </row>
    <row r="299">
      <c r="A299" s="53" t="n">
        <v>45817</v>
      </c>
      <c r="B299" t="inlineStr">
        <is>
          <t>R06_Jawa Timur</t>
        </is>
      </c>
      <c r="C299" t="inlineStr">
        <is>
          <t>NOP LAMONGAN</t>
        </is>
      </c>
      <c r="D299" s="38" t="n">
        <v>3.064</v>
      </c>
      <c r="E299" s="38" t="n">
        <v>0</v>
      </c>
      <c r="F299" s="36" t="n">
        <v>2.93</v>
      </c>
      <c r="G299" s="36" t="n">
        <v>3.011</v>
      </c>
      <c r="H299" s="36" t="n">
        <v>26</v>
      </c>
      <c r="I299" s="37" t="n">
        <v>0.9629629629629629</v>
      </c>
      <c r="J299" s="36" t="n">
        <v>4</v>
      </c>
      <c r="K299" s="37" t="n">
        <v>1</v>
      </c>
      <c r="L299" s="36" t="n">
        <v>22</v>
      </c>
      <c r="M299" s="37" t="n">
        <v>0.9565217391304348</v>
      </c>
      <c r="N299" s="36" t="n">
        <v>4</v>
      </c>
      <c r="O299" s="37" t="n">
        <v>1</v>
      </c>
      <c r="P299" s="36" t="n">
        <v>4</v>
      </c>
      <c r="Q299" s="37" t="n">
        <v>1</v>
      </c>
      <c r="R299" s="36" t="n">
        <v>27</v>
      </c>
      <c r="S299" s="37" t="n">
        <v>1</v>
      </c>
      <c r="T299" s="36" t="n">
        <v>20</v>
      </c>
      <c r="U299" s="37" t="n">
        <v>0.7407407407407407</v>
      </c>
      <c r="V299" s="38" t="n">
        <v>0</v>
      </c>
      <c r="W299" s="38" t="n">
        <v>3.27</v>
      </c>
      <c r="X299" s="38" t="n">
        <v>0</v>
      </c>
      <c r="Y299" s="38" t="n">
        <v>1.59</v>
      </c>
      <c r="Z299" s="38" t="n">
        <v>0</v>
      </c>
      <c r="AA299" s="36" t="n">
        <v>7</v>
      </c>
      <c r="AB299" s="37" t="n">
        <v>0.7</v>
      </c>
      <c r="AC299" s="36" t="n">
        <v>6</v>
      </c>
      <c r="AD299" s="37" t="n">
        <v>0.6666666666666666</v>
      </c>
      <c r="AE299" s="36" t="n">
        <v>1</v>
      </c>
      <c r="AF299" s="37" t="n">
        <v>1</v>
      </c>
      <c r="AG299" s="36" t="n">
        <v>6</v>
      </c>
      <c r="AH299" s="37" t="n">
        <v>1</v>
      </c>
    </row>
    <row r="300">
      <c r="A300" s="53" t="n">
        <v>45817</v>
      </c>
      <c r="B300" t="inlineStr">
        <is>
          <t>R06_Jawa Timur</t>
        </is>
      </c>
      <c r="C300" t="inlineStr">
        <is>
          <t>NOP MADIUN</t>
        </is>
      </c>
      <c r="D300" s="38" t="n">
        <v>0.9399999999999999</v>
      </c>
      <c r="E300" s="38" t="n">
        <v>0</v>
      </c>
      <c r="F300" s="36" t="n">
        <v>3.75</v>
      </c>
      <c r="G300" s="36" t="n">
        <v>2.388</v>
      </c>
      <c r="H300" s="36" t="n">
        <v>23</v>
      </c>
      <c r="I300" s="37" t="n">
        <v>0.8518518518518519</v>
      </c>
      <c r="J300" s="36" t="n">
        <v>1</v>
      </c>
      <c r="K300" s="37" t="n">
        <v>1</v>
      </c>
      <c r="L300" s="36" t="n">
        <v>22</v>
      </c>
      <c r="M300" s="37" t="n">
        <v>0.8461538461538461</v>
      </c>
      <c r="N300" s="36" t="n">
        <v>1</v>
      </c>
      <c r="O300" s="37" t="n">
        <v>1</v>
      </c>
      <c r="P300" s="36" t="n">
        <v>1</v>
      </c>
      <c r="Q300" s="37" t="n">
        <v>1</v>
      </c>
      <c r="R300" s="36" t="n">
        <v>26</v>
      </c>
      <c r="S300" s="37" t="n">
        <v>0.9629629629629629</v>
      </c>
      <c r="T300" s="36" t="n">
        <v>13</v>
      </c>
      <c r="U300" s="37" t="n">
        <v>0.4814814814814815</v>
      </c>
      <c r="V300" s="38" t="n">
        <v>0</v>
      </c>
      <c r="W300" s="38" t="n">
        <v>2.270000000000001</v>
      </c>
      <c r="X300" s="38" t="n">
        <v>4.946000000000001</v>
      </c>
      <c r="Y300" s="38" t="n">
        <v>83.84600000000002</v>
      </c>
      <c r="Z300" s="38" t="n">
        <v>0</v>
      </c>
      <c r="AA300" s="36" t="n">
        <v>31</v>
      </c>
      <c r="AB300" s="37" t="n">
        <v>0.7209302325581395</v>
      </c>
      <c r="AC300" s="36" t="n">
        <v>9</v>
      </c>
      <c r="AD300" s="37" t="n">
        <v>0.6923076923076923</v>
      </c>
      <c r="AE300" s="36" t="n">
        <v>22</v>
      </c>
      <c r="AF300" s="37" t="n">
        <v>0.7333333333333333</v>
      </c>
      <c r="AG300" s="36" t="n">
        <v>8</v>
      </c>
      <c r="AH300" s="37" t="n">
        <v>0.8888888888888888</v>
      </c>
    </row>
    <row r="301">
      <c r="A301" s="53" t="n">
        <v>45817</v>
      </c>
      <c r="B301" t="inlineStr">
        <is>
          <t>R06_Jawa Timur</t>
        </is>
      </c>
      <c r="C301" t="inlineStr">
        <is>
          <t>NOP MALANG</t>
        </is>
      </c>
      <c r="D301" s="38" t="n">
        <v>0</v>
      </c>
      <c r="E301" s="38" t="n">
        <v>0</v>
      </c>
      <c r="F301" s="36" t="n">
        <v>0</v>
      </c>
      <c r="G301" s="36" t="n">
        <v>2.59</v>
      </c>
      <c r="H301" s="36" t="n">
        <v>5</v>
      </c>
      <c r="I301" s="37" t="n">
        <v>1</v>
      </c>
      <c r="J301" s="36" t="n">
        <v>0</v>
      </c>
      <c r="K301" s="37" t="n">
        <v>0</v>
      </c>
      <c r="L301" s="36" t="n">
        <v>5</v>
      </c>
      <c r="M301" s="37" t="n">
        <v>1</v>
      </c>
      <c r="N301" s="36" t="n">
        <v>0</v>
      </c>
      <c r="O301" s="37" t="n">
        <v>0</v>
      </c>
      <c r="P301" s="36" t="n">
        <v>0</v>
      </c>
      <c r="Q301" s="37" t="n">
        <v>0</v>
      </c>
      <c r="R301" s="36" t="n">
        <v>5</v>
      </c>
      <c r="S301" s="37" t="n">
        <v>1</v>
      </c>
      <c r="T301" s="36" t="n">
        <v>4</v>
      </c>
      <c r="U301" s="37" t="n">
        <v>0.8</v>
      </c>
      <c r="V301" s="38" t="n">
        <v>0</v>
      </c>
      <c r="W301" s="38" t="n">
        <v>1.388</v>
      </c>
      <c r="X301" s="38" t="n">
        <v>1.894</v>
      </c>
      <c r="Y301" s="38" t="n">
        <v>0</v>
      </c>
      <c r="Z301" s="38" t="n">
        <v>0</v>
      </c>
      <c r="AA301" s="36" t="n">
        <v>5</v>
      </c>
      <c r="AB301" s="37" t="n">
        <v>1</v>
      </c>
      <c r="AC301" s="36" t="n">
        <v>2</v>
      </c>
      <c r="AD301" s="37" t="n">
        <v>1</v>
      </c>
      <c r="AE301" s="36" t="n">
        <v>3</v>
      </c>
      <c r="AF301" s="37" t="n">
        <v>1</v>
      </c>
      <c r="AG301" s="36" t="n">
        <v>2</v>
      </c>
      <c r="AH301" s="37" t="n">
        <v>1</v>
      </c>
    </row>
    <row r="302">
      <c r="A302" s="53" t="n">
        <v>45817</v>
      </c>
      <c r="B302" t="inlineStr">
        <is>
          <t>R06_Jawa Timur</t>
        </is>
      </c>
      <c r="C302" t="inlineStr">
        <is>
          <t>NOP SIDOARJO</t>
        </is>
      </c>
      <c r="D302" s="38" t="n">
        <v>2.02</v>
      </c>
      <c r="E302" s="38" t="n">
        <v>0</v>
      </c>
      <c r="F302" s="36" t="n">
        <v>4.116000000000001</v>
      </c>
      <c r="G302" s="36" t="n">
        <v>2.66</v>
      </c>
      <c r="H302" s="36" t="n">
        <v>14</v>
      </c>
      <c r="I302" s="37" t="n">
        <v>0.7777777777777778</v>
      </c>
      <c r="J302" s="36" t="n">
        <v>1</v>
      </c>
      <c r="K302" s="37" t="n">
        <v>1</v>
      </c>
      <c r="L302" s="36" t="n">
        <v>13</v>
      </c>
      <c r="M302" s="37" t="n">
        <v>0.7647058823529411</v>
      </c>
      <c r="N302" s="36" t="n">
        <v>0</v>
      </c>
      <c r="O302" s="37" t="n">
        <v>0</v>
      </c>
      <c r="P302" s="36" t="n">
        <v>0</v>
      </c>
      <c r="Q302" s="37" t="n">
        <v>0</v>
      </c>
      <c r="R302" s="36" t="n">
        <v>18</v>
      </c>
      <c r="S302" s="37" t="n">
        <v>1</v>
      </c>
      <c r="T302" s="36" t="n">
        <v>12</v>
      </c>
      <c r="U302" s="37" t="n">
        <v>0.6666666666666666</v>
      </c>
      <c r="V302" s="38" t="n">
        <v>0</v>
      </c>
      <c r="W302" s="38" t="n">
        <v>2.518</v>
      </c>
      <c r="X302" s="38" t="n">
        <v>2.305</v>
      </c>
      <c r="Y302" s="38" t="n">
        <v>0.573</v>
      </c>
      <c r="Z302" s="38" t="n">
        <v>0</v>
      </c>
      <c r="AA302" s="36" t="n">
        <v>25</v>
      </c>
      <c r="AB302" s="37" t="n">
        <v>0.8064516129032258</v>
      </c>
      <c r="AC302" s="36" t="n">
        <v>2</v>
      </c>
      <c r="AD302" s="37" t="n">
        <v>0.6666666666666666</v>
      </c>
      <c r="AE302" s="36" t="n">
        <v>23</v>
      </c>
      <c r="AF302" s="37" t="n">
        <v>0.8214285714285714</v>
      </c>
      <c r="AG302" s="36" t="n">
        <v>2</v>
      </c>
      <c r="AH302" s="37" t="n">
        <v>1</v>
      </c>
    </row>
    <row r="303">
      <c r="A303" s="53" t="n">
        <v>45817</v>
      </c>
      <c r="B303" t="inlineStr">
        <is>
          <t>R06_Jawa Timur</t>
        </is>
      </c>
      <c r="C303" t="inlineStr">
        <is>
          <t>NOP SURABAYA</t>
        </is>
      </c>
      <c r="D303" s="38" t="n">
        <v>0.61</v>
      </c>
      <c r="E303" s="38" t="n">
        <v>0</v>
      </c>
      <c r="F303" s="36" t="n">
        <v>3.31</v>
      </c>
      <c r="G303" s="36" t="n">
        <v>3.039</v>
      </c>
      <c r="H303" s="36" t="n">
        <v>8</v>
      </c>
      <c r="I303" s="37" t="n">
        <v>0.5</v>
      </c>
      <c r="J303" s="36" t="n">
        <v>2</v>
      </c>
      <c r="K303" s="37" t="n">
        <v>0.6666666666666666</v>
      </c>
      <c r="L303" s="36" t="n">
        <v>6</v>
      </c>
      <c r="M303" s="37" t="n">
        <v>0.4615384615384616</v>
      </c>
      <c r="N303" s="36" t="n">
        <v>2</v>
      </c>
      <c r="O303" s="37" t="n">
        <v>1</v>
      </c>
      <c r="P303" s="36" t="n">
        <v>2</v>
      </c>
      <c r="Q303" s="37" t="n">
        <v>1</v>
      </c>
      <c r="R303" s="36" t="n">
        <v>13</v>
      </c>
      <c r="S303" s="37" t="n">
        <v>0.8125</v>
      </c>
      <c r="T303" s="36" t="n">
        <v>6</v>
      </c>
      <c r="U303" s="37" t="n">
        <v>0.375</v>
      </c>
      <c r="V303" s="38" t="n">
        <v>0</v>
      </c>
      <c r="W303" s="38" t="n">
        <v>2.43</v>
      </c>
      <c r="X303" s="38" t="n">
        <v>6.41</v>
      </c>
      <c r="Y303" s="38" t="n">
        <v>24.02</v>
      </c>
      <c r="Z303" s="38" t="n">
        <v>0</v>
      </c>
      <c r="AA303" s="36" t="n">
        <v>8</v>
      </c>
      <c r="AB303" s="37" t="n">
        <v>0.5333333333333333</v>
      </c>
      <c r="AC303" s="36" t="n">
        <v>1</v>
      </c>
      <c r="AD303" s="37" t="n">
        <v>1</v>
      </c>
      <c r="AE303" s="36" t="n">
        <v>7</v>
      </c>
      <c r="AF303" s="37" t="n">
        <v>0.5</v>
      </c>
      <c r="AG303" s="36" t="n">
        <v>1</v>
      </c>
      <c r="AH303" s="37" t="n">
        <v>1</v>
      </c>
    </row>
    <row r="304">
      <c r="A304" s="53" t="n">
        <v>45817</v>
      </c>
      <c r="B304" t="inlineStr">
        <is>
          <t>R07_Bali Nusra</t>
        </is>
      </c>
      <c r="C304" t="inlineStr">
        <is>
          <t>NOP DENPASAR</t>
        </is>
      </c>
      <c r="D304" s="38" t="n">
        <v>1.195</v>
      </c>
      <c r="E304" s="38" t="n">
        <v>0</v>
      </c>
      <c r="F304" s="36" t="n">
        <v>1.174</v>
      </c>
      <c r="G304" s="36" t="n">
        <v>0</v>
      </c>
      <c r="H304" s="36" t="n">
        <v>11</v>
      </c>
      <c r="I304" s="37" t="n">
        <v>1</v>
      </c>
      <c r="J304" s="36" t="n">
        <v>4</v>
      </c>
      <c r="K304" s="37" t="n">
        <v>1</v>
      </c>
      <c r="L304" s="36" t="n">
        <v>7</v>
      </c>
      <c r="M304" s="37" t="n">
        <v>1</v>
      </c>
      <c r="N304" s="36" t="n">
        <v>4</v>
      </c>
      <c r="O304" s="37" t="n">
        <v>1</v>
      </c>
      <c r="P304" s="36" t="n">
        <v>4</v>
      </c>
      <c r="Q304" s="37" t="n">
        <v>1</v>
      </c>
      <c r="R304" s="36" t="n">
        <v>11</v>
      </c>
      <c r="S304" s="37" t="n">
        <v>1</v>
      </c>
      <c r="T304" s="36" t="n">
        <v>11</v>
      </c>
      <c r="U304" s="37" t="n">
        <v>1</v>
      </c>
      <c r="V304" s="38" t="n">
        <v>0</v>
      </c>
      <c r="W304" s="38" t="n">
        <v>8.040000000000001</v>
      </c>
      <c r="X304" s="38" t="n">
        <v>3.393999999999999</v>
      </c>
      <c r="Y304" s="38" t="n">
        <v>21.322</v>
      </c>
      <c r="Z304" s="38" t="n">
        <v>0</v>
      </c>
      <c r="AA304" s="36" t="n">
        <v>16</v>
      </c>
      <c r="AB304" s="37" t="n">
        <v>0.9411764705882353</v>
      </c>
      <c r="AC304" s="36" t="n">
        <v>4</v>
      </c>
      <c r="AD304" s="37" t="n">
        <v>1</v>
      </c>
      <c r="AE304" s="36" t="n">
        <v>12</v>
      </c>
      <c r="AF304" s="37" t="n">
        <v>0.9230769230769231</v>
      </c>
      <c r="AG304" s="36" t="n">
        <v>4</v>
      </c>
      <c r="AH304" s="37" t="n">
        <v>1</v>
      </c>
    </row>
    <row r="305">
      <c r="A305" s="53" t="n">
        <v>45817</v>
      </c>
      <c r="B305" t="inlineStr">
        <is>
          <t>R07_Bali Nusra</t>
        </is>
      </c>
      <c r="C305" t="inlineStr">
        <is>
          <t>NOP FLORES</t>
        </is>
      </c>
      <c r="D305" s="38" t="n">
        <v>2.252</v>
      </c>
      <c r="E305" s="38" t="n">
        <v>6.048000000000001</v>
      </c>
      <c r="F305" s="36" t="n">
        <v>9.31</v>
      </c>
      <c r="G305" s="36" t="n">
        <v>5.417999999999997</v>
      </c>
      <c r="H305" s="36" t="n">
        <v>41</v>
      </c>
      <c r="I305" s="37" t="n">
        <v>0.3980582524271845</v>
      </c>
      <c r="J305" s="36" t="n">
        <v>12</v>
      </c>
      <c r="K305" s="37" t="n">
        <v>0.8</v>
      </c>
      <c r="L305" s="36" t="n">
        <v>29</v>
      </c>
      <c r="M305" s="37" t="n">
        <v>0.3295454545454545</v>
      </c>
      <c r="N305" s="36" t="n">
        <v>8</v>
      </c>
      <c r="O305" s="37" t="n">
        <v>0.6666666666666666</v>
      </c>
      <c r="P305" s="36" t="n">
        <v>8</v>
      </c>
      <c r="Q305" s="37" t="n">
        <v>0.6666666666666666</v>
      </c>
      <c r="R305" s="36" t="n">
        <v>95</v>
      </c>
      <c r="S305" s="37" t="n">
        <v>0.9223300970873787</v>
      </c>
      <c r="T305" s="36" t="n">
        <v>26</v>
      </c>
      <c r="U305" s="37" t="n">
        <v>0.2524271844660194</v>
      </c>
      <c r="V305" s="38" t="n">
        <v>0</v>
      </c>
      <c r="W305" s="38" t="n">
        <v>6.456</v>
      </c>
      <c r="X305" s="38" t="n">
        <v>12.322</v>
      </c>
      <c r="Y305" s="38" t="n">
        <v>38.614</v>
      </c>
      <c r="Z305" s="38" t="n">
        <v>0</v>
      </c>
      <c r="AA305" s="36" t="n">
        <v>64</v>
      </c>
      <c r="AB305" s="37" t="n">
        <v>0.5039370078740157</v>
      </c>
      <c r="AC305" s="36" t="n">
        <v>46</v>
      </c>
      <c r="AD305" s="37" t="n">
        <v>0.5168539325842697</v>
      </c>
      <c r="AE305" s="36" t="n">
        <v>18</v>
      </c>
      <c r="AF305" s="37" t="n">
        <v>0.4736842105263158</v>
      </c>
      <c r="AG305" s="36" t="n">
        <v>44</v>
      </c>
      <c r="AH305" s="37" t="n">
        <v>0.9565217391304348</v>
      </c>
    </row>
    <row r="306">
      <c r="A306" s="53" t="n">
        <v>45817</v>
      </c>
      <c r="B306" t="inlineStr">
        <is>
          <t>R07_Bali Nusra</t>
        </is>
      </c>
      <c r="C306" t="inlineStr">
        <is>
          <t>NOP KUPANG</t>
        </is>
      </c>
      <c r="D306" s="38" t="n">
        <v>0</v>
      </c>
      <c r="E306" s="38" t="n">
        <v>16.474</v>
      </c>
      <c r="F306" s="36" t="n">
        <v>4.5</v>
      </c>
      <c r="G306" s="36" t="n">
        <v>2.91</v>
      </c>
      <c r="H306" s="36" t="n">
        <v>15</v>
      </c>
      <c r="I306" s="37" t="n">
        <v>0.5</v>
      </c>
      <c r="J306" s="36" t="n">
        <v>4</v>
      </c>
      <c r="K306" s="37" t="n">
        <v>0.8</v>
      </c>
      <c r="L306" s="36" t="n">
        <v>11</v>
      </c>
      <c r="M306" s="37" t="n">
        <v>0.44</v>
      </c>
      <c r="N306" s="36" t="n">
        <v>4</v>
      </c>
      <c r="O306" s="37" t="n">
        <v>1</v>
      </c>
      <c r="P306" s="36" t="n">
        <v>4</v>
      </c>
      <c r="Q306" s="37" t="n">
        <v>1</v>
      </c>
      <c r="R306" s="36" t="n">
        <v>30</v>
      </c>
      <c r="S306" s="37" t="n">
        <v>1</v>
      </c>
      <c r="T306" s="36" t="n">
        <v>10</v>
      </c>
      <c r="U306" s="37" t="n">
        <v>0.3333333333333333</v>
      </c>
      <c r="V306" s="38" t="n">
        <v>0</v>
      </c>
      <c r="W306" s="38" t="n">
        <v>11.514</v>
      </c>
      <c r="X306" s="38" t="n">
        <v>16.824</v>
      </c>
      <c r="Y306" s="38" t="n">
        <v>9.634</v>
      </c>
      <c r="Z306" s="38" t="n">
        <v>0</v>
      </c>
      <c r="AA306" s="36" t="n">
        <v>14</v>
      </c>
      <c r="AB306" s="37" t="n">
        <v>0.2916666666666667</v>
      </c>
      <c r="AC306" s="36" t="n">
        <v>8</v>
      </c>
      <c r="AD306" s="37" t="n">
        <v>0.4705882352941176</v>
      </c>
      <c r="AE306" s="36" t="n">
        <v>6</v>
      </c>
      <c r="AF306" s="37" t="n">
        <v>0.1935483870967742</v>
      </c>
      <c r="AG306" s="36" t="n">
        <v>7</v>
      </c>
      <c r="AH306" s="37" t="n">
        <v>0.875</v>
      </c>
    </row>
    <row r="307">
      <c r="A307" s="53" t="n">
        <v>45817</v>
      </c>
      <c r="B307" t="inlineStr">
        <is>
          <t>R07_Bali Nusra</t>
        </is>
      </c>
      <c r="C307" t="inlineStr">
        <is>
          <t>NOP MATARAM</t>
        </is>
      </c>
      <c r="D307" s="38" t="n">
        <v>4.772</v>
      </c>
      <c r="E307" s="38" t="n">
        <v>2.975</v>
      </c>
      <c r="F307" s="36" t="n">
        <v>2.088</v>
      </c>
      <c r="G307" s="36" t="n">
        <v>6.31</v>
      </c>
      <c r="H307" s="36" t="n">
        <v>17</v>
      </c>
      <c r="I307" s="37" t="n">
        <v>0.6296296296296297</v>
      </c>
      <c r="J307" s="36" t="n">
        <v>3</v>
      </c>
      <c r="K307" s="37" t="n">
        <v>0.75</v>
      </c>
      <c r="L307" s="36" t="n">
        <v>14</v>
      </c>
      <c r="M307" s="37" t="n">
        <v>0.6086956521739131</v>
      </c>
      <c r="N307" s="36" t="n">
        <v>2</v>
      </c>
      <c r="O307" s="37" t="n">
        <v>0.6666666666666666</v>
      </c>
      <c r="P307" s="36" t="n">
        <v>2</v>
      </c>
      <c r="Q307" s="37" t="n">
        <v>0.6666666666666666</v>
      </c>
      <c r="R307" s="36" t="n">
        <v>27</v>
      </c>
      <c r="S307" s="37" t="n">
        <v>1</v>
      </c>
      <c r="T307" s="36" t="n">
        <v>15</v>
      </c>
      <c r="U307" s="37" t="n">
        <v>0.5555555555555556</v>
      </c>
      <c r="V307" s="38" t="n">
        <v>0</v>
      </c>
      <c r="W307" s="38" t="n">
        <v>10.52</v>
      </c>
      <c r="X307" s="38" t="n">
        <v>7.55</v>
      </c>
      <c r="Y307" s="38" t="n">
        <v>24.83</v>
      </c>
      <c r="Z307" s="38" t="n">
        <v>0</v>
      </c>
      <c r="AA307" s="36" t="n">
        <v>17</v>
      </c>
      <c r="AB307" s="37" t="n">
        <v>0.4473684210526316</v>
      </c>
      <c r="AC307" s="36" t="n">
        <v>6</v>
      </c>
      <c r="AD307" s="37" t="n">
        <v>0.2857142857142857</v>
      </c>
      <c r="AE307" s="36" t="n">
        <v>11</v>
      </c>
      <c r="AF307" s="37" t="n">
        <v>0.6470588235294118</v>
      </c>
      <c r="AG307" s="36" t="n">
        <v>3</v>
      </c>
      <c r="AH307" s="37" t="n">
        <v>0.5</v>
      </c>
    </row>
    <row r="308">
      <c r="A308" s="53" t="n">
        <v>45818</v>
      </c>
      <c r="B308" t="inlineStr">
        <is>
          <t>R01_Sumbagut</t>
        </is>
      </c>
      <c r="C308" t="inlineStr">
        <is>
          <t>NOP ACEH</t>
        </is>
      </c>
      <c r="D308" s="38" t="n">
        <v>3.239000000000001</v>
      </c>
      <c r="E308" s="38" t="n">
        <v>3.175</v>
      </c>
      <c r="F308" s="36" t="n">
        <v>5.579999999999992</v>
      </c>
      <c r="G308" s="36" t="n">
        <v>13.084</v>
      </c>
      <c r="H308" s="36" t="n">
        <v>276</v>
      </c>
      <c r="I308" s="37" t="n">
        <v>0.9019607843137255</v>
      </c>
      <c r="J308" s="36" t="n">
        <v>22</v>
      </c>
      <c r="K308" s="37" t="n">
        <v>0.7857142857142857</v>
      </c>
      <c r="L308" s="36" t="n">
        <v>254</v>
      </c>
      <c r="M308" s="37" t="n">
        <v>0.9136690647482014</v>
      </c>
      <c r="N308" s="36" t="n">
        <v>12</v>
      </c>
      <c r="O308" s="37" t="n">
        <v>0.5454545454545454</v>
      </c>
      <c r="P308" s="36" t="n">
        <v>12</v>
      </c>
      <c r="Q308" s="37" t="n">
        <v>0.5454545454545454</v>
      </c>
      <c r="R308" s="36" t="n">
        <v>305</v>
      </c>
      <c r="S308" s="37" t="n">
        <v>0.9967320261437909</v>
      </c>
      <c r="T308" s="36" t="n">
        <v>119</v>
      </c>
      <c r="U308" s="37" t="n">
        <v>0.3888888888888889</v>
      </c>
      <c r="V308" s="38" t="n">
        <v>14.863</v>
      </c>
      <c r="W308" s="38" t="n">
        <v>3.033000000000002</v>
      </c>
      <c r="X308" s="38" t="n">
        <v>38.83400000000002</v>
      </c>
      <c r="Y308" s="38" t="n">
        <v>59.49</v>
      </c>
      <c r="Z308" s="38" t="n">
        <v>0</v>
      </c>
      <c r="AA308" s="36" t="n">
        <v>301</v>
      </c>
      <c r="AB308" s="37" t="n">
        <v>0.7620253164556962</v>
      </c>
      <c r="AC308" s="36" t="n">
        <v>85</v>
      </c>
      <c r="AD308" s="37" t="n">
        <v>0.5379746835443038</v>
      </c>
      <c r="AE308" s="36" t="n">
        <v>213</v>
      </c>
      <c r="AF308" s="37" t="n">
        <v>0.9141630901287554</v>
      </c>
      <c r="AG308" s="36" t="n">
        <v>16</v>
      </c>
      <c r="AH308" s="37" t="n">
        <v>0.1882352941176471</v>
      </c>
    </row>
    <row r="309">
      <c r="A309" s="53" t="n">
        <v>45818</v>
      </c>
      <c r="B309" t="inlineStr">
        <is>
          <t>R01_Sumbagut</t>
        </is>
      </c>
      <c r="C309" t="inlineStr">
        <is>
          <t>NOP BINJAI</t>
        </is>
      </c>
      <c r="D309" s="38" t="n">
        <v>0</v>
      </c>
      <c r="E309" s="38" t="n">
        <v>1.955</v>
      </c>
      <c r="F309" s="36" t="n">
        <v>2.7</v>
      </c>
      <c r="G309" s="36" t="n">
        <v>7.620000000000001</v>
      </c>
      <c r="H309" s="36" t="n">
        <v>70</v>
      </c>
      <c r="I309" s="37" t="n">
        <v>0.7368421052631579</v>
      </c>
      <c r="J309" s="36" t="n">
        <v>11</v>
      </c>
      <c r="K309" s="37" t="n">
        <v>0.6875</v>
      </c>
      <c r="L309" s="36" t="n">
        <v>59</v>
      </c>
      <c r="M309" s="37" t="n">
        <v>0.7468354430379747</v>
      </c>
      <c r="N309" s="36" t="n">
        <v>2</v>
      </c>
      <c r="O309" s="37" t="n">
        <v>0.1818181818181818</v>
      </c>
      <c r="P309" s="36" t="n">
        <v>2</v>
      </c>
      <c r="Q309" s="37" t="n">
        <v>0.1818181818181818</v>
      </c>
      <c r="R309" s="36" t="n">
        <v>95</v>
      </c>
      <c r="S309" s="37" t="n">
        <v>1</v>
      </c>
      <c r="T309" s="36" t="n">
        <v>19</v>
      </c>
      <c r="U309" s="37" t="n">
        <v>0.2</v>
      </c>
      <c r="V309" s="38" t="n">
        <v>0</v>
      </c>
      <c r="W309" s="38" t="n">
        <v>5.75</v>
      </c>
      <c r="X309" s="38" t="n">
        <v>31.44200000000001</v>
      </c>
      <c r="Y309" s="38" t="n">
        <v>79.86</v>
      </c>
      <c r="Z309" s="38" t="n">
        <v>0</v>
      </c>
      <c r="AA309" s="36" t="n">
        <v>83</v>
      </c>
      <c r="AB309" s="37" t="n">
        <v>0.7033898305084746</v>
      </c>
      <c r="AC309" s="36" t="n">
        <v>27</v>
      </c>
      <c r="AD309" s="37" t="n">
        <v>0.5869565217391305</v>
      </c>
      <c r="AE309" s="36" t="n">
        <v>50</v>
      </c>
      <c r="AF309" s="37" t="n">
        <v>0.78125</v>
      </c>
      <c r="AG309" s="36" t="n">
        <v>17</v>
      </c>
      <c r="AH309" s="37" t="n">
        <v>0.6296296296296297</v>
      </c>
    </row>
    <row r="310">
      <c r="A310" s="53" t="n">
        <v>45818</v>
      </c>
      <c r="B310" t="inlineStr">
        <is>
          <t>R01_Sumbagut</t>
        </is>
      </c>
      <c r="C310" t="inlineStr">
        <is>
          <t>NOP MEDAN</t>
        </is>
      </c>
      <c r="D310" s="38" t="n">
        <v>3.322</v>
      </c>
      <c r="E310" s="38" t="n">
        <v>2.905000000000001</v>
      </c>
      <c r="F310" s="36" t="n">
        <v>6.100000000000004</v>
      </c>
      <c r="G310" s="36" t="n">
        <v>10.31</v>
      </c>
      <c r="H310" s="36" t="n">
        <v>88</v>
      </c>
      <c r="I310" s="37" t="n">
        <v>0.4705882352941176</v>
      </c>
      <c r="J310" s="36" t="n">
        <v>26</v>
      </c>
      <c r="K310" s="37" t="n">
        <v>0.6190476190476191</v>
      </c>
      <c r="L310" s="36" t="n">
        <v>62</v>
      </c>
      <c r="M310" s="37" t="n">
        <v>0.4275862068965517</v>
      </c>
      <c r="N310" s="36" t="n">
        <v>14</v>
      </c>
      <c r="O310" s="37" t="n">
        <v>0.5384615384615384</v>
      </c>
      <c r="P310" s="36" t="n">
        <v>14</v>
      </c>
      <c r="Q310" s="37" t="n">
        <v>0.5600000000000001</v>
      </c>
      <c r="R310" s="36" t="n">
        <v>187</v>
      </c>
      <c r="S310" s="37" t="n">
        <v>1</v>
      </c>
      <c r="T310" s="36" t="n">
        <v>41</v>
      </c>
      <c r="U310" s="37" t="n">
        <v>0.2192513368983957</v>
      </c>
      <c r="V310" s="38" t="n">
        <v>0</v>
      </c>
      <c r="W310" s="38" t="n">
        <v>5.722000000000003</v>
      </c>
      <c r="X310" s="38" t="n">
        <v>21.584</v>
      </c>
      <c r="Y310" s="38" t="n">
        <v>2.182</v>
      </c>
      <c r="Z310" s="38" t="n">
        <v>0</v>
      </c>
      <c r="AA310" s="36" t="n">
        <v>32</v>
      </c>
      <c r="AB310" s="37" t="n">
        <v>0.3076923076923077</v>
      </c>
      <c r="AC310" s="36" t="n">
        <v>9</v>
      </c>
      <c r="AD310" s="37" t="n">
        <v>0.1836734693877551</v>
      </c>
      <c r="AE310" s="36" t="n">
        <v>23</v>
      </c>
      <c r="AF310" s="37" t="n">
        <v>0.4509803921568628</v>
      </c>
      <c r="AG310" s="36" t="n">
        <v>7</v>
      </c>
      <c r="AH310" s="37" t="n">
        <v>0.7777777777777778</v>
      </c>
    </row>
    <row r="311">
      <c r="A311" s="53" t="n">
        <v>45818</v>
      </c>
      <c r="B311" t="inlineStr">
        <is>
          <t>R01_Sumbagut</t>
        </is>
      </c>
      <c r="C311" t="inlineStr">
        <is>
          <t>NOP PADANG SIDEMPUAN</t>
        </is>
      </c>
      <c r="D311" s="38" t="n">
        <v>4.747999999999998</v>
      </c>
      <c r="E311" s="38" t="n">
        <v>6.925</v>
      </c>
      <c r="F311" s="36" t="n">
        <v>6.51</v>
      </c>
      <c r="G311" s="36" t="n">
        <v>14.38300000000002</v>
      </c>
      <c r="H311" s="36" t="n">
        <v>240</v>
      </c>
      <c r="I311" s="37" t="n">
        <v>0.498960498960499</v>
      </c>
      <c r="J311" s="36" t="n">
        <v>55</v>
      </c>
      <c r="K311" s="37" t="n">
        <v>0.6470588235294118</v>
      </c>
      <c r="L311" s="36" t="n">
        <v>185</v>
      </c>
      <c r="M311" s="37" t="n">
        <v>0.4671717171717172</v>
      </c>
      <c r="N311" s="36" t="n">
        <v>23</v>
      </c>
      <c r="O311" s="37" t="n">
        <v>0.4181818181818182</v>
      </c>
      <c r="P311" s="36" t="n">
        <v>23</v>
      </c>
      <c r="Q311" s="37" t="n">
        <v>0.4339622641509434</v>
      </c>
      <c r="R311" s="36" t="n">
        <v>475</v>
      </c>
      <c r="S311" s="37" t="n">
        <v>0.9875259875259875</v>
      </c>
      <c r="T311" s="36" t="n">
        <v>82</v>
      </c>
      <c r="U311" s="37" t="n">
        <v>0.1704781704781705</v>
      </c>
      <c r="V311" s="38" t="n">
        <v>0.163</v>
      </c>
      <c r="W311" s="38" t="n">
        <v>4.972000000000003</v>
      </c>
      <c r="X311" s="38" t="n">
        <v>21.671</v>
      </c>
      <c r="Y311" s="38" t="n">
        <v>63.35400000000001</v>
      </c>
      <c r="Z311" s="38" t="n">
        <v>0</v>
      </c>
      <c r="AA311" s="36" t="n">
        <v>239</v>
      </c>
      <c r="AB311" s="37" t="n">
        <v>0.5584112149532711</v>
      </c>
      <c r="AC311" s="36" t="n">
        <v>122</v>
      </c>
      <c r="AD311" s="37" t="n">
        <v>0.5147679324894515</v>
      </c>
      <c r="AE311" s="36" t="n">
        <v>116</v>
      </c>
      <c r="AF311" s="37" t="n">
        <v>0.6137566137566137</v>
      </c>
      <c r="AG311" s="36" t="n">
        <v>67</v>
      </c>
      <c r="AH311" s="37" t="n">
        <v>0.5491803278688525</v>
      </c>
    </row>
    <row r="312">
      <c r="A312" s="53" t="n">
        <v>45818</v>
      </c>
      <c r="B312" t="inlineStr">
        <is>
          <t>R01_Sumbagut</t>
        </is>
      </c>
      <c r="C312" t="inlineStr">
        <is>
          <t>NOP PEMATANG SIANTAR</t>
        </is>
      </c>
      <c r="D312" s="38" t="n">
        <v>8.93</v>
      </c>
      <c r="E312" s="38" t="n">
        <v>7.479</v>
      </c>
      <c r="F312" s="36" t="n">
        <v>7.004</v>
      </c>
      <c r="G312" s="36" t="n">
        <v>9.1</v>
      </c>
      <c r="H312" s="36" t="n">
        <v>244</v>
      </c>
      <c r="I312" s="37" t="n">
        <v>0.4959349593495935</v>
      </c>
      <c r="J312" s="36" t="n">
        <v>112</v>
      </c>
      <c r="K312" s="37" t="n">
        <v>0.7516778523489933</v>
      </c>
      <c r="L312" s="36" t="n">
        <v>132</v>
      </c>
      <c r="M312" s="37" t="n">
        <v>0.3848396501457726</v>
      </c>
      <c r="N312" s="36" t="n">
        <v>50</v>
      </c>
      <c r="O312" s="37" t="n">
        <v>0.4464285714285715</v>
      </c>
      <c r="P312" s="36" t="n">
        <v>49</v>
      </c>
      <c r="Q312" s="37" t="n">
        <v>0.4495412844036697</v>
      </c>
      <c r="R312" s="36" t="n">
        <v>433</v>
      </c>
      <c r="S312" s="37" t="n">
        <v>0.8800813008130082</v>
      </c>
      <c r="T312" s="36" t="n">
        <v>99</v>
      </c>
      <c r="U312" s="37" t="n">
        <v>0.201219512195122</v>
      </c>
      <c r="V312" s="38" t="n">
        <v>0.028</v>
      </c>
      <c r="W312" s="38" t="n">
        <v>6.88</v>
      </c>
      <c r="X312" s="38" t="n">
        <v>39.428</v>
      </c>
      <c r="Y312" s="38" t="n">
        <v>36.406</v>
      </c>
      <c r="Z312" s="38" t="n">
        <v>0</v>
      </c>
      <c r="AA312" s="36" t="n">
        <v>238</v>
      </c>
      <c r="AB312" s="37" t="n">
        <v>0.6197916666666666</v>
      </c>
      <c r="AC312" s="36" t="n">
        <v>124</v>
      </c>
      <c r="AD312" s="37" t="n">
        <v>0.6631016042780749</v>
      </c>
      <c r="AE312" s="36" t="n">
        <v>110</v>
      </c>
      <c r="AF312" s="37" t="n">
        <v>0.6043956043956044</v>
      </c>
      <c r="AG312" s="36" t="n">
        <v>50</v>
      </c>
      <c r="AH312" s="37" t="n">
        <v>0.4032258064516129</v>
      </c>
    </row>
    <row r="313">
      <c r="A313" s="53" t="n">
        <v>45818</v>
      </c>
      <c r="B313" t="inlineStr">
        <is>
          <t>R01_Sumbagut</t>
        </is>
      </c>
      <c r="C313" t="inlineStr">
        <is>
          <t>NOP RANTAU PRAPAT</t>
        </is>
      </c>
      <c r="D313" s="38" t="n">
        <v>5.460000000000001</v>
      </c>
      <c r="E313" s="38" t="n">
        <v>3.31</v>
      </c>
      <c r="F313" s="36" t="n">
        <v>9.666000000000002</v>
      </c>
      <c r="G313" s="36" t="n">
        <v>6.255</v>
      </c>
      <c r="H313" s="36" t="n">
        <v>82</v>
      </c>
      <c r="I313" s="37" t="n">
        <v>0.3980582524271845</v>
      </c>
      <c r="J313" s="36" t="n">
        <v>14</v>
      </c>
      <c r="K313" s="37" t="n">
        <v>0.4</v>
      </c>
      <c r="L313" s="36" t="n">
        <v>68</v>
      </c>
      <c r="M313" s="37" t="n">
        <v>0.3976608187134503</v>
      </c>
      <c r="N313" s="36" t="n">
        <v>3</v>
      </c>
      <c r="O313" s="37" t="n">
        <v>0.2142857142857143</v>
      </c>
      <c r="P313" s="36" t="n">
        <v>3</v>
      </c>
      <c r="Q313" s="37" t="n">
        <v>0.2142857142857143</v>
      </c>
      <c r="R313" s="36" t="n">
        <v>205</v>
      </c>
      <c r="S313" s="37" t="n">
        <v>0.9951456310679612</v>
      </c>
      <c r="T313" s="36" t="n">
        <v>36</v>
      </c>
      <c r="U313" s="37" t="n">
        <v>0.1747572815533981</v>
      </c>
      <c r="V313" s="38" t="n">
        <v>0</v>
      </c>
      <c r="W313" s="38" t="n">
        <v>7.582000000000001</v>
      </c>
      <c r="X313" s="38" t="n">
        <v>22.191</v>
      </c>
      <c r="Y313" s="38" t="n">
        <v>43.62100000000004</v>
      </c>
      <c r="Z313" s="38" t="n">
        <v>0</v>
      </c>
      <c r="AA313" s="36" t="n">
        <v>47</v>
      </c>
      <c r="AB313" s="37" t="n">
        <v>0.2206572769953052</v>
      </c>
      <c r="AC313" s="36" t="n">
        <v>23</v>
      </c>
      <c r="AD313" s="37" t="n">
        <v>0.4259259259259259</v>
      </c>
      <c r="AE313" s="36" t="n">
        <v>22</v>
      </c>
      <c r="AF313" s="37" t="n">
        <v>0.1466666666666667</v>
      </c>
      <c r="AG313" s="36" t="n">
        <v>6</v>
      </c>
      <c r="AH313" s="37" t="n">
        <v>0.2608695652173913</v>
      </c>
    </row>
    <row r="314">
      <c r="A314" s="53" t="n">
        <v>45818</v>
      </c>
      <c r="B314" t="inlineStr">
        <is>
          <t>R10_Sumbagteng</t>
        </is>
      </c>
      <c r="C314" t="inlineStr">
        <is>
          <t>NOP BATAM</t>
        </is>
      </c>
      <c r="D314" s="38" t="n">
        <v>0.7649999999999999</v>
      </c>
      <c r="E314" s="38" t="n">
        <v>7.8</v>
      </c>
      <c r="F314" s="36" t="n">
        <v>20.98699999999999</v>
      </c>
      <c r="G314" s="36" t="n">
        <v>8.830000000000016</v>
      </c>
      <c r="H314" s="36" t="n">
        <v>122</v>
      </c>
      <c r="I314" s="37" t="n">
        <v>0.6703296703296703</v>
      </c>
      <c r="J314" s="36" t="n">
        <v>23</v>
      </c>
      <c r="K314" s="37" t="n">
        <v>0.7931034482758621</v>
      </c>
      <c r="L314" s="36" t="n">
        <v>99</v>
      </c>
      <c r="M314" s="37" t="n">
        <v>0.6470588235294118</v>
      </c>
      <c r="N314" s="36" t="n">
        <v>16</v>
      </c>
      <c r="O314" s="37" t="n">
        <v>0.6956521739130435</v>
      </c>
      <c r="P314" s="36" t="n">
        <v>16</v>
      </c>
      <c r="Q314" s="37" t="n">
        <v>0.6956521739130435</v>
      </c>
      <c r="R314" s="36" t="n">
        <v>180</v>
      </c>
      <c r="S314" s="37" t="n">
        <v>0.9890109890109891</v>
      </c>
      <c r="T314" s="36" t="n">
        <v>88</v>
      </c>
      <c r="U314" s="37" t="n">
        <v>0.4835164835164835</v>
      </c>
      <c r="V314" s="38" t="n">
        <v>0</v>
      </c>
      <c r="W314" s="38" t="n">
        <v>9.959999999999999</v>
      </c>
      <c r="X314" s="38" t="n">
        <v>42.96900000000007</v>
      </c>
      <c r="Y314" s="38" t="n">
        <v>73.68399999999998</v>
      </c>
      <c r="Z314" s="38" t="n">
        <v>0</v>
      </c>
      <c r="AA314" s="36" t="n">
        <v>117</v>
      </c>
      <c r="AB314" s="37" t="n">
        <v>0.3534743202416918</v>
      </c>
      <c r="AC314" s="36" t="n">
        <v>48</v>
      </c>
      <c r="AD314" s="37" t="n">
        <v>0.4247787610619469</v>
      </c>
      <c r="AE314" s="36" t="n">
        <v>67</v>
      </c>
      <c r="AF314" s="37" t="n">
        <v>0.3116279069767442</v>
      </c>
      <c r="AG314" s="36" t="n">
        <v>39</v>
      </c>
      <c r="AH314" s="37" t="n">
        <v>0.8125</v>
      </c>
    </row>
    <row r="315">
      <c r="A315" s="53" t="n">
        <v>45818</v>
      </c>
      <c r="B315" t="inlineStr">
        <is>
          <t>R10_Sumbagteng</t>
        </is>
      </c>
      <c r="C315" t="inlineStr">
        <is>
          <t>NOP BUKITTINGGI</t>
        </is>
      </c>
      <c r="D315" s="38" t="n">
        <v>1.202</v>
      </c>
      <c r="E315" s="38" t="n">
        <v>3.534000000000001</v>
      </c>
      <c r="F315" s="36" t="n">
        <v>3.856999999999999</v>
      </c>
      <c r="G315" s="36" t="n">
        <v>7.025</v>
      </c>
      <c r="H315" s="36" t="n">
        <v>99</v>
      </c>
      <c r="I315" s="37" t="n">
        <v>0.6346153846153846</v>
      </c>
      <c r="J315" s="36" t="n">
        <v>21</v>
      </c>
      <c r="K315" s="37" t="n">
        <v>0.65625</v>
      </c>
      <c r="L315" s="36" t="n">
        <v>78</v>
      </c>
      <c r="M315" s="37" t="n">
        <v>0.6290322580645161</v>
      </c>
      <c r="N315" s="36" t="n">
        <v>16</v>
      </c>
      <c r="O315" s="37" t="n">
        <v>0.7619047619047619</v>
      </c>
      <c r="P315" s="36" t="n">
        <v>16</v>
      </c>
      <c r="Q315" s="37" t="n">
        <v>0.7619047619047619</v>
      </c>
      <c r="R315" s="36" t="n">
        <v>145</v>
      </c>
      <c r="S315" s="37" t="n">
        <v>0.9294871794871795</v>
      </c>
      <c r="T315" s="36" t="n">
        <v>46</v>
      </c>
      <c r="U315" s="37" t="n">
        <v>0.2948717948717949</v>
      </c>
      <c r="V315" s="38" t="n">
        <v>0</v>
      </c>
      <c r="W315" s="38" t="n">
        <v>2.923999999999999</v>
      </c>
      <c r="X315" s="38" t="n">
        <v>62.306</v>
      </c>
      <c r="Y315" s="38" t="n">
        <v>48.01800000000001</v>
      </c>
      <c r="Z315" s="38" t="n">
        <v>0</v>
      </c>
      <c r="AA315" s="36" t="n">
        <v>105</v>
      </c>
      <c r="AB315" s="37" t="n">
        <v>0.6402439024390244</v>
      </c>
      <c r="AC315" s="36" t="n">
        <v>19</v>
      </c>
      <c r="AD315" s="37" t="n">
        <v>0.7916666666666666</v>
      </c>
      <c r="AE315" s="36" t="n">
        <v>84</v>
      </c>
      <c r="AF315" s="37" t="n">
        <v>0.6176470588235294</v>
      </c>
      <c r="AG315" s="36" t="n">
        <v>9</v>
      </c>
      <c r="AH315" s="37" t="n">
        <v>0.4736842105263158</v>
      </c>
    </row>
    <row r="316">
      <c r="A316" s="53" t="n">
        <v>45818</v>
      </c>
      <c r="B316" t="inlineStr">
        <is>
          <t>R10_Sumbagteng</t>
        </is>
      </c>
      <c r="C316" t="inlineStr">
        <is>
          <t>NOP DUMAI</t>
        </is>
      </c>
      <c r="D316" s="38" t="n">
        <v>1.61</v>
      </c>
      <c r="E316" s="38" t="n">
        <v>13.85400000000001</v>
      </c>
      <c r="F316" s="36" t="n">
        <v>3.742</v>
      </c>
      <c r="G316" s="36" t="n">
        <v>6.819000000000004</v>
      </c>
      <c r="H316" s="36" t="n">
        <v>97</v>
      </c>
      <c r="I316" s="37" t="n">
        <v>0.3849206349206349</v>
      </c>
      <c r="J316" s="36" t="n">
        <v>47</v>
      </c>
      <c r="K316" s="37" t="n">
        <v>0.7014925373134329</v>
      </c>
      <c r="L316" s="36" t="n">
        <v>50</v>
      </c>
      <c r="M316" s="37" t="n">
        <v>0.2702702702702703</v>
      </c>
      <c r="N316" s="36" t="n">
        <v>39</v>
      </c>
      <c r="O316" s="37" t="n">
        <v>0.8297872340425532</v>
      </c>
      <c r="P316" s="36" t="n">
        <v>39</v>
      </c>
      <c r="Q316" s="37" t="n">
        <v>0.8478260869565217</v>
      </c>
      <c r="R316" s="36" t="n">
        <v>252</v>
      </c>
      <c r="S316" s="37" t="n">
        <v>1</v>
      </c>
      <c r="T316" s="36" t="n">
        <v>67</v>
      </c>
      <c r="U316" s="37" t="n">
        <v>0.2658730158730159</v>
      </c>
      <c r="V316" s="38" t="n">
        <v>0.144</v>
      </c>
      <c r="W316" s="38" t="n">
        <v>18.00600000000002</v>
      </c>
      <c r="X316" s="38" t="n">
        <v>49.99400000000001</v>
      </c>
      <c r="Y316" s="38" t="n">
        <v>69.40200000000003</v>
      </c>
      <c r="Z316" s="38" t="n">
        <v>0</v>
      </c>
      <c r="AA316" s="36" t="n">
        <v>106</v>
      </c>
      <c r="AB316" s="37" t="n">
        <v>0.2623762376237624</v>
      </c>
      <c r="AC316" s="36" t="n">
        <v>34</v>
      </c>
      <c r="AD316" s="37" t="n">
        <v>0.4857142857142857</v>
      </c>
      <c r="AE316" s="36" t="n">
        <v>72</v>
      </c>
      <c r="AF316" s="37" t="n">
        <v>0.2162162162162162</v>
      </c>
      <c r="AG316" s="36" t="n">
        <v>33</v>
      </c>
      <c r="AH316" s="37" t="n">
        <v>0.9705882352941176</v>
      </c>
    </row>
    <row r="317">
      <c r="A317" s="53" t="n">
        <v>45818</v>
      </c>
      <c r="B317" t="inlineStr">
        <is>
          <t>R10_Sumbagteng</t>
        </is>
      </c>
      <c r="C317" t="inlineStr">
        <is>
          <t>NOP PADANG</t>
        </is>
      </c>
      <c r="D317" s="38" t="n">
        <v>1.507</v>
      </c>
      <c r="E317" s="38" t="n">
        <v>5.385</v>
      </c>
      <c r="F317" s="36" t="n">
        <v>4.968</v>
      </c>
      <c r="G317" s="36" t="n">
        <v>3.58</v>
      </c>
      <c r="H317" s="36" t="n">
        <v>95</v>
      </c>
      <c r="I317" s="37" t="n">
        <v>0.7142857142857143</v>
      </c>
      <c r="J317" s="36" t="n">
        <v>6</v>
      </c>
      <c r="K317" s="37" t="n">
        <v>0.75</v>
      </c>
      <c r="L317" s="36" t="n">
        <v>89</v>
      </c>
      <c r="M317" s="37" t="n">
        <v>0.712</v>
      </c>
      <c r="N317" s="36" t="n">
        <v>6</v>
      </c>
      <c r="O317" s="37" t="n">
        <v>1</v>
      </c>
      <c r="P317" s="36" t="n">
        <v>6</v>
      </c>
      <c r="Q317" s="37" t="n">
        <v>1</v>
      </c>
      <c r="R317" s="36" t="n">
        <v>127</v>
      </c>
      <c r="S317" s="37" t="n">
        <v>0.9548872180451128</v>
      </c>
      <c r="T317" s="36" t="n">
        <v>57</v>
      </c>
      <c r="U317" s="37" t="n">
        <v>0.4285714285714285</v>
      </c>
      <c r="V317" s="38" t="n">
        <v>0.24</v>
      </c>
      <c r="W317" s="38" t="n">
        <v>5.11</v>
      </c>
      <c r="X317" s="38" t="n">
        <v>49.45400000000001</v>
      </c>
      <c r="Y317" s="38" t="n">
        <v>92.66</v>
      </c>
      <c r="Z317" s="38" t="n">
        <v>0</v>
      </c>
      <c r="AA317" s="36" t="n">
        <v>125</v>
      </c>
      <c r="AB317" s="37" t="n">
        <v>0.7621951219512195</v>
      </c>
      <c r="AC317" s="36" t="n">
        <v>32</v>
      </c>
      <c r="AD317" s="37" t="n">
        <v>0.5925925925925926</v>
      </c>
      <c r="AE317" s="36" t="n">
        <v>93</v>
      </c>
      <c r="AF317" s="37" t="n">
        <v>0.8454545454545455</v>
      </c>
      <c r="AG317" s="36" t="n">
        <v>22</v>
      </c>
      <c r="AH317" s="37" t="n">
        <v>0.6875</v>
      </c>
    </row>
    <row r="318">
      <c r="A318" s="53" t="n">
        <v>45818</v>
      </c>
      <c r="B318" t="inlineStr">
        <is>
          <t>R10_Sumbagteng</t>
        </is>
      </c>
      <c r="C318" t="inlineStr">
        <is>
          <t>NOP PEKANBARU</t>
        </is>
      </c>
      <c r="D318" s="38" t="n">
        <v>3.559</v>
      </c>
      <c r="E318" s="38" t="n">
        <v>4.544</v>
      </c>
      <c r="F318" s="36" t="n">
        <v>3.74</v>
      </c>
      <c r="G318" s="36" t="n">
        <v>3.920000000000003</v>
      </c>
      <c r="H318" s="36" t="n">
        <v>76</v>
      </c>
      <c r="I318" s="37" t="n">
        <v>0.38</v>
      </c>
      <c r="J318" s="36" t="n">
        <v>12</v>
      </c>
      <c r="K318" s="37" t="n">
        <v>0.3529411764705883</v>
      </c>
      <c r="L318" s="36" t="n">
        <v>64</v>
      </c>
      <c r="M318" s="37" t="n">
        <v>0.3855421686746988</v>
      </c>
      <c r="N318" s="36" t="n">
        <v>9</v>
      </c>
      <c r="O318" s="37" t="n">
        <v>0.75</v>
      </c>
      <c r="P318" s="36" t="n">
        <v>9</v>
      </c>
      <c r="Q318" s="37" t="n">
        <v>0.75</v>
      </c>
      <c r="R318" s="36" t="n">
        <v>198</v>
      </c>
      <c r="S318" s="37" t="n">
        <v>0.99</v>
      </c>
      <c r="T318" s="36" t="n">
        <v>44</v>
      </c>
      <c r="U318" s="37" t="n">
        <v>0.22</v>
      </c>
      <c r="V318" s="38" t="n">
        <v>0.106</v>
      </c>
      <c r="W318" s="38" t="n">
        <v>6.520000000000016</v>
      </c>
      <c r="X318" s="38" t="n">
        <v>46.605</v>
      </c>
      <c r="Y318" s="38" t="n">
        <v>49.94400000000001</v>
      </c>
      <c r="Z318" s="38" t="n">
        <v>0</v>
      </c>
      <c r="AA318" s="36" t="n">
        <v>95</v>
      </c>
      <c r="AB318" s="37" t="n">
        <v>0.2810650887573964</v>
      </c>
      <c r="AC318" s="36" t="n">
        <v>29</v>
      </c>
      <c r="AD318" s="37" t="n">
        <v>0.3295454545454545</v>
      </c>
      <c r="AE318" s="36" t="n">
        <v>61</v>
      </c>
      <c r="AF318" s="37" t="n">
        <v>0.2606837606837607</v>
      </c>
      <c r="AG318" s="36" t="n">
        <v>23</v>
      </c>
      <c r="AH318" s="37" t="n">
        <v>0.7931034482758621</v>
      </c>
    </row>
    <row r="319">
      <c r="A319" s="53" t="n">
        <v>45818</v>
      </c>
      <c r="B319" t="inlineStr">
        <is>
          <t>R02_Sumbagsel</t>
        </is>
      </c>
      <c r="C319" t="inlineStr">
        <is>
          <t>NOP BENGKULU</t>
        </is>
      </c>
      <c r="D319" s="38" t="n">
        <v>2.356</v>
      </c>
      <c r="E319" s="38" t="n">
        <v>2.676</v>
      </c>
      <c r="F319" s="36" t="n">
        <v>4.633000000000002</v>
      </c>
      <c r="G319" s="36" t="n">
        <v>4.98</v>
      </c>
      <c r="H319" s="36" t="n">
        <v>61</v>
      </c>
      <c r="I319" s="37" t="n">
        <v>0.5446428571428571</v>
      </c>
      <c r="J319" s="36" t="n">
        <v>20</v>
      </c>
      <c r="K319" s="37" t="n">
        <v>0.5128205128205128</v>
      </c>
      <c r="L319" s="36" t="n">
        <v>41</v>
      </c>
      <c r="M319" s="37" t="n">
        <v>0.5616438356164384</v>
      </c>
      <c r="N319" s="36" t="n">
        <v>15</v>
      </c>
      <c r="O319" s="37" t="n">
        <v>0.75</v>
      </c>
      <c r="P319" s="36" t="n">
        <v>15</v>
      </c>
      <c r="Q319" s="37" t="n">
        <v>0.75</v>
      </c>
      <c r="R319" s="36" t="n">
        <v>112</v>
      </c>
      <c r="S319" s="37" t="n">
        <v>1</v>
      </c>
      <c r="T319" s="36" t="n">
        <v>48</v>
      </c>
      <c r="U319" s="37" t="n">
        <v>0.4285714285714285</v>
      </c>
      <c r="V319" s="38" t="n">
        <v>0</v>
      </c>
      <c r="W319" s="38" t="n">
        <v>3.062000000000002</v>
      </c>
      <c r="X319" s="38" t="n">
        <v>18.11</v>
      </c>
      <c r="Y319" s="38" t="n">
        <v>4</v>
      </c>
      <c r="Z319" s="38" t="n">
        <v>0</v>
      </c>
      <c r="AA319" s="36" t="n">
        <v>100</v>
      </c>
      <c r="AB319" s="37" t="n">
        <v>0.4761904761904762</v>
      </c>
      <c r="AC319" s="36" t="n">
        <v>48</v>
      </c>
      <c r="AD319" s="37" t="n">
        <v>0.3555555555555556</v>
      </c>
      <c r="AE319" s="36" t="n">
        <v>48</v>
      </c>
      <c r="AF319" s="37" t="n">
        <v>0.7272727272727273</v>
      </c>
      <c r="AG319" s="36" t="n">
        <v>40</v>
      </c>
      <c r="AH319" s="37" t="n">
        <v>0.8333333333333334</v>
      </c>
    </row>
    <row r="320">
      <c r="A320" s="53" t="n">
        <v>45818</v>
      </c>
      <c r="B320" t="inlineStr">
        <is>
          <t>R02_Sumbagsel</t>
        </is>
      </c>
      <c r="C320" t="inlineStr">
        <is>
          <t>NOP JAMBI</t>
        </is>
      </c>
      <c r="D320" s="38" t="n">
        <v>1.834</v>
      </c>
      <c r="E320" s="38" t="n">
        <v>3.685</v>
      </c>
      <c r="F320" s="36" t="n">
        <v>3.965</v>
      </c>
      <c r="G320" s="36" t="n">
        <v>2.422</v>
      </c>
      <c r="H320" s="36" t="n">
        <v>58</v>
      </c>
      <c r="I320" s="37" t="n">
        <v>0.4427480916030535</v>
      </c>
      <c r="J320" s="36" t="n">
        <v>15</v>
      </c>
      <c r="K320" s="37" t="n">
        <v>0.4545454545454545</v>
      </c>
      <c r="L320" s="36" t="n">
        <v>43</v>
      </c>
      <c r="M320" s="37" t="n">
        <v>0.4387755102040816</v>
      </c>
      <c r="N320" s="36" t="n">
        <v>9</v>
      </c>
      <c r="O320" s="37" t="n">
        <v>0.6</v>
      </c>
      <c r="P320" s="36" t="n">
        <v>9</v>
      </c>
      <c r="Q320" s="37" t="n">
        <v>0.6</v>
      </c>
      <c r="R320" s="36" t="n">
        <v>131</v>
      </c>
      <c r="S320" s="37" t="n">
        <v>1</v>
      </c>
      <c r="T320" s="36" t="n">
        <v>23</v>
      </c>
      <c r="U320" s="37" t="n">
        <v>0.1755725190839695</v>
      </c>
      <c r="V320" s="38" t="n">
        <v>0</v>
      </c>
      <c r="W320" s="38" t="n">
        <v>1.968</v>
      </c>
      <c r="X320" s="38" t="n">
        <v>20.743</v>
      </c>
      <c r="Y320" s="38" t="n">
        <v>20.40000000000001</v>
      </c>
      <c r="Z320" s="38" t="n">
        <v>0</v>
      </c>
      <c r="AA320" s="36" t="n">
        <v>34</v>
      </c>
      <c r="AB320" s="37" t="n">
        <v>0.1798941798941799</v>
      </c>
      <c r="AC320" s="36" t="n">
        <v>15</v>
      </c>
      <c r="AD320" s="37" t="n">
        <v>0.1376146788990826</v>
      </c>
      <c r="AE320" s="36" t="n">
        <v>18</v>
      </c>
      <c r="AF320" s="37" t="n">
        <v>0.2903225806451613</v>
      </c>
      <c r="AG320" s="36" t="n">
        <v>10</v>
      </c>
      <c r="AH320" s="37" t="n">
        <v>0.6666666666666666</v>
      </c>
    </row>
    <row r="321">
      <c r="A321" s="53" t="n">
        <v>45818</v>
      </c>
      <c r="B321" t="inlineStr">
        <is>
          <t>R02_Sumbagsel</t>
        </is>
      </c>
      <c r="C321" t="inlineStr">
        <is>
          <t>NOP LAMPUNG</t>
        </is>
      </c>
      <c r="D321" s="38" t="n">
        <v>4.995</v>
      </c>
      <c r="E321" s="38" t="n">
        <v>1.728</v>
      </c>
      <c r="F321" s="36" t="n">
        <v>4.368</v>
      </c>
      <c r="G321" s="36" t="n">
        <v>4.857000000000001</v>
      </c>
      <c r="H321" s="36" t="n">
        <v>37</v>
      </c>
      <c r="I321" s="37" t="n">
        <v>0.6607142857142857</v>
      </c>
      <c r="J321" s="36" t="n">
        <v>11</v>
      </c>
      <c r="K321" s="37" t="n">
        <v>0.8461538461538461</v>
      </c>
      <c r="L321" s="36" t="n">
        <v>26</v>
      </c>
      <c r="M321" s="37" t="n">
        <v>0.6046511627906976</v>
      </c>
      <c r="N321" s="36" t="n">
        <v>10</v>
      </c>
      <c r="O321" s="37" t="n">
        <v>0.9090909090909091</v>
      </c>
      <c r="P321" s="36" t="n">
        <v>9</v>
      </c>
      <c r="Q321" s="37" t="n">
        <v>0.9</v>
      </c>
      <c r="R321" s="36" t="n">
        <v>56</v>
      </c>
      <c r="S321" s="37" t="n">
        <v>1</v>
      </c>
      <c r="T321" s="36" t="n">
        <v>32</v>
      </c>
      <c r="U321" s="37" t="n">
        <v>0.5714285714285714</v>
      </c>
      <c r="V321" s="38" t="n">
        <v>0</v>
      </c>
      <c r="W321" s="38" t="n">
        <v>8.182000000000006</v>
      </c>
      <c r="X321" s="38" t="n">
        <v>8.312000000000033</v>
      </c>
      <c r="Y321" s="38" t="n">
        <v>25.834</v>
      </c>
      <c r="Z321" s="38" t="n">
        <v>0</v>
      </c>
      <c r="AA321" s="36" t="n">
        <v>104</v>
      </c>
      <c r="AB321" s="37" t="n">
        <v>0.859504132231405</v>
      </c>
      <c r="AC321" s="36" t="n">
        <v>17</v>
      </c>
      <c r="AD321" s="37" t="n">
        <v>1</v>
      </c>
      <c r="AE321" s="36" t="n">
        <v>83</v>
      </c>
      <c r="AF321" s="37" t="n">
        <v>0.8924731182795699</v>
      </c>
      <c r="AG321" s="36" t="n">
        <v>17</v>
      </c>
      <c r="AH321" s="37" t="n">
        <v>1</v>
      </c>
    </row>
    <row r="322">
      <c r="A322" s="53" t="n">
        <v>45818</v>
      </c>
      <c r="B322" t="inlineStr">
        <is>
          <t>R02_Sumbagsel</t>
        </is>
      </c>
      <c r="C322" t="inlineStr">
        <is>
          <t>NOP MUARA ENIM</t>
        </is>
      </c>
      <c r="D322" s="38" t="n">
        <v>1.716</v>
      </c>
      <c r="E322" s="38" t="n">
        <v>2.372</v>
      </c>
      <c r="F322" s="36" t="n">
        <v>3.14</v>
      </c>
      <c r="G322" s="36" t="n">
        <v>3.866000000000001</v>
      </c>
      <c r="H322" s="36" t="n">
        <v>35</v>
      </c>
      <c r="I322" s="37" t="n">
        <v>0.3684210526315789</v>
      </c>
      <c r="J322" s="36" t="n">
        <v>11</v>
      </c>
      <c r="K322" s="37" t="n">
        <v>0.5789473684210527</v>
      </c>
      <c r="L322" s="36" t="n">
        <v>24</v>
      </c>
      <c r="M322" s="37" t="n">
        <v>0.3157894736842105</v>
      </c>
      <c r="N322" s="36" t="n">
        <v>4</v>
      </c>
      <c r="O322" s="37" t="n">
        <v>0.3636363636363636</v>
      </c>
      <c r="P322" s="36" t="n">
        <v>4</v>
      </c>
      <c r="Q322" s="37" t="n">
        <v>0.4444444444444444</v>
      </c>
      <c r="R322" s="36" t="n">
        <v>90</v>
      </c>
      <c r="S322" s="37" t="n">
        <v>0.9473684210526315</v>
      </c>
      <c r="T322" s="36" t="n">
        <v>16</v>
      </c>
      <c r="U322" s="37" t="n">
        <v>0.1684210526315789</v>
      </c>
      <c r="V322" s="38" t="n">
        <v>0</v>
      </c>
      <c r="W322" s="38" t="n">
        <v>27.932</v>
      </c>
      <c r="X322" s="38" t="n">
        <v>9.266000000000023</v>
      </c>
      <c r="Y322" s="38" t="n">
        <v>5.72</v>
      </c>
      <c r="Z322" s="38" t="n">
        <v>0</v>
      </c>
      <c r="AA322" s="36" t="n">
        <v>135</v>
      </c>
      <c r="AB322" s="37" t="n">
        <v>0.625</v>
      </c>
      <c r="AC322" s="36" t="n">
        <v>35</v>
      </c>
      <c r="AD322" s="37" t="n">
        <v>0.5384615384615384</v>
      </c>
      <c r="AE322" s="36" t="n">
        <v>97</v>
      </c>
      <c r="AF322" s="37" t="n">
        <v>0.697841726618705</v>
      </c>
      <c r="AG322" s="36" t="n">
        <v>30</v>
      </c>
      <c r="AH322" s="37" t="n">
        <v>0.8571428571428571</v>
      </c>
    </row>
    <row r="323">
      <c r="A323" s="53" t="n">
        <v>45818</v>
      </c>
      <c r="B323" t="inlineStr">
        <is>
          <t>R02_Sumbagsel</t>
        </is>
      </c>
      <c r="C323" t="inlineStr">
        <is>
          <t>NOP PALEMBANG</t>
        </is>
      </c>
      <c r="D323" s="38" t="n">
        <v>4.285</v>
      </c>
      <c r="E323" s="38" t="n">
        <v>3.04</v>
      </c>
      <c r="F323" s="36" t="n">
        <v>4.86</v>
      </c>
      <c r="G323" s="36" t="n">
        <v>4.273000000000001</v>
      </c>
      <c r="H323" s="36" t="n">
        <v>46</v>
      </c>
      <c r="I323" s="37" t="n">
        <v>0.2527472527472527</v>
      </c>
      <c r="J323" s="36" t="n">
        <v>7</v>
      </c>
      <c r="K323" s="37" t="n">
        <v>0.2916666666666667</v>
      </c>
      <c r="L323" s="36" t="n">
        <v>39</v>
      </c>
      <c r="M323" s="37" t="n">
        <v>0.2468354430379747</v>
      </c>
      <c r="N323" s="36" t="n">
        <v>2</v>
      </c>
      <c r="O323" s="37" t="n">
        <v>0.2857142857142857</v>
      </c>
      <c r="P323" s="36" t="n">
        <v>2</v>
      </c>
      <c r="Q323" s="37" t="n">
        <v>0.2857142857142857</v>
      </c>
      <c r="R323" s="36" t="n">
        <v>182</v>
      </c>
      <c r="S323" s="37" t="n">
        <v>1</v>
      </c>
      <c r="T323" s="36" t="n">
        <v>14</v>
      </c>
      <c r="U323" s="37" t="n">
        <v>0.07692307692307693</v>
      </c>
      <c r="V323" s="38" t="n">
        <v>0</v>
      </c>
      <c r="W323" s="38" t="n">
        <v>3.412000000000001</v>
      </c>
      <c r="X323" s="38" t="n">
        <v>6.646</v>
      </c>
      <c r="Y323" s="38" t="n">
        <v>16.456</v>
      </c>
      <c r="Z323" s="38" t="n">
        <v>0</v>
      </c>
      <c r="AA323" s="36" t="n">
        <v>23</v>
      </c>
      <c r="AB323" s="37" t="n">
        <v>0.1329479768786127</v>
      </c>
      <c r="AC323" s="36" t="n">
        <v>15</v>
      </c>
      <c r="AD323" s="37" t="n">
        <v>0.1724137931034483</v>
      </c>
      <c r="AE323" s="36" t="n">
        <v>8</v>
      </c>
      <c r="AF323" s="37" t="n">
        <v>0.126984126984127</v>
      </c>
      <c r="AG323" s="36" t="n">
        <v>10</v>
      </c>
      <c r="AH323" s="37" t="n">
        <v>0.6666666666666666</v>
      </c>
    </row>
    <row r="324">
      <c r="A324" s="53" t="n">
        <v>45818</v>
      </c>
      <c r="B324" t="inlineStr">
        <is>
          <t>R02_Sumbagsel</t>
        </is>
      </c>
      <c r="C324" t="inlineStr">
        <is>
          <t>NOP PANGKAL PINANG</t>
        </is>
      </c>
      <c r="D324" s="38" t="n">
        <v>0</v>
      </c>
      <c r="E324" s="38" t="n">
        <v>0</v>
      </c>
      <c r="F324" s="36" t="n">
        <v>2.666</v>
      </c>
      <c r="G324" s="36" t="n">
        <v>5.596</v>
      </c>
      <c r="H324" s="36" t="n">
        <v>15</v>
      </c>
      <c r="I324" s="37" t="n">
        <v>0.75</v>
      </c>
      <c r="J324" s="36" t="n">
        <v>0</v>
      </c>
      <c r="K324" s="37" t="n">
        <v>0</v>
      </c>
      <c r="L324" s="36" t="n">
        <v>15</v>
      </c>
      <c r="M324" s="37" t="n">
        <v>0.75</v>
      </c>
      <c r="N324" s="36" t="n">
        <v>0</v>
      </c>
      <c r="O324" s="37" t="n">
        <v>0</v>
      </c>
      <c r="P324" s="36" t="n">
        <v>0</v>
      </c>
      <c r="Q324" s="37" t="n">
        <v>0</v>
      </c>
      <c r="R324" s="36" t="n">
        <v>20</v>
      </c>
      <c r="S324" s="37" t="n">
        <v>1</v>
      </c>
      <c r="T324" s="36" t="n">
        <v>11</v>
      </c>
      <c r="U324" s="37" t="n">
        <v>0.55</v>
      </c>
      <c r="V324" s="38" t="n">
        <v>0</v>
      </c>
      <c r="W324" s="38" t="n">
        <v>3.72</v>
      </c>
      <c r="X324" s="38" t="n">
        <v>16.86800000000001</v>
      </c>
      <c r="Y324" s="38" t="n">
        <v>6.035</v>
      </c>
      <c r="Z324" s="38" t="n">
        <v>0</v>
      </c>
      <c r="AA324" s="36" t="n">
        <v>79</v>
      </c>
      <c r="AB324" s="37" t="n">
        <v>0.9404761904761905</v>
      </c>
      <c r="AC324" s="36" t="n">
        <v>11</v>
      </c>
      <c r="AD324" s="37" t="n">
        <v>1</v>
      </c>
      <c r="AE324" s="36" t="n">
        <v>56</v>
      </c>
      <c r="AF324" s="37" t="n">
        <v>0.9491525423728814</v>
      </c>
      <c r="AG324" s="36" t="n">
        <v>6</v>
      </c>
      <c r="AH324" s="37" t="n">
        <v>0.5454545454545454</v>
      </c>
    </row>
    <row r="325">
      <c r="A325" s="53" t="n">
        <v>45818</v>
      </c>
      <c r="B325" t="inlineStr">
        <is>
          <t>R05_Jawa Tengah DIY</t>
        </is>
      </c>
      <c r="C325" t="inlineStr">
        <is>
          <t>NOP MAGELANG</t>
        </is>
      </c>
      <c r="D325" s="38" t="n">
        <v>1.449</v>
      </c>
      <c r="E325" s="38" t="n">
        <v>0</v>
      </c>
      <c r="F325" s="36" t="n">
        <v>2.136</v>
      </c>
      <c r="G325" s="36" t="n">
        <v>4.050000000000001</v>
      </c>
      <c r="H325" s="36" t="n">
        <v>11</v>
      </c>
      <c r="I325" s="37" t="n">
        <v>0.7333333333333333</v>
      </c>
      <c r="J325" s="36" t="n">
        <v>2</v>
      </c>
      <c r="K325" s="37" t="n">
        <v>1</v>
      </c>
      <c r="L325" s="36" t="n">
        <v>9</v>
      </c>
      <c r="M325" s="37" t="n">
        <v>0.6923076923076923</v>
      </c>
      <c r="N325" s="36" t="n">
        <v>2</v>
      </c>
      <c r="O325" s="37" t="n">
        <v>1</v>
      </c>
      <c r="P325" s="36" t="n">
        <v>2</v>
      </c>
      <c r="Q325" s="37" t="n">
        <v>1</v>
      </c>
      <c r="R325" s="36" t="n">
        <v>15</v>
      </c>
      <c r="S325" s="37" t="n">
        <v>1</v>
      </c>
      <c r="T325" s="36" t="n">
        <v>7</v>
      </c>
      <c r="U325" s="37" t="n">
        <v>0.4666666666666667</v>
      </c>
      <c r="V325" s="38" t="n">
        <v>0</v>
      </c>
      <c r="W325" s="38" t="n">
        <v>2.386</v>
      </c>
      <c r="X325" s="38" t="n">
        <v>4.613000000000001</v>
      </c>
      <c r="Y325" s="38" t="n">
        <v>11.184</v>
      </c>
      <c r="Z325" s="38" t="n">
        <v>0</v>
      </c>
      <c r="AA325" s="36" t="n">
        <v>47</v>
      </c>
      <c r="AB325" s="37" t="n">
        <v>0.9399999999999999</v>
      </c>
      <c r="AC325" s="36" t="n">
        <v>5</v>
      </c>
      <c r="AD325" s="37" t="n">
        <v>1</v>
      </c>
      <c r="AE325" s="36" t="n">
        <v>42</v>
      </c>
      <c r="AF325" s="37" t="n">
        <v>0.9333333333333333</v>
      </c>
      <c r="AG325" s="36" t="n">
        <v>4</v>
      </c>
      <c r="AH325" s="37" t="n">
        <v>0.8</v>
      </c>
    </row>
    <row r="326">
      <c r="A326" s="53" t="n">
        <v>45818</v>
      </c>
      <c r="B326" t="inlineStr">
        <is>
          <t>R05_Jawa Tengah DIY</t>
        </is>
      </c>
      <c r="C326" t="inlineStr">
        <is>
          <t>NOP PEKALONGAN</t>
        </is>
      </c>
      <c r="D326" s="38" t="n">
        <v>0</v>
      </c>
      <c r="E326" s="38" t="n">
        <v>0</v>
      </c>
      <c r="F326" s="36" t="n">
        <v>0</v>
      </c>
      <c r="G326" s="36" t="n">
        <v>7.359999999999999</v>
      </c>
      <c r="H326" s="36" t="n">
        <v>8</v>
      </c>
      <c r="I326" s="37" t="n">
        <v>0.8888888888888888</v>
      </c>
      <c r="J326" s="36" t="n">
        <v>0</v>
      </c>
      <c r="K326" s="37" t="n">
        <v>0</v>
      </c>
      <c r="L326" s="36" t="n">
        <v>8</v>
      </c>
      <c r="M326" s="37" t="n">
        <v>0.8888888888888888</v>
      </c>
      <c r="N326" s="36" t="n">
        <v>0</v>
      </c>
      <c r="O326" s="37" t="n">
        <v>0</v>
      </c>
      <c r="P326" s="36" t="n">
        <v>0</v>
      </c>
      <c r="Q326" s="37" t="n">
        <v>0</v>
      </c>
      <c r="R326" s="36" t="n">
        <v>9</v>
      </c>
      <c r="S326" s="37" t="n">
        <v>1</v>
      </c>
      <c r="T326" s="36" t="n">
        <v>4</v>
      </c>
      <c r="U326" s="37" t="n">
        <v>0.4444444444444444</v>
      </c>
      <c r="V326" s="38" t="n">
        <v>0</v>
      </c>
      <c r="W326" s="38" t="n">
        <v>2.87</v>
      </c>
      <c r="X326" s="38" t="n">
        <v>5.84</v>
      </c>
      <c r="Y326" s="38" t="n">
        <v>63.56</v>
      </c>
      <c r="Z326" s="38" t="n">
        <v>0</v>
      </c>
      <c r="AA326" s="36" t="n">
        <v>28</v>
      </c>
      <c r="AB326" s="37" t="n">
        <v>0.7368421052631579</v>
      </c>
      <c r="AC326" s="36" t="n">
        <v>6</v>
      </c>
      <c r="AD326" s="37" t="n">
        <v>1</v>
      </c>
      <c r="AE326" s="36" t="n">
        <v>22</v>
      </c>
      <c r="AF326" s="37" t="n">
        <v>0.6875</v>
      </c>
      <c r="AG326" s="36" t="n">
        <v>4</v>
      </c>
      <c r="AH326" s="37" t="n">
        <v>0.6666666666666666</v>
      </c>
    </row>
    <row r="327">
      <c r="A327" s="53" t="n">
        <v>45818</v>
      </c>
      <c r="B327" t="inlineStr">
        <is>
          <t>R05_Jawa Tengah DIY</t>
        </is>
      </c>
      <c r="C327" t="inlineStr">
        <is>
          <t>NOP PURWOKERTO</t>
        </is>
      </c>
      <c r="D327" s="38" t="n">
        <v>13.594</v>
      </c>
      <c r="E327" s="38" t="n">
        <v>3.136</v>
      </c>
      <c r="F327" s="36" t="n">
        <v>2.42</v>
      </c>
      <c r="G327" s="36" t="n">
        <v>3.427</v>
      </c>
      <c r="H327" s="36" t="n">
        <v>21</v>
      </c>
      <c r="I327" s="37" t="n">
        <v>0.84</v>
      </c>
      <c r="J327" s="36" t="n">
        <v>7</v>
      </c>
      <c r="K327" s="37" t="n">
        <v>1</v>
      </c>
      <c r="L327" s="36" t="n">
        <v>14</v>
      </c>
      <c r="M327" s="37" t="n">
        <v>0.7777777777777778</v>
      </c>
      <c r="N327" s="36" t="n">
        <v>6</v>
      </c>
      <c r="O327" s="37" t="n">
        <v>0.8571428571428571</v>
      </c>
      <c r="P327" s="36" t="n">
        <v>6</v>
      </c>
      <c r="Q327" s="37" t="n">
        <v>0.8571428571428571</v>
      </c>
      <c r="R327" s="36" t="n">
        <v>25</v>
      </c>
      <c r="S327" s="37" t="n">
        <v>1</v>
      </c>
      <c r="T327" s="36" t="n">
        <v>14</v>
      </c>
      <c r="U327" s="37" t="n">
        <v>0.5600000000000001</v>
      </c>
      <c r="V327" s="38" t="n">
        <v>0</v>
      </c>
      <c r="W327" s="38" t="n">
        <v>10.49</v>
      </c>
      <c r="X327" s="38" t="n">
        <v>28.965</v>
      </c>
      <c r="Y327" s="38" t="n">
        <v>44.187</v>
      </c>
      <c r="Z327" s="38" t="n">
        <v>0</v>
      </c>
      <c r="AA327" s="36" t="n">
        <v>16</v>
      </c>
      <c r="AB327" s="37" t="n">
        <v>0.7619047619047619</v>
      </c>
      <c r="AC327" s="36" t="n">
        <v>9</v>
      </c>
      <c r="AD327" s="37" t="n">
        <v>0.8181818181818182</v>
      </c>
      <c r="AE327" s="36" t="n">
        <v>7</v>
      </c>
      <c r="AF327" s="37" t="n">
        <v>0.7</v>
      </c>
      <c r="AG327" s="36" t="n">
        <v>6</v>
      </c>
      <c r="AH327" s="37" t="n">
        <v>0.6666666666666666</v>
      </c>
    </row>
    <row r="328">
      <c r="A328" s="53" t="n">
        <v>45818</v>
      </c>
      <c r="B328" t="inlineStr">
        <is>
          <t>R05_Jawa Tengah DIY</t>
        </is>
      </c>
      <c r="C328" t="inlineStr">
        <is>
          <t>NOP SEMARANG</t>
        </is>
      </c>
      <c r="D328" s="38" t="n">
        <v>1.882</v>
      </c>
      <c r="E328" s="38" t="n">
        <v>0</v>
      </c>
      <c r="F328" s="36" t="n">
        <v>2.242</v>
      </c>
      <c r="G328" s="36" t="n">
        <v>4.252000000000001</v>
      </c>
      <c r="H328" s="36" t="n">
        <v>28</v>
      </c>
      <c r="I328" s="37" t="n">
        <v>0.8235294117647058</v>
      </c>
      <c r="J328" s="36" t="n">
        <v>3</v>
      </c>
      <c r="K328" s="37" t="n">
        <v>1</v>
      </c>
      <c r="L328" s="36" t="n">
        <v>25</v>
      </c>
      <c r="M328" s="37" t="n">
        <v>0.8064516129032258</v>
      </c>
      <c r="N328" s="36" t="n">
        <v>3</v>
      </c>
      <c r="O328" s="37" t="n">
        <v>1</v>
      </c>
      <c r="P328" s="36" t="n">
        <v>3</v>
      </c>
      <c r="Q328" s="37" t="n">
        <v>1</v>
      </c>
      <c r="R328" s="36" t="n">
        <v>30</v>
      </c>
      <c r="S328" s="37" t="n">
        <v>0.8823529411764706</v>
      </c>
      <c r="T328" s="36" t="n">
        <v>18</v>
      </c>
      <c r="U328" s="37" t="n">
        <v>0.5294117647058824</v>
      </c>
      <c r="V328" s="38" t="n">
        <v>0</v>
      </c>
      <c r="W328" s="38" t="n">
        <v>1.254</v>
      </c>
      <c r="X328" s="38" t="n">
        <v>3.589</v>
      </c>
      <c r="Y328" s="38" t="n">
        <v>29.46400000000001</v>
      </c>
      <c r="Z328" s="38" t="n">
        <v>0</v>
      </c>
      <c r="AA328" s="36" t="n">
        <v>43</v>
      </c>
      <c r="AB328" s="37" t="n">
        <v>0.9555555555555556</v>
      </c>
      <c r="AC328" s="36" t="n">
        <v>12</v>
      </c>
      <c r="AD328" s="37" t="n">
        <v>0.8571428571428571</v>
      </c>
      <c r="AE328" s="36" t="n">
        <v>31</v>
      </c>
      <c r="AF328" s="37" t="n">
        <v>1</v>
      </c>
      <c r="AG328" s="36" t="n">
        <v>11</v>
      </c>
      <c r="AH328" s="37" t="n">
        <v>0.9166666666666666</v>
      </c>
    </row>
    <row r="329">
      <c r="A329" s="53" t="n">
        <v>45818</v>
      </c>
      <c r="B329" t="inlineStr">
        <is>
          <t>R05_Jawa Tengah DIY</t>
        </is>
      </c>
      <c r="C329" t="inlineStr">
        <is>
          <t>NOP SURAKARTA</t>
        </is>
      </c>
      <c r="D329" s="38" t="n">
        <v>1.534</v>
      </c>
      <c r="E329" s="38" t="n">
        <v>1.56</v>
      </c>
      <c r="F329" s="36" t="n">
        <v>2.329</v>
      </c>
      <c r="G329" s="36" t="n">
        <v>4.255</v>
      </c>
      <c r="H329" s="36" t="n">
        <v>13</v>
      </c>
      <c r="I329" s="37" t="n">
        <v>0.7647058823529411</v>
      </c>
      <c r="J329" s="36" t="n">
        <v>2</v>
      </c>
      <c r="K329" s="37" t="n">
        <v>0.6666666666666666</v>
      </c>
      <c r="L329" s="36" t="n">
        <v>11</v>
      </c>
      <c r="M329" s="37" t="n">
        <v>0.7857142857142857</v>
      </c>
      <c r="N329" s="36" t="n">
        <v>1</v>
      </c>
      <c r="O329" s="37" t="n">
        <v>0.5</v>
      </c>
      <c r="P329" s="36" t="n">
        <v>1</v>
      </c>
      <c r="Q329" s="37" t="n">
        <v>0.5</v>
      </c>
      <c r="R329" s="36" t="n">
        <v>16</v>
      </c>
      <c r="S329" s="37" t="n">
        <v>0.9411764705882353</v>
      </c>
      <c r="T329" s="36" t="n">
        <v>8</v>
      </c>
      <c r="U329" s="37" t="n">
        <v>0.4705882352941176</v>
      </c>
      <c r="V329" s="38" t="n">
        <v>0.18</v>
      </c>
      <c r="W329" s="38" t="n">
        <v>2.21</v>
      </c>
      <c r="X329" s="38" t="n">
        <v>6.602</v>
      </c>
      <c r="Y329" s="38" t="n">
        <v>9.698</v>
      </c>
      <c r="Z329" s="38" t="n">
        <v>0</v>
      </c>
      <c r="AA329" s="36" t="n">
        <v>19</v>
      </c>
      <c r="AB329" s="37" t="n">
        <v>0.5428571428571428</v>
      </c>
      <c r="AC329" s="36" t="n">
        <v>7</v>
      </c>
      <c r="AD329" s="37" t="n">
        <v>0.3181818181818182</v>
      </c>
      <c r="AE329" s="36" t="n">
        <v>12</v>
      </c>
      <c r="AF329" s="37" t="n">
        <v>0.9230769230769231</v>
      </c>
      <c r="AG329" s="36" t="n">
        <v>4</v>
      </c>
      <c r="AH329" s="37" t="n">
        <v>0.5714285714285714</v>
      </c>
    </row>
    <row r="330">
      <c r="A330" s="53" t="n">
        <v>45818</v>
      </c>
      <c r="B330" t="inlineStr">
        <is>
          <t>R05_Jawa Tengah DIY</t>
        </is>
      </c>
      <c r="C330" t="inlineStr">
        <is>
          <t>NOP YOGYAKARTA</t>
        </is>
      </c>
      <c r="D330" s="38" t="n">
        <v>0.741</v>
      </c>
      <c r="E330" s="38" t="n">
        <v>0</v>
      </c>
      <c r="F330" s="36" t="n">
        <v>3.312</v>
      </c>
      <c r="G330" s="36" t="n">
        <v>6.428000000000001</v>
      </c>
      <c r="H330" s="36" t="n">
        <v>13</v>
      </c>
      <c r="I330" s="37" t="n">
        <v>0.8666666666666667</v>
      </c>
      <c r="J330" s="36" t="n">
        <v>1</v>
      </c>
      <c r="K330" s="37" t="n">
        <v>0.5</v>
      </c>
      <c r="L330" s="36" t="n">
        <v>12</v>
      </c>
      <c r="M330" s="37" t="n">
        <v>0.9230769230769231</v>
      </c>
      <c r="N330" s="36" t="n">
        <v>1</v>
      </c>
      <c r="O330" s="37" t="n">
        <v>1</v>
      </c>
      <c r="P330" s="36" t="n">
        <v>1</v>
      </c>
      <c r="Q330" s="37" t="n">
        <v>1</v>
      </c>
      <c r="R330" s="36" t="n">
        <v>14</v>
      </c>
      <c r="S330" s="37" t="n">
        <v>0.9333333333333333</v>
      </c>
      <c r="T330" s="36" t="n">
        <v>8</v>
      </c>
      <c r="U330" s="37" t="n">
        <v>0.5333333333333333</v>
      </c>
      <c r="V330" s="38" t="n">
        <v>0</v>
      </c>
      <c r="W330" s="38" t="n">
        <v>2.684</v>
      </c>
      <c r="X330" s="38" t="n">
        <v>2.448</v>
      </c>
      <c r="Y330" s="38" t="n">
        <v>31.64400000000001</v>
      </c>
      <c r="Z330" s="38" t="n">
        <v>0</v>
      </c>
      <c r="AA330" s="36" t="n">
        <v>39</v>
      </c>
      <c r="AB330" s="37" t="n">
        <v>0.9069767441860465</v>
      </c>
      <c r="AC330" s="36" t="n">
        <v>21</v>
      </c>
      <c r="AD330" s="37" t="n">
        <v>0.875</v>
      </c>
      <c r="AE330" s="36" t="n">
        <v>18</v>
      </c>
      <c r="AF330" s="37" t="n">
        <v>0.9473684210526315</v>
      </c>
      <c r="AG330" s="36" t="n">
        <v>21</v>
      </c>
      <c r="AH330" s="37" t="n">
        <v>1</v>
      </c>
    </row>
    <row r="331">
      <c r="A331" s="53" t="n">
        <v>45818</v>
      </c>
      <c r="B331" t="inlineStr">
        <is>
          <t>R06_Jawa Timur</t>
        </is>
      </c>
      <c r="C331" t="inlineStr">
        <is>
          <t>NOP JEMBER</t>
        </is>
      </c>
      <c r="D331" s="38" t="n">
        <v>0</v>
      </c>
      <c r="E331" s="38" t="n">
        <v>0</v>
      </c>
      <c r="F331" s="36" t="n">
        <v>0</v>
      </c>
      <c r="G331" s="36" t="n">
        <v>3.12</v>
      </c>
      <c r="H331" s="36" t="n">
        <v>5</v>
      </c>
      <c r="I331" s="37" t="n">
        <v>0.8333333333333334</v>
      </c>
      <c r="J331" s="36" t="n">
        <v>0</v>
      </c>
      <c r="K331" s="37" t="n">
        <v>0</v>
      </c>
      <c r="L331" s="36" t="n">
        <v>5</v>
      </c>
      <c r="M331" s="37" t="n">
        <v>0.8333333333333334</v>
      </c>
      <c r="N331" s="36" t="n">
        <v>0</v>
      </c>
      <c r="O331" s="37" t="n">
        <v>0</v>
      </c>
      <c r="P331" s="36" t="n">
        <v>0</v>
      </c>
      <c r="Q331" s="37" t="n">
        <v>0</v>
      </c>
      <c r="R331" s="36" t="n">
        <v>6</v>
      </c>
      <c r="S331" s="37" t="n">
        <v>1</v>
      </c>
      <c r="T331" s="36" t="n">
        <v>4</v>
      </c>
      <c r="U331" s="37" t="n">
        <v>0.6666666666666666</v>
      </c>
      <c r="V331" s="38" t="n">
        <v>0</v>
      </c>
      <c r="W331" s="38" t="n">
        <v>5.010000000000002</v>
      </c>
      <c r="X331" s="38" t="n">
        <v>21.614</v>
      </c>
      <c r="Y331" s="38" t="n">
        <v>75.122</v>
      </c>
      <c r="Z331" s="38" t="n">
        <v>0</v>
      </c>
      <c r="AA331" s="36" t="n">
        <v>12</v>
      </c>
      <c r="AB331" s="37" t="n">
        <v>0.75</v>
      </c>
      <c r="AC331" s="36" t="n">
        <v>2</v>
      </c>
      <c r="AD331" s="37" t="n">
        <v>0.5</v>
      </c>
      <c r="AE331" s="36" t="n">
        <v>10</v>
      </c>
      <c r="AF331" s="37" t="n">
        <v>0.8333333333333334</v>
      </c>
      <c r="AG331" s="36" t="n">
        <v>2</v>
      </c>
      <c r="AH331" s="37" t="n">
        <v>1</v>
      </c>
    </row>
    <row r="332">
      <c r="A332" s="53" t="n">
        <v>45818</v>
      </c>
      <c r="B332" t="inlineStr">
        <is>
          <t>R06_Jawa Timur</t>
        </is>
      </c>
      <c r="C332" t="inlineStr">
        <is>
          <t>NOP KEDIRI</t>
        </is>
      </c>
      <c r="D332" s="38" t="n">
        <v>0</v>
      </c>
      <c r="E332" s="38" t="n">
        <v>0</v>
      </c>
      <c r="F332" s="36" t="n">
        <v>0.8900000000000001</v>
      </c>
      <c r="G332" s="36" t="n">
        <v>0.71</v>
      </c>
      <c r="H332" s="36" t="n">
        <v>3</v>
      </c>
      <c r="I332" s="37" t="n">
        <v>0.75</v>
      </c>
      <c r="J332" s="36" t="n">
        <v>0</v>
      </c>
      <c r="K332" s="37" t="n">
        <v>0</v>
      </c>
      <c r="L332" s="36" t="n">
        <v>3</v>
      </c>
      <c r="M332" s="37" t="n">
        <v>0.75</v>
      </c>
      <c r="N332" s="36" t="n">
        <v>0</v>
      </c>
      <c r="O332" s="37" t="n">
        <v>0</v>
      </c>
      <c r="P332" s="36" t="n">
        <v>0</v>
      </c>
      <c r="Q332" s="37" t="n">
        <v>0</v>
      </c>
      <c r="R332" s="36" t="n">
        <v>4</v>
      </c>
      <c r="S332" s="37" t="n">
        <v>1</v>
      </c>
      <c r="T332" s="36" t="n">
        <v>3</v>
      </c>
      <c r="U332" s="37" t="n">
        <v>0.75</v>
      </c>
      <c r="V332" s="38" t="n">
        <v>0</v>
      </c>
      <c r="W332" s="38" t="n">
        <v>1.326</v>
      </c>
      <c r="X332" s="38" t="n">
        <v>2.464</v>
      </c>
      <c r="Y332" s="38" t="n">
        <v>0</v>
      </c>
      <c r="Z332" s="38" t="n">
        <v>0</v>
      </c>
      <c r="AA332" s="36" t="n">
        <v>10</v>
      </c>
      <c r="AB332" s="37" t="n">
        <v>1</v>
      </c>
      <c r="AC332" s="36" t="n">
        <v>3</v>
      </c>
      <c r="AD332" s="37" t="n">
        <v>1</v>
      </c>
      <c r="AE332" s="36" t="n">
        <v>7</v>
      </c>
      <c r="AF332" s="37" t="n">
        <v>1</v>
      </c>
      <c r="AG332" s="36" t="n">
        <v>3</v>
      </c>
      <c r="AH332" s="37" t="n">
        <v>1</v>
      </c>
    </row>
    <row r="333">
      <c r="A333" s="53" t="n">
        <v>45818</v>
      </c>
      <c r="B333" t="inlineStr">
        <is>
          <t>R06_Jawa Timur</t>
        </is>
      </c>
      <c r="C333" t="inlineStr">
        <is>
          <t>NOP LAMONGAN</t>
        </is>
      </c>
      <c r="D333" s="38" t="n">
        <v>1.332</v>
      </c>
      <c r="E333" s="38" t="n">
        <v>0</v>
      </c>
      <c r="F333" s="36" t="n">
        <v>0.76</v>
      </c>
      <c r="G333" s="36" t="n">
        <v>2.142</v>
      </c>
      <c r="H333" s="36" t="n">
        <v>7</v>
      </c>
      <c r="I333" s="37" t="n">
        <v>0.875</v>
      </c>
      <c r="J333" s="36" t="n">
        <v>2</v>
      </c>
      <c r="K333" s="37" t="n">
        <v>0.6666666666666666</v>
      </c>
      <c r="L333" s="36" t="n">
        <v>5</v>
      </c>
      <c r="M333" s="37" t="n">
        <v>1</v>
      </c>
      <c r="N333" s="36" t="n">
        <v>2</v>
      </c>
      <c r="O333" s="37" t="n">
        <v>1</v>
      </c>
      <c r="P333" s="36" t="n">
        <v>2</v>
      </c>
      <c r="Q333" s="37" t="n">
        <v>1</v>
      </c>
      <c r="R333" s="36" t="n">
        <v>8</v>
      </c>
      <c r="S333" s="37" t="n">
        <v>1</v>
      </c>
      <c r="T333" s="36" t="n">
        <v>7</v>
      </c>
      <c r="U333" s="37" t="n">
        <v>0.875</v>
      </c>
      <c r="V333" s="38" t="n">
        <v>0</v>
      </c>
      <c r="W333" s="38" t="n">
        <v>3.375</v>
      </c>
      <c r="X333" s="38" t="n">
        <v>12.242</v>
      </c>
      <c r="Y333" s="38" t="n">
        <v>0</v>
      </c>
      <c r="Z333" s="38" t="n">
        <v>0</v>
      </c>
      <c r="AA333" s="36" t="n">
        <v>7</v>
      </c>
      <c r="AB333" s="37" t="n">
        <v>0.7777777777777778</v>
      </c>
      <c r="AC333" s="36" t="n">
        <v>4</v>
      </c>
      <c r="AD333" s="37" t="n">
        <v>0.6666666666666666</v>
      </c>
      <c r="AE333" s="36" t="n">
        <v>3</v>
      </c>
      <c r="AF333" s="37" t="n">
        <v>1</v>
      </c>
      <c r="AG333" s="36" t="n">
        <v>4</v>
      </c>
      <c r="AH333" s="37" t="n">
        <v>1</v>
      </c>
    </row>
    <row r="334">
      <c r="A334" s="53" t="n">
        <v>45818</v>
      </c>
      <c r="B334" t="inlineStr">
        <is>
          <t>R06_Jawa Timur</t>
        </is>
      </c>
      <c r="C334" t="inlineStr">
        <is>
          <t>NOP MADIUN</t>
        </is>
      </c>
      <c r="D334" s="38" t="n">
        <v>0</v>
      </c>
      <c r="E334" s="38" t="n">
        <v>0</v>
      </c>
      <c r="F334" s="36" t="n">
        <v>1.218</v>
      </c>
      <c r="G334" s="36" t="n">
        <v>2.094</v>
      </c>
      <c r="H334" s="36" t="n">
        <v>2</v>
      </c>
      <c r="I334" s="37" t="n">
        <v>0.4</v>
      </c>
      <c r="J334" s="36" t="n">
        <v>0</v>
      </c>
      <c r="K334" s="37" t="n">
        <v>0</v>
      </c>
      <c r="L334" s="36" t="n">
        <v>2</v>
      </c>
      <c r="M334" s="37" t="n">
        <v>0.4</v>
      </c>
      <c r="N334" s="36" t="n">
        <v>0</v>
      </c>
      <c r="O334" s="37" t="n">
        <v>0</v>
      </c>
      <c r="P334" s="36" t="n">
        <v>0</v>
      </c>
      <c r="Q334" s="37" t="n">
        <v>0</v>
      </c>
      <c r="R334" s="36" t="n">
        <v>4</v>
      </c>
      <c r="S334" s="37" t="n">
        <v>0.8</v>
      </c>
      <c r="T334" s="36" t="n">
        <v>2</v>
      </c>
      <c r="U334" s="37" t="n">
        <v>0.4</v>
      </c>
      <c r="V334" s="38" t="n">
        <v>0</v>
      </c>
      <c r="W334" s="38" t="n">
        <v>2.026</v>
      </c>
      <c r="X334" s="38" t="n">
        <v>6.758000000000003</v>
      </c>
      <c r="Y334" s="38" t="n">
        <v>19.088</v>
      </c>
      <c r="Z334" s="38" t="n">
        <v>0</v>
      </c>
      <c r="AA334" s="36" t="n">
        <v>14</v>
      </c>
      <c r="AB334" s="37" t="n">
        <v>0.7368421052631579</v>
      </c>
      <c r="AC334" s="36" t="n">
        <v>4</v>
      </c>
      <c r="AD334" s="37" t="n">
        <v>0.8</v>
      </c>
      <c r="AE334" s="36" t="n">
        <v>10</v>
      </c>
      <c r="AF334" s="37" t="n">
        <v>0.7142857142857143</v>
      </c>
      <c r="AG334" s="36" t="n">
        <v>4</v>
      </c>
      <c r="AH334" s="37" t="n">
        <v>1</v>
      </c>
    </row>
    <row r="335">
      <c r="A335" s="53" t="n">
        <v>45818</v>
      </c>
      <c r="B335" t="inlineStr">
        <is>
          <t>R06_Jawa Timur</t>
        </is>
      </c>
      <c r="C335" t="inlineStr">
        <is>
          <t>NOP MALANG</t>
        </is>
      </c>
      <c r="D335" s="38" t="n">
        <v>0</v>
      </c>
      <c r="E335" s="38" t="n">
        <v>0</v>
      </c>
      <c r="F335" s="36" t="n">
        <v>6.789000000000002</v>
      </c>
      <c r="G335" s="36" t="n">
        <v>2.775</v>
      </c>
      <c r="H335" s="36" t="n">
        <v>8</v>
      </c>
      <c r="I335" s="37" t="n">
        <v>0.8</v>
      </c>
      <c r="J335" s="36" t="n">
        <v>0</v>
      </c>
      <c r="K335" s="37" t="n">
        <v>0</v>
      </c>
      <c r="L335" s="36" t="n">
        <v>8</v>
      </c>
      <c r="M335" s="37" t="n">
        <v>0.8</v>
      </c>
      <c r="N335" s="36" t="n">
        <v>0</v>
      </c>
      <c r="O335" s="37" t="n">
        <v>0</v>
      </c>
      <c r="P335" s="36" t="n">
        <v>0</v>
      </c>
      <c r="Q335" s="37" t="n">
        <v>0</v>
      </c>
      <c r="R335" s="36" t="n">
        <v>10</v>
      </c>
      <c r="S335" s="37" t="n">
        <v>1</v>
      </c>
      <c r="T335" s="36" t="n">
        <v>10</v>
      </c>
      <c r="U335" s="37" t="n">
        <v>1</v>
      </c>
      <c r="V335" s="38" t="n">
        <v>0</v>
      </c>
      <c r="W335" s="38" t="n">
        <v>2.69</v>
      </c>
      <c r="X335" s="38" t="n">
        <v>3.78</v>
      </c>
      <c r="Y335" s="38" t="n">
        <v>27.499</v>
      </c>
      <c r="Z335" s="38" t="n">
        <v>0</v>
      </c>
      <c r="AA335" s="36" t="n">
        <v>8</v>
      </c>
      <c r="AB335" s="37" t="n">
        <v>0.8888888888888888</v>
      </c>
      <c r="AC335" s="36" t="n">
        <v>2</v>
      </c>
      <c r="AD335" s="37" t="n">
        <v>0.6666666666666666</v>
      </c>
      <c r="AE335" s="36" t="n">
        <v>6</v>
      </c>
      <c r="AF335" s="37" t="n">
        <v>1</v>
      </c>
      <c r="AG335" s="36" t="n">
        <v>2</v>
      </c>
      <c r="AH335" s="37" t="n">
        <v>1</v>
      </c>
    </row>
    <row r="336">
      <c r="A336" s="53" t="n">
        <v>45818</v>
      </c>
      <c r="B336" t="inlineStr">
        <is>
          <t>R06_Jawa Timur</t>
        </is>
      </c>
      <c r="C336" t="inlineStr">
        <is>
          <t>NOP SIDOARJO</t>
        </is>
      </c>
      <c r="D336" s="38" t="n">
        <v>0</v>
      </c>
      <c r="E336" s="38" t="n">
        <v>0</v>
      </c>
      <c r="F336" s="36" t="n">
        <v>12.77</v>
      </c>
      <c r="G336" s="36" t="n">
        <v>7.28</v>
      </c>
      <c r="H336" s="36" t="n">
        <v>6</v>
      </c>
      <c r="I336" s="37" t="n">
        <v>1</v>
      </c>
      <c r="J336" s="36" t="n">
        <v>0</v>
      </c>
      <c r="K336" s="37" t="n">
        <v>0</v>
      </c>
      <c r="L336" s="36" t="n">
        <v>6</v>
      </c>
      <c r="M336" s="37" t="n">
        <v>1</v>
      </c>
      <c r="N336" s="36" t="n">
        <v>0</v>
      </c>
      <c r="O336" s="37" t="n">
        <v>0</v>
      </c>
      <c r="P336" s="36" t="n">
        <v>0</v>
      </c>
      <c r="Q336" s="37" t="n">
        <v>0</v>
      </c>
      <c r="R336" s="36" t="n">
        <v>6</v>
      </c>
      <c r="S336" s="37" t="n">
        <v>1</v>
      </c>
      <c r="T336" s="36" t="n">
        <v>4</v>
      </c>
      <c r="U336" s="37" t="n">
        <v>0.6666666666666666</v>
      </c>
      <c r="V336" s="38" t="n">
        <v>0</v>
      </c>
      <c r="W336" s="38" t="n">
        <v>0.82</v>
      </c>
      <c r="X336" s="38" t="n">
        <v>1.59</v>
      </c>
      <c r="Y336" s="38" t="n">
        <v>40.77</v>
      </c>
      <c r="Z336" s="38" t="n">
        <v>0</v>
      </c>
      <c r="AA336" s="36" t="n">
        <v>8</v>
      </c>
      <c r="AB336" s="37" t="n">
        <v>1</v>
      </c>
      <c r="AC336" s="36" t="n">
        <v>1</v>
      </c>
      <c r="AD336" s="37" t="n">
        <v>1</v>
      </c>
      <c r="AE336" s="36" t="n">
        <v>7</v>
      </c>
      <c r="AF336" s="37" t="n">
        <v>1</v>
      </c>
      <c r="AG336" s="36" t="n">
        <v>1</v>
      </c>
      <c r="AH336" s="37" t="n">
        <v>1</v>
      </c>
    </row>
    <row r="337">
      <c r="A337" s="53" t="n">
        <v>45818</v>
      </c>
      <c r="B337" t="inlineStr">
        <is>
          <t>R06_Jawa Timur</t>
        </is>
      </c>
      <c r="C337" t="inlineStr">
        <is>
          <t>NOP SURABAYA</t>
        </is>
      </c>
      <c r="D337" s="38" t="n">
        <v>1.098</v>
      </c>
      <c r="E337" s="38" t="n">
        <v>0</v>
      </c>
      <c r="F337" s="36" t="n">
        <v>2.406</v>
      </c>
      <c r="G337" s="36" t="n">
        <v>2.18</v>
      </c>
      <c r="H337" s="36" t="n">
        <v>3</v>
      </c>
      <c r="I337" s="37" t="n">
        <v>0.2727272727272727</v>
      </c>
      <c r="J337" s="36" t="n">
        <v>1</v>
      </c>
      <c r="K337" s="37" t="n">
        <v>0.3333333333333333</v>
      </c>
      <c r="L337" s="36" t="n">
        <v>2</v>
      </c>
      <c r="M337" s="37" t="n">
        <v>0.25</v>
      </c>
      <c r="N337" s="36" t="n">
        <v>1</v>
      </c>
      <c r="O337" s="37" t="n">
        <v>1</v>
      </c>
      <c r="P337" s="36" t="n">
        <v>1</v>
      </c>
      <c r="Q337" s="37" t="n">
        <v>1</v>
      </c>
      <c r="R337" s="36" t="n">
        <v>6</v>
      </c>
      <c r="S337" s="37" t="n">
        <v>0.5454545454545454</v>
      </c>
      <c r="T337" s="36" t="n">
        <v>3</v>
      </c>
      <c r="U337" s="37" t="n">
        <v>0.2727272727272727</v>
      </c>
      <c r="V337" s="38" t="n">
        <v>0.01</v>
      </c>
      <c r="W337" s="38" t="n">
        <v>12.38499999999998</v>
      </c>
      <c r="X337" s="38" t="n">
        <v>8.471999999999998</v>
      </c>
      <c r="Y337" s="38" t="n">
        <v>22.146</v>
      </c>
      <c r="Z337" s="38" t="n">
        <v>0</v>
      </c>
      <c r="AA337" s="36" t="n">
        <v>25</v>
      </c>
      <c r="AB337" s="37" t="n">
        <v>0.6410256410256411</v>
      </c>
      <c r="AC337" s="36" t="n">
        <v>4</v>
      </c>
      <c r="AD337" s="37" t="n">
        <v>0.3636363636363636</v>
      </c>
      <c r="AE337" s="36" t="n">
        <v>21</v>
      </c>
      <c r="AF337" s="37" t="n">
        <v>0.75</v>
      </c>
      <c r="AG337" s="36" t="n">
        <v>2</v>
      </c>
      <c r="AH337" s="37" t="n">
        <v>0.5</v>
      </c>
    </row>
    <row r="338">
      <c r="A338" s="53" t="n">
        <v>45818</v>
      </c>
      <c r="B338" t="inlineStr">
        <is>
          <t>R07_Bali Nusra</t>
        </is>
      </c>
      <c r="C338" t="inlineStr">
        <is>
          <t>NOP DENPASAR</t>
        </is>
      </c>
      <c r="D338" s="38" t="n">
        <v>0</v>
      </c>
      <c r="E338" s="38" t="n">
        <v>0</v>
      </c>
      <c r="F338" s="36" t="n">
        <v>2.914</v>
      </c>
      <c r="G338" s="36" t="n">
        <v>0.7849999999999999</v>
      </c>
      <c r="H338" s="36" t="n">
        <v>11</v>
      </c>
      <c r="I338" s="37" t="n">
        <v>1</v>
      </c>
      <c r="J338" s="36" t="n">
        <v>0</v>
      </c>
      <c r="K338" s="37" t="n">
        <v>0</v>
      </c>
      <c r="L338" s="36" t="n">
        <v>11</v>
      </c>
      <c r="M338" s="37" t="n">
        <v>1</v>
      </c>
      <c r="N338" s="36" t="n">
        <v>0</v>
      </c>
      <c r="O338" s="37" t="n">
        <v>0</v>
      </c>
      <c r="P338" s="36" t="n">
        <v>0</v>
      </c>
      <c r="Q338" s="37" t="n">
        <v>0</v>
      </c>
      <c r="R338" s="36" t="n">
        <v>11</v>
      </c>
      <c r="S338" s="37" t="n">
        <v>1</v>
      </c>
      <c r="T338" s="36" t="n">
        <v>10</v>
      </c>
      <c r="U338" s="37" t="n">
        <v>0.9090909090909091</v>
      </c>
      <c r="V338" s="38" t="n">
        <v>0</v>
      </c>
      <c r="W338" s="38" t="n">
        <v>5.843999999999996</v>
      </c>
      <c r="X338" s="38" t="n">
        <v>4.956</v>
      </c>
      <c r="Y338" s="38" t="n">
        <v>14.322</v>
      </c>
      <c r="Z338" s="38" t="n">
        <v>0</v>
      </c>
      <c r="AA338" s="36" t="n">
        <v>26</v>
      </c>
      <c r="AB338" s="37" t="n">
        <v>0.896551724137931</v>
      </c>
      <c r="AC338" s="36" t="n">
        <v>9</v>
      </c>
      <c r="AD338" s="37" t="n">
        <v>0.9</v>
      </c>
      <c r="AE338" s="36" t="n">
        <v>17</v>
      </c>
      <c r="AF338" s="37" t="n">
        <v>0.8947368421052632</v>
      </c>
      <c r="AG338" s="36" t="n">
        <v>6</v>
      </c>
      <c r="AH338" s="37" t="n">
        <v>0.6666666666666666</v>
      </c>
    </row>
    <row r="339">
      <c r="A339" s="53" t="n">
        <v>45818</v>
      </c>
      <c r="B339" t="inlineStr">
        <is>
          <t>R07_Bali Nusra</t>
        </is>
      </c>
      <c r="C339" t="inlineStr">
        <is>
          <t>NOP FLORES</t>
        </is>
      </c>
      <c r="D339" s="38" t="n">
        <v>0.76</v>
      </c>
      <c r="E339" s="38" t="n">
        <v>3.833</v>
      </c>
      <c r="F339" s="36" t="n">
        <v>27.348</v>
      </c>
      <c r="G339" s="36" t="n">
        <v>8.983000000000011</v>
      </c>
      <c r="H339" s="36" t="n">
        <v>55</v>
      </c>
      <c r="I339" s="37" t="n">
        <v>0.4621848739495799</v>
      </c>
      <c r="J339" s="36" t="n">
        <v>16</v>
      </c>
      <c r="K339" s="37" t="n">
        <v>0.7619047619047619</v>
      </c>
      <c r="L339" s="36" t="n">
        <v>39</v>
      </c>
      <c r="M339" s="37" t="n">
        <v>0.3979591836734694</v>
      </c>
      <c r="N339" s="36" t="n">
        <v>10</v>
      </c>
      <c r="O339" s="37" t="n">
        <v>0.625</v>
      </c>
      <c r="P339" s="36" t="n">
        <v>10</v>
      </c>
      <c r="Q339" s="37" t="n">
        <v>0.625</v>
      </c>
      <c r="R339" s="36" t="n">
        <v>115</v>
      </c>
      <c r="S339" s="37" t="n">
        <v>0.9663865546218487</v>
      </c>
      <c r="T339" s="36" t="n">
        <v>38</v>
      </c>
      <c r="U339" s="37" t="n">
        <v>0.319327731092437</v>
      </c>
      <c r="V339" s="38" t="n">
        <v>0.242</v>
      </c>
      <c r="W339" s="38" t="n">
        <v>8.474</v>
      </c>
      <c r="X339" s="38" t="n">
        <v>13.705</v>
      </c>
      <c r="Y339" s="38" t="n">
        <v>0.79</v>
      </c>
      <c r="Z339" s="38" t="n">
        <v>0</v>
      </c>
      <c r="AA339" s="36" t="n">
        <v>93</v>
      </c>
      <c r="AB339" s="37" t="n">
        <v>0.5961538461538461</v>
      </c>
      <c r="AC339" s="36" t="n">
        <v>74</v>
      </c>
      <c r="AD339" s="37" t="n">
        <v>0.6115702479338843</v>
      </c>
      <c r="AE339" s="36" t="n">
        <v>19</v>
      </c>
      <c r="AF339" s="37" t="n">
        <v>0.5428571428571428</v>
      </c>
      <c r="AG339" s="36" t="n">
        <v>59</v>
      </c>
      <c r="AH339" s="37" t="n">
        <v>0.7972972972972973</v>
      </c>
    </row>
    <row r="340">
      <c r="A340" s="53" t="n">
        <v>45818</v>
      </c>
      <c r="B340" t="inlineStr">
        <is>
          <t>R07_Bali Nusra</t>
        </is>
      </c>
      <c r="C340" t="inlineStr">
        <is>
          <t>NOP KUPANG</t>
        </is>
      </c>
      <c r="D340" s="38" t="n">
        <v>0</v>
      </c>
      <c r="E340" s="38" t="n">
        <v>1.663</v>
      </c>
      <c r="F340" s="36" t="n">
        <v>1.83</v>
      </c>
      <c r="G340" s="36" t="n">
        <v>6.172000000000003</v>
      </c>
      <c r="H340" s="36" t="n">
        <v>15</v>
      </c>
      <c r="I340" s="37" t="n">
        <v>0.3409090909090909</v>
      </c>
      <c r="J340" s="36" t="n">
        <v>4</v>
      </c>
      <c r="K340" s="37" t="n">
        <v>1</v>
      </c>
      <c r="L340" s="36" t="n">
        <v>11</v>
      </c>
      <c r="M340" s="37" t="n">
        <v>0.275</v>
      </c>
      <c r="N340" s="36" t="n">
        <v>1</v>
      </c>
      <c r="O340" s="37" t="n">
        <v>0.25</v>
      </c>
      <c r="P340" s="36" t="n">
        <v>1</v>
      </c>
      <c r="Q340" s="37" t="n">
        <v>0.25</v>
      </c>
      <c r="R340" s="36" t="n">
        <v>44</v>
      </c>
      <c r="S340" s="37" t="n">
        <v>1</v>
      </c>
      <c r="T340" s="36" t="n">
        <v>6</v>
      </c>
      <c r="U340" s="37" t="n">
        <v>0.1363636363636364</v>
      </c>
      <c r="V340" s="38" t="n">
        <v>17.94</v>
      </c>
      <c r="W340" s="38" t="n">
        <v>12.31399999999999</v>
      </c>
      <c r="X340" s="38" t="n">
        <v>13.051</v>
      </c>
      <c r="Y340" s="38" t="n">
        <v>8.464</v>
      </c>
      <c r="Z340" s="38" t="n">
        <v>0</v>
      </c>
      <c r="AA340" s="36" t="n">
        <v>55</v>
      </c>
      <c r="AB340" s="37" t="n">
        <v>0.5188679245283019</v>
      </c>
      <c r="AC340" s="36" t="n">
        <v>29</v>
      </c>
      <c r="AD340" s="37" t="n">
        <v>0.5272727272727272</v>
      </c>
      <c r="AE340" s="36" t="n">
        <v>26</v>
      </c>
      <c r="AF340" s="37" t="n">
        <v>0.5098039215686274</v>
      </c>
      <c r="AG340" s="36" t="n">
        <v>27</v>
      </c>
      <c r="AH340" s="37" t="n">
        <v>0.9310344827586207</v>
      </c>
    </row>
    <row r="341">
      <c r="A341" s="53" t="n">
        <v>45818</v>
      </c>
      <c r="B341" t="inlineStr">
        <is>
          <t>R07_Bali Nusra</t>
        </is>
      </c>
      <c r="C341" t="inlineStr">
        <is>
          <t>NOP MATARAM</t>
        </is>
      </c>
      <c r="D341" s="38" t="n">
        <v>0.388</v>
      </c>
      <c r="E341" s="38" t="n">
        <v>0.6679999999999999</v>
      </c>
      <c r="F341" s="36" t="n">
        <v>2.68</v>
      </c>
      <c r="G341" s="36" t="n">
        <v>2.846</v>
      </c>
      <c r="H341" s="36" t="n">
        <v>36</v>
      </c>
      <c r="I341" s="37" t="n">
        <v>0.5901639344262295</v>
      </c>
      <c r="J341" s="36" t="n">
        <v>0</v>
      </c>
      <c r="K341" s="37" t="n">
        <v>0</v>
      </c>
      <c r="L341" s="36" t="n">
        <v>36</v>
      </c>
      <c r="M341" s="37" t="n">
        <v>0.631578947368421</v>
      </c>
      <c r="N341" s="36" t="n">
        <v>0</v>
      </c>
      <c r="O341" s="37" t="n">
        <v>0</v>
      </c>
      <c r="P341" s="36" t="n">
        <v>0</v>
      </c>
      <c r="Q341" s="37" t="n">
        <v>0</v>
      </c>
      <c r="R341" s="36" t="n">
        <v>58</v>
      </c>
      <c r="S341" s="37" t="n">
        <v>0.9508196721311475</v>
      </c>
      <c r="T341" s="36" t="n">
        <v>24</v>
      </c>
      <c r="U341" s="37" t="n">
        <v>0.3934426229508197</v>
      </c>
      <c r="V341" s="38" t="n">
        <v>10.91</v>
      </c>
      <c r="W341" s="38" t="n">
        <v>10.658</v>
      </c>
      <c r="X341" s="38" t="n">
        <v>4.48</v>
      </c>
      <c r="Y341" s="38" t="n">
        <v>21.24</v>
      </c>
      <c r="Z341" s="38" t="n">
        <v>0</v>
      </c>
      <c r="AA341" s="36" t="n">
        <v>33</v>
      </c>
      <c r="AB341" s="37" t="n">
        <v>0.44</v>
      </c>
      <c r="AC341" s="36" t="n">
        <v>22</v>
      </c>
      <c r="AD341" s="37" t="n">
        <v>0.4</v>
      </c>
      <c r="AE341" s="36" t="n">
        <v>11</v>
      </c>
      <c r="AF341" s="37" t="n">
        <v>0.55</v>
      </c>
      <c r="AG341" s="36" t="n">
        <v>13</v>
      </c>
      <c r="AH341" s="37" t="n">
        <v>0.5909090909090909</v>
      </c>
    </row>
    <row r="342">
      <c r="A342" s="53" t="n">
        <v>45819</v>
      </c>
      <c r="B342" t="inlineStr">
        <is>
          <t>R01_Sumbagut</t>
        </is>
      </c>
      <c r="C342" t="inlineStr">
        <is>
          <t>NOP ACEH</t>
        </is>
      </c>
      <c r="D342" s="38" t="n">
        <v>1.652</v>
      </c>
      <c r="E342" s="38" t="n">
        <v>1.53</v>
      </c>
      <c r="F342" s="36" t="n">
        <v>4.776000000000002</v>
      </c>
      <c r="G342" s="36" t="n">
        <v>5.216000000000003</v>
      </c>
      <c r="H342" s="36" t="n">
        <v>87</v>
      </c>
      <c r="I342" s="37" t="n">
        <v>0.696</v>
      </c>
      <c r="J342" s="36" t="n">
        <v>8</v>
      </c>
      <c r="K342" s="37" t="n">
        <v>0.4444444444444444</v>
      </c>
      <c r="L342" s="36" t="n">
        <v>79</v>
      </c>
      <c r="M342" s="37" t="n">
        <v>0.7383177570093458</v>
      </c>
      <c r="N342" s="36" t="n">
        <v>3</v>
      </c>
      <c r="O342" s="37" t="n">
        <v>0.375</v>
      </c>
      <c r="P342" s="36" t="n">
        <v>3</v>
      </c>
      <c r="Q342" s="37" t="n">
        <v>0.375</v>
      </c>
      <c r="R342" s="36" t="n">
        <v>125</v>
      </c>
      <c r="S342" s="37" t="n">
        <v>1</v>
      </c>
      <c r="T342" s="36" t="n">
        <v>21</v>
      </c>
      <c r="U342" s="37" t="n">
        <v>0.168</v>
      </c>
      <c r="V342" s="38" t="n">
        <v>0.03</v>
      </c>
      <c r="W342" s="38" t="n">
        <v>3.638000000000003</v>
      </c>
      <c r="X342" s="38" t="n">
        <v>41.29</v>
      </c>
      <c r="Y342" s="38" t="n">
        <v>21.708</v>
      </c>
      <c r="Z342" s="38" t="n">
        <v>0</v>
      </c>
      <c r="AA342" s="36" t="n">
        <v>211</v>
      </c>
      <c r="AB342" s="37" t="n">
        <v>0.7250859106529209</v>
      </c>
      <c r="AC342" s="36" t="n">
        <v>31</v>
      </c>
      <c r="AD342" s="37" t="n">
        <v>0.4769230769230769</v>
      </c>
      <c r="AE342" s="36" t="n">
        <v>175</v>
      </c>
      <c r="AF342" s="37" t="n">
        <v>0.7990867579908676</v>
      </c>
      <c r="AG342" s="36" t="n">
        <v>9</v>
      </c>
      <c r="AH342" s="37" t="n">
        <v>0.2903225806451613</v>
      </c>
    </row>
    <row r="343">
      <c r="A343" s="53" t="n">
        <v>45819</v>
      </c>
      <c r="B343" t="inlineStr">
        <is>
          <t>R01_Sumbagut</t>
        </is>
      </c>
      <c r="C343" t="inlineStr">
        <is>
          <t>NOP BINJAI</t>
        </is>
      </c>
      <c r="D343" s="38" t="n">
        <v>0</v>
      </c>
      <c r="E343" s="38" t="n">
        <v>22.6</v>
      </c>
      <c r="F343" s="36" t="n">
        <v>5.85</v>
      </c>
      <c r="G343" s="36" t="n">
        <v>3.216000000000001</v>
      </c>
      <c r="H343" s="36" t="n">
        <v>53</v>
      </c>
      <c r="I343" s="37" t="n">
        <v>0.5955056179775281</v>
      </c>
      <c r="J343" s="36" t="n">
        <v>7</v>
      </c>
      <c r="K343" s="37" t="n">
        <v>0.6363636363636364</v>
      </c>
      <c r="L343" s="36" t="n">
        <v>46</v>
      </c>
      <c r="M343" s="37" t="n">
        <v>0.5897435897435898</v>
      </c>
      <c r="N343" s="36" t="n">
        <v>4</v>
      </c>
      <c r="O343" s="37" t="n">
        <v>0.5714285714285714</v>
      </c>
      <c r="P343" s="36" t="n">
        <v>4</v>
      </c>
      <c r="Q343" s="37" t="n">
        <v>0.5714285714285714</v>
      </c>
      <c r="R343" s="36" t="n">
        <v>89</v>
      </c>
      <c r="S343" s="37" t="n">
        <v>1</v>
      </c>
      <c r="T343" s="36" t="n">
        <v>23</v>
      </c>
      <c r="U343" s="37" t="n">
        <v>0.2584269662921349</v>
      </c>
      <c r="V343" s="38" t="n">
        <v>0.1</v>
      </c>
      <c r="W343" s="38" t="n">
        <v>3.492</v>
      </c>
      <c r="X343" s="38" t="n">
        <v>24.842</v>
      </c>
      <c r="Y343" s="38" t="n">
        <v>23.84</v>
      </c>
      <c r="Z343" s="38" t="n">
        <v>0</v>
      </c>
      <c r="AA343" s="36" t="n">
        <v>86</v>
      </c>
      <c r="AB343" s="37" t="n">
        <v>0.7288135593220338</v>
      </c>
      <c r="AC343" s="36" t="n">
        <v>23</v>
      </c>
      <c r="AD343" s="37" t="n">
        <v>0.6388888888888888</v>
      </c>
      <c r="AE343" s="36" t="n">
        <v>56</v>
      </c>
      <c r="AF343" s="37" t="n">
        <v>0.8115942028985508</v>
      </c>
      <c r="AG343" s="36" t="n">
        <v>6</v>
      </c>
      <c r="AH343" s="37" t="n">
        <v>0.2608695652173913</v>
      </c>
    </row>
    <row r="344">
      <c r="A344" s="53" t="n">
        <v>45819</v>
      </c>
      <c r="B344" t="inlineStr">
        <is>
          <t>R01_Sumbagut</t>
        </is>
      </c>
      <c r="C344" t="inlineStr">
        <is>
          <t>NOP MEDAN</t>
        </is>
      </c>
      <c r="D344" s="38" t="n">
        <v>0</v>
      </c>
      <c r="E344" s="38" t="n">
        <v>2.38</v>
      </c>
      <c r="F344" s="36" t="n">
        <v>6.048</v>
      </c>
      <c r="G344" s="36" t="n">
        <v>6.172</v>
      </c>
      <c r="H344" s="36" t="n">
        <v>32</v>
      </c>
      <c r="I344" s="37" t="n">
        <v>0.4923076923076923</v>
      </c>
      <c r="J344" s="36" t="n">
        <v>7</v>
      </c>
      <c r="K344" s="37" t="n">
        <v>0.3333333333333333</v>
      </c>
      <c r="L344" s="36" t="n">
        <v>25</v>
      </c>
      <c r="M344" s="37" t="n">
        <v>0.5681818181818182</v>
      </c>
      <c r="N344" s="36" t="n">
        <v>5</v>
      </c>
      <c r="O344" s="37" t="n">
        <v>0.7142857142857143</v>
      </c>
      <c r="P344" s="36" t="n">
        <v>5</v>
      </c>
      <c r="Q344" s="37" t="n">
        <v>0.7142857142857143</v>
      </c>
      <c r="R344" s="36" t="n">
        <v>65</v>
      </c>
      <c r="S344" s="37" t="n">
        <v>1</v>
      </c>
      <c r="T344" s="36" t="n">
        <v>20</v>
      </c>
      <c r="U344" s="37" t="n">
        <v>0.3076923076923077</v>
      </c>
      <c r="V344" s="38" t="n">
        <v>0</v>
      </c>
      <c r="W344" s="38" t="n">
        <v>5.052</v>
      </c>
      <c r="X344" s="38" t="n">
        <v>14.56</v>
      </c>
      <c r="Y344" s="38" t="n">
        <v>2.584</v>
      </c>
      <c r="Z344" s="38" t="n">
        <v>0</v>
      </c>
      <c r="AA344" s="36" t="n">
        <v>21</v>
      </c>
      <c r="AB344" s="37" t="n">
        <v>0.4038461538461539</v>
      </c>
      <c r="AC344" s="36" t="n">
        <v>0</v>
      </c>
      <c r="AD344" s="37" t="n">
        <v>0</v>
      </c>
      <c r="AE344" s="36" t="n">
        <v>19</v>
      </c>
      <c r="AF344" s="37" t="n">
        <v>0.475</v>
      </c>
      <c r="AG344" s="36" t="n">
        <v>0</v>
      </c>
      <c r="AH344" s="37" t="n">
        <v>0</v>
      </c>
    </row>
    <row r="345">
      <c r="A345" s="53" t="n">
        <v>45819</v>
      </c>
      <c r="B345" t="inlineStr">
        <is>
          <t>R01_Sumbagut</t>
        </is>
      </c>
      <c r="C345" t="inlineStr">
        <is>
          <t>NOP PADANG SIDEMPUAN</t>
        </is>
      </c>
      <c r="D345" s="38" t="n">
        <v>0</v>
      </c>
      <c r="E345" s="38" t="n">
        <v>2.81</v>
      </c>
      <c r="F345" s="36" t="n">
        <v>6.615000000000006</v>
      </c>
      <c r="G345" s="36" t="n">
        <v>4.84</v>
      </c>
      <c r="H345" s="36" t="n">
        <v>49</v>
      </c>
      <c r="I345" s="37" t="n">
        <v>0.5568181818181818</v>
      </c>
      <c r="J345" s="36" t="n">
        <v>6</v>
      </c>
      <c r="K345" s="37" t="n">
        <v>1</v>
      </c>
      <c r="L345" s="36" t="n">
        <v>43</v>
      </c>
      <c r="M345" s="37" t="n">
        <v>0.524390243902439</v>
      </c>
      <c r="N345" s="36" t="n">
        <v>3</v>
      </c>
      <c r="O345" s="37" t="n">
        <v>0.5</v>
      </c>
      <c r="P345" s="36" t="n">
        <v>3</v>
      </c>
      <c r="Q345" s="37" t="n">
        <v>0.5</v>
      </c>
      <c r="R345" s="36" t="n">
        <v>87</v>
      </c>
      <c r="S345" s="37" t="n">
        <v>0.9886363636363636</v>
      </c>
      <c r="T345" s="36" t="n">
        <v>23</v>
      </c>
      <c r="U345" s="37" t="n">
        <v>0.2613636363636364</v>
      </c>
      <c r="V345" s="38" t="n">
        <v>0.16</v>
      </c>
      <c r="W345" s="38" t="n">
        <v>2.104</v>
      </c>
      <c r="X345" s="38" t="n">
        <v>5.636</v>
      </c>
      <c r="Y345" s="38" t="n">
        <v>22.17</v>
      </c>
      <c r="Z345" s="38" t="n">
        <v>0</v>
      </c>
      <c r="AA345" s="36" t="n">
        <v>156</v>
      </c>
      <c r="AB345" s="37" t="n">
        <v>0.6290322580645161</v>
      </c>
      <c r="AC345" s="36" t="n">
        <v>67</v>
      </c>
      <c r="AD345" s="37" t="n">
        <v>0.6442307692307693</v>
      </c>
      <c r="AE345" s="36" t="n">
        <v>89</v>
      </c>
      <c r="AF345" s="37" t="n">
        <v>0.6223776223776224</v>
      </c>
      <c r="AG345" s="36" t="n">
        <v>32</v>
      </c>
      <c r="AH345" s="37" t="n">
        <v>0.4776119402985075</v>
      </c>
    </row>
    <row r="346">
      <c r="A346" s="53" t="n">
        <v>45819</v>
      </c>
      <c r="B346" t="inlineStr">
        <is>
          <t>R01_Sumbagut</t>
        </is>
      </c>
      <c r="C346" t="inlineStr">
        <is>
          <t>NOP PEMATANG SIANTAR</t>
        </is>
      </c>
      <c r="D346" s="38" t="n">
        <v>0.833</v>
      </c>
      <c r="E346" s="38" t="n">
        <v>1.33</v>
      </c>
      <c r="F346" s="36" t="n">
        <v>2.541999999999999</v>
      </c>
      <c r="G346" s="36" t="n">
        <v>3.294</v>
      </c>
      <c r="H346" s="36" t="n">
        <v>52</v>
      </c>
      <c r="I346" s="37" t="n">
        <v>0.4482758620689655</v>
      </c>
      <c r="J346" s="36" t="n">
        <v>10</v>
      </c>
      <c r="K346" s="37" t="n">
        <v>0.7142857142857143</v>
      </c>
      <c r="L346" s="36" t="n">
        <v>42</v>
      </c>
      <c r="M346" s="37" t="n">
        <v>0.4117647058823529</v>
      </c>
      <c r="N346" s="36" t="n">
        <v>4</v>
      </c>
      <c r="O346" s="37" t="n">
        <v>0.4</v>
      </c>
      <c r="P346" s="36" t="n">
        <v>4</v>
      </c>
      <c r="Q346" s="37" t="n">
        <v>0.4</v>
      </c>
      <c r="R346" s="36" t="n">
        <v>116</v>
      </c>
      <c r="S346" s="37" t="n">
        <v>1</v>
      </c>
      <c r="T346" s="36" t="n">
        <v>28</v>
      </c>
      <c r="U346" s="37" t="n">
        <v>0.2413793103448276</v>
      </c>
      <c r="V346" s="38" t="n">
        <v>0.01</v>
      </c>
      <c r="W346" s="38" t="n">
        <v>4.646000000000001</v>
      </c>
      <c r="X346" s="38" t="n">
        <v>48.86200000000015</v>
      </c>
      <c r="Y346" s="38" t="n">
        <v>63.50000000000002</v>
      </c>
      <c r="Z346" s="38" t="n">
        <v>0</v>
      </c>
      <c r="AA346" s="36" t="n">
        <v>96</v>
      </c>
      <c r="AB346" s="37" t="n">
        <v>0.6442953020134228</v>
      </c>
      <c r="AC346" s="36" t="n">
        <v>28</v>
      </c>
      <c r="AD346" s="37" t="n">
        <v>0.6363636363636364</v>
      </c>
      <c r="AE346" s="36" t="n">
        <v>65</v>
      </c>
      <c r="AF346" s="37" t="n">
        <v>0.6632653061224489</v>
      </c>
      <c r="AG346" s="36" t="n">
        <v>20</v>
      </c>
      <c r="AH346" s="37" t="n">
        <v>0.7142857142857143</v>
      </c>
    </row>
    <row r="347">
      <c r="A347" s="53" t="n">
        <v>45819</v>
      </c>
      <c r="B347" t="inlineStr">
        <is>
          <t>R01_Sumbagut</t>
        </is>
      </c>
      <c r="C347" t="inlineStr">
        <is>
          <t>NOP RANTAU PRAPAT</t>
        </is>
      </c>
      <c r="D347" s="38" t="n">
        <v>2.36</v>
      </c>
      <c r="E347" s="38" t="n">
        <v>3.313</v>
      </c>
      <c r="F347" s="36" t="n">
        <v>3.543999999999999</v>
      </c>
      <c r="G347" s="36" t="n">
        <v>6.56</v>
      </c>
      <c r="H347" s="36" t="n">
        <v>62</v>
      </c>
      <c r="I347" s="37" t="n">
        <v>0.3712574850299401</v>
      </c>
      <c r="J347" s="36" t="n">
        <v>10</v>
      </c>
      <c r="K347" s="37" t="n">
        <v>0.4347826086956522</v>
      </c>
      <c r="L347" s="36" t="n">
        <v>52</v>
      </c>
      <c r="M347" s="37" t="n">
        <v>0.3611111111111111</v>
      </c>
      <c r="N347" s="36" t="n">
        <v>4</v>
      </c>
      <c r="O347" s="37" t="n">
        <v>0.4</v>
      </c>
      <c r="P347" s="36" t="n">
        <v>4</v>
      </c>
      <c r="Q347" s="37" t="n">
        <v>0.4</v>
      </c>
      <c r="R347" s="36" t="n">
        <v>164</v>
      </c>
      <c r="S347" s="37" t="n">
        <v>0.9820359281437125</v>
      </c>
      <c r="T347" s="36" t="n">
        <v>33</v>
      </c>
      <c r="U347" s="37" t="n">
        <v>0.1976047904191617</v>
      </c>
      <c r="V347" s="38" t="n">
        <v>0.182</v>
      </c>
      <c r="W347" s="38" t="n">
        <v>4.37</v>
      </c>
      <c r="X347" s="38" t="n">
        <v>23.948</v>
      </c>
      <c r="Y347" s="38" t="n">
        <v>38.95200000000002</v>
      </c>
      <c r="Z347" s="38" t="n">
        <v>0</v>
      </c>
      <c r="AA347" s="36" t="n">
        <v>36</v>
      </c>
      <c r="AB347" s="37" t="n">
        <v>0.1374045801526718</v>
      </c>
      <c r="AC347" s="36" t="n">
        <v>5</v>
      </c>
      <c r="AD347" s="37" t="n">
        <v>0.1020408163265306</v>
      </c>
      <c r="AE347" s="36" t="n">
        <v>25</v>
      </c>
      <c r="AF347" s="37" t="n">
        <v>0.125</v>
      </c>
      <c r="AG347" s="36" t="n">
        <v>5</v>
      </c>
      <c r="AH347" s="37" t="n">
        <v>1</v>
      </c>
    </row>
    <row r="348">
      <c r="A348" s="53" t="n">
        <v>45819</v>
      </c>
      <c r="B348" t="inlineStr">
        <is>
          <t>R10_Sumbagteng</t>
        </is>
      </c>
      <c r="C348" t="inlineStr">
        <is>
          <t>NOP BATAM</t>
        </is>
      </c>
      <c r="D348" s="38" t="n">
        <v>5.05</v>
      </c>
      <c r="E348" s="38" t="n">
        <v>12.846</v>
      </c>
      <c r="F348" s="36" t="n">
        <v>6.335000000000001</v>
      </c>
      <c r="G348" s="36" t="n">
        <v>8.944000000000003</v>
      </c>
      <c r="H348" s="36" t="n">
        <v>54</v>
      </c>
      <c r="I348" s="37" t="n">
        <v>0.4695652173913044</v>
      </c>
      <c r="J348" s="36" t="n">
        <v>12</v>
      </c>
      <c r="K348" s="37" t="n">
        <v>0.6666666666666666</v>
      </c>
      <c r="L348" s="36" t="n">
        <v>42</v>
      </c>
      <c r="M348" s="37" t="n">
        <v>0.4329896907216495</v>
      </c>
      <c r="N348" s="36" t="n">
        <v>9</v>
      </c>
      <c r="O348" s="37" t="n">
        <v>0.75</v>
      </c>
      <c r="P348" s="36" t="n">
        <v>9</v>
      </c>
      <c r="Q348" s="37" t="n">
        <v>0.75</v>
      </c>
      <c r="R348" s="36" t="n">
        <v>114</v>
      </c>
      <c r="S348" s="37" t="n">
        <v>0.991304347826087</v>
      </c>
      <c r="T348" s="36" t="n">
        <v>40</v>
      </c>
      <c r="U348" s="37" t="n">
        <v>0.3478260869565217</v>
      </c>
      <c r="V348" s="38" t="n">
        <v>0</v>
      </c>
      <c r="W348" s="38" t="n">
        <v>9.008000000000001</v>
      </c>
      <c r="X348" s="38" t="n">
        <v>39.56700000000001</v>
      </c>
      <c r="Y348" s="38" t="n">
        <v>22.7</v>
      </c>
      <c r="Z348" s="38" t="n">
        <v>0</v>
      </c>
      <c r="AA348" s="36" t="n">
        <v>103</v>
      </c>
      <c r="AB348" s="37" t="n">
        <v>0.3065476190476191</v>
      </c>
      <c r="AC348" s="36" t="n">
        <v>47</v>
      </c>
      <c r="AD348" s="37" t="n">
        <v>0.4086956521739131</v>
      </c>
      <c r="AE348" s="36" t="n">
        <v>55</v>
      </c>
      <c r="AF348" s="37" t="n">
        <v>0.2558139534883721</v>
      </c>
      <c r="AG348" s="36" t="n">
        <v>33</v>
      </c>
      <c r="AH348" s="37" t="n">
        <v>0.7021276595744681</v>
      </c>
    </row>
    <row r="349">
      <c r="A349" s="53" t="n">
        <v>45819</v>
      </c>
      <c r="B349" t="inlineStr">
        <is>
          <t>R10_Sumbagteng</t>
        </is>
      </c>
      <c r="C349" t="inlineStr">
        <is>
          <t>NOP BUKITTINGGI</t>
        </is>
      </c>
      <c r="D349" s="38" t="n">
        <v>0.62</v>
      </c>
      <c r="E349" s="38" t="n">
        <v>3.324</v>
      </c>
      <c r="F349" s="36" t="n">
        <v>3.570999999999999</v>
      </c>
      <c r="G349" s="36" t="n">
        <v>2.288000000000001</v>
      </c>
      <c r="H349" s="36" t="n">
        <v>53</v>
      </c>
      <c r="I349" s="37" t="n">
        <v>0.654320987654321</v>
      </c>
      <c r="J349" s="36" t="n">
        <v>8</v>
      </c>
      <c r="K349" s="37" t="n">
        <v>0.6666666666666666</v>
      </c>
      <c r="L349" s="36" t="n">
        <v>45</v>
      </c>
      <c r="M349" s="37" t="n">
        <v>0.6521739130434783</v>
      </c>
      <c r="N349" s="36" t="n">
        <v>6</v>
      </c>
      <c r="O349" s="37" t="n">
        <v>0.75</v>
      </c>
      <c r="P349" s="36" t="n">
        <v>6</v>
      </c>
      <c r="Q349" s="37" t="n">
        <v>0.75</v>
      </c>
      <c r="R349" s="36" t="n">
        <v>80</v>
      </c>
      <c r="S349" s="37" t="n">
        <v>0.9876543209876543</v>
      </c>
      <c r="T349" s="36" t="n">
        <v>21</v>
      </c>
      <c r="U349" s="37" t="n">
        <v>0.2592592592592592</v>
      </c>
      <c r="V349" s="38" t="n">
        <v>0</v>
      </c>
      <c r="W349" s="38" t="n">
        <v>5.830000000000001</v>
      </c>
      <c r="X349" s="38" t="n">
        <v>50.99</v>
      </c>
      <c r="Y349" s="38" t="n">
        <v>23.14</v>
      </c>
      <c r="Z349" s="38" t="n">
        <v>0</v>
      </c>
      <c r="AA349" s="36" t="n">
        <v>81</v>
      </c>
      <c r="AB349" s="37" t="n">
        <v>0.5955882352941176</v>
      </c>
      <c r="AC349" s="36" t="n">
        <v>9</v>
      </c>
      <c r="AD349" s="37" t="n">
        <v>0.6923076923076923</v>
      </c>
      <c r="AE349" s="36" t="n">
        <v>67</v>
      </c>
      <c r="AF349" s="37" t="n">
        <v>0.5775862068965517</v>
      </c>
      <c r="AG349" s="36" t="n">
        <v>7</v>
      </c>
      <c r="AH349" s="37" t="n">
        <v>0.7777777777777778</v>
      </c>
    </row>
    <row r="350">
      <c r="A350" s="53" t="n">
        <v>45819</v>
      </c>
      <c r="B350" t="inlineStr">
        <is>
          <t>R10_Sumbagteng</t>
        </is>
      </c>
      <c r="C350" t="inlineStr">
        <is>
          <t>NOP DUMAI</t>
        </is>
      </c>
      <c r="D350" s="38" t="n">
        <v>2.28</v>
      </c>
      <c r="E350" s="38" t="n">
        <v>3.357999999999999</v>
      </c>
      <c r="F350" s="36" t="n">
        <v>1.985</v>
      </c>
      <c r="G350" s="36" t="n">
        <v>2.08</v>
      </c>
      <c r="H350" s="36" t="n">
        <v>92</v>
      </c>
      <c r="I350" s="37" t="n">
        <v>0.5542168674698795</v>
      </c>
      <c r="J350" s="36" t="n">
        <v>33</v>
      </c>
      <c r="K350" s="37" t="n">
        <v>0.7333333333333333</v>
      </c>
      <c r="L350" s="36" t="n">
        <v>59</v>
      </c>
      <c r="M350" s="37" t="n">
        <v>0.487603305785124</v>
      </c>
      <c r="N350" s="36" t="n">
        <v>30</v>
      </c>
      <c r="O350" s="37" t="n">
        <v>0.9090909090909091</v>
      </c>
      <c r="P350" s="36" t="n">
        <v>30</v>
      </c>
      <c r="Q350" s="37" t="n">
        <v>0.9090909090909091</v>
      </c>
      <c r="R350" s="36" t="n">
        <v>164</v>
      </c>
      <c r="S350" s="37" t="n">
        <v>0.9879518072289156</v>
      </c>
      <c r="T350" s="36" t="n">
        <v>53</v>
      </c>
      <c r="U350" s="37" t="n">
        <v>0.3192771084337349</v>
      </c>
      <c r="V350" s="38" t="n">
        <v>0.06</v>
      </c>
      <c r="W350" s="38" t="n">
        <v>6.201999999999999</v>
      </c>
      <c r="X350" s="38" t="n">
        <v>45.15000000000001</v>
      </c>
      <c r="Y350" s="38" t="n">
        <v>67.63500000000001</v>
      </c>
      <c r="Z350" s="38" t="n">
        <v>0</v>
      </c>
      <c r="AA350" s="36" t="n">
        <v>76</v>
      </c>
      <c r="AB350" s="37" t="n">
        <v>0.2054054054054054</v>
      </c>
      <c r="AC350" s="36" t="n">
        <v>37</v>
      </c>
      <c r="AD350" s="37" t="n">
        <v>0.4157303370786517</v>
      </c>
      <c r="AE350" s="36" t="n">
        <v>39</v>
      </c>
      <c r="AF350" s="37" t="n">
        <v>0.1397849462365591</v>
      </c>
      <c r="AG350" s="36" t="n">
        <v>33</v>
      </c>
      <c r="AH350" s="37" t="n">
        <v>0.8918918918918919</v>
      </c>
    </row>
    <row r="351">
      <c r="A351" s="53" t="n">
        <v>45819</v>
      </c>
      <c r="B351" t="inlineStr">
        <is>
          <t>R10_Sumbagteng</t>
        </is>
      </c>
      <c r="C351" t="inlineStr">
        <is>
          <t>NOP PADANG</t>
        </is>
      </c>
      <c r="D351" s="38" t="n">
        <v>0</v>
      </c>
      <c r="E351" s="38" t="n">
        <v>1.007</v>
      </c>
      <c r="F351" s="36" t="n">
        <v>5.337000000000001</v>
      </c>
      <c r="G351" s="36" t="n">
        <v>2.456</v>
      </c>
      <c r="H351" s="36" t="n">
        <v>15</v>
      </c>
      <c r="I351" s="37" t="n">
        <v>0.3488372093023256</v>
      </c>
      <c r="J351" s="36" t="n">
        <v>2</v>
      </c>
      <c r="K351" s="37" t="n">
        <v>1</v>
      </c>
      <c r="L351" s="36" t="n">
        <v>13</v>
      </c>
      <c r="M351" s="37" t="n">
        <v>0.3170731707317073</v>
      </c>
      <c r="N351" s="36" t="n">
        <v>2</v>
      </c>
      <c r="O351" s="37" t="n">
        <v>1</v>
      </c>
      <c r="P351" s="36" t="n">
        <v>2</v>
      </c>
      <c r="Q351" s="37" t="n">
        <v>1</v>
      </c>
      <c r="R351" s="36" t="n">
        <v>43</v>
      </c>
      <c r="S351" s="37" t="n">
        <v>1</v>
      </c>
      <c r="T351" s="36" t="n">
        <v>10</v>
      </c>
      <c r="U351" s="37" t="n">
        <v>0.2325581395348837</v>
      </c>
      <c r="V351" s="38" t="n">
        <v>0.8599999999999999</v>
      </c>
      <c r="W351" s="38" t="n">
        <v>6.625</v>
      </c>
      <c r="X351" s="38" t="n">
        <v>23.932</v>
      </c>
      <c r="Y351" s="38" t="n">
        <v>51.28</v>
      </c>
      <c r="Z351" s="38" t="n">
        <v>0</v>
      </c>
      <c r="AA351" s="36" t="n">
        <v>80</v>
      </c>
      <c r="AB351" s="37" t="n">
        <v>0.7339449541284404</v>
      </c>
      <c r="AC351" s="36" t="n">
        <v>17</v>
      </c>
      <c r="AD351" s="37" t="n">
        <v>0.5862068965517241</v>
      </c>
      <c r="AE351" s="36" t="n">
        <v>63</v>
      </c>
      <c r="AF351" s="37" t="n">
        <v>0.7875</v>
      </c>
      <c r="AG351" s="36" t="n">
        <v>15</v>
      </c>
      <c r="AH351" s="37" t="n">
        <v>0.8823529411764706</v>
      </c>
    </row>
    <row r="352">
      <c r="A352" s="53" t="n">
        <v>45819</v>
      </c>
      <c r="B352" t="inlineStr">
        <is>
          <t>R10_Sumbagteng</t>
        </is>
      </c>
      <c r="C352" t="inlineStr">
        <is>
          <t>NOP PEKANBARU</t>
        </is>
      </c>
      <c r="D352" s="38" t="n">
        <v>0</v>
      </c>
      <c r="E352" s="38" t="n">
        <v>2.412999999999999</v>
      </c>
      <c r="F352" s="36" t="n">
        <v>4.4</v>
      </c>
      <c r="G352" s="36" t="n">
        <v>11.687</v>
      </c>
      <c r="H352" s="36" t="n">
        <v>67</v>
      </c>
      <c r="I352" s="37" t="n">
        <v>0.5826086956521739</v>
      </c>
      <c r="J352" s="36" t="n">
        <v>5</v>
      </c>
      <c r="K352" s="37" t="n">
        <v>0.625</v>
      </c>
      <c r="L352" s="36" t="n">
        <v>62</v>
      </c>
      <c r="M352" s="37" t="n">
        <v>0.5794392523364486</v>
      </c>
      <c r="N352" s="36" t="n">
        <v>5</v>
      </c>
      <c r="O352" s="37" t="n">
        <v>1</v>
      </c>
      <c r="P352" s="36" t="n">
        <v>5</v>
      </c>
      <c r="Q352" s="37" t="n">
        <v>1</v>
      </c>
      <c r="R352" s="36" t="n">
        <v>113</v>
      </c>
      <c r="S352" s="37" t="n">
        <v>0.9826086956521739</v>
      </c>
      <c r="T352" s="36" t="n">
        <v>36</v>
      </c>
      <c r="U352" s="37" t="n">
        <v>0.3130434782608696</v>
      </c>
      <c r="V352" s="38" t="n">
        <v>0.01</v>
      </c>
      <c r="W352" s="38" t="n">
        <v>6.683999999999999</v>
      </c>
      <c r="X352" s="38" t="n">
        <v>33.73</v>
      </c>
      <c r="Y352" s="38" t="n">
        <v>27.036</v>
      </c>
      <c r="Z352" s="38" t="n">
        <v>0</v>
      </c>
      <c r="AA352" s="36" t="n">
        <v>88</v>
      </c>
      <c r="AB352" s="37" t="n">
        <v>0.3397683397683398</v>
      </c>
      <c r="AC352" s="36" t="n">
        <v>39</v>
      </c>
      <c r="AD352" s="37" t="n">
        <v>0.582089552238806</v>
      </c>
      <c r="AE352" s="36" t="n">
        <v>47</v>
      </c>
      <c r="AF352" s="37" t="n">
        <v>0.25</v>
      </c>
      <c r="AG352" s="36" t="n">
        <v>33</v>
      </c>
      <c r="AH352" s="37" t="n">
        <v>0.8461538461538461</v>
      </c>
    </row>
    <row r="353">
      <c r="A353" s="53" t="n">
        <v>45819</v>
      </c>
      <c r="B353" t="inlineStr">
        <is>
          <t>R02_Sumbagsel</t>
        </is>
      </c>
      <c r="C353" t="inlineStr">
        <is>
          <t>NOP BENGKULU</t>
        </is>
      </c>
      <c r="D353" s="38" t="n">
        <v>1.324</v>
      </c>
      <c r="E353" s="38" t="n">
        <v>1.4</v>
      </c>
      <c r="F353" s="36" t="n">
        <v>2.57</v>
      </c>
      <c r="G353" s="36" t="n">
        <v>3.979</v>
      </c>
      <c r="H353" s="36" t="n">
        <v>32</v>
      </c>
      <c r="I353" s="37" t="n">
        <v>0.5</v>
      </c>
      <c r="J353" s="36" t="n">
        <v>9</v>
      </c>
      <c r="K353" s="37" t="n">
        <v>0.5625</v>
      </c>
      <c r="L353" s="36" t="n">
        <v>23</v>
      </c>
      <c r="M353" s="37" t="n">
        <v>0.4791666666666667</v>
      </c>
      <c r="N353" s="36" t="n">
        <v>5</v>
      </c>
      <c r="O353" s="37" t="n">
        <v>0.5555555555555556</v>
      </c>
      <c r="P353" s="36" t="n">
        <v>5</v>
      </c>
      <c r="Q353" s="37" t="n">
        <v>0.5555555555555556</v>
      </c>
      <c r="R353" s="36" t="n">
        <v>62</v>
      </c>
      <c r="S353" s="37" t="n">
        <v>0.96875</v>
      </c>
      <c r="T353" s="36" t="n">
        <v>19</v>
      </c>
      <c r="U353" s="37" t="n">
        <v>0.296875</v>
      </c>
      <c r="V353" s="38" t="n">
        <v>0</v>
      </c>
      <c r="W353" s="38" t="n">
        <v>4.865</v>
      </c>
      <c r="X353" s="38" t="n">
        <v>3.373</v>
      </c>
      <c r="Y353" s="38" t="n">
        <v>4</v>
      </c>
      <c r="Z353" s="38" t="n">
        <v>0</v>
      </c>
      <c r="AA353" s="36" t="n">
        <v>99</v>
      </c>
      <c r="AB353" s="37" t="n">
        <v>0.5823529411764706</v>
      </c>
      <c r="AC353" s="36" t="n">
        <v>45</v>
      </c>
      <c r="AD353" s="37" t="n">
        <v>0.4411764705882353</v>
      </c>
      <c r="AE353" s="36" t="n">
        <v>48</v>
      </c>
      <c r="AF353" s="37" t="n">
        <v>0.8571428571428571</v>
      </c>
      <c r="AG353" s="36" t="n">
        <v>42</v>
      </c>
      <c r="AH353" s="37" t="n">
        <v>0.9333333333333333</v>
      </c>
    </row>
    <row r="354">
      <c r="A354" s="53" t="n">
        <v>45819</v>
      </c>
      <c r="B354" t="inlineStr">
        <is>
          <t>R02_Sumbagsel</t>
        </is>
      </c>
      <c r="C354" t="inlineStr">
        <is>
          <t>NOP JAMBI</t>
        </is>
      </c>
      <c r="D354" s="38" t="n">
        <v>1.51</v>
      </c>
      <c r="E354" s="38" t="n">
        <v>1.609</v>
      </c>
      <c r="F354" s="36" t="n">
        <v>1.925</v>
      </c>
      <c r="G354" s="36" t="n">
        <v>2.991</v>
      </c>
      <c r="H354" s="36" t="n">
        <v>28</v>
      </c>
      <c r="I354" s="37" t="n">
        <v>0.35</v>
      </c>
      <c r="J354" s="36" t="n">
        <v>8</v>
      </c>
      <c r="K354" s="37" t="n">
        <v>0.5714285714285714</v>
      </c>
      <c r="L354" s="36" t="n">
        <v>20</v>
      </c>
      <c r="M354" s="37" t="n">
        <v>0.303030303030303</v>
      </c>
      <c r="N354" s="36" t="n">
        <v>5</v>
      </c>
      <c r="O354" s="37" t="n">
        <v>0.625</v>
      </c>
      <c r="P354" s="36" t="n">
        <v>5</v>
      </c>
      <c r="Q354" s="37" t="n">
        <v>0.625</v>
      </c>
      <c r="R354" s="36" t="n">
        <v>80</v>
      </c>
      <c r="S354" s="37" t="n">
        <v>1</v>
      </c>
      <c r="T354" s="36" t="n">
        <v>14</v>
      </c>
      <c r="U354" s="37" t="n">
        <v>0.175</v>
      </c>
      <c r="V354" s="38" t="n">
        <v>0</v>
      </c>
      <c r="W354" s="38" t="n">
        <v>1.539999999999999</v>
      </c>
      <c r="X354" s="38" t="n">
        <v>18.94799999999999</v>
      </c>
      <c r="Y354" s="38" t="n">
        <v>30.428</v>
      </c>
      <c r="Z354" s="38" t="n">
        <v>0</v>
      </c>
      <c r="AA354" s="36" t="n">
        <v>43</v>
      </c>
      <c r="AB354" s="37" t="n">
        <v>0.2621951219512195</v>
      </c>
      <c r="AC354" s="36" t="n">
        <v>20</v>
      </c>
      <c r="AD354" s="37" t="n">
        <v>0.2040816326530612</v>
      </c>
      <c r="AE354" s="36" t="n">
        <v>19</v>
      </c>
      <c r="AF354" s="37" t="n">
        <v>0.3653846153846154</v>
      </c>
      <c r="AG354" s="36" t="n">
        <v>12</v>
      </c>
      <c r="AH354" s="37" t="n">
        <v>0.6</v>
      </c>
    </row>
    <row r="355">
      <c r="A355" s="53" t="n">
        <v>45819</v>
      </c>
      <c r="B355" t="inlineStr">
        <is>
          <t>R02_Sumbagsel</t>
        </is>
      </c>
      <c r="C355" t="inlineStr">
        <is>
          <t>NOP LAMPUNG</t>
        </is>
      </c>
      <c r="D355" s="38" t="n">
        <v>0</v>
      </c>
      <c r="E355" s="38" t="n">
        <v>2.175</v>
      </c>
      <c r="F355" s="36" t="n">
        <v>1.759</v>
      </c>
      <c r="G355" s="36" t="n">
        <v>2.656000000000001</v>
      </c>
      <c r="H355" s="36" t="n">
        <v>30</v>
      </c>
      <c r="I355" s="37" t="n">
        <v>0.6122448979591837</v>
      </c>
      <c r="J355" s="36" t="n">
        <v>10</v>
      </c>
      <c r="K355" s="37" t="n">
        <v>0.8333333333333334</v>
      </c>
      <c r="L355" s="36" t="n">
        <v>20</v>
      </c>
      <c r="M355" s="37" t="n">
        <v>0.5405405405405406</v>
      </c>
      <c r="N355" s="36" t="n">
        <v>7</v>
      </c>
      <c r="O355" s="37" t="n">
        <v>0.7</v>
      </c>
      <c r="P355" s="36" t="n">
        <v>7</v>
      </c>
      <c r="Q355" s="37" t="n">
        <v>0.7</v>
      </c>
      <c r="R355" s="36" t="n">
        <v>49</v>
      </c>
      <c r="S355" s="37" t="n">
        <v>1</v>
      </c>
      <c r="T355" s="36" t="n">
        <v>24</v>
      </c>
      <c r="U355" s="37" t="n">
        <v>0.4897959183673469</v>
      </c>
      <c r="V355" s="38" t="n">
        <v>0</v>
      </c>
      <c r="W355" s="38" t="n">
        <v>4.862</v>
      </c>
      <c r="X355" s="38" t="n">
        <v>4.085</v>
      </c>
      <c r="Y355" s="38" t="n">
        <v>24.092</v>
      </c>
      <c r="Z355" s="38" t="n">
        <v>0</v>
      </c>
      <c r="AA355" s="36" t="n">
        <v>121</v>
      </c>
      <c r="AB355" s="37" t="n">
        <v>0.937984496124031</v>
      </c>
      <c r="AC355" s="36" t="n">
        <v>21</v>
      </c>
      <c r="AD355" s="37" t="n">
        <v>0.875</v>
      </c>
      <c r="AE355" s="36" t="n">
        <v>94</v>
      </c>
      <c r="AF355" s="37" t="n">
        <v>0.9494949494949495</v>
      </c>
      <c r="AG355" s="36" t="n">
        <v>16</v>
      </c>
      <c r="AH355" s="37" t="n">
        <v>0.7619047619047619</v>
      </c>
    </row>
    <row r="356">
      <c r="A356" s="53" t="n">
        <v>45819</v>
      </c>
      <c r="B356" t="inlineStr">
        <is>
          <t>R02_Sumbagsel</t>
        </is>
      </c>
      <c r="C356" t="inlineStr">
        <is>
          <t>NOP MUARA ENIM</t>
        </is>
      </c>
      <c r="D356" s="38" t="n">
        <v>0</v>
      </c>
      <c r="E356" s="38" t="n">
        <v>3.44</v>
      </c>
      <c r="F356" s="36" t="n">
        <v>43.24</v>
      </c>
      <c r="G356" s="36" t="n">
        <v>5.126</v>
      </c>
      <c r="H356" s="36" t="n">
        <v>10</v>
      </c>
      <c r="I356" s="37" t="n">
        <v>0.3225806451612903</v>
      </c>
      <c r="J356" s="36" t="n">
        <v>2</v>
      </c>
      <c r="K356" s="37" t="n">
        <v>0.3333333333333333</v>
      </c>
      <c r="L356" s="36" t="n">
        <v>8</v>
      </c>
      <c r="M356" s="37" t="n">
        <v>0.32</v>
      </c>
      <c r="N356" s="36" t="n">
        <v>2</v>
      </c>
      <c r="O356" s="37" t="n">
        <v>1</v>
      </c>
      <c r="P356" s="36" t="n">
        <v>2</v>
      </c>
      <c r="Q356" s="37" t="n">
        <v>1</v>
      </c>
      <c r="R356" s="36" t="n">
        <v>30</v>
      </c>
      <c r="S356" s="37" t="n">
        <v>0.967741935483871</v>
      </c>
      <c r="T356" s="36" t="n">
        <v>8</v>
      </c>
      <c r="U356" s="37" t="n">
        <v>0.2580645161290323</v>
      </c>
      <c r="V356" s="38" t="n">
        <v>0</v>
      </c>
      <c r="W356" s="38" t="n">
        <v>21.886</v>
      </c>
      <c r="X356" s="38" t="n">
        <v>18.11800000000002</v>
      </c>
      <c r="Y356" s="38" t="n">
        <v>4</v>
      </c>
      <c r="Z356" s="38" t="n">
        <v>0</v>
      </c>
      <c r="AA356" s="36" t="n">
        <v>111</v>
      </c>
      <c r="AB356" s="37" t="n">
        <v>0.6981132075471698</v>
      </c>
      <c r="AC356" s="36" t="n">
        <v>21</v>
      </c>
      <c r="AD356" s="37" t="n">
        <v>0.4883720930232558</v>
      </c>
      <c r="AE356" s="36" t="n">
        <v>89</v>
      </c>
      <c r="AF356" s="37" t="n">
        <v>0.7876106194690266</v>
      </c>
      <c r="AG356" s="36" t="n">
        <v>14</v>
      </c>
      <c r="AH356" s="37" t="n">
        <v>0.6666666666666666</v>
      </c>
    </row>
    <row r="357">
      <c r="A357" s="53" t="n">
        <v>45819</v>
      </c>
      <c r="B357" t="inlineStr">
        <is>
          <t>R02_Sumbagsel</t>
        </is>
      </c>
      <c r="C357" t="inlineStr">
        <is>
          <t>NOP PALEMBANG</t>
        </is>
      </c>
      <c r="D357" s="38" t="n">
        <v>2.07</v>
      </c>
      <c r="E357" s="38" t="n">
        <v>2.555999999999999</v>
      </c>
      <c r="F357" s="36" t="n">
        <v>5.663000000000004</v>
      </c>
      <c r="G357" s="36" t="n">
        <v>4.935999999999999</v>
      </c>
      <c r="H357" s="36" t="n">
        <v>27</v>
      </c>
      <c r="I357" s="37" t="n">
        <v>0.1708860759493671</v>
      </c>
      <c r="J357" s="36" t="n">
        <v>3</v>
      </c>
      <c r="K357" s="37" t="n">
        <v>0.2727272727272727</v>
      </c>
      <c r="L357" s="36" t="n">
        <v>24</v>
      </c>
      <c r="M357" s="37" t="n">
        <v>0.163265306122449</v>
      </c>
      <c r="N357" s="36" t="n">
        <v>2</v>
      </c>
      <c r="O357" s="37" t="n">
        <v>0.6666666666666666</v>
      </c>
      <c r="P357" s="36" t="n">
        <v>2</v>
      </c>
      <c r="Q357" s="37" t="n">
        <v>0.6666666666666666</v>
      </c>
      <c r="R357" s="36" t="n">
        <v>158</v>
      </c>
      <c r="S357" s="37" t="n">
        <v>1</v>
      </c>
      <c r="T357" s="36" t="n">
        <v>16</v>
      </c>
      <c r="U357" s="37" t="n">
        <v>0.1012658227848101</v>
      </c>
      <c r="V357" s="38" t="n">
        <v>0</v>
      </c>
      <c r="W357" s="38" t="n">
        <v>3.02</v>
      </c>
      <c r="X357" s="38" t="n">
        <v>7.350000000000002</v>
      </c>
      <c r="Y357" s="38" t="n">
        <v>19</v>
      </c>
      <c r="Z357" s="38" t="n">
        <v>0</v>
      </c>
      <c r="AA357" s="36" t="n">
        <v>22</v>
      </c>
      <c r="AB357" s="37" t="n">
        <v>0.1047619047619048</v>
      </c>
      <c r="AC357" s="36" t="n">
        <v>6</v>
      </c>
      <c r="AD357" s="37" t="n">
        <v>0.05504587155963303</v>
      </c>
      <c r="AE357" s="36" t="n">
        <v>15</v>
      </c>
      <c r="AF357" s="37" t="n">
        <v>0.1923076923076923</v>
      </c>
      <c r="AG357" s="36" t="n">
        <v>3</v>
      </c>
      <c r="AH357" s="37" t="n">
        <v>0.5</v>
      </c>
    </row>
    <row r="358">
      <c r="A358" s="53" t="n">
        <v>45819</v>
      </c>
      <c r="B358" t="inlineStr">
        <is>
          <t>R02_Sumbagsel</t>
        </is>
      </c>
      <c r="C358" t="inlineStr">
        <is>
          <t>NOP PANGKAL PINANG</t>
        </is>
      </c>
      <c r="D358" s="38" t="n">
        <v>0</v>
      </c>
      <c r="E358" s="38" t="n">
        <v>1.462</v>
      </c>
      <c r="F358" s="36" t="n">
        <v>5.49</v>
      </c>
      <c r="G358" s="36" t="n">
        <v>4.586</v>
      </c>
      <c r="H358" s="36" t="n">
        <v>28</v>
      </c>
      <c r="I358" s="37" t="n">
        <v>0.7777777777777778</v>
      </c>
      <c r="J358" s="36" t="n">
        <v>4</v>
      </c>
      <c r="K358" s="37" t="n">
        <v>1</v>
      </c>
      <c r="L358" s="36" t="n">
        <v>24</v>
      </c>
      <c r="M358" s="37" t="n">
        <v>0.75</v>
      </c>
      <c r="N358" s="36" t="n">
        <v>3</v>
      </c>
      <c r="O358" s="37" t="n">
        <v>0.75</v>
      </c>
      <c r="P358" s="36" t="n">
        <v>3</v>
      </c>
      <c r="Q358" s="37" t="n">
        <v>0.75</v>
      </c>
      <c r="R358" s="36" t="n">
        <v>36</v>
      </c>
      <c r="S358" s="37" t="n">
        <v>1</v>
      </c>
      <c r="T358" s="36" t="n">
        <v>14</v>
      </c>
      <c r="U358" s="37" t="n">
        <v>0.3888888888888889</v>
      </c>
      <c r="V358" s="38" t="n">
        <v>0</v>
      </c>
      <c r="W358" s="38" t="n">
        <v>4.021000000000017</v>
      </c>
      <c r="X358" s="38" t="n">
        <v>6.366000000000001</v>
      </c>
      <c r="Y358" s="38" t="n">
        <v>4.53</v>
      </c>
      <c r="Z358" s="38" t="n">
        <v>0</v>
      </c>
      <c r="AA358" s="36" t="n">
        <v>78</v>
      </c>
      <c r="AB358" s="37" t="n">
        <v>0.9512195121951219</v>
      </c>
      <c r="AC358" s="36" t="n">
        <v>20</v>
      </c>
      <c r="AD358" s="37" t="n">
        <v>1</v>
      </c>
      <c r="AE358" s="36" t="n">
        <v>54</v>
      </c>
      <c r="AF358" s="37" t="n">
        <v>0.9310344827586207</v>
      </c>
      <c r="AG358" s="36" t="n">
        <v>17</v>
      </c>
      <c r="AH358" s="37" t="n">
        <v>0.85</v>
      </c>
    </row>
    <row r="359">
      <c r="A359" s="53" t="n">
        <v>45819</v>
      </c>
      <c r="B359" t="inlineStr">
        <is>
          <t>R05_Jawa Tengah DIY</t>
        </is>
      </c>
      <c r="C359" t="inlineStr">
        <is>
          <t>NOP MAGELANG</t>
        </is>
      </c>
      <c r="D359" s="38" t="n">
        <v>3.72</v>
      </c>
      <c r="E359" s="38" t="n">
        <v>0</v>
      </c>
      <c r="F359" s="36" t="n">
        <v>4.772000000000001</v>
      </c>
      <c r="G359" s="36" t="n">
        <v>2.825</v>
      </c>
      <c r="H359" s="36" t="n">
        <v>15</v>
      </c>
      <c r="I359" s="37" t="n">
        <v>0.9375</v>
      </c>
      <c r="J359" s="36" t="n">
        <v>1</v>
      </c>
      <c r="K359" s="37" t="n">
        <v>1</v>
      </c>
      <c r="L359" s="36" t="n">
        <v>14</v>
      </c>
      <c r="M359" s="37" t="n">
        <v>0.9333333333333333</v>
      </c>
      <c r="N359" s="36" t="n">
        <v>1</v>
      </c>
      <c r="O359" s="37" t="n">
        <v>1</v>
      </c>
      <c r="P359" s="36" t="n">
        <v>1</v>
      </c>
      <c r="Q359" s="37" t="n">
        <v>1</v>
      </c>
      <c r="R359" s="36" t="n">
        <v>16</v>
      </c>
      <c r="S359" s="37" t="n">
        <v>1</v>
      </c>
      <c r="T359" s="36" t="n">
        <v>13</v>
      </c>
      <c r="U359" s="37" t="n">
        <v>0.8125</v>
      </c>
      <c r="V359" s="38" t="n">
        <v>0</v>
      </c>
      <c r="W359" s="38" t="n">
        <v>1.17</v>
      </c>
      <c r="X359" s="38" t="n">
        <v>3.138</v>
      </c>
      <c r="Y359" s="38" t="n">
        <v>19.4</v>
      </c>
      <c r="Z359" s="38" t="n">
        <v>0</v>
      </c>
      <c r="AA359" s="36" t="n">
        <v>56</v>
      </c>
      <c r="AB359" s="37" t="n">
        <v>0.8888888888888888</v>
      </c>
      <c r="AC359" s="36" t="n">
        <v>28</v>
      </c>
      <c r="AD359" s="37" t="n">
        <v>0.9032258064516129</v>
      </c>
      <c r="AE359" s="36" t="n">
        <v>28</v>
      </c>
      <c r="AF359" s="37" t="n">
        <v>0.875</v>
      </c>
      <c r="AG359" s="36" t="n">
        <v>27</v>
      </c>
      <c r="AH359" s="37" t="n">
        <v>0.9642857142857143</v>
      </c>
    </row>
    <row r="360">
      <c r="A360" s="53" t="n">
        <v>45819</v>
      </c>
      <c r="B360" t="inlineStr">
        <is>
          <t>R05_Jawa Tengah DIY</t>
        </is>
      </c>
      <c r="C360" t="inlineStr">
        <is>
          <t>NOP PEKALONGAN</t>
        </is>
      </c>
      <c r="D360" s="38" t="n">
        <v>4.843</v>
      </c>
      <c r="E360" s="38" t="n">
        <v>0</v>
      </c>
      <c r="F360" s="36" t="n">
        <v>2.896</v>
      </c>
      <c r="G360" s="36" t="n">
        <v>4.16</v>
      </c>
      <c r="H360" s="36" t="n">
        <v>13</v>
      </c>
      <c r="I360" s="37" t="n">
        <v>0.7222222222222222</v>
      </c>
      <c r="J360" s="36" t="n">
        <v>3</v>
      </c>
      <c r="K360" s="37" t="n">
        <v>0.75</v>
      </c>
      <c r="L360" s="36" t="n">
        <v>10</v>
      </c>
      <c r="M360" s="37" t="n">
        <v>0.7142857142857143</v>
      </c>
      <c r="N360" s="36" t="n">
        <v>3</v>
      </c>
      <c r="O360" s="37" t="n">
        <v>1</v>
      </c>
      <c r="P360" s="36" t="n">
        <v>3</v>
      </c>
      <c r="Q360" s="37" t="n">
        <v>1</v>
      </c>
      <c r="R360" s="36" t="n">
        <v>15</v>
      </c>
      <c r="S360" s="37" t="n">
        <v>0.8333333333333334</v>
      </c>
      <c r="T360" s="36" t="n">
        <v>9</v>
      </c>
      <c r="U360" s="37" t="n">
        <v>0.5</v>
      </c>
      <c r="V360" s="38" t="n">
        <v>0</v>
      </c>
      <c r="W360" s="38" t="n">
        <v>0.9589999999999997</v>
      </c>
      <c r="X360" s="38" t="n">
        <v>6.51</v>
      </c>
      <c r="Y360" s="38" t="n">
        <v>23.322</v>
      </c>
      <c r="Z360" s="38" t="n">
        <v>0</v>
      </c>
      <c r="AA360" s="36" t="n">
        <v>39</v>
      </c>
      <c r="AB360" s="37" t="n">
        <v>0.8863636363636364</v>
      </c>
      <c r="AC360" s="36" t="n">
        <v>7</v>
      </c>
      <c r="AD360" s="37" t="n">
        <v>0.7</v>
      </c>
      <c r="AE360" s="36" t="n">
        <v>32</v>
      </c>
      <c r="AF360" s="37" t="n">
        <v>0.9411764705882353</v>
      </c>
      <c r="AG360" s="36" t="n">
        <v>0</v>
      </c>
      <c r="AH360" s="37" t="n">
        <v>0</v>
      </c>
    </row>
    <row r="361">
      <c r="A361" s="53" t="n">
        <v>45819</v>
      </c>
      <c r="B361" t="inlineStr">
        <is>
          <t>R05_Jawa Tengah DIY</t>
        </is>
      </c>
      <c r="C361" t="inlineStr">
        <is>
          <t>NOP PURWOKERTO</t>
        </is>
      </c>
      <c r="D361" s="38" t="n">
        <v>0.76</v>
      </c>
      <c r="E361" s="38" t="n">
        <v>0</v>
      </c>
      <c r="F361" s="36" t="n">
        <v>1.336</v>
      </c>
      <c r="G361" s="36" t="n">
        <v>2.985</v>
      </c>
      <c r="H361" s="36" t="n">
        <v>6</v>
      </c>
      <c r="I361" s="37" t="n">
        <v>0.4285714285714285</v>
      </c>
      <c r="J361" s="36" t="n">
        <v>1</v>
      </c>
      <c r="K361" s="37" t="n">
        <v>1</v>
      </c>
      <c r="L361" s="36" t="n">
        <v>5</v>
      </c>
      <c r="M361" s="37" t="n">
        <v>0.3846153846153846</v>
      </c>
      <c r="N361" s="36" t="n">
        <v>1</v>
      </c>
      <c r="O361" s="37" t="n">
        <v>1</v>
      </c>
      <c r="P361" s="36" t="n">
        <v>1</v>
      </c>
      <c r="Q361" s="37" t="n">
        <v>1</v>
      </c>
      <c r="R361" s="36" t="n">
        <v>14</v>
      </c>
      <c r="S361" s="37" t="n">
        <v>1</v>
      </c>
      <c r="T361" s="36" t="n">
        <v>3</v>
      </c>
      <c r="U361" s="37" t="n">
        <v>0.2142857142857143</v>
      </c>
      <c r="V361" s="38" t="n">
        <v>0</v>
      </c>
      <c r="W361" s="38" t="n">
        <v>11.387</v>
      </c>
      <c r="X361" s="38" t="n">
        <v>6.758</v>
      </c>
      <c r="Y361" s="38" t="n">
        <v>18.158</v>
      </c>
      <c r="Z361" s="38" t="n">
        <v>0</v>
      </c>
      <c r="AA361" s="36" t="n">
        <v>31</v>
      </c>
      <c r="AB361" s="37" t="n">
        <v>0.9117647058823529</v>
      </c>
      <c r="AC361" s="36" t="n">
        <v>12</v>
      </c>
      <c r="AD361" s="37" t="n">
        <v>1</v>
      </c>
      <c r="AE361" s="36" t="n">
        <v>19</v>
      </c>
      <c r="AF361" s="37" t="n">
        <v>0.8636363636363636</v>
      </c>
      <c r="AG361" s="36" t="n">
        <v>4</v>
      </c>
      <c r="AH361" s="37" t="n">
        <v>0.3333333333333333</v>
      </c>
    </row>
    <row r="362">
      <c r="A362" s="53" t="n">
        <v>45819</v>
      </c>
      <c r="B362" t="inlineStr">
        <is>
          <t>R05_Jawa Tengah DIY</t>
        </is>
      </c>
      <c r="C362" t="inlineStr">
        <is>
          <t>NOP SEMARANG</t>
        </is>
      </c>
      <c r="D362" s="38" t="n">
        <v>3.614</v>
      </c>
      <c r="E362" s="38" t="n">
        <v>0</v>
      </c>
      <c r="F362" s="36" t="n">
        <v>3.294000000000001</v>
      </c>
      <c r="G362" s="36" t="n">
        <v>4.1</v>
      </c>
      <c r="H362" s="36" t="n">
        <v>34</v>
      </c>
      <c r="I362" s="37" t="n">
        <v>0.7727272727272727</v>
      </c>
      <c r="J362" s="36" t="n">
        <v>2</v>
      </c>
      <c r="K362" s="37" t="n">
        <v>0.6666666666666666</v>
      </c>
      <c r="L362" s="36" t="n">
        <v>32</v>
      </c>
      <c r="M362" s="37" t="n">
        <v>0.7804878048780488</v>
      </c>
      <c r="N362" s="36" t="n">
        <v>2</v>
      </c>
      <c r="O362" s="37" t="n">
        <v>1</v>
      </c>
      <c r="P362" s="36" t="n">
        <v>2</v>
      </c>
      <c r="Q362" s="37" t="n">
        <v>1</v>
      </c>
      <c r="R362" s="36" t="n">
        <v>41</v>
      </c>
      <c r="S362" s="37" t="n">
        <v>0.9318181818181818</v>
      </c>
      <c r="T362" s="36" t="n">
        <v>15</v>
      </c>
      <c r="U362" s="37" t="n">
        <v>0.3409090909090909</v>
      </c>
      <c r="V362" s="38" t="n">
        <v>0.01</v>
      </c>
      <c r="W362" s="38" t="n">
        <v>26.08799999999996</v>
      </c>
      <c r="X362" s="38" t="n">
        <v>5.418000000000002</v>
      </c>
      <c r="Y362" s="38" t="n">
        <v>48.10600000000001</v>
      </c>
      <c r="Z362" s="38" t="n">
        <v>0</v>
      </c>
      <c r="AA362" s="36" t="n">
        <v>32</v>
      </c>
      <c r="AB362" s="37" t="n">
        <v>0.8648648648648649</v>
      </c>
      <c r="AC362" s="36" t="n">
        <v>9</v>
      </c>
      <c r="AD362" s="37" t="n">
        <v>0.8181818181818182</v>
      </c>
      <c r="AE362" s="36" t="n">
        <v>23</v>
      </c>
      <c r="AF362" s="37" t="n">
        <v>0.8846153846153846</v>
      </c>
      <c r="AG362" s="36" t="n">
        <v>8</v>
      </c>
      <c r="AH362" s="37" t="n">
        <v>0.8888888888888888</v>
      </c>
    </row>
    <row r="363">
      <c r="A363" s="53" t="n">
        <v>45819</v>
      </c>
      <c r="B363" t="inlineStr">
        <is>
          <t>R05_Jawa Tengah DIY</t>
        </is>
      </c>
      <c r="C363" t="inlineStr">
        <is>
          <t>NOP SURAKARTA</t>
        </is>
      </c>
      <c r="D363" s="38" t="n">
        <v>2.322</v>
      </c>
      <c r="E363" s="38" t="n">
        <v>0</v>
      </c>
      <c r="F363" s="36" t="n">
        <v>2.58</v>
      </c>
      <c r="G363" s="36" t="n">
        <v>2.66</v>
      </c>
      <c r="H363" s="36" t="n">
        <v>32</v>
      </c>
      <c r="I363" s="37" t="n">
        <v>0.9142857142857143</v>
      </c>
      <c r="J363" s="36" t="n">
        <v>2</v>
      </c>
      <c r="K363" s="37" t="n">
        <v>1</v>
      </c>
      <c r="L363" s="36" t="n">
        <v>30</v>
      </c>
      <c r="M363" s="37" t="n">
        <v>0.9090909090909091</v>
      </c>
      <c r="N363" s="36" t="n">
        <v>2</v>
      </c>
      <c r="O363" s="37" t="n">
        <v>1</v>
      </c>
      <c r="P363" s="36" t="n">
        <v>2</v>
      </c>
      <c r="Q363" s="37" t="n">
        <v>1</v>
      </c>
      <c r="R363" s="36" t="n">
        <v>35</v>
      </c>
      <c r="S363" s="37" t="n">
        <v>1</v>
      </c>
      <c r="T363" s="36" t="n">
        <v>25</v>
      </c>
      <c r="U363" s="37" t="n">
        <v>0.7142857142857143</v>
      </c>
      <c r="V363" s="38" t="n">
        <v>0.2600000000000001</v>
      </c>
      <c r="W363" s="38" t="n">
        <v>21.414</v>
      </c>
      <c r="X363" s="38" t="n">
        <v>4.425000000000001</v>
      </c>
      <c r="Y363" s="38" t="n">
        <v>19.62900000000001</v>
      </c>
      <c r="Z363" s="38" t="n">
        <v>0</v>
      </c>
      <c r="AA363" s="36" t="n">
        <v>38</v>
      </c>
      <c r="AB363" s="37" t="n">
        <v>0.76</v>
      </c>
      <c r="AC363" s="36" t="n">
        <v>9</v>
      </c>
      <c r="AD363" s="37" t="n">
        <v>0.5</v>
      </c>
      <c r="AE363" s="36" t="n">
        <v>29</v>
      </c>
      <c r="AF363" s="37" t="n">
        <v>0.90625</v>
      </c>
      <c r="AG363" s="36" t="n">
        <v>5</v>
      </c>
      <c r="AH363" s="37" t="n">
        <v>0.5555555555555556</v>
      </c>
    </row>
    <row r="364">
      <c r="A364" s="53" t="n">
        <v>45819</v>
      </c>
      <c r="B364" t="inlineStr">
        <is>
          <t>R05_Jawa Tengah DIY</t>
        </is>
      </c>
      <c r="C364" t="inlineStr">
        <is>
          <t>NOP YOGYAKARTA</t>
        </is>
      </c>
      <c r="D364" s="38" t="n">
        <v>0</v>
      </c>
      <c r="E364" s="38" t="n">
        <v>0</v>
      </c>
      <c r="F364" s="36" t="n">
        <v>2.182</v>
      </c>
      <c r="G364" s="36" t="n">
        <v>1.06</v>
      </c>
      <c r="H364" s="36" t="n">
        <v>21</v>
      </c>
      <c r="I364" s="37" t="n">
        <v>0.8076923076923077</v>
      </c>
      <c r="J364" s="36" t="n">
        <v>0</v>
      </c>
      <c r="K364" s="37" t="n">
        <v>0</v>
      </c>
      <c r="L364" s="36" t="n">
        <v>21</v>
      </c>
      <c r="M364" s="37" t="n">
        <v>0.8076923076923077</v>
      </c>
      <c r="N364" s="36" t="n">
        <v>0</v>
      </c>
      <c r="O364" s="37" t="n">
        <v>0</v>
      </c>
      <c r="P364" s="36" t="n">
        <v>0</v>
      </c>
      <c r="Q364" s="37" t="n">
        <v>0</v>
      </c>
      <c r="R364" s="36" t="n">
        <v>26</v>
      </c>
      <c r="S364" s="37" t="n">
        <v>1</v>
      </c>
      <c r="T364" s="36" t="n">
        <v>17</v>
      </c>
      <c r="U364" s="37" t="n">
        <v>0.6538461538461539</v>
      </c>
      <c r="V364" s="38" t="n">
        <v>0</v>
      </c>
      <c r="W364" s="38" t="n">
        <v>3.14</v>
      </c>
      <c r="X364" s="38" t="n">
        <v>2.172</v>
      </c>
      <c r="Y364" s="38" t="n">
        <v>34.27600000000001</v>
      </c>
      <c r="Z364" s="38" t="n">
        <v>0</v>
      </c>
      <c r="AA364" s="36" t="n">
        <v>40</v>
      </c>
      <c r="AB364" s="37" t="n">
        <v>0.9523809523809523</v>
      </c>
      <c r="AC364" s="36" t="n">
        <v>11</v>
      </c>
      <c r="AD364" s="37" t="n">
        <v>0.9166666666666666</v>
      </c>
      <c r="AE364" s="36" t="n">
        <v>29</v>
      </c>
      <c r="AF364" s="37" t="n">
        <v>0.9666666666666667</v>
      </c>
      <c r="AG364" s="36" t="n">
        <v>8</v>
      </c>
      <c r="AH364" s="37" t="n">
        <v>0.7272727272727273</v>
      </c>
    </row>
    <row r="365">
      <c r="A365" s="53" t="n">
        <v>45819</v>
      </c>
      <c r="B365" t="inlineStr">
        <is>
          <t>R06_Jawa Timur</t>
        </is>
      </c>
      <c r="C365" t="inlineStr">
        <is>
          <t>NOP JEMBER</t>
        </is>
      </c>
      <c r="D365" s="38" t="n">
        <v>0.83</v>
      </c>
      <c r="E365" s="38" t="n">
        <v>0</v>
      </c>
      <c r="F365" s="36" t="n">
        <v>0</v>
      </c>
      <c r="G365" s="36" t="n">
        <v>2.032</v>
      </c>
      <c r="H365" s="36" t="n">
        <v>6</v>
      </c>
      <c r="I365" s="37" t="n">
        <v>1</v>
      </c>
      <c r="J365" s="36" t="n">
        <v>1</v>
      </c>
      <c r="K365" s="37" t="n">
        <v>1</v>
      </c>
      <c r="L365" s="36" t="n">
        <v>5</v>
      </c>
      <c r="M365" s="37" t="n">
        <v>1</v>
      </c>
      <c r="N365" s="36" t="n">
        <v>1</v>
      </c>
      <c r="O365" s="37" t="n">
        <v>1</v>
      </c>
      <c r="P365" s="36" t="n">
        <v>1</v>
      </c>
      <c r="Q365" s="37" t="n">
        <v>1</v>
      </c>
      <c r="R365" s="36" t="n">
        <v>6</v>
      </c>
      <c r="S365" s="37" t="n">
        <v>1</v>
      </c>
      <c r="T365" s="36" t="n">
        <v>4</v>
      </c>
      <c r="U365" s="37" t="n">
        <v>0.6666666666666666</v>
      </c>
      <c r="V365" s="38" t="n">
        <v>0</v>
      </c>
      <c r="W365" s="38" t="n">
        <v>10.459</v>
      </c>
      <c r="X365" s="38" t="n">
        <v>8.386000000000001</v>
      </c>
      <c r="Y365" s="38" t="n">
        <v>56.09200000000001</v>
      </c>
      <c r="Z365" s="38" t="n">
        <v>0</v>
      </c>
      <c r="AA365" s="36" t="n">
        <v>22</v>
      </c>
      <c r="AB365" s="37" t="n">
        <v>0.9166666666666666</v>
      </c>
      <c r="AC365" s="36" t="n">
        <v>3</v>
      </c>
      <c r="AD365" s="37" t="n">
        <v>0.75</v>
      </c>
      <c r="AE365" s="36" t="n">
        <v>19</v>
      </c>
      <c r="AF365" s="37" t="n">
        <v>0.95</v>
      </c>
      <c r="AG365" s="36" t="n">
        <v>3</v>
      </c>
      <c r="AH365" s="37" t="n">
        <v>1</v>
      </c>
    </row>
    <row r="366">
      <c r="A366" s="53" t="n">
        <v>45819</v>
      </c>
      <c r="B366" t="inlineStr">
        <is>
          <t>R06_Jawa Timur</t>
        </is>
      </c>
      <c r="C366" t="inlineStr">
        <is>
          <t>NOP KEDIRI</t>
        </is>
      </c>
      <c r="D366" s="38" t="n">
        <v>0</v>
      </c>
      <c r="E366" s="38" t="n">
        <v>0</v>
      </c>
      <c r="F366" s="36" t="n">
        <v>0.799</v>
      </c>
      <c r="G366" s="36" t="n">
        <v>2.04</v>
      </c>
      <c r="H366" s="36" t="n">
        <v>5</v>
      </c>
      <c r="I366" s="37" t="n">
        <v>0.5555555555555556</v>
      </c>
      <c r="J366" s="36" t="n">
        <v>0</v>
      </c>
      <c r="K366" s="37" t="n">
        <v>0</v>
      </c>
      <c r="L366" s="36" t="n">
        <v>5</v>
      </c>
      <c r="M366" s="37" t="n">
        <v>0.5555555555555556</v>
      </c>
      <c r="N366" s="36" t="n">
        <v>0</v>
      </c>
      <c r="O366" s="37" t="n">
        <v>0</v>
      </c>
      <c r="P366" s="36" t="n">
        <v>0</v>
      </c>
      <c r="Q366" s="37" t="n">
        <v>0</v>
      </c>
      <c r="R366" s="36" t="n">
        <v>9</v>
      </c>
      <c r="S366" s="37" t="n">
        <v>1</v>
      </c>
      <c r="T366" s="36" t="n">
        <v>2</v>
      </c>
      <c r="U366" s="37" t="n">
        <v>0.2222222222222222</v>
      </c>
      <c r="V366" s="38" t="n">
        <v>0</v>
      </c>
      <c r="W366" s="38" t="n">
        <v>1.162</v>
      </c>
      <c r="X366" s="38" t="n">
        <v>7.107000000000001</v>
      </c>
      <c r="Y366" s="38" t="n">
        <v>22.07</v>
      </c>
      <c r="Z366" s="38" t="n">
        <v>0</v>
      </c>
      <c r="AA366" s="36" t="n">
        <v>16</v>
      </c>
      <c r="AB366" s="37" t="n">
        <v>1</v>
      </c>
      <c r="AC366" s="36" t="n">
        <v>3</v>
      </c>
      <c r="AD366" s="37" t="n">
        <v>1</v>
      </c>
      <c r="AE366" s="36" t="n">
        <v>13</v>
      </c>
      <c r="AF366" s="37" t="n">
        <v>1</v>
      </c>
      <c r="AG366" s="36" t="n">
        <v>3</v>
      </c>
      <c r="AH366" s="37" t="n">
        <v>1</v>
      </c>
    </row>
    <row r="367">
      <c r="A367" s="53" t="n">
        <v>45819</v>
      </c>
      <c r="B367" t="inlineStr">
        <is>
          <t>R06_Jawa Timur</t>
        </is>
      </c>
      <c r="C367" t="inlineStr">
        <is>
          <t>NOP LAMONGAN</t>
        </is>
      </c>
      <c r="D367" s="38" t="n">
        <v>0.39</v>
      </c>
      <c r="E367" s="38" t="n">
        <v>0</v>
      </c>
      <c r="F367" s="36" t="n">
        <v>3.544</v>
      </c>
      <c r="G367" s="36" t="n">
        <v>2.539</v>
      </c>
      <c r="H367" s="36" t="n">
        <v>4</v>
      </c>
      <c r="I367" s="37" t="n">
        <v>0.8</v>
      </c>
      <c r="J367" s="36" t="n">
        <v>0</v>
      </c>
      <c r="K367" s="37" t="n">
        <v>0</v>
      </c>
      <c r="L367" s="36" t="n">
        <v>4</v>
      </c>
      <c r="M367" s="37" t="n">
        <v>1</v>
      </c>
      <c r="N367" s="36" t="n">
        <v>0</v>
      </c>
      <c r="O367" s="37" t="n">
        <v>0</v>
      </c>
      <c r="P367" s="36" t="n">
        <v>0</v>
      </c>
      <c r="Q367" s="37" t="n">
        <v>0</v>
      </c>
      <c r="R367" s="36" t="n">
        <v>5</v>
      </c>
      <c r="S367" s="37" t="n">
        <v>1</v>
      </c>
      <c r="T367" s="36" t="n">
        <v>3</v>
      </c>
      <c r="U367" s="37" t="n">
        <v>0.6</v>
      </c>
      <c r="V367" s="38" t="n">
        <v>0</v>
      </c>
      <c r="W367" s="38" t="n">
        <v>2.24</v>
      </c>
      <c r="X367" s="38" t="n">
        <v>6.114000000000003</v>
      </c>
      <c r="Y367" s="38" t="n">
        <v>0.4</v>
      </c>
      <c r="Z367" s="38" t="n">
        <v>0</v>
      </c>
      <c r="AA367" s="36" t="n">
        <v>10</v>
      </c>
      <c r="AB367" s="37" t="n">
        <v>0.4166666666666667</v>
      </c>
      <c r="AC367" s="36" t="n">
        <v>5</v>
      </c>
      <c r="AD367" s="37" t="n">
        <v>0.3125</v>
      </c>
      <c r="AE367" s="36" t="n">
        <v>5</v>
      </c>
      <c r="AF367" s="37" t="n">
        <v>0.625</v>
      </c>
      <c r="AG367" s="36" t="n">
        <v>4</v>
      </c>
      <c r="AH367" s="37" t="n">
        <v>0.8</v>
      </c>
    </row>
    <row r="368">
      <c r="A368" s="53" t="n">
        <v>45819</v>
      </c>
      <c r="B368" t="inlineStr">
        <is>
          <t>R06_Jawa Timur</t>
        </is>
      </c>
      <c r="C368" t="inlineStr">
        <is>
          <t>NOP MADIUN</t>
        </is>
      </c>
      <c r="D368" s="38" t="n">
        <v>0</v>
      </c>
      <c r="E368" s="38" t="n">
        <v>0</v>
      </c>
      <c r="F368" s="36" t="n">
        <v>2.453</v>
      </c>
      <c r="G368" s="36" t="n">
        <v>1.591</v>
      </c>
      <c r="H368" s="36" t="n">
        <v>5</v>
      </c>
      <c r="I368" s="37" t="n">
        <v>0.625</v>
      </c>
      <c r="J368" s="36" t="n">
        <v>0</v>
      </c>
      <c r="K368" s="37" t="n">
        <v>0</v>
      </c>
      <c r="L368" s="36" t="n">
        <v>5</v>
      </c>
      <c r="M368" s="37" t="n">
        <v>0.625</v>
      </c>
      <c r="N368" s="36" t="n">
        <v>0</v>
      </c>
      <c r="O368" s="37" t="n">
        <v>0</v>
      </c>
      <c r="P368" s="36" t="n">
        <v>0</v>
      </c>
      <c r="Q368" s="37" t="n">
        <v>0</v>
      </c>
      <c r="R368" s="36" t="n">
        <v>8</v>
      </c>
      <c r="S368" s="37" t="n">
        <v>1</v>
      </c>
      <c r="T368" s="36" t="n">
        <v>4</v>
      </c>
      <c r="U368" s="37" t="n">
        <v>0.5</v>
      </c>
      <c r="V368" s="38" t="n">
        <v>0</v>
      </c>
      <c r="W368" s="38" t="n">
        <v>13.28400000000001</v>
      </c>
      <c r="X368" s="38" t="n">
        <v>3.06</v>
      </c>
      <c r="Y368" s="38" t="n">
        <v>29.812</v>
      </c>
      <c r="Z368" s="38" t="n">
        <v>0</v>
      </c>
      <c r="AA368" s="36" t="n">
        <v>27</v>
      </c>
      <c r="AB368" s="37" t="n">
        <v>0.9</v>
      </c>
      <c r="AC368" s="36" t="n">
        <v>5</v>
      </c>
      <c r="AD368" s="37" t="n">
        <v>0.7142857142857143</v>
      </c>
      <c r="AE368" s="36" t="n">
        <v>22</v>
      </c>
      <c r="AF368" s="37" t="n">
        <v>0.9565217391304348</v>
      </c>
      <c r="AG368" s="36" t="n">
        <v>5</v>
      </c>
      <c r="AH368" s="37" t="n">
        <v>1</v>
      </c>
    </row>
    <row r="369">
      <c r="A369" s="53" t="n">
        <v>45819</v>
      </c>
      <c r="B369" t="inlineStr">
        <is>
          <t>R06_Jawa Timur</t>
        </is>
      </c>
      <c r="C369" t="inlineStr">
        <is>
          <t>NOP MALANG</t>
        </is>
      </c>
      <c r="D369" s="38" t="n">
        <v>0</v>
      </c>
      <c r="E369" s="38" t="n">
        <v>0</v>
      </c>
      <c r="F369" s="36" t="n">
        <v>2.641</v>
      </c>
      <c r="G369" s="36" t="n">
        <v>1.435</v>
      </c>
      <c r="H369" s="36" t="n">
        <v>5</v>
      </c>
      <c r="I369" s="37" t="n">
        <v>0.625</v>
      </c>
      <c r="J369" s="36" t="n">
        <v>0</v>
      </c>
      <c r="K369" s="37" t="n">
        <v>0</v>
      </c>
      <c r="L369" s="36" t="n">
        <v>5</v>
      </c>
      <c r="M369" s="37" t="n">
        <v>0.625</v>
      </c>
      <c r="N369" s="36" t="n">
        <v>0</v>
      </c>
      <c r="O369" s="37" t="n">
        <v>0</v>
      </c>
      <c r="P369" s="36" t="n">
        <v>0</v>
      </c>
      <c r="Q369" s="37" t="n">
        <v>0</v>
      </c>
      <c r="R369" s="36" t="n">
        <v>8</v>
      </c>
      <c r="S369" s="37" t="n">
        <v>1</v>
      </c>
      <c r="T369" s="36" t="n">
        <v>8</v>
      </c>
      <c r="U369" s="37" t="n">
        <v>1</v>
      </c>
      <c r="V369" s="38" t="n">
        <v>0</v>
      </c>
      <c r="W369" s="38" t="n">
        <v>1.668</v>
      </c>
      <c r="X369" s="38" t="n">
        <v>10.608</v>
      </c>
      <c r="Y369" s="38" t="n">
        <v>12.419</v>
      </c>
      <c r="Z369" s="38" t="n">
        <v>0</v>
      </c>
      <c r="AA369" s="36" t="n">
        <v>13</v>
      </c>
      <c r="AB369" s="37" t="n">
        <v>0.8125</v>
      </c>
      <c r="AC369" s="36" t="n">
        <v>5</v>
      </c>
      <c r="AD369" s="37" t="n">
        <v>0.625</v>
      </c>
      <c r="AE369" s="36" t="n">
        <v>8</v>
      </c>
      <c r="AF369" s="37" t="n">
        <v>1</v>
      </c>
      <c r="AG369" s="36" t="n">
        <v>5</v>
      </c>
      <c r="AH369" s="37" t="n">
        <v>1</v>
      </c>
    </row>
    <row r="370">
      <c r="A370" s="53" t="n">
        <v>45819</v>
      </c>
      <c r="B370" t="inlineStr">
        <is>
          <t>R06_Jawa Timur</t>
        </is>
      </c>
      <c r="C370" t="inlineStr">
        <is>
          <t>NOP SIDOARJO</t>
        </is>
      </c>
      <c r="D370" s="38" t="n">
        <v>0</v>
      </c>
      <c r="E370" s="38" t="n">
        <v>0</v>
      </c>
      <c r="F370" s="36" t="n">
        <v>2.093999999999999</v>
      </c>
      <c r="G370" s="36" t="n">
        <v>4.589</v>
      </c>
      <c r="H370" s="36" t="n">
        <v>6</v>
      </c>
      <c r="I370" s="37" t="n">
        <v>0.4285714285714285</v>
      </c>
      <c r="J370" s="36" t="n">
        <v>0</v>
      </c>
      <c r="K370" s="37" t="n">
        <v>0</v>
      </c>
      <c r="L370" s="36" t="n">
        <v>6</v>
      </c>
      <c r="M370" s="37" t="n">
        <v>0.4285714285714285</v>
      </c>
      <c r="N370" s="36" t="n">
        <v>0</v>
      </c>
      <c r="O370" s="37" t="n">
        <v>0</v>
      </c>
      <c r="P370" s="36" t="n">
        <v>0</v>
      </c>
      <c r="Q370" s="37" t="n">
        <v>0</v>
      </c>
      <c r="R370" s="36" t="n">
        <v>14</v>
      </c>
      <c r="S370" s="37" t="n">
        <v>1</v>
      </c>
      <c r="T370" s="36" t="n">
        <v>4</v>
      </c>
      <c r="U370" s="37" t="n">
        <v>0.2857142857142857</v>
      </c>
      <c r="V370" s="38" t="n">
        <v>0</v>
      </c>
      <c r="W370" s="38" t="n">
        <v>1.427</v>
      </c>
      <c r="X370" s="38" t="n">
        <v>5.984999999999999</v>
      </c>
      <c r="Y370" s="38" t="n">
        <v>14.647</v>
      </c>
      <c r="Z370" s="38" t="n">
        <v>0</v>
      </c>
      <c r="AA370" s="36" t="n">
        <v>17</v>
      </c>
      <c r="AB370" s="37" t="n">
        <v>0.85</v>
      </c>
      <c r="AC370" s="36" t="n">
        <v>2</v>
      </c>
      <c r="AD370" s="37" t="n">
        <v>1</v>
      </c>
      <c r="AE370" s="36" t="n">
        <v>15</v>
      </c>
      <c r="AF370" s="37" t="n">
        <v>0.8333333333333334</v>
      </c>
      <c r="AG370" s="36" t="n">
        <v>2</v>
      </c>
      <c r="AH370" s="37" t="n">
        <v>1</v>
      </c>
    </row>
    <row r="371">
      <c r="A371" s="53" t="n">
        <v>45819</v>
      </c>
      <c r="B371" t="inlineStr">
        <is>
          <t>R06_Jawa Timur</t>
        </is>
      </c>
      <c r="C371" t="inlineStr">
        <is>
          <t>NOP SURABAYA</t>
        </is>
      </c>
      <c r="D371" s="38" t="n">
        <v>3.186</v>
      </c>
      <c r="E371" s="38" t="n">
        <v>0</v>
      </c>
      <c r="F371" s="36" t="n">
        <v>1.778</v>
      </c>
      <c r="G371" s="36" t="n">
        <v>1.995</v>
      </c>
      <c r="H371" s="36" t="n">
        <v>12</v>
      </c>
      <c r="I371" s="37" t="n">
        <v>0.5</v>
      </c>
      <c r="J371" s="36" t="n">
        <v>1</v>
      </c>
      <c r="K371" s="37" t="n">
        <v>0.3333333333333333</v>
      </c>
      <c r="L371" s="36" t="n">
        <v>11</v>
      </c>
      <c r="M371" s="37" t="n">
        <v>0.5238095238095238</v>
      </c>
      <c r="N371" s="36" t="n">
        <v>0</v>
      </c>
      <c r="O371" s="37" t="n">
        <v>0</v>
      </c>
      <c r="P371" s="36" t="n">
        <v>0</v>
      </c>
      <c r="Q371" s="37" t="n">
        <v>0</v>
      </c>
      <c r="R371" s="36" t="n">
        <v>23</v>
      </c>
      <c r="S371" s="37" t="n">
        <v>0.9583333333333334</v>
      </c>
      <c r="T371" s="36" t="n">
        <v>11</v>
      </c>
      <c r="U371" s="37" t="n">
        <v>0.4583333333333333</v>
      </c>
      <c r="V371" s="38" t="n">
        <v>0</v>
      </c>
      <c r="W371" s="38" t="n">
        <v>3.156000000000002</v>
      </c>
      <c r="X371" s="38" t="n">
        <v>5.97</v>
      </c>
      <c r="Y371" s="38" t="n">
        <v>19.014</v>
      </c>
      <c r="Z371" s="38" t="n">
        <v>0</v>
      </c>
      <c r="AA371" s="36" t="n">
        <v>20</v>
      </c>
      <c r="AB371" s="37" t="n">
        <v>0.4444444444444444</v>
      </c>
      <c r="AC371" s="36" t="n">
        <v>8</v>
      </c>
      <c r="AD371" s="37" t="n">
        <v>0.32</v>
      </c>
      <c r="AE371" s="36" t="n">
        <v>12</v>
      </c>
      <c r="AF371" s="37" t="n">
        <v>0.6</v>
      </c>
      <c r="AG371" s="36" t="n">
        <v>7</v>
      </c>
      <c r="AH371" s="37" t="n">
        <v>0.875</v>
      </c>
    </row>
    <row r="372">
      <c r="A372" s="53" t="n">
        <v>45819</v>
      </c>
      <c r="B372" t="inlineStr">
        <is>
          <t>R07_Bali Nusra</t>
        </is>
      </c>
      <c r="C372" t="inlineStr">
        <is>
          <t>NOP DENPASAR</t>
        </is>
      </c>
      <c r="D372" s="38" t="n">
        <v>5.889000000000001</v>
      </c>
      <c r="E372" s="38" t="n">
        <v>0</v>
      </c>
      <c r="F372" s="36" t="n">
        <v>2.499</v>
      </c>
      <c r="G372" s="36" t="n">
        <v>0.642</v>
      </c>
      <c r="H372" s="36" t="n">
        <v>18</v>
      </c>
      <c r="I372" s="37" t="n">
        <v>0.9</v>
      </c>
      <c r="J372" s="36" t="n">
        <v>4</v>
      </c>
      <c r="K372" s="37" t="n">
        <v>1</v>
      </c>
      <c r="L372" s="36" t="n">
        <v>14</v>
      </c>
      <c r="M372" s="37" t="n">
        <v>0.875</v>
      </c>
      <c r="N372" s="36" t="n">
        <v>4</v>
      </c>
      <c r="O372" s="37" t="n">
        <v>1</v>
      </c>
      <c r="P372" s="36" t="n">
        <v>4</v>
      </c>
      <c r="Q372" s="37" t="n">
        <v>1</v>
      </c>
      <c r="R372" s="36" t="n">
        <v>20</v>
      </c>
      <c r="S372" s="37" t="n">
        <v>1</v>
      </c>
      <c r="T372" s="36" t="n">
        <v>19</v>
      </c>
      <c r="U372" s="37" t="n">
        <v>0.95</v>
      </c>
      <c r="V372" s="38" t="n">
        <v>0</v>
      </c>
      <c r="W372" s="38" t="n">
        <v>10.348</v>
      </c>
      <c r="X372" s="38" t="n">
        <v>7.119999999999999</v>
      </c>
      <c r="Y372" s="38" t="n">
        <v>19.424</v>
      </c>
      <c r="Z372" s="38" t="n">
        <v>0</v>
      </c>
      <c r="AA372" s="36" t="n">
        <v>19</v>
      </c>
      <c r="AB372" s="37" t="n">
        <v>0.7916666666666666</v>
      </c>
      <c r="AC372" s="36" t="n">
        <v>5</v>
      </c>
      <c r="AD372" s="37" t="n">
        <v>0.7142857142857143</v>
      </c>
      <c r="AE372" s="36" t="n">
        <v>14</v>
      </c>
      <c r="AF372" s="37" t="n">
        <v>0.8235294117647058</v>
      </c>
      <c r="AG372" s="36" t="n">
        <v>5</v>
      </c>
      <c r="AH372" s="37" t="n">
        <v>1</v>
      </c>
    </row>
    <row r="373">
      <c r="A373" s="53" t="n">
        <v>45819</v>
      </c>
      <c r="B373" t="inlineStr">
        <is>
          <t>R07_Bali Nusra</t>
        </is>
      </c>
      <c r="C373" t="inlineStr">
        <is>
          <t>NOP FLORES</t>
        </is>
      </c>
      <c r="D373" s="38" t="n">
        <v>10.85000000000001</v>
      </c>
      <c r="E373" s="38" t="n">
        <v>9.932000000000009</v>
      </c>
      <c r="F373" s="36" t="n">
        <v>24.92200000000003</v>
      </c>
      <c r="G373" s="36" t="n">
        <v>4.796000000000002</v>
      </c>
      <c r="H373" s="36" t="n">
        <v>72</v>
      </c>
      <c r="I373" s="37" t="n">
        <v>0.5373134328358209</v>
      </c>
      <c r="J373" s="36" t="n">
        <v>23</v>
      </c>
      <c r="K373" s="37" t="n">
        <v>0.92</v>
      </c>
      <c r="L373" s="36" t="n">
        <v>49</v>
      </c>
      <c r="M373" s="37" t="n">
        <v>0.4495412844036697</v>
      </c>
      <c r="N373" s="36" t="n">
        <v>17</v>
      </c>
      <c r="O373" s="37" t="n">
        <v>0.7391304347826086</v>
      </c>
      <c r="P373" s="36" t="n">
        <v>17</v>
      </c>
      <c r="Q373" s="37" t="n">
        <v>0.7391304347826086</v>
      </c>
      <c r="R373" s="36" t="n">
        <v>127</v>
      </c>
      <c r="S373" s="37" t="n">
        <v>0.9477611940298507</v>
      </c>
      <c r="T373" s="36" t="n">
        <v>51</v>
      </c>
      <c r="U373" s="37" t="n">
        <v>0.3805970149253731</v>
      </c>
      <c r="V373" s="38" t="n">
        <v>0</v>
      </c>
      <c r="W373" s="38" t="n">
        <v>9.532</v>
      </c>
      <c r="X373" s="38" t="n">
        <v>10.118</v>
      </c>
      <c r="Y373" s="38" t="n">
        <v>21.946</v>
      </c>
      <c r="Z373" s="38" t="n">
        <v>0</v>
      </c>
      <c r="AA373" s="36" t="n">
        <v>76</v>
      </c>
      <c r="AB373" s="37" t="n">
        <v>0.5846153846153846</v>
      </c>
      <c r="AC373" s="36" t="n">
        <v>55</v>
      </c>
      <c r="AD373" s="37" t="n">
        <v>0.625</v>
      </c>
      <c r="AE373" s="36" t="n">
        <v>21</v>
      </c>
      <c r="AF373" s="37" t="n">
        <v>0.5</v>
      </c>
      <c r="AG373" s="36" t="n">
        <v>43</v>
      </c>
      <c r="AH373" s="37" t="n">
        <v>0.7818181818181819</v>
      </c>
    </row>
    <row r="374">
      <c r="A374" s="53" t="n">
        <v>45819</v>
      </c>
      <c r="B374" t="inlineStr">
        <is>
          <t>R07_Bali Nusra</t>
        </is>
      </c>
      <c r="C374" t="inlineStr">
        <is>
          <t>NOP KUPANG</t>
        </is>
      </c>
      <c r="D374" s="38" t="n">
        <v>26.538</v>
      </c>
      <c r="E374" s="38" t="n">
        <v>7.098</v>
      </c>
      <c r="F374" s="36" t="n">
        <v>14.27</v>
      </c>
      <c r="G374" s="36" t="n">
        <v>4.727</v>
      </c>
      <c r="H374" s="36" t="n">
        <v>115</v>
      </c>
      <c r="I374" s="37" t="n">
        <v>0.756578947368421</v>
      </c>
      <c r="J374" s="36" t="n">
        <v>31</v>
      </c>
      <c r="K374" s="37" t="n">
        <v>0.6595744680851063</v>
      </c>
      <c r="L374" s="36" t="n">
        <v>84</v>
      </c>
      <c r="M374" s="37" t="n">
        <v>0.8</v>
      </c>
      <c r="N374" s="36" t="n">
        <v>24</v>
      </c>
      <c r="O374" s="37" t="n">
        <v>0.7741935483870968</v>
      </c>
      <c r="P374" s="36" t="n">
        <v>24</v>
      </c>
      <c r="Q374" s="37" t="n">
        <v>0.7741935483870968</v>
      </c>
      <c r="R374" s="36" t="n">
        <v>140</v>
      </c>
      <c r="S374" s="37" t="n">
        <v>0.9210526315789473</v>
      </c>
      <c r="T374" s="36" t="n">
        <v>82</v>
      </c>
      <c r="U374" s="37" t="n">
        <v>0.5394736842105263</v>
      </c>
      <c r="V374" s="38" t="n">
        <v>0</v>
      </c>
      <c r="W374" s="38" t="n">
        <v>13.014</v>
      </c>
      <c r="X374" s="38" t="n">
        <v>21.08</v>
      </c>
      <c r="Y374" s="38" t="n">
        <v>11.43200000000004</v>
      </c>
      <c r="Z374" s="38" t="n">
        <v>0</v>
      </c>
      <c r="AA374" s="36" t="n">
        <v>114</v>
      </c>
      <c r="AB374" s="37" t="n">
        <v>0.7702702702702703</v>
      </c>
      <c r="AC374" s="36" t="n">
        <v>74</v>
      </c>
      <c r="AD374" s="37" t="n">
        <v>0.8043478260869565</v>
      </c>
      <c r="AE374" s="36" t="n">
        <v>40</v>
      </c>
      <c r="AF374" s="37" t="n">
        <v>0.7142857142857143</v>
      </c>
      <c r="AG374" s="36" t="n">
        <v>53</v>
      </c>
      <c r="AH374" s="37" t="n">
        <v>0.7162162162162162</v>
      </c>
    </row>
    <row r="375">
      <c r="A375" s="53" t="n">
        <v>45819</v>
      </c>
      <c r="B375" t="inlineStr">
        <is>
          <t>R07_Bali Nusra</t>
        </is>
      </c>
      <c r="C375" t="inlineStr">
        <is>
          <t>NOP MATARAM</t>
        </is>
      </c>
      <c r="D375" s="38" t="n">
        <v>0</v>
      </c>
      <c r="E375" s="38" t="n">
        <v>4.189</v>
      </c>
      <c r="F375" s="36" t="n">
        <v>8.559999999999999</v>
      </c>
      <c r="G375" s="36" t="n">
        <v>3.457</v>
      </c>
      <c r="H375" s="36" t="n">
        <v>19</v>
      </c>
      <c r="I375" s="37" t="n">
        <v>0.59375</v>
      </c>
      <c r="J375" s="36" t="n">
        <v>3</v>
      </c>
      <c r="K375" s="37" t="n">
        <v>0.75</v>
      </c>
      <c r="L375" s="36" t="n">
        <v>16</v>
      </c>
      <c r="M375" s="37" t="n">
        <v>0.5714285714285714</v>
      </c>
      <c r="N375" s="36" t="n">
        <v>3</v>
      </c>
      <c r="O375" s="37" t="n">
        <v>1</v>
      </c>
      <c r="P375" s="36" t="n">
        <v>3</v>
      </c>
      <c r="Q375" s="37" t="n">
        <v>1</v>
      </c>
      <c r="R375" s="36" t="n">
        <v>32</v>
      </c>
      <c r="S375" s="37" t="n">
        <v>1</v>
      </c>
      <c r="T375" s="36" t="n">
        <v>14</v>
      </c>
      <c r="U375" s="37" t="n">
        <v>0.4375</v>
      </c>
      <c r="V375" s="38" t="n">
        <v>0</v>
      </c>
      <c r="W375" s="38" t="n">
        <v>22.094</v>
      </c>
      <c r="X375" s="38" t="n">
        <v>54.002</v>
      </c>
      <c r="Y375" s="38" t="n">
        <v>15.966</v>
      </c>
      <c r="Z375" s="38" t="n">
        <v>0</v>
      </c>
      <c r="AA375" s="36" t="n">
        <v>27</v>
      </c>
      <c r="AB375" s="37" t="n">
        <v>0.6</v>
      </c>
      <c r="AC375" s="36" t="n">
        <v>19</v>
      </c>
      <c r="AD375" s="37" t="n">
        <v>0.5757575757575758</v>
      </c>
      <c r="AE375" s="36" t="n">
        <v>8</v>
      </c>
      <c r="AF375" s="37" t="n">
        <v>0.6666666666666666</v>
      </c>
      <c r="AG375" s="36" t="n">
        <v>12</v>
      </c>
      <c r="AH375" s="37" t="n">
        <v>0.631578947368421</v>
      </c>
    </row>
    <row r="376">
      <c r="A376" s="53" t="n">
        <v>45820</v>
      </c>
      <c r="B376" t="inlineStr">
        <is>
          <t>R01_Sumbagut</t>
        </is>
      </c>
      <c r="C376" t="inlineStr">
        <is>
          <t>NOP ACEH</t>
        </is>
      </c>
      <c r="D376" s="38" t="n">
        <v>2.852000000000001</v>
      </c>
      <c r="E376" s="38" t="n">
        <v>2.413999999999998</v>
      </c>
      <c r="F376" s="36" t="n">
        <v>4.676</v>
      </c>
      <c r="G376" s="36" t="n">
        <v>6.888000000000001</v>
      </c>
      <c r="H376" s="36" t="n">
        <v>121</v>
      </c>
      <c r="I376" s="37" t="n">
        <v>0.9166666666666666</v>
      </c>
      <c r="J376" s="36" t="n">
        <v>31</v>
      </c>
      <c r="K376" s="37" t="n">
        <v>0.8611111111111112</v>
      </c>
      <c r="L376" s="36" t="n">
        <v>90</v>
      </c>
      <c r="M376" s="37" t="n">
        <v>0.9375</v>
      </c>
      <c r="N376" s="36" t="n">
        <v>17</v>
      </c>
      <c r="O376" s="37" t="n">
        <v>0.5483870967741935</v>
      </c>
      <c r="P376" s="36" t="n">
        <v>15</v>
      </c>
      <c r="Q376" s="37" t="n">
        <v>0.5172413793103449</v>
      </c>
      <c r="R376" s="36" t="n">
        <v>130</v>
      </c>
      <c r="S376" s="37" t="n">
        <v>0.9848484848484849</v>
      </c>
      <c r="T376" s="36" t="n">
        <v>49</v>
      </c>
      <c r="U376" s="37" t="n">
        <v>0.3712121212121212</v>
      </c>
      <c r="V376" s="38" t="n">
        <v>0.02</v>
      </c>
      <c r="W376" s="38" t="n">
        <v>6.135</v>
      </c>
      <c r="X376" s="38" t="n">
        <v>47.072</v>
      </c>
      <c r="Y376" s="38" t="n">
        <v>22.73000000000001</v>
      </c>
      <c r="Z376" s="38" t="n">
        <v>0</v>
      </c>
      <c r="AA376" s="36" t="n">
        <v>201</v>
      </c>
      <c r="AB376" s="37" t="n">
        <v>0.8893805309734514</v>
      </c>
      <c r="AC376" s="36" t="n">
        <v>41</v>
      </c>
      <c r="AD376" s="37" t="n">
        <v>0.8541666666666666</v>
      </c>
      <c r="AE376" s="36" t="n">
        <v>154</v>
      </c>
      <c r="AF376" s="37" t="n">
        <v>0.8953488372093024</v>
      </c>
      <c r="AG376" s="36" t="n">
        <v>15</v>
      </c>
      <c r="AH376" s="37" t="n">
        <v>0.3658536585365854</v>
      </c>
    </row>
    <row r="377">
      <c r="A377" s="53" t="n">
        <v>45820</v>
      </c>
      <c r="B377" t="inlineStr">
        <is>
          <t>R01_Sumbagut</t>
        </is>
      </c>
      <c r="C377" t="inlineStr">
        <is>
          <t>NOP BINJAI</t>
        </is>
      </c>
      <c r="D377" s="38" t="n">
        <v>0</v>
      </c>
      <c r="E377" s="38" t="n">
        <v>10.169</v>
      </c>
      <c r="F377" s="36" t="n">
        <v>2.708000000000001</v>
      </c>
      <c r="G377" s="36" t="n">
        <v>9.891000000000002</v>
      </c>
      <c r="H377" s="36" t="n">
        <v>24</v>
      </c>
      <c r="I377" s="37" t="n">
        <v>0.6486486486486487</v>
      </c>
      <c r="J377" s="36" t="n">
        <v>5</v>
      </c>
      <c r="K377" s="37" t="n">
        <v>0.5</v>
      </c>
      <c r="L377" s="36" t="n">
        <v>19</v>
      </c>
      <c r="M377" s="37" t="n">
        <v>0.7037037037037037</v>
      </c>
      <c r="N377" s="36" t="n">
        <v>1</v>
      </c>
      <c r="O377" s="37" t="n">
        <v>0.2</v>
      </c>
      <c r="P377" s="36" t="n">
        <v>1</v>
      </c>
      <c r="Q377" s="37" t="n">
        <v>0.2</v>
      </c>
      <c r="R377" s="36" t="n">
        <v>37</v>
      </c>
      <c r="S377" s="37" t="n">
        <v>1</v>
      </c>
      <c r="T377" s="36" t="n">
        <v>10</v>
      </c>
      <c r="U377" s="37" t="n">
        <v>0.2702702702702703</v>
      </c>
      <c r="V377" s="38" t="n">
        <v>0.09</v>
      </c>
      <c r="W377" s="38" t="n">
        <v>2.256999999999998</v>
      </c>
      <c r="X377" s="38" t="n">
        <v>23.188</v>
      </c>
      <c r="Y377" s="38" t="n">
        <v>39.71699999999999</v>
      </c>
      <c r="Z377" s="38" t="n">
        <v>0</v>
      </c>
      <c r="AA377" s="36" t="n">
        <v>53</v>
      </c>
      <c r="AB377" s="37" t="n">
        <v>0.7910447761194029</v>
      </c>
      <c r="AC377" s="36" t="n">
        <v>6</v>
      </c>
      <c r="AD377" s="37" t="n">
        <v>0.5454545454545454</v>
      </c>
      <c r="AE377" s="36" t="n">
        <v>39</v>
      </c>
      <c r="AF377" s="37" t="n">
        <v>0.8125</v>
      </c>
      <c r="AG377" s="36" t="n">
        <v>3</v>
      </c>
      <c r="AH377" s="37" t="n">
        <v>0.5</v>
      </c>
    </row>
    <row r="378">
      <c r="A378" s="53" t="n">
        <v>45820</v>
      </c>
      <c r="B378" t="inlineStr">
        <is>
          <t>R01_Sumbagut</t>
        </is>
      </c>
      <c r="C378" t="inlineStr">
        <is>
          <t>NOP MEDAN</t>
        </is>
      </c>
      <c r="D378" s="38" t="n">
        <v>0.62</v>
      </c>
      <c r="E378" s="38" t="n">
        <v>4.631999999999999</v>
      </c>
      <c r="F378" s="36" t="n">
        <v>2.976</v>
      </c>
      <c r="G378" s="36" t="n">
        <v>3.534000000000001</v>
      </c>
      <c r="H378" s="36" t="n">
        <v>33</v>
      </c>
      <c r="I378" s="37" t="n">
        <v>0.5789473684210527</v>
      </c>
      <c r="J378" s="36" t="n">
        <v>10</v>
      </c>
      <c r="K378" s="37" t="n">
        <v>0.5555555555555556</v>
      </c>
      <c r="L378" s="36" t="n">
        <v>23</v>
      </c>
      <c r="M378" s="37" t="n">
        <v>0.5897435897435898</v>
      </c>
      <c r="N378" s="36" t="n">
        <v>7</v>
      </c>
      <c r="O378" s="37" t="n">
        <v>0.7</v>
      </c>
      <c r="P378" s="36" t="n">
        <v>7</v>
      </c>
      <c r="Q378" s="37" t="n">
        <v>0.7</v>
      </c>
      <c r="R378" s="36" t="n">
        <v>57</v>
      </c>
      <c r="S378" s="37" t="n">
        <v>1</v>
      </c>
      <c r="T378" s="36" t="n">
        <v>19</v>
      </c>
      <c r="U378" s="37" t="n">
        <v>0.3333333333333333</v>
      </c>
      <c r="V378" s="38" t="n">
        <v>0</v>
      </c>
      <c r="W378" s="38" t="n">
        <v>3.224000000000001</v>
      </c>
      <c r="X378" s="38" t="n">
        <v>26.43</v>
      </c>
      <c r="Y378" s="38" t="n">
        <v>0</v>
      </c>
      <c r="Z378" s="38" t="n">
        <v>0</v>
      </c>
      <c r="AA378" s="36" t="n">
        <v>23</v>
      </c>
      <c r="AB378" s="37" t="n">
        <v>0.3382352941176471</v>
      </c>
      <c r="AC378" s="36" t="n">
        <v>3</v>
      </c>
      <c r="AD378" s="37" t="n">
        <v>0.1764705882352941</v>
      </c>
      <c r="AE378" s="36" t="n">
        <v>19</v>
      </c>
      <c r="AF378" s="37" t="n">
        <v>0.4318181818181818</v>
      </c>
      <c r="AG378" s="36" t="n">
        <v>3</v>
      </c>
      <c r="AH378" s="37" t="n">
        <v>1</v>
      </c>
    </row>
    <row r="379">
      <c r="A379" s="53" t="n">
        <v>45820</v>
      </c>
      <c r="B379" t="inlineStr">
        <is>
          <t>R01_Sumbagut</t>
        </is>
      </c>
      <c r="C379" t="inlineStr">
        <is>
          <t>NOP PADANG SIDEMPUAN</t>
        </is>
      </c>
      <c r="D379" s="38" t="n">
        <v>0</v>
      </c>
      <c r="E379" s="38" t="n">
        <v>12.014</v>
      </c>
      <c r="F379" s="36" t="n">
        <v>2.693999999999999</v>
      </c>
      <c r="G379" s="36" t="n">
        <v>6.97</v>
      </c>
      <c r="H379" s="36" t="n">
        <v>21</v>
      </c>
      <c r="I379" s="37" t="n">
        <v>0.3333333333333333</v>
      </c>
      <c r="J379" s="36" t="n">
        <v>2</v>
      </c>
      <c r="K379" s="37" t="n">
        <v>0.6666666666666666</v>
      </c>
      <c r="L379" s="36" t="n">
        <v>19</v>
      </c>
      <c r="M379" s="37" t="n">
        <v>0.3166666666666667</v>
      </c>
      <c r="N379" s="36" t="n">
        <v>2</v>
      </c>
      <c r="O379" s="37" t="n">
        <v>1</v>
      </c>
      <c r="P379" s="36" t="n">
        <v>2</v>
      </c>
      <c r="Q379" s="37" t="n">
        <v>1</v>
      </c>
      <c r="R379" s="36" t="n">
        <v>63</v>
      </c>
      <c r="S379" s="37" t="n">
        <v>1</v>
      </c>
      <c r="T379" s="36" t="n">
        <v>9</v>
      </c>
      <c r="U379" s="37" t="n">
        <v>0.1428571428571428</v>
      </c>
      <c r="V379" s="38" t="n">
        <v>0.083</v>
      </c>
      <c r="W379" s="38" t="n">
        <v>2.218000000000002</v>
      </c>
      <c r="X379" s="38" t="n">
        <v>10.285</v>
      </c>
      <c r="Y379" s="38" t="n">
        <v>15.43199999999999</v>
      </c>
      <c r="Z379" s="38" t="n">
        <v>0</v>
      </c>
      <c r="AA379" s="36" t="n">
        <v>93</v>
      </c>
      <c r="AB379" s="37" t="n">
        <v>0.6503496503496503</v>
      </c>
      <c r="AC379" s="36" t="n">
        <v>33</v>
      </c>
      <c r="AD379" s="37" t="n">
        <v>0.7333333333333333</v>
      </c>
      <c r="AE379" s="36" t="n">
        <v>57</v>
      </c>
      <c r="AF379" s="37" t="n">
        <v>0.6129032258064516</v>
      </c>
      <c r="AG379" s="36" t="n">
        <v>25</v>
      </c>
      <c r="AH379" s="37" t="n">
        <v>0.7575757575757576</v>
      </c>
    </row>
    <row r="380">
      <c r="A380" s="53" t="n">
        <v>45820</v>
      </c>
      <c r="B380" t="inlineStr">
        <is>
          <t>R01_Sumbagut</t>
        </is>
      </c>
      <c r="C380" t="inlineStr">
        <is>
          <t>NOP PEMATANG SIANTAR</t>
        </is>
      </c>
      <c r="D380" s="38" t="n">
        <v>0.745</v>
      </c>
      <c r="E380" s="38" t="n">
        <v>5.651000000000002</v>
      </c>
      <c r="F380" s="36" t="n">
        <v>4.377000000000001</v>
      </c>
      <c r="G380" s="36" t="n">
        <v>9.130000000000001</v>
      </c>
      <c r="H380" s="36" t="n">
        <v>87</v>
      </c>
      <c r="I380" s="37" t="n">
        <v>0.7565217391304347</v>
      </c>
      <c r="J380" s="36" t="n">
        <v>23</v>
      </c>
      <c r="K380" s="37" t="n">
        <v>0.9583333333333334</v>
      </c>
      <c r="L380" s="36" t="n">
        <v>64</v>
      </c>
      <c r="M380" s="37" t="n">
        <v>0.7032967032967034</v>
      </c>
      <c r="N380" s="36" t="n">
        <v>12</v>
      </c>
      <c r="O380" s="37" t="n">
        <v>0.5217391304347826</v>
      </c>
      <c r="P380" s="36" t="n">
        <v>12</v>
      </c>
      <c r="Q380" s="37" t="n">
        <v>0.5217391304347826</v>
      </c>
      <c r="R380" s="36" t="n">
        <v>115</v>
      </c>
      <c r="S380" s="37" t="n">
        <v>1</v>
      </c>
      <c r="T380" s="36" t="n">
        <v>52</v>
      </c>
      <c r="U380" s="37" t="n">
        <v>0.4521739130434783</v>
      </c>
      <c r="V380" s="38" t="n">
        <v>0</v>
      </c>
      <c r="W380" s="38" t="n">
        <v>5.342000000000001</v>
      </c>
      <c r="X380" s="38" t="n">
        <v>19.524</v>
      </c>
      <c r="Y380" s="38" t="n">
        <v>24.35400000000001</v>
      </c>
      <c r="Z380" s="38" t="n">
        <v>0</v>
      </c>
      <c r="AA380" s="36" t="n">
        <v>77</v>
      </c>
      <c r="AB380" s="37" t="n">
        <v>0.6695652173913044</v>
      </c>
      <c r="AC380" s="36" t="n">
        <v>30</v>
      </c>
      <c r="AD380" s="37" t="n">
        <v>0.6666666666666666</v>
      </c>
      <c r="AE380" s="36" t="n">
        <v>45</v>
      </c>
      <c r="AF380" s="37" t="n">
        <v>0.6617647058823529</v>
      </c>
      <c r="AG380" s="36" t="n">
        <v>21</v>
      </c>
      <c r="AH380" s="37" t="n">
        <v>0.7</v>
      </c>
    </row>
    <row r="381">
      <c r="A381" s="53" t="n">
        <v>45820</v>
      </c>
      <c r="B381" t="inlineStr">
        <is>
          <t>R01_Sumbagut</t>
        </is>
      </c>
      <c r="C381" t="inlineStr">
        <is>
          <t>NOP RANTAU PRAPAT</t>
        </is>
      </c>
      <c r="D381" s="38" t="n">
        <v>0.656</v>
      </c>
      <c r="E381" s="38" t="n">
        <v>2.454000000000001</v>
      </c>
      <c r="F381" s="36" t="n">
        <v>2.6</v>
      </c>
      <c r="G381" s="36" t="n">
        <v>5.71</v>
      </c>
      <c r="H381" s="36" t="n">
        <v>57</v>
      </c>
      <c r="I381" s="37" t="n">
        <v>0.375</v>
      </c>
      <c r="J381" s="36" t="n">
        <v>11</v>
      </c>
      <c r="K381" s="37" t="n">
        <v>0.44</v>
      </c>
      <c r="L381" s="36" t="n">
        <v>46</v>
      </c>
      <c r="M381" s="37" t="n">
        <v>0.3622047244094488</v>
      </c>
      <c r="N381" s="36" t="n">
        <v>6</v>
      </c>
      <c r="O381" s="37" t="n">
        <v>0.5454545454545454</v>
      </c>
      <c r="P381" s="36" t="n">
        <v>6</v>
      </c>
      <c r="Q381" s="37" t="n">
        <v>0.5454545454545454</v>
      </c>
      <c r="R381" s="36" t="n">
        <v>145</v>
      </c>
      <c r="S381" s="37" t="n">
        <v>0.9539473684210527</v>
      </c>
      <c r="T381" s="36" t="n">
        <v>33</v>
      </c>
      <c r="U381" s="37" t="n">
        <v>0.2171052631578947</v>
      </c>
      <c r="V381" s="38" t="n">
        <v>0.03</v>
      </c>
      <c r="W381" s="38" t="n">
        <v>2.842000000000001</v>
      </c>
      <c r="X381" s="38" t="n">
        <v>44.426</v>
      </c>
      <c r="Y381" s="38" t="n">
        <v>52.78200000000001</v>
      </c>
      <c r="Z381" s="38" t="n">
        <v>0</v>
      </c>
      <c r="AA381" s="36" t="n">
        <v>35</v>
      </c>
      <c r="AB381" s="37" t="n">
        <v>0.1923076923076923</v>
      </c>
      <c r="AC381" s="36" t="n">
        <v>11</v>
      </c>
      <c r="AD381" s="37" t="n">
        <v>0.4074074074074074</v>
      </c>
      <c r="AE381" s="36" t="n">
        <v>23</v>
      </c>
      <c r="AF381" s="37" t="n">
        <v>0.1586206896551724</v>
      </c>
      <c r="AG381" s="36" t="n">
        <v>5</v>
      </c>
      <c r="AH381" s="37" t="n">
        <v>0.4545454545454545</v>
      </c>
    </row>
    <row r="382">
      <c r="A382" s="53" t="n">
        <v>45820</v>
      </c>
      <c r="B382" t="inlineStr">
        <is>
          <t>R10_Sumbagteng</t>
        </is>
      </c>
      <c r="C382" t="inlineStr">
        <is>
          <t>NOP BATAM</t>
        </is>
      </c>
      <c r="D382" s="38" t="n">
        <v>0.466</v>
      </c>
      <c r="E382" s="38" t="n">
        <v>3.182000000000001</v>
      </c>
      <c r="F382" s="36" t="n">
        <v>4.869000000000002</v>
      </c>
      <c r="G382" s="36" t="n">
        <v>6.596000000000001</v>
      </c>
      <c r="H382" s="36" t="n">
        <v>98</v>
      </c>
      <c r="I382" s="37" t="n">
        <v>0.7050359712230215</v>
      </c>
      <c r="J382" s="36" t="n">
        <v>10</v>
      </c>
      <c r="K382" s="37" t="n">
        <v>0.625</v>
      </c>
      <c r="L382" s="36" t="n">
        <v>88</v>
      </c>
      <c r="M382" s="37" t="n">
        <v>0.7154471544715447</v>
      </c>
      <c r="N382" s="36" t="n">
        <v>9</v>
      </c>
      <c r="O382" s="37" t="n">
        <v>0.9</v>
      </c>
      <c r="P382" s="36" t="n">
        <v>9</v>
      </c>
      <c r="Q382" s="37" t="n">
        <v>0.9</v>
      </c>
      <c r="R382" s="36" t="n">
        <v>136</v>
      </c>
      <c r="S382" s="37" t="n">
        <v>0.9784172661870504</v>
      </c>
      <c r="T382" s="36" t="n">
        <v>56</v>
      </c>
      <c r="U382" s="37" t="n">
        <v>0.4028776978417266</v>
      </c>
      <c r="V382" s="38" t="n">
        <v>0</v>
      </c>
      <c r="W382" s="38" t="n">
        <v>9.006</v>
      </c>
      <c r="X382" s="38" t="n">
        <v>23.9</v>
      </c>
      <c r="Y382" s="38" t="n">
        <v>49.25000000000001</v>
      </c>
      <c r="Z382" s="38" t="n">
        <v>0</v>
      </c>
      <c r="AA382" s="36" t="n">
        <v>112</v>
      </c>
      <c r="AB382" s="37" t="n">
        <v>0.3612903225806451</v>
      </c>
      <c r="AC382" s="36" t="n">
        <v>52</v>
      </c>
      <c r="AD382" s="37" t="n">
        <v>0.4770642201834863</v>
      </c>
      <c r="AE382" s="36" t="n">
        <v>57</v>
      </c>
      <c r="AF382" s="37" t="n">
        <v>0.2908163265306122</v>
      </c>
      <c r="AG382" s="36" t="n">
        <v>40</v>
      </c>
      <c r="AH382" s="37" t="n">
        <v>0.7692307692307693</v>
      </c>
    </row>
    <row r="383">
      <c r="A383" s="53" t="n">
        <v>45820</v>
      </c>
      <c r="B383" t="inlineStr">
        <is>
          <t>R10_Sumbagteng</t>
        </is>
      </c>
      <c r="C383" t="inlineStr">
        <is>
          <t>NOP BUKITTINGGI</t>
        </is>
      </c>
      <c r="D383" s="38" t="n">
        <v>0</v>
      </c>
      <c r="E383" s="38" t="n">
        <v>3.874</v>
      </c>
      <c r="F383" s="36" t="n">
        <v>37.03</v>
      </c>
      <c r="G383" s="36" t="n">
        <v>7.746</v>
      </c>
      <c r="H383" s="36" t="n">
        <v>27</v>
      </c>
      <c r="I383" s="37" t="n">
        <v>0.7297297297297297</v>
      </c>
      <c r="J383" s="36" t="n">
        <v>8</v>
      </c>
      <c r="K383" s="37" t="n">
        <v>0.8888888888888888</v>
      </c>
      <c r="L383" s="36" t="n">
        <v>19</v>
      </c>
      <c r="M383" s="37" t="n">
        <v>0.6785714285714286</v>
      </c>
      <c r="N383" s="36" t="n">
        <v>8</v>
      </c>
      <c r="O383" s="37" t="n">
        <v>1</v>
      </c>
      <c r="P383" s="36" t="n">
        <v>8</v>
      </c>
      <c r="Q383" s="37" t="n">
        <v>1</v>
      </c>
      <c r="R383" s="36" t="n">
        <v>37</v>
      </c>
      <c r="S383" s="37" t="n">
        <v>1</v>
      </c>
      <c r="T383" s="36" t="n">
        <v>23</v>
      </c>
      <c r="U383" s="37" t="n">
        <v>0.6216216216216216</v>
      </c>
      <c r="V383" s="38" t="n">
        <v>0</v>
      </c>
      <c r="W383" s="38" t="n">
        <v>4.104</v>
      </c>
      <c r="X383" s="38" t="n">
        <v>46.252</v>
      </c>
      <c r="Y383" s="38" t="n">
        <v>26.77</v>
      </c>
      <c r="Z383" s="38" t="n">
        <v>0</v>
      </c>
      <c r="AA383" s="36" t="n">
        <v>77</v>
      </c>
      <c r="AB383" s="37" t="n">
        <v>0.5877862595419847</v>
      </c>
      <c r="AC383" s="36" t="n">
        <v>16</v>
      </c>
      <c r="AD383" s="37" t="n">
        <v>0.8888888888888888</v>
      </c>
      <c r="AE383" s="36" t="n">
        <v>60</v>
      </c>
      <c r="AF383" s="37" t="n">
        <v>0.5454545454545454</v>
      </c>
      <c r="AG383" s="36" t="n">
        <v>11</v>
      </c>
      <c r="AH383" s="37" t="n">
        <v>0.6875</v>
      </c>
    </row>
    <row r="384">
      <c r="A384" s="53" t="n">
        <v>45820</v>
      </c>
      <c r="B384" t="inlineStr">
        <is>
          <t>R10_Sumbagteng</t>
        </is>
      </c>
      <c r="C384" t="inlineStr">
        <is>
          <t>NOP DUMAI</t>
        </is>
      </c>
      <c r="D384" s="38" t="n">
        <v>0</v>
      </c>
      <c r="E384" s="38" t="n">
        <v>6.606</v>
      </c>
      <c r="F384" s="36" t="n">
        <v>2.43</v>
      </c>
      <c r="G384" s="36" t="n">
        <v>6.9</v>
      </c>
      <c r="H384" s="36" t="n">
        <v>45</v>
      </c>
      <c r="I384" s="37" t="n">
        <v>0.4128440366972477</v>
      </c>
      <c r="J384" s="36" t="n">
        <v>18</v>
      </c>
      <c r="K384" s="37" t="n">
        <v>0.6428571428571429</v>
      </c>
      <c r="L384" s="36" t="n">
        <v>27</v>
      </c>
      <c r="M384" s="37" t="n">
        <v>0.3333333333333333</v>
      </c>
      <c r="N384" s="36" t="n">
        <v>10</v>
      </c>
      <c r="O384" s="37" t="n">
        <v>0.5555555555555556</v>
      </c>
      <c r="P384" s="36" t="n">
        <v>10</v>
      </c>
      <c r="Q384" s="37" t="n">
        <v>0.5555555555555556</v>
      </c>
      <c r="R384" s="36" t="n">
        <v>109</v>
      </c>
      <c r="S384" s="37" t="n">
        <v>1</v>
      </c>
      <c r="T384" s="36" t="n">
        <v>23</v>
      </c>
      <c r="U384" s="37" t="n">
        <v>0.2110091743119266</v>
      </c>
      <c r="V384" s="38" t="n">
        <v>0.01</v>
      </c>
      <c r="W384" s="38" t="n">
        <v>10.165</v>
      </c>
      <c r="X384" s="38" t="n">
        <v>47.967</v>
      </c>
      <c r="Y384" s="38" t="n">
        <v>96.631</v>
      </c>
      <c r="Z384" s="38" t="n">
        <v>0</v>
      </c>
      <c r="AA384" s="36" t="n">
        <v>107</v>
      </c>
      <c r="AB384" s="37" t="n">
        <v>0.334375</v>
      </c>
      <c r="AC384" s="36" t="n">
        <v>31</v>
      </c>
      <c r="AD384" s="37" t="n">
        <v>0.4626865671641791</v>
      </c>
      <c r="AE384" s="36" t="n">
        <v>76</v>
      </c>
      <c r="AF384" s="37" t="n">
        <v>0.304</v>
      </c>
      <c r="AG384" s="36" t="n">
        <v>28</v>
      </c>
      <c r="AH384" s="37" t="n">
        <v>0.9032258064516129</v>
      </c>
    </row>
    <row r="385">
      <c r="A385" s="53" t="n">
        <v>45820</v>
      </c>
      <c r="B385" t="inlineStr">
        <is>
          <t>R10_Sumbagteng</t>
        </is>
      </c>
      <c r="C385" t="inlineStr">
        <is>
          <t>NOP PADANG</t>
        </is>
      </c>
      <c r="D385" s="38" t="n">
        <v>0</v>
      </c>
      <c r="E385" s="38" t="n">
        <v>1.322</v>
      </c>
      <c r="F385" s="36" t="n">
        <v>2.858000000000001</v>
      </c>
      <c r="G385" s="36" t="n">
        <v>3.818000000000001</v>
      </c>
      <c r="H385" s="36" t="n">
        <v>31</v>
      </c>
      <c r="I385" s="37" t="n">
        <v>0.5535714285714286</v>
      </c>
      <c r="J385" s="36" t="n">
        <v>2</v>
      </c>
      <c r="K385" s="37" t="n">
        <v>0.5</v>
      </c>
      <c r="L385" s="36" t="n">
        <v>29</v>
      </c>
      <c r="M385" s="37" t="n">
        <v>0.5576923076923077</v>
      </c>
      <c r="N385" s="36" t="n">
        <v>1</v>
      </c>
      <c r="O385" s="37" t="n">
        <v>0.5</v>
      </c>
      <c r="P385" s="36" t="n">
        <v>1</v>
      </c>
      <c r="Q385" s="37" t="n">
        <v>0.5</v>
      </c>
      <c r="R385" s="36" t="n">
        <v>56</v>
      </c>
      <c r="S385" s="37" t="n">
        <v>1</v>
      </c>
      <c r="T385" s="36" t="n">
        <v>13</v>
      </c>
      <c r="U385" s="37" t="n">
        <v>0.2321428571428572</v>
      </c>
      <c r="V385" s="38" t="n">
        <v>0</v>
      </c>
      <c r="W385" s="38" t="n">
        <v>11.238</v>
      </c>
      <c r="X385" s="38" t="n">
        <v>36.805</v>
      </c>
      <c r="Y385" s="38" t="n">
        <v>35.01199999999999</v>
      </c>
      <c r="Z385" s="38" t="n">
        <v>0</v>
      </c>
      <c r="AA385" s="36" t="n">
        <v>69</v>
      </c>
      <c r="AB385" s="37" t="n">
        <v>0.8734177215189873</v>
      </c>
      <c r="AC385" s="36" t="n">
        <v>24</v>
      </c>
      <c r="AD385" s="37" t="n">
        <v>0.7272727272727273</v>
      </c>
      <c r="AE385" s="36" t="n">
        <v>45</v>
      </c>
      <c r="AF385" s="37" t="n">
        <v>0.9782608695652174</v>
      </c>
      <c r="AG385" s="36" t="n">
        <v>21</v>
      </c>
      <c r="AH385" s="37" t="n">
        <v>0.875</v>
      </c>
    </row>
    <row r="386">
      <c r="A386" s="53" t="n">
        <v>45820</v>
      </c>
      <c r="B386" t="inlineStr">
        <is>
          <t>R10_Sumbagteng</t>
        </is>
      </c>
      <c r="C386" t="inlineStr">
        <is>
          <t>NOP PEKANBARU</t>
        </is>
      </c>
      <c r="D386" s="38" t="n">
        <v>1.165</v>
      </c>
      <c r="E386" s="38" t="n">
        <v>5.400999999999999</v>
      </c>
      <c r="F386" s="36" t="n">
        <v>3.904</v>
      </c>
      <c r="G386" s="36" t="n">
        <v>3.148</v>
      </c>
      <c r="H386" s="36" t="n">
        <v>119</v>
      </c>
      <c r="I386" s="37" t="n">
        <v>0.5721153846153846</v>
      </c>
      <c r="J386" s="36" t="n">
        <v>16</v>
      </c>
      <c r="K386" s="37" t="n">
        <v>0.5333333333333333</v>
      </c>
      <c r="L386" s="36" t="n">
        <v>103</v>
      </c>
      <c r="M386" s="37" t="n">
        <v>0.5786516853932584</v>
      </c>
      <c r="N386" s="36" t="n">
        <v>9</v>
      </c>
      <c r="O386" s="37" t="n">
        <v>0.5625</v>
      </c>
      <c r="P386" s="36" t="n">
        <v>9</v>
      </c>
      <c r="Q386" s="37" t="n">
        <v>0.5625</v>
      </c>
      <c r="R386" s="36" t="n">
        <v>207</v>
      </c>
      <c r="S386" s="37" t="n">
        <v>0.9951923076923077</v>
      </c>
      <c r="T386" s="36" t="n">
        <v>55</v>
      </c>
      <c r="U386" s="37" t="n">
        <v>0.2644230769230769</v>
      </c>
      <c r="V386" s="38" t="n">
        <v>0.02</v>
      </c>
      <c r="W386" s="38" t="n">
        <v>3.052000000000006</v>
      </c>
      <c r="X386" s="38" t="n">
        <v>31.982</v>
      </c>
      <c r="Y386" s="38" t="n">
        <v>64.027</v>
      </c>
      <c r="Z386" s="38" t="n">
        <v>0</v>
      </c>
      <c r="AA386" s="36" t="n">
        <v>102</v>
      </c>
      <c r="AB386" s="37" t="n">
        <v>0.3035714285714285</v>
      </c>
      <c r="AC386" s="36" t="n">
        <v>43</v>
      </c>
      <c r="AD386" s="37" t="n">
        <v>0.3093525179856115</v>
      </c>
      <c r="AE386" s="36" t="n">
        <v>58</v>
      </c>
      <c r="AF386" s="37" t="n">
        <v>0.3005181347150259</v>
      </c>
      <c r="AG386" s="36" t="n">
        <v>33</v>
      </c>
      <c r="AH386" s="37" t="n">
        <v>0.7674418604651163</v>
      </c>
    </row>
    <row r="387">
      <c r="A387" s="53" t="n">
        <v>45820</v>
      </c>
      <c r="B387" t="inlineStr">
        <is>
          <t>R02_Sumbagsel</t>
        </is>
      </c>
      <c r="C387" t="inlineStr">
        <is>
          <t>NOP BENGKULU</t>
        </is>
      </c>
      <c r="D387" s="38" t="n">
        <v>0</v>
      </c>
      <c r="E387" s="38" t="n">
        <v>5.678</v>
      </c>
      <c r="F387" s="36" t="n">
        <v>4.496000000000003</v>
      </c>
      <c r="G387" s="36" t="n">
        <v>3.748000000000001</v>
      </c>
      <c r="H387" s="36" t="n">
        <v>47</v>
      </c>
      <c r="I387" s="37" t="n">
        <v>0.4351851851851852</v>
      </c>
      <c r="J387" s="36" t="n">
        <v>12</v>
      </c>
      <c r="K387" s="37" t="n">
        <v>0.5454545454545454</v>
      </c>
      <c r="L387" s="36" t="n">
        <v>35</v>
      </c>
      <c r="M387" s="37" t="n">
        <v>0.4069767441860465</v>
      </c>
      <c r="N387" s="36" t="n">
        <v>10</v>
      </c>
      <c r="O387" s="37" t="n">
        <v>0.8333333333333334</v>
      </c>
      <c r="P387" s="36" t="n">
        <v>10</v>
      </c>
      <c r="Q387" s="37" t="n">
        <v>0.8333333333333334</v>
      </c>
      <c r="R387" s="36" t="n">
        <v>108</v>
      </c>
      <c r="S387" s="37" t="n">
        <v>1</v>
      </c>
      <c r="T387" s="36" t="n">
        <v>32</v>
      </c>
      <c r="U387" s="37" t="n">
        <v>0.2962962962962963</v>
      </c>
      <c r="V387" s="38" t="n">
        <v>0</v>
      </c>
      <c r="W387" s="38" t="n">
        <v>4.024000000000001</v>
      </c>
      <c r="X387" s="38" t="n">
        <v>8.161999999999992</v>
      </c>
      <c r="Y387" s="38" t="n">
        <v>4</v>
      </c>
      <c r="Z387" s="38" t="n">
        <v>0</v>
      </c>
      <c r="AA387" s="36" t="n">
        <v>89</v>
      </c>
      <c r="AB387" s="37" t="n">
        <v>0.5527950310559007</v>
      </c>
      <c r="AC387" s="36" t="n">
        <v>50</v>
      </c>
      <c r="AD387" s="37" t="n">
        <v>0.5050505050505051</v>
      </c>
      <c r="AE387" s="36" t="n">
        <v>26</v>
      </c>
      <c r="AF387" s="37" t="n">
        <v>0.6190476190476191</v>
      </c>
      <c r="AG387" s="36" t="n">
        <v>40</v>
      </c>
      <c r="AH387" s="37" t="n">
        <v>0.8</v>
      </c>
    </row>
    <row r="388">
      <c r="A388" s="53" t="n">
        <v>45820</v>
      </c>
      <c r="B388" t="inlineStr">
        <is>
          <t>R02_Sumbagsel</t>
        </is>
      </c>
      <c r="C388" t="inlineStr">
        <is>
          <t>NOP JAMBI</t>
        </is>
      </c>
      <c r="D388" s="38" t="n">
        <v>0.492</v>
      </c>
      <c r="E388" s="38" t="n">
        <v>2.245</v>
      </c>
      <c r="F388" s="36" t="n">
        <v>3.560000000000003</v>
      </c>
      <c r="G388" s="36" t="n">
        <v>2.907999999999999</v>
      </c>
      <c r="H388" s="36" t="n">
        <v>34</v>
      </c>
      <c r="I388" s="37" t="n">
        <v>0.293103448275862</v>
      </c>
      <c r="J388" s="36" t="n">
        <v>11</v>
      </c>
      <c r="K388" s="37" t="n">
        <v>0.34375</v>
      </c>
      <c r="L388" s="36" t="n">
        <v>23</v>
      </c>
      <c r="M388" s="37" t="n">
        <v>0.2738095238095238</v>
      </c>
      <c r="N388" s="36" t="n">
        <v>5</v>
      </c>
      <c r="O388" s="37" t="n">
        <v>0.4545454545454545</v>
      </c>
      <c r="P388" s="36" t="n">
        <v>5</v>
      </c>
      <c r="Q388" s="37" t="n">
        <v>0.4545454545454545</v>
      </c>
      <c r="R388" s="36" t="n">
        <v>116</v>
      </c>
      <c r="S388" s="37" t="n">
        <v>1</v>
      </c>
      <c r="T388" s="36" t="n">
        <v>15</v>
      </c>
      <c r="U388" s="37" t="n">
        <v>0.1293103448275862</v>
      </c>
      <c r="V388" s="38" t="n">
        <v>0</v>
      </c>
      <c r="W388" s="38" t="n">
        <v>1.387</v>
      </c>
      <c r="X388" s="38" t="n">
        <v>12.51600000000001</v>
      </c>
      <c r="Y388" s="38" t="n">
        <v>19</v>
      </c>
      <c r="Z388" s="38" t="n">
        <v>0</v>
      </c>
      <c r="AA388" s="36" t="n">
        <v>39</v>
      </c>
      <c r="AB388" s="37" t="n">
        <v>0.2532467532467532</v>
      </c>
      <c r="AC388" s="36" t="n">
        <v>18</v>
      </c>
      <c r="AD388" s="37" t="n">
        <v>0.2432432432432433</v>
      </c>
      <c r="AE388" s="36" t="n">
        <v>17</v>
      </c>
      <c r="AF388" s="37" t="n">
        <v>0.2982456140350877</v>
      </c>
      <c r="AG388" s="36" t="n">
        <v>6</v>
      </c>
      <c r="AH388" s="37" t="n">
        <v>0.3333333333333333</v>
      </c>
    </row>
    <row r="389">
      <c r="A389" s="53" t="n">
        <v>45820</v>
      </c>
      <c r="B389" t="inlineStr">
        <is>
          <t>R02_Sumbagsel</t>
        </is>
      </c>
      <c r="C389" t="inlineStr">
        <is>
          <t>NOP LAMPUNG</t>
        </is>
      </c>
      <c r="D389" s="38" t="n">
        <v>0</v>
      </c>
      <c r="E389" s="38" t="n">
        <v>3.333999999999999</v>
      </c>
      <c r="F389" s="36" t="n">
        <v>3.084</v>
      </c>
      <c r="G389" s="36" t="n">
        <v>3.058</v>
      </c>
      <c r="H389" s="36" t="n">
        <v>35</v>
      </c>
      <c r="I389" s="37" t="n">
        <v>0.4861111111111111</v>
      </c>
      <c r="J389" s="36" t="n">
        <v>10</v>
      </c>
      <c r="K389" s="37" t="n">
        <v>0.6666666666666666</v>
      </c>
      <c r="L389" s="36" t="n">
        <v>25</v>
      </c>
      <c r="M389" s="37" t="n">
        <v>0.4385964912280702</v>
      </c>
      <c r="N389" s="36" t="n">
        <v>8</v>
      </c>
      <c r="O389" s="37" t="n">
        <v>0.8</v>
      </c>
      <c r="P389" s="36" t="n">
        <v>8</v>
      </c>
      <c r="Q389" s="37" t="n">
        <v>0.8</v>
      </c>
      <c r="R389" s="36" t="n">
        <v>72</v>
      </c>
      <c r="S389" s="37" t="n">
        <v>1</v>
      </c>
      <c r="T389" s="36" t="n">
        <v>27</v>
      </c>
      <c r="U389" s="37" t="n">
        <v>0.375</v>
      </c>
      <c r="V389" s="38" t="n">
        <v>0</v>
      </c>
      <c r="W389" s="38" t="n">
        <v>3.032</v>
      </c>
      <c r="X389" s="38" t="n">
        <v>2.996</v>
      </c>
      <c r="Y389" s="38" t="n">
        <v>24.162</v>
      </c>
      <c r="Z389" s="38" t="n">
        <v>0</v>
      </c>
      <c r="AA389" s="36" t="n">
        <v>115</v>
      </c>
      <c r="AB389" s="37" t="n">
        <v>0.9126984126984127</v>
      </c>
      <c r="AC389" s="36" t="n">
        <v>21</v>
      </c>
      <c r="AD389" s="37" t="n">
        <v>0.7777777777777778</v>
      </c>
      <c r="AE389" s="36" t="n">
        <v>89</v>
      </c>
      <c r="AF389" s="37" t="n">
        <v>0.9468085106382979</v>
      </c>
      <c r="AG389" s="36" t="n">
        <v>18</v>
      </c>
      <c r="AH389" s="37" t="n">
        <v>0.8571428571428571</v>
      </c>
    </row>
    <row r="390">
      <c r="A390" s="53" t="n">
        <v>45820</v>
      </c>
      <c r="B390" t="inlineStr">
        <is>
          <t>R02_Sumbagsel</t>
        </is>
      </c>
      <c r="C390" t="inlineStr">
        <is>
          <t>NOP MUARA ENIM</t>
        </is>
      </c>
      <c r="D390" s="38" t="n">
        <v>2.361</v>
      </c>
      <c r="E390" s="38" t="n">
        <v>4.106000000000001</v>
      </c>
      <c r="F390" s="36" t="n">
        <v>3.221000000000005</v>
      </c>
      <c r="G390" s="36" t="n">
        <v>6.693000000000001</v>
      </c>
      <c r="H390" s="36" t="n">
        <v>42</v>
      </c>
      <c r="I390" s="37" t="n">
        <v>0.3088235294117647</v>
      </c>
      <c r="J390" s="36" t="n">
        <v>5</v>
      </c>
      <c r="K390" s="37" t="n">
        <v>0.3125</v>
      </c>
      <c r="L390" s="36" t="n">
        <v>37</v>
      </c>
      <c r="M390" s="37" t="n">
        <v>0.3083333333333333</v>
      </c>
      <c r="N390" s="36" t="n">
        <v>3</v>
      </c>
      <c r="O390" s="37" t="n">
        <v>0.6</v>
      </c>
      <c r="P390" s="36" t="n">
        <v>3</v>
      </c>
      <c r="Q390" s="37" t="n">
        <v>0.6</v>
      </c>
      <c r="R390" s="36" t="n">
        <v>134</v>
      </c>
      <c r="S390" s="37" t="n">
        <v>0.9852941176470589</v>
      </c>
      <c r="T390" s="36" t="n">
        <v>21</v>
      </c>
      <c r="U390" s="37" t="n">
        <v>0.1544117647058824</v>
      </c>
      <c r="V390" s="38" t="n">
        <v>0</v>
      </c>
      <c r="W390" s="38" t="n">
        <v>8.263000000000003</v>
      </c>
      <c r="X390" s="38" t="n">
        <v>9.800000000000001</v>
      </c>
      <c r="Y390" s="38" t="n">
        <v>14.467</v>
      </c>
      <c r="Z390" s="38" t="n">
        <v>0</v>
      </c>
      <c r="AA390" s="36" t="n">
        <v>120</v>
      </c>
      <c r="AB390" s="37" t="n">
        <v>0.5</v>
      </c>
      <c r="AC390" s="36" t="n">
        <v>43</v>
      </c>
      <c r="AD390" s="37" t="n">
        <v>0.4215686274509804</v>
      </c>
      <c r="AE390" s="36" t="n">
        <v>69</v>
      </c>
      <c r="AF390" s="37" t="n">
        <v>0.5609756097560976</v>
      </c>
      <c r="AG390" s="36" t="n">
        <v>33</v>
      </c>
      <c r="AH390" s="37" t="n">
        <v>0.7674418604651163</v>
      </c>
    </row>
    <row r="391">
      <c r="A391" s="53" t="n">
        <v>45820</v>
      </c>
      <c r="B391" t="inlineStr">
        <is>
          <t>R02_Sumbagsel</t>
        </is>
      </c>
      <c r="C391" t="inlineStr">
        <is>
          <t>NOP PALEMBANG</t>
        </is>
      </c>
      <c r="D391" s="38" t="n">
        <v>2.064</v>
      </c>
      <c r="E391" s="38" t="n">
        <v>1.79</v>
      </c>
      <c r="F391" s="36" t="n">
        <v>6.564</v>
      </c>
      <c r="G391" s="36" t="n">
        <v>9.530999999999999</v>
      </c>
      <c r="H391" s="36" t="n">
        <v>17</v>
      </c>
      <c r="I391" s="37" t="n">
        <v>0.136</v>
      </c>
      <c r="J391" s="36" t="n">
        <v>1</v>
      </c>
      <c r="K391" s="37" t="n">
        <v>0.06666666666666667</v>
      </c>
      <c r="L391" s="36" t="n">
        <v>16</v>
      </c>
      <c r="M391" s="37" t="n">
        <v>0.1454545454545454</v>
      </c>
      <c r="N391" s="36" t="n">
        <v>1</v>
      </c>
      <c r="O391" s="37" t="n">
        <v>1</v>
      </c>
      <c r="P391" s="36" t="n">
        <v>1</v>
      </c>
      <c r="Q391" s="37" t="n">
        <v>1</v>
      </c>
      <c r="R391" s="36" t="n">
        <v>125</v>
      </c>
      <c r="S391" s="37" t="n">
        <v>1</v>
      </c>
      <c r="T391" s="36" t="n">
        <v>11</v>
      </c>
      <c r="U391" s="37" t="n">
        <v>0.08799999999999999</v>
      </c>
      <c r="V391" s="38" t="n">
        <v>0</v>
      </c>
      <c r="W391" s="38" t="n">
        <v>3.871999999999999</v>
      </c>
      <c r="X391" s="38" t="n">
        <v>9.080000000000004</v>
      </c>
      <c r="Y391" s="38" t="n">
        <v>17.99</v>
      </c>
      <c r="Z391" s="38" t="n">
        <v>0</v>
      </c>
      <c r="AA391" s="36" t="n">
        <v>20</v>
      </c>
      <c r="AB391" s="37" t="n">
        <v>0.1149425287356322</v>
      </c>
      <c r="AC391" s="36" t="n">
        <v>8</v>
      </c>
      <c r="AD391" s="37" t="n">
        <v>0.09090909090909091</v>
      </c>
      <c r="AE391" s="36" t="n">
        <v>12</v>
      </c>
      <c r="AF391" s="37" t="n">
        <v>0.1666666666666667</v>
      </c>
      <c r="AG391" s="36" t="n">
        <v>6</v>
      </c>
      <c r="AH391" s="37" t="n">
        <v>0.75</v>
      </c>
    </row>
    <row r="392">
      <c r="A392" s="53" t="n">
        <v>45820</v>
      </c>
      <c r="B392" t="inlineStr">
        <is>
          <t>R02_Sumbagsel</t>
        </is>
      </c>
      <c r="C392" t="inlineStr">
        <is>
          <t>NOP PANGKAL PINANG</t>
        </is>
      </c>
      <c r="D392" s="38" t="n">
        <v>0</v>
      </c>
      <c r="E392" s="38" t="n">
        <v>0</v>
      </c>
      <c r="F392" s="36" t="n">
        <v>1.51</v>
      </c>
      <c r="G392" s="36" t="n">
        <v>2.66</v>
      </c>
      <c r="H392" s="36" t="n">
        <v>5</v>
      </c>
      <c r="I392" s="37" t="n">
        <v>0.8333333333333334</v>
      </c>
      <c r="J392" s="36" t="n">
        <v>0</v>
      </c>
      <c r="K392" s="37" t="n">
        <v>0</v>
      </c>
      <c r="L392" s="36" t="n">
        <v>5</v>
      </c>
      <c r="M392" s="37" t="n">
        <v>0.8333333333333334</v>
      </c>
      <c r="N392" s="36" t="n">
        <v>0</v>
      </c>
      <c r="O392" s="37" t="n">
        <v>0</v>
      </c>
      <c r="P392" s="36" t="n">
        <v>0</v>
      </c>
      <c r="Q392" s="37" t="n">
        <v>0</v>
      </c>
      <c r="R392" s="36" t="n">
        <v>6</v>
      </c>
      <c r="S392" s="37" t="n">
        <v>1</v>
      </c>
      <c r="T392" s="36" t="n">
        <v>5</v>
      </c>
      <c r="U392" s="37" t="n">
        <v>0.8333333333333334</v>
      </c>
      <c r="V392" s="38" t="n">
        <v>0</v>
      </c>
      <c r="W392" s="38" t="n">
        <v>3.35</v>
      </c>
      <c r="X392" s="38" t="n">
        <v>2.966</v>
      </c>
      <c r="Y392" s="38" t="n">
        <v>13.785</v>
      </c>
      <c r="Z392" s="38" t="n">
        <v>0</v>
      </c>
      <c r="AA392" s="36" t="n">
        <v>70</v>
      </c>
      <c r="AB392" s="37" t="n">
        <v>0.9333333333333333</v>
      </c>
      <c r="AC392" s="36" t="n">
        <v>21</v>
      </c>
      <c r="AD392" s="37" t="n">
        <v>1</v>
      </c>
      <c r="AE392" s="36" t="n">
        <v>45</v>
      </c>
      <c r="AF392" s="37" t="n">
        <v>0.9183673469387755</v>
      </c>
      <c r="AG392" s="36" t="n">
        <v>17</v>
      </c>
      <c r="AH392" s="37" t="n">
        <v>0.8095238095238095</v>
      </c>
    </row>
    <row r="393">
      <c r="A393" s="53" t="n">
        <v>45820</v>
      </c>
      <c r="B393" t="inlineStr">
        <is>
          <t>R05_Jawa Tengah DIY</t>
        </is>
      </c>
      <c r="C393" t="inlineStr">
        <is>
          <t>NOP MAGELANG</t>
        </is>
      </c>
      <c r="D393" s="38" t="n">
        <v>1.27</v>
      </c>
      <c r="E393" s="38" t="n">
        <v>0</v>
      </c>
      <c r="F393" s="36" t="n">
        <v>1.244</v>
      </c>
      <c r="G393" s="36" t="n">
        <v>1.799</v>
      </c>
      <c r="H393" s="36" t="n">
        <v>5</v>
      </c>
      <c r="I393" s="37" t="n">
        <v>0.625</v>
      </c>
      <c r="J393" s="36" t="n">
        <v>1</v>
      </c>
      <c r="K393" s="37" t="n">
        <v>1</v>
      </c>
      <c r="L393" s="36" t="n">
        <v>4</v>
      </c>
      <c r="M393" s="37" t="n">
        <v>0.5714285714285714</v>
      </c>
      <c r="N393" s="36" t="n">
        <v>1</v>
      </c>
      <c r="O393" s="37" t="n">
        <v>1</v>
      </c>
      <c r="P393" s="36" t="n">
        <v>1</v>
      </c>
      <c r="Q393" s="37" t="n">
        <v>1</v>
      </c>
      <c r="R393" s="36" t="n">
        <v>8</v>
      </c>
      <c r="S393" s="37" t="n">
        <v>1</v>
      </c>
      <c r="T393" s="36" t="n">
        <v>5</v>
      </c>
      <c r="U393" s="37" t="n">
        <v>0.625</v>
      </c>
      <c r="V393" s="38" t="n">
        <v>0</v>
      </c>
      <c r="W393" s="38" t="n">
        <v>1.954</v>
      </c>
      <c r="X393" s="38" t="n">
        <v>2.996</v>
      </c>
      <c r="Y393" s="38" t="n">
        <v>15.098</v>
      </c>
      <c r="Z393" s="38" t="n">
        <v>0</v>
      </c>
      <c r="AA393" s="36" t="n">
        <v>40</v>
      </c>
      <c r="AB393" s="37" t="n">
        <v>1</v>
      </c>
      <c r="AC393" s="36" t="n">
        <v>2</v>
      </c>
      <c r="AD393" s="37" t="n">
        <v>1</v>
      </c>
      <c r="AE393" s="36" t="n">
        <v>38</v>
      </c>
      <c r="AF393" s="37" t="n">
        <v>1</v>
      </c>
      <c r="AG393" s="36" t="n">
        <v>2</v>
      </c>
      <c r="AH393" s="37" t="n">
        <v>1</v>
      </c>
    </row>
    <row r="394">
      <c r="A394" s="53" t="n">
        <v>45820</v>
      </c>
      <c r="B394" t="inlineStr">
        <is>
          <t>R05_Jawa Tengah DIY</t>
        </is>
      </c>
      <c r="C394" t="inlineStr">
        <is>
          <t>NOP PEKALONGAN</t>
        </is>
      </c>
      <c r="D394" s="38" t="n">
        <v>4.349</v>
      </c>
      <c r="E394" s="38" t="n">
        <v>0</v>
      </c>
      <c r="F394" s="36" t="n">
        <v>2.073</v>
      </c>
      <c r="G394" s="36" t="n">
        <v>6.872999999999996</v>
      </c>
      <c r="H394" s="36" t="n">
        <v>19</v>
      </c>
      <c r="I394" s="37" t="n">
        <v>0.95</v>
      </c>
      <c r="J394" s="36" t="n">
        <v>2</v>
      </c>
      <c r="K394" s="37" t="n">
        <v>1</v>
      </c>
      <c r="L394" s="36" t="n">
        <v>17</v>
      </c>
      <c r="M394" s="37" t="n">
        <v>0.9444444444444444</v>
      </c>
      <c r="N394" s="36" t="n">
        <v>2</v>
      </c>
      <c r="O394" s="37" t="n">
        <v>1</v>
      </c>
      <c r="P394" s="36" t="n">
        <v>2</v>
      </c>
      <c r="Q394" s="37" t="n">
        <v>1</v>
      </c>
      <c r="R394" s="36" t="n">
        <v>19</v>
      </c>
      <c r="S394" s="37" t="n">
        <v>0.95</v>
      </c>
      <c r="T394" s="36" t="n">
        <v>11</v>
      </c>
      <c r="U394" s="37" t="n">
        <v>0.55</v>
      </c>
      <c r="V394" s="38" t="n">
        <v>0</v>
      </c>
      <c r="W394" s="38" t="n">
        <v>0</v>
      </c>
      <c r="X394" s="38" t="n">
        <v>11.3</v>
      </c>
      <c r="Y394" s="38" t="n">
        <v>19.773</v>
      </c>
      <c r="Z394" s="38" t="n">
        <v>0</v>
      </c>
      <c r="AA394" s="36" t="n">
        <v>15</v>
      </c>
      <c r="AB394" s="37" t="n">
        <v>1</v>
      </c>
      <c r="AC394" s="36" t="n">
        <v>0</v>
      </c>
      <c r="AD394" s="37" t="n">
        <v>0</v>
      </c>
      <c r="AE394" s="36" t="n">
        <v>15</v>
      </c>
      <c r="AF394" s="37" t="n">
        <v>1</v>
      </c>
      <c r="AG394" s="36" t="n">
        <v>0</v>
      </c>
      <c r="AH394" s="37" t="n">
        <v>0</v>
      </c>
    </row>
    <row r="395">
      <c r="A395" s="53" t="n">
        <v>45820</v>
      </c>
      <c r="B395" t="inlineStr">
        <is>
          <t>R05_Jawa Tengah DIY</t>
        </is>
      </c>
      <c r="C395" t="inlineStr">
        <is>
          <t>NOP PURWOKERTO</t>
        </is>
      </c>
      <c r="D395" s="38" t="n">
        <v>3.908</v>
      </c>
      <c r="E395" s="38" t="n">
        <v>0</v>
      </c>
      <c r="F395" s="36" t="n">
        <v>1.202</v>
      </c>
      <c r="G395" s="36" t="n">
        <v>2.83</v>
      </c>
      <c r="H395" s="36" t="n">
        <v>14</v>
      </c>
      <c r="I395" s="37" t="n">
        <v>0.8235294117647058</v>
      </c>
      <c r="J395" s="36" t="n">
        <v>1</v>
      </c>
      <c r="K395" s="37" t="n">
        <v>0.5</v>
      </c>
      <c r="L395" s="36" t="n">
        <v>13</v>
      </c>
      <c r="M395" s="37" t="n">
        <v>0.8666666666666667</v>
      </c>
      <c r="N395" s="36" t="n">
        <v>1</v>
      </c>
      <c r="O395" s="37" t="n">
        <v>1</v>
      </c>
      <c r="P395" s="36" t="n">
        <v>1</v>
      </c>
      <c r="Q395" s="37" t="n">
        <v>1</v>
      </c>
      <c r="R395" s="36" t="n">
        <v>16</v>
      </c>
      <c r="S395" s="37" t="n">
        <v>0.9411764705882353</v>
      </c>
      <c r="T395" s="36" t="n">
        <v>3</v>
      </c>
      <c r="U395" s="37" t="n">
        <v>0.1764705882352941</v>
      </c>
      <c r="V395" s="38" t="n">
        <v>0</v>
      </c>
      <c r="W395" s="38" t="n">
        <v>4.292</v>
      </c>
      <c r="X395" s="38" t="n">
        <v>11.649</v>
      </c>
      <c r="Y395" s="38" t="n">
        <v>20.53</v>
      </c>
      <c r="Z395" s="38" t="n">
        <v>0</v>
      </c>
      <c r="AA395" s="36" t="n">
        <v>23</v>
      </c>
      <c r="AB395" s="37" t="n">
        <v>0.8846153846153846</v>
      </c>
      <c r="AC395" s="36" t="n">
        <v>4</v>
      </c>
      <c r="AD395" s="37" t="n">
        <v>0.8</v>
      </c>
      <c r="AE395" s="36" t="n">
        <v>19</v>
      </c>
      <c r="AF395" s="37" t="n">
        <v>0.9047619047619048</v>
      </c>
      <c r="AG395" s="36" t="n">
        <v>3</v>
      </c>
      <c r="AH395" s="37" t="n">
        <v>0.75</v>
      </c>
    </row>
    <row r="396">
      <c r="A396" s="53" t="n">
        <v>45820</v>
      </c>
      <c r="B396" t="inlineStr">
        <is>
          <t>R05_Jawa Tengah DIY</t>
        </is>
      </c>
      <c r="C396" t="inlineStr">
        <is>
          <t>NOP SEMARANG</t>
        </is>
      </c>
      <c r="D396" s="38" t="n">
        <v>2.168</v>
      </c>
      <c r="E396" s="38" t="n">
        <v>0</v>
      </c>
      <c r="F396" s="36" t="n">
        <v>3.27</v>
      </c>
      <c r="G396" s="36" t="n">
        <v>3.792</v>
      </c>
      <c r="H396" s="36" t="n">
        <v>34</v>
      </c>
      <c r="I396" s="37" t="n">
        <v>0.6938775510204082</v>
      </c>
      <c r="J396" s="36" t="n">
        <v>4</v>
      </c>
      <c r="K396" s="37" t="n">
        <v>0.8</v>
      </c>
      <c r="L396" s="36" t="n">
        <v>30</v>
      </c>
      <c r="M396" s="37" t="n">
        <v>0.6818181818181818</v>
      </c>
      <c r="N396" s="36" t="n">
        <v>4</v>
      </c>
      <c r="O396" s="37" t="n">
        <v>1</v>
      </c>
      <c r="P396" s="36" t="n">
        <v>4</v>
      </c>
      <c r="Q396" s="37" t="n">
        <v>1</v>
      </c>
      <c r="R396" s="36" t="n">
        <v>47</v>
      </c>
      <c r="S396" s="37" t="n">
        <v>0.9591836734693877</v>
      </c>
      <c r="T396" s="36" t="n">
        <v>22</v>
      </c>
      <c r="U396" s="37" t="n">
        <v>0.4489795918367347</v>
      </c>
      <c r="V396" s="38" t="n">
        <v>0.16</v>
      </c>
      <c r="W396" s="38" t="n">
        <v>11.03</v>
      </c>
      <c r="X396" s="38" t="n">
        <v>5.968000000000002</v>
      </c>
      <c r="Y396" s="38" t="n">
        <v>16.793</v>
      </c>
      <c r="Z396" s="38" t="n">
        <v>0</v>
      </c>
      <c r="AA396" s="36" t="n">
        <v>24</v>
      </c>
      <c r="AB396" s="37" t="n">
        <v>0.8275862068965517</v>
      </c>
      <c r="AC396" s="36" t="n">
        <v>9</v>
      </c>
      <c r="AD396" s="37" t="n">
        <v>0.75</v>
      </c>
      <c r="AE396" s="36" t="n">
        <v>15</v>
      </c>
      <c r="AF396" s="37" t="n">
        <v>0.8823529411764706</v>
      </c>
      <c r="AG396" s="36" t="n">
        <v>9</v>
      </c>
      <c r="AH396" s="37" t="n">
        <v>1</v>
      </c>
    </row>
    <row r="397">
      <c r="A397" s="53" t="n">
        <v>45820</v>
      </c>
      <c r="B397" t="inlineStr">
        <is>
          <t>R05_Jawa Tengah DIY</t>
        </is>
      </c>
      <c r="C397" t="inlineStr">
        <is>
          <t>NOP SURAKARTA</t>
        </is>
      </c>
      <c r="D397" s="38" t="n">
        <v>0.388</v>
      </c>
      <c r="E397" s="38" t="n">
        <v>0</v>
      </c>
      <c r="F397" s="36" t="n">
        <v>4.486000000000002</v>
      </c>
      <c r="G397" s="36" t="n">
        <v>2.943</v>
      </c>
      <c r="H397" s="36" t="n">
        <v>44</v>
      </c>
      <c r="I397" s="37" t="n">
        <v>0.676923076923077</v>
      </c>
      <c r="J397" s="36" t="n">
        <v>1</v>
      </c>
      <c r="K397" s="37" t="n">
        <v>0.5</v>
      </c>
      <c r="L397" s="36" t="n">
        <v>43</v>
      </c>
      <c r="M397" s="37" t="n">
        <v>0.6825396825396826</v>
      </c>
      <c r="N397" s="36" t="n">
        <v>1</v>
      </c>
      <c r="O397" s="37" t="n">
        <v>1</v>
      </c>
      <c r="P397" s="36" t="n">
        <v>1</v>
      </c>
      <c r="Q397" s="37" t="n">
        <v>1</v>
      </c>
      <c r="R397" s="36" t="n">
        <v>60</v>
      </c>
      <c r="S397" s="37" t="n">
        <v>0.9230769230769231</v>
      </c>
      <c r="T397" s="36" t="n">
        <v>27</v>
      </c>
      <c r="U397" s="37" t="n">
        <v>0.4153846153846154</v>
      </c>
      <c r="V397" s="38" t="n">
        <v>0.24</v>
      </c>
      <c r="W397" s="38" t="n">
        <v>4.676000000000004</v>
      </c>
      <c r="X397" s="38" t="n">
        <v>6.21</v>
      </c>
      <c r="Y397" s="38" t="n">
        <v>73.907</v>
      </c>
      <c r="Z397" s="38" t="n">
        <v>0</v>
      </c>
      <c r="AA397" s="36" t="n">
        <v>55</v>
      </c>
      <c r="AB397" s="37" t="n">
        <v>0.873015873015873</v>
      </c>
      <c r="AC397" s="36" t="n">
        <v>18</v>
      </c>
      <c r="AD397" s="37" t="n">
        <v>0.75</v>
      </c>
      <c r="AE397" s="36" t="n">
        <v>37</v>
      </c>
      <c r="AF397" s="37" t="n">
        <v>0.9487179487179487</v>
      </c>
      <c r="AG397" s="36" t="n">
        <v>12</v>
      </c>
      <c r="AH397" s="37" t="n">
        <v>0.6666666666666666</v>
      </c>
    </row>
    <row r="398">
      <c r="A398" s="53" t="n">
        <v>45820</v>
      </c>
      <c r="B398" t="inlineStr">
        <is>
          <t>R05_Jawa Tengah DIY</t>
        </is>
      </c>
      <c r="C398" t="inlineStr">
        <is>
          <t>NOP YOGYAKARTA</t>
        </is>
      </c>
      <c r="D398" s="38" t="n">
        <v>0.41</v>
      </c>
      <c r="E398" s="38" t="n">
        <v>0</v>
      </c>
      <c r="F398" s="36" t="n">
        <v>3.22</v>
      </c>
      <c r="G398" s="36" t="n">
        <v>2.93</v>
      </c>
      <c r="H398" s="36" t="n">
        <v>10</v>
      </c>
      <c r="I398" s="37" t="n">
        <v>0.625</v>
      </c>
      <c r="J398" s="36" t="n">
        <v>0</v>
      </c>
      <c r="K398" s="37" t="n">
        <v>0</v>
      </c>
      <c r="L398" s="36" t="n">
        <v>10</v>
      </c>
      <c r="M398" s="37" t="n">
        <v>0.6666666666666666</v>
      </c>
      <c r="N398" s="36" t="n">
        <v>0</v>
      </c>
      <c r="O398" s="37" t="n">
        <v>0</v>
      </c>
      <c r="P398" s="36" t="n">
        <v>0</v>
      </c>
      <c r="Q398" s="37" t="n">
        <v>0</v>
      </c>
      <c r="R398" s="36" t="n">
        <v>15</v>
      </c>
      <c r="S398" s="37" t="n">
        <v>0.9375</v>
      </c>
      <c r="T398" s="36" t="n">
        <v>9</v>
      </c>
      <c r="U398" s="37" t="n">
        <v>0.5625</v>
      </c>
      <c r="V398" s="38" t="n">
        <v>0</v>
      </c>
      <c r="W398" s="38" t="n">
        <v>5.328000000000001</v>
      </c>
      <c r="X398" s="38" t="n">
        <v>3.022000000000001</v>
      </c>
      <c r="Y398" s="38" t="n">
        <v>21.063</v>
      </c>
      <c r="Z398" s="38" t="n">
        <v>0</v>
      </c>
      <c r="AA398" s="36" t="n">
        <v>27</v>
      </c>
      <c r="AB398" s="37" t="n">
        <v>0.9</v>
      </c>
      <c r="AC398" s="36" t="n">
        <v>12</v>
      </c>
      <c r="AD398" s="37" t="n">
        <v>1</v>
      </c>
      <c r="AE398" s="36" t="n">
        <v>15</v>
      </c>
      <c r="AF398" s="37" t="n">
        <v>0.8333333333333334</v>
      </c>
      <c r="AG398" s="36" t="n">
        <v>12</v>
      </c>
      <c r="AH398" s="37" t="n">
        <v>1</v>
      </c>
    </row>
    <row r="399">
      <c r="A399" s="53" t="n">
        <v>45820</v>
      </c>
      <c r="B399" t="inlineStr">
        <is>
          <t>R06_Jawa Timur</t>
        </is>
      </c>
      <c r="C399" t="inlineStr">
        <is>
          <t>NOP JEMBER</t>
        </is>
      </c>
      <c r="D399" s="38" t="n">
        <v>0</v>
      </c>
      <c r="E399" s="38" t="n">
        <v>0</v>
      </c>
      <c r="F399" s="36" t="n">
        <v>2.692</v>
      </c>
      <c r="G399" s="36" t="n">
        <v>1.362</v>
      </c>
      <c r="H399" s="36" t="n">
        <v>18</v>
      </c>
      <c r="I399" s="37" t="n">
        <v>0.9</v>
      </c>
      <c r="J399" s="36" t="n">
        <v>0</v>
      </c>
      <c r="K399" s="37" t="n">
        <v>0</v>
      </c>
      <c r="L399" s="36" t="n">
        <v>18</v>
      </c>
      <c r="M399" s="37" t="n">
        <v>0.9</v>
      </c>
      <c r="N399" s="36" t="n">
        <v>0</v>
      </c>
      <c r="O399" s="37" t="n">
        <v>0</v>
      </c>
      <c r="P399" s="36" t="n">
        <v>0</v>
      </c>
      <c r="Q399" s="37" t="n">
        <v>0</v>
      </c>
      <c r="R399" s="36" t="n">
        <v>19</v>
      </c>
      <c r="S399" s="37" t="n">
        <v>0.95</v>
      </c>
      <c r="T399" s="36" t="n">
        <v>8</v>
      </c>
      <c r="U399" s="37" t="n">
        <v>0.4</v>
      </c>
      <c r="V399" s="38" t="n">
        <v>0</v>
      </c>
      <c r="W399" s="38" t="n">
        <v>2.05</v>
      </c>
      <c r="X399" s="38" t="n">
        <v>5.184000000000002</v>
      </c>
      <c r="Y399" s="38" t="n">
        <v>67.25700000000001</v>
      </c>
      <c r="Z399" s="38" t="n">
        <v>0</v>
      </c>
      <c r="AA399" s="36" t="n">
        <v>23</v>
      </c>
      <c r="AB399" s="37" t="n">
        <v>0.8214285714285714</v>
      </c>
      <c r="AC399" s="36" t="n">
        <v>10</v>
      </c>
      <c r="AD399" s="37" t="n">
        <v>0.7692307692307693</v>
      </c>
      <c r="AE399" s="36" t="n">
        <v>13</v>
      </c>
      <c r="AF399" s="37" t="n">
        <v>0.8666666666666667</v>
      </c>
      <c r="AG399" s="36" t="n">
        <v>10</v>
      </c>
      <c r="AH399" s="37" t="n">
        <v>1</v>
      </c>
    </row>
    <row r="400">
      <c r="A400" s="53" t="n">
        <v>45820</v>
      </c>
      <c r="B400" t="inlineStr">
        <is>
          <t>R06_Jawa Timur</t>
        </is>
      </c>
      <c r="C400" t="inlineStr">
        <is>
          <t>NOP KEDIRI</t>
        </is>
      </c>
      <c r="D400" s="38" t="n">
        <v>0</v>
      </c>
      <c r="E400" s="38" t="n">
        <v>0</v>
      </c>
      <c r="F400" s="36" t="n">
        <v>2.716</v>
      </c>
      <c r="G400" s="36" t="n">
        <v>1.494</v>
      </c>
      <c r="H400" s="36" t="n">
        <v>4</v>
      </c>
      <c r="I400" s="37" t="n">
        <v>0.8</v>
      </c>
      <c r="J400" s="36" t="n">
        <v>0</v>
      </c>
      <c r="K400" s="37" t="n">
        <v>0</v>
      </c>
      <c r="L400" s="36" t="n">
        <v>4</v>
      </c>
      <c r="M400" s="37" t="n">
        <v>0.8</v>
      </c>
      <c r="N400" s="36" t="n">
        <v>0</v>
      </c>
      <c r="O400" s="37" t="n">
        <v>0</v>
      </c>
      <c r="P400" s="36" t="n">
        <v>0</v>
      </c>
      <c r="Q400" s="37" t="n">
        <v>0</v>
      </c>
      <c r="R400" s="36" t="n">
        <v>5</v>
      </c>
      <c r="S400" s="37" t="n">
        <v>1</v>
      </c>
      <c r="T400" s="36" t="n">
        <v>4</v>
      </c>
      <c r="U400" s="37" t="n">
        <v>0.8</v>
      </c>
      <c r="V400" s="38" t="n">
        <v>0</v>
      </c>
      <c r="W400" s="38" t="n">
        <v>0</v>
      </c>
      <c r="X400" s="38" t="n">
        <v>7.613000000000001</v>
      </c>
      <c r="Y400" s="38" t="n">
        <v>0</v>
      </c>
      <c r="Z400" s="38" t="n">
        <v>0</v>
      </c>
      <c r="AA400" s="36" t="n">
        <v>4</v>
      </c>
      <c r="AB400" s="37" t="n">
        <v>1</v>
      </c>
      <c r="AC400" s="36" t="n">
        <v>0</v>
      </c>
      <c r="AD400" s="37" t="n">
        <v>0</v>
      </c>
      <c r="AE400" s="36" t="n">
        <v>4</v>
      </c>
      <c r="AF400" s="37" t="n">
        <v>1</v>
      </c>
      <c r="AG400" s="36" t="n">
        <v>0</v>
      </c>
      <c r="AH400" s="37" t="n">
        <v>0</v>
      </c>
    </row>
    <row r="401">
      <c r="A401" s="53" t="n">
        <v>45820</v>
      </c>
      <c r="B401" t="inlineStr">
        <is>
          <t>R06_Jawa Timur</t>
        </is>
      </c>
      <c r="C401" t="inlineStr">
        <is>
          <t>NOP LAMONGAN</t>
        </is>
      </c>
      <c r="D401" s="38" t="n">
        <v>0</v>
      </c>
      <c r="E401" s="38" t="n">
        <v>0</v>
      </c>
      <c r="F401" s="36" t="n">
        <v>1.268</v>
      </c>
      <c r="G401" s="36" t="n">
        <v>3.452</v>
      </c>
      <c r="H401" s="36" t="n">
        <v>12</v>
      </c>
      <c r="I401" s="37" t="n">
        <v>1</v>
      </c>
      <c r="J401" s="36" t="n">
        <v>0</v>
      </c>
      <c r="K401" s="37" t="n">
        <v>0</v>
      </c>
      <c r="L401" s="36" t="n">
        <v>12</v>
      </c>
      <c r="M401" s="37" t="n">
        <v>1</v>
      </c>
      <c r="N401" s="36" t="n">
        <v>0</v>
      </c>
      <c r="O401" s="37" t="n">
        <v>0</v>
      </c>
      <c r="P401" s="36" t="n">
        <v>0</v>
      </c>
      <c r="Q401" s="37" t="n">
        <v>0</v>
      </c>
      <c r="R401" s="36" t="n">
        <v>12</v>
      </c>
      <c r="S401" s="37" t="n">
        <v>1</v>
      </c>
      <c r="T401" s="36" t="n">
        <v>11</v>
      </c>
      <c r="U401" s="37" t="n">
        <v>0.9166666666666666</v>
      </c>
      <c r="V401" s="38" t="n">
        <v>0</v>
      </c>
      <c r="W401" s="38" t="n">
        <v>2.326</v>
      </c>
      <c r="X401" s="38" t="n">
        <v>10.995</v>
      </c>
      <c r="Y401" s="38" t="n">
        <v>47.48</v>
      </c>
      <c r="Z401" s="38" t="n">
        <v>0</v>
      </c>
      <c r="AA401" s="36" t="n">
        <v>6</v>
      </c>
      <c r="AB401" s="37" t="n">
        <v>0.75</v>
      </c>
      <c r="AC401" s="36" t="n">
        <v>4</v>
      </c>
      <c r="AD401" s="37" t="n">
        <v>0.8</v>
      </c>
      <c r="AE401" s="36" t="n">
        <v>2</v>
      </c>
      <c r="AF401" s="37" t="n">
        <v>0.6666666666666666</v>
      </c>
      <c r="AG401" s="36" t="n">
        <v>3</v>
      </c>
      <c r="AH401" s="37" t="n">
        <v>0.75</v>
      </c>
    </row>
    <row r="402">
      <c r="A402" s="53" t="n">
        <v>45820</v>
      </c>
      <c r="B402" t="inlineStr">
        <is>
          <t>R06_Jawa Timur</t>
        </is>
      </c>
      <c r="C402" t="inlineStr">
        <is>
          <t>NOP MADIUN</t>
        </is>
      </c>
      <c r="D402" s="38" t="n">
        <v>0</v>
      </c>
      <c r="E402" s="38" t="n">
        <v>0</v>
      </c>
      <c r="F402" s="36" t="n">
        <v>1.901</v>
      </c>
      <c r="G402" s="36" t="n">
        <v>1.902</v>
      </c>
      <c r="H402" s="36" t="n">
        <v>4</v>
      </c>
      <c r="I402" s="37" t="n">
        <v>0.4</v>
      </c>
      <c r="J402" s="36" t="n">
        <v>0</v>
      </c>
      <c r="K402" s="37" t="n">
        <v>0</v>
      </c>
      <c r="L402" s="36" t="n">
        <v>4</v>
      </c>
      <c r="M402" s="37" t="n">
        <v>0.4</v>
      </c>
      <c r="N402" s="36" t="n">
        <v>0</v>
      </c>
      <c r="O402" s="37" t="n">
        <v>0</v>
      </c>
      <c r="P402" s="36" t="n">
        <v>0</v>
      </c>
      <c r="Q402" s="37" t="n">
        <v>0</v>
      </c>
      <c r="R402" s="36" t="n">
        <v>10</v>
      </c>
      <c r="S402" s="37" t="n">
        <v>1</v>
      </c>
      <c r="T402" s="36" t="n">
        <v>2</v>
      </c>
      <c r="U402" s="37" t="n">
        <v>0.2</v>
      </c>
      <c r="V402" s="38" t="n">
        <v>0</v>
      </c>
      <c r="W402" s="38" t="n">
        <v>13.718</v>
      </c>
      <c r="X402" s="38" t="n">
        <v>6.82</v>
      </c>
      <c r="Y402" s="38" t="n">
        <v>43.317</v>
      </c>
      <c r="Z402" s="38" t="n">
        <v>0</v>
      </c>
      <c r="AA402" s="36" t="n">
        <v>22</v>
      </c>
      <c r="AB402" s="37" t="n">
        <v>0.7857142857142857</v>
      </c>
      <c r="AC402" s="36" t="n">
        <v>5</v>
      </c>
      <c r="AD402" s="37" t="n">
        <v>1</v>
      </c>
      <c r="AE402" s="36" t="n">
        <v>17</v>
      </c>
      <c r="AF402" s="37" t="n">
        <v>0.7391304347826086</v>
      </c>
      <c r="AG402" s="36" t="n">
        <v>5</v>
      </c>
      <c r="AH402" s="37" t="n">
        <v>1</v>
      </c>
    </row>
    <row r="403">
      <c r="A403" s="53" t="n">
        <v>45820</v>
      </c>
      <c r="B403" t="inlineStr">
        <is>
          <t>R06_Jawa Timur</t>
        </is>
      </c>
      <c r="C403" t="inlineStr">
        <is>
          <t>NOP MALANG</t>
        </is>
      </c>
      <c r="D403" s="38" t="n">
        <v>0</v>
      </c>
      <c r="E403" s="38" t="n">
        <v>0</v>
      </c>
      <c r="F403" s="36" t="n">
        <v>2.21</v>
      </c>
      <c r="G403" s="36" t="n">
        <v>2.23</v>
      </c>
      <c r="H403" s="36" t="n">
        <v>15</v>
      </c>
      <c r="I403" s="37" t="n">
        <v>0.9375</v>
      </c>
      <c r="J403" s="36" t="n">
        <v>0</v>
      </c>
      <c r="K403" s="37" t="n">
        <v>0</v>
      </c>
      <c r="L403" s="36" t="n">
        <v>15</v>
      </c>
      <c r="M403" s="37" t="n">
        <v>0.9375</v>
      </c>
      <c r="N403" s="36" t="n">
        <v>0</v>
      </c>
      <c r="O403" s="37" t="n">
        <v>0</v>
      </c>
      <c r="P403" s="36" t="n">
        <v>0</v>
      </c>
      <c r="Q403" s="37" t="n">
        <v>0</v>
      </c>
      <c r="R403" s="36" t="n">
        <v>16</v>
      </c>
      <c r="S403" s="37" t="n">
        <v>1</v>
      </c>
      <c r="T403" s="36" t="n">
        <v>15</v>
      </c>
      <c r="U403" s="37" t="n">
        <v>0.9375</v>
      </c>
      <c r="V403" s="38" t="n">
        <v>0</v>
      </c>
      <c r="W403" s="38" t="n">
        <v>1.624</v>
      </c>
      <c r="X403" s="38" t="n">
        <v>2.795</v>
      </c>
      <c r="Y403" s="38" t="n">
        <v>38</v>
      </c>
      <c r="Z403" s="38" t="n">
        <v>0</v>
      </c>
      <c r="AA403" s="36" t="n">
        <v>18</v>
      </c>
      <c r="AB403" s="37" t="n">
        <v>1</v>
      </c>
      <c r="AC403" s="36" t="n">
        <v>2</v>
      </c>
      <c r="AD403" s="37" t="n">
        <v>1</v>
      </c>
      <c r="AE403" s="36" t="n">
        <v>16</v>
      </c>
      <c r="AF403" s="37" t="n">
        <v>1</v>
      </c>
      <c r="AG403" s="36" t="n">
        <v>2</v>
      </c>
      <c r="AH403" s="37" t="n">
        <v>1</v>
      </c>
    </row>
    <row r="404">
      <c r="A404" s="53" t="n">
        <v>45820</v>
      </c>
      <c r="B404" t="inlineStr">
        <is>
          <t>R06_Jawa Timur</t>
        </is>
      </c>
      <c r="C404" t="inlineStr">
        <is>
          <t>NOP SIDOARJO</t>
        </is>
      </c>
      <c r="D404" s="38" t="n">
        <v>0</v>
      </c>
      <c r="E404" s="38" t="n">
        <v>0</v>
      </c>
      <c r="F404" s="36" t="n">
        <v>2.498000000000001</v>
      </c>
      <c r="G404" s="36" t="n">
        <v>1.254</v>
      </c>
      <c r="H404" s="36" t="n">
        <v>7</v>
      </c>
      <c r="I404" s="37" t="n">
        <v>0.4375</v>
      </c>
      <c r="J404" s="36" t="n">
        <v>0</v>
      </c>
      <c r="K404" s="37" t="n">
        <v>0</v>
      </c>
      <c r="L404" s="36" t="n">
        <v>7</v>
      </c>
      <c r="M404" s="37" t="n">
        <v>0.4375</v>
      </c>
      <c r="N404" s="36" t="n">
        <v>0</v>
      </c>
      <c r="O404" s="37" t="n">
        <v>0</v>
      </c>
      <c r="P404" s="36" t="n">
        <v>0</v>
      </c>
      <c r="Q404" s="37" t="n">
        <v>0</v>
      </c>
      <c r="R404" s="36" t="n">
        <v>16</v>
      </c>
      <c r="S404" s="37" t="n">
        <v>1</v>
      </c>
      <c r="T404" s="36" t="n">
        <v>5</v>
      </c>
      <c r="U404" s="37" t="n">
        <v>0.3125</v>
      </c>
      <c r="V404" s="38" t="n">
        <v>0</v>
      </c>
      <c r="W404" s="38" t="n">
        <v>5.144</v>
      </c>
      <c r="X404" s="38" t="n">
        <v>2.163</v>
      </c>
      <c r="Y404" s="38" t="n">
        <v>0.18</v>
      </c>
      <c r="Z404" s="38" t="n">
        <v>0</v>
      </c>
      <c r="AA404" s="36" t="n">
        <v>13</v>
      </c>
      <c r="AB404" s="37" t="n">
        <v>0.8666666666666667</v>
      </c>
      <c r="AC404" s="36" t="n">
        <v>1</v>
      </c>
      <c r="AD404" s="37" t="n">
        <v>0.5</v>
      </c>
      <c r="AE404" s="36" t="n">
        <v>12</v>
      </c>
      <c r="AF404" s="37" t="n">
        <v>0.9230769230769231</v>
      </c>
      <c r="AG404" s="36" t="n">
        <v>1</v>
      </c>
      <c r="AH404" s="37" t="n">
        <v>1</v>
      </c>
    </row>
    <row r="405">
      <c r="A405" s="53" t="n">
        <v>45820</v>
      </c>
      <c r="B405" t="inlineStr">
        <is>
          <t>R06_Jawa Timur</t>
        </is>
      </c>
      <c r="C405" t="inlineStr">
        <is>
          <t>NOP SURABAYA</t>
        </is>
      </c>
      <c r="D405" s="38" t="n">
        <v>1.508</v>
      </c>
      <c r="E405" s="38" t="n">
        <v>0</v>
      </c>
      <c r="F405" s="36" t="n">
        <v>0</v>
      </c>
      <c r="G405" s="36" t="n">
        <v>4.945</v>
      </c>
      <c r="H405" s="36" t="n">
        <v>4</v>
      </c>
      <c r="I405" s="37" t="n">
        <v>0.5</v>
      </c>
      <c r="J405" s="36" t="n">
        <v>1</v>
      </c>
      <c r="K405" s="37" t="n">
        <v>0.5</v>
      </c>
      <c r="L405" s="36" t="n">
        <v>3</v>
      </c>
      <c r="M405" s="37" t="n">
        <v>0.5</v>
      </c>
      <c r="N405" s="36" t="n">
        <v>1</v>
      </c>
      <c r="O405" s="37" t="n">
        <v>1</v>
      </c>
      <c r="P405" s="36" t="n">
        <v>1</v>
      </c>
      <c r="Q405" s="37" t="n">
        <v>1</v>
      </c>
      <c r="R405" s="36" t="n">
        <v>7</v>
      </c>
      <c r="S405" s="37" t="n">
        <v>0.875</v>
      </c>
      <c r="T405" s="36" t="n">
        <v>3</v>
      </c>
      <c r="U405" s="37" t="n">
        <v>0.375</v>
      </c>
      <c r="V405" s="38" t="n">
        <v>0</v>
      </c>
      <c r="W405" s="38" t="n">
        <v>3.858</v>
      </c>
      <c r="X405" s="38" t="n">
        <v>3.476</v>
      </c>
      <c r="Y405" s="38" t="n">
        <v>8.020000000000003</v>
      </c>
      <c r="Z405" s="38" t="n">
        <v>0</v>
      </c>
      <c r="AA405" s="36" t="n">
        <v>17</v>
      </c>
      <c r="AB405" s="37" t="n">
        <v>0.6538461538461539</v>
      </c>
      <c r="AC405" s="36" t="n">
        <v>2</v>
      </c>
      <c r="AD405" s="37" t="n">
        <v>0.6666666666666666</v>
      </c>
      <c r="AE405" s="36" t="n">
        <v>15</v>
      </c>
      <c r="AF405" s="37" t="n">
        <v>0.6521739130434783</v>
      </c>
      <c r="AG405" s="36" t="n">
        <v>2</v>
      </c>
      <c r="AH405" s="37" t="n">
        <v>1</v>
      </c>
    </row>
    <row r="406">
      <c r="A406" s="53" t="n">
        <v>45820</v>
      </c>
      <c r="B406" t="inlineStr">
        <is>
          <t>R07_Bali Nusra</t>
        </is>
      </c>
      <c r="C406" t="inlineStr">
        <is>
          <t>NOP DENPASAR</t>
        </is>
      </c>
      <c r="D406" s="38" t="n">
        <v>0</v>
      </c>
      <c r="E406" s="38" t="n">
        <v>0</v>
      </c>
      <c r="F406" s="36" t="n">
        <v>2.408</v>
      </c>
      <c r="G406" s="36" t="n">
        <v>2.422</v>
      </c>
      <c r="H406" s="36" t="n">
        <v>10</v>
      </c>
      <c r="I406" s="37" t="n">
        <v>1</v>
      </c>
      <c r="J406" s="36" t="n">
        <v>0</v>
      </c>
      <c r="K406" s="37" t="n">
        <v>0</v>
      </c>
      <c r="L406" s="36" t="n">
        <v>10</v>
      </c>
      <c r="M406" s="37" t="n">
        <v>1</v>
      </c>
      <c r="N406" s="36" t="n">
        <v>0</v>
      </c>
      <c r="O406" s="37" t="n">
        <v>0</v>
      </c>
      <c r="P406" s="36" t="n">
        <v>0</v>
      </c>
      <c r="Q406" s="37" t="n">
        <v>0</v>
      </c>
      <c r="R406" s="36" t="n">
        <v>10</v>
      </c>
      <c r="S406" s="37" t="n">
        <v>1</v>
      </c>
      <c r="T406" s="36" t="n">
        <v>10</v>
      </c>
      <c r="U406" s="37" t="n">
        <v>1</v>
      </c>
      <c r="V406" s="38" t="n">
        <v>0</v>
      </c>
      <c r="W406" s="38" t="n">
        <v>15.83</v>
      </c>
      <c r="X406" s="38" t="n">
        <v>8.92</v>
      </c>
      <c r="Y406" s="38" t="n">
        <v>13.524</v>
      </c>
      <c r="Z406" s="38" t="n">
        <v>0</v>
      </c>
      <c r="AA406" s="36" t="n">
        <v>29</v>
      </c>
      <c r="AB406" s="37" t="n">
        <v>0.9354838709677419</v>
      </c>
      <c r="AC406" s="36" t="n">
        <v>15</v>
      </c>
      <c r="AD406" s="37" t="n">
        <v>0.9375</v>
      </c>
      <c r="AE406" s="36" t="n">
        <v>14</v>
      </c>
      <c r="AF406" s="37" t="n">
        <v>0.9333333333333333</v>
      </c>
      <c r="AG406" s="36" t="n">
        <v>10</v>
      </c>
      <c r="AH406" s="37" t="n">
        <v>0.6666666666666666</v>
      </c>
    </row>
    <row r="407">
      <c r="A407" s="53" t="n">
        <v>45820</v>
      </c>
      <c r="B407" t="inlineStr">
        <is>
          <t>R07_Bali Nusra</t>
        </is>
      </c>
      <c r="C407" t="inlineStr">
        <is>
          <t>NOP FLORES</t>
        </is>
      </c>
      <c r="D407" s="38" t="n">
        <v>0.53</v>
      </c>
      <c r="E407" s="38" t="n">
        <v>24.09</v>
      </c>
      <c r="F407" s="36" t="n">
        <v>6.99</v>
      </c>
      <c r="G407" s="36" t="n">
        <v>16.776</v>
      </c>
      <c r="H407" s="36" t="n">
        <v>41</v>
      </c>
      <c r="I407" s="37" t="n">
        <v>0.5189873417721519</v>
      </c>
      <c r="J407" s="36" t="n">
        <v>12</v>
      </c>
      <c r="K407" s="37" t="n">
        <v>0.5454545454545454</v>
      </c>
      <c r="L407" s="36" t="n">
        <v>29</v>
      </c>
      <c r="M407" s="37" t="n">
        <v>0.5087719298245614</v>
      </c>
      <c r="N407" s="36" t="n">
        <v>11</v>
      </c>
      <c r="O407" s="37" t="n">
        <v>0.9166666666666666</v>
      </c>
      <c r="P407" s="36" t="n">
        <v>11</v>
      </c>
      <c r="Q407" s="37" t="n">
        <v>0.9166666666666666</v>
      </c>
      <c r="R407" s="36" t="n">
        <v>75</v>
      </c>
      <c r="S407" s="37" t="n">
        <v>0.9493670886075949</v>
      </c>
      <c r="T407" s="36" t="n">
        <v>29</v>
      </c>
      <c r="U407" s="37" t="n">
        <v>0.3670886075949367</v>
      </c>
      <c r="V407" s="38" t="n">
        <v>0.2</v>
      </c>
      <c r="W407" s="38" t="n">
        <v>8.382000000000001</v>
      </c>
      <c r="X407" s="38" t="n">
        <v>9.471000000000043</v>
      </c>
      <c r="Y407" s="38" t="n">
        <v>28.78900000000001</v>
      </c>
      <c r="Z407" s="38" t="n">
        <v>0</v>
      </c>
      <c r="AA407" s="36" t="n">
        <v>78</v>
      </c>
      <c r="AB407" s="37" t="n">
        <v>0.5492957746478874</v>
      </c>
      <c r="AC407" s="36" t="n">
        <v>58</v>
      </c>
      <c r="AD407" s="37" t="n">
        <v>0.58</v>
      </c>
      <c r="AE407" s="36" t="n">
        <v>20</v>
      </c>
      <c r="AF407" s="37" t="n">
        <v>0.4761904761904762</v>
      </c>
      <c r="AG407" s="36" t="n">
        <v>51</v>
      </c>
      <c r="AH407" s="37" t="n">
        <v>0.8793103448275862</v>
      </c>
    </row>
    <row r="408">
      <c r="A408" s="53" t="n">
        <v>45820</v>
      </c>
      <c r="B408" t="inlineStr">
        <is>
          <t>R07_Bali Nusra</t>
        </is>
      </c>
      <c r="C408" t="inlineStr">
        <is>
          <t>NOP KUPANG</t>
        </is>
      </c>
      <c r="D408" s="38" t="n">
        <v>0</v>
      </c>
      <c r="E408" s="38" t="n">
        <v>3.838</v>
      </c>
      <c r="F408" s="36" t="n">
        <v>6.11</v>
      </c>
      <c r="G408" s="36" t="n">
        <v>3.237000000000001</v>
      </c>
      <c r="H408" s="36" t="n">
        <v>44</v>
      </c>
      <c r="I408" s="37" t="n">
        <v>0.7333333333333333</v>
      </c>
      <c r="J408" s="36" t="n">
        <v>20</v>
      </c>
      <c r="K408" s="37" t="n">
        <v>0.8333333333333334</v>
      </c>
      <c r="L408" s="36" t="n">
        <v>24</v>
      </c>
      <c r="M408" s="37" t="n">
        <v>0.6666666666666666</v>
      </c>
      <c r="N408" s="36" t="n">
        <v>16</v>
      </c>
      <c r="O408" s="37" t="n">
        <v>0.8</v>
      </c>
      <c r="P408" s="36" t="n">
        <v>16</v>
      </c>
      <c r="Q408" s="37" t="n">
        <v>0.8</v>
      </c>
      <c r="R408" s="36" t="n">
        <v>60</v>
      </c>
      <c r="S408" s="37" t="n">
        <v>1</v>
      </c>
      <c r="T408" s="36" t="n">
        <v>27</v>
      </c>
      <c r="U408" s="37" t="n">
        <v>0.45</v>
      </c>
      <c r="V408" s="38" t="n">
        <v>0</v>
      </c>
      <c r="W408" s="38" t="n">
        <v>9.102999999999994</v>
      </c>
      <c r="X408" s="38" t="n">
        <v>22.445</v>
      </c>
      <c r="Y408" s="38" t="n">
        <v>12.97</v>
      </c>
      <c r="Z408" s="38" t="n">
        <v>0</v>
      </c>
      <c r="AA408" s="36" t="n">
        <v>71</v>
      </c>
      <c r="AB408" s="37" t="n">
        <v>0.7802197802197802</v>
      </c>
      <c r="AC408" s="36" t="n">
        <v>43</v>
      </c>
      <c r="AD408" s="37" t="n">
        <v>0.8269230769230769</v>
      </c>
      <c r="AE408" s="36" t="n">
        <v>28</v>
      </c>
      <c r="AF408" s="37" t="n">
        <v>0.717948717948718</v>
      </c>
      <c r="AG408" s="36" t="n">
        <v>20</v>
      </c>
      <c r="AH408" s="37" t="n">
        <v>0.4651162790697674</v>
      </c>
    </row>
    <row r="409">
      <c r="A409" s="53" t="n">
        <v>45820</v>
      </c>
      <c r="B409" t="inlineStr">
        <is>
          <t>R07_Bali Nusra</t>
        </is>
      </c>
      <c r="C409" t="inlineStr">
        <is>
          <t>NOP MATARAM</t>
        </is>
      </c>
      <c r="D409" s="38" t="n">
        <v>0</v>
      </c>
      <c r="E409" s="38" t="n">
        <v>2.97</v>
      </c>
      <c r="F409" s="36" t="n">
        <v>4.9</v>
      </c>
      <c r="G409" s="36" t="n">
        <v>3.902</v>
      </c>
      <c r="H409" s="36" t="n">
        <v>36</v>
      </c>
      <c r="I409" s="37" t="n">
        <v>0.7659574468085106</v>
      </c>
      <c r="J409" s="36" t="n">
        <v>1</v>
      </c>
      <c r="K409" s="37" t="n">
        <v>1</v>
      </c>
      <c r="L409" s="36" t="n">
        <v>35</v>
      </c>
      <c r="M409" s="37" t="n">
        <v>0.7608695652173914</v>
      </c>
      <c r="N409" s="36" t="n">
        <v>1</v>
      </c>
      <c r="O409" s="37" t="n">
        <v>1</v>
      </c>
      <c r="P409" s="36" t="n">
        <v>1</v>
      </c>
      <c r="Q409" s="37" t="n">
        <v>1</v>
      </c>
      <c r="R409" s="36" t="n">
        <v>47</v>
      </c>
      <c r="S409" s="37" t="n">
        <v>1</v>
      </c>
      <c r="T409" s="36" t="n">
        <v>23</v>
      </c>
      <c r="U409" s="37" t="n">
        <v>0.4893617021276596</v>
      </c>
      <c r="V409" s="38" t="n">
        <v>0.138</v>
      </c>
      <c r="W409" s="38" t="n">
        <v>23.04</v>
      </c>
      <c r="X409" s="38" t="n">
        <v>6.808000000000002</v>
      </c>
      <c r="Y409" s="38" t="n">
        <v>0.471</v>
      </c>
      <c r="Z409" s="38" t="n">
        <v>0</v>
      </c>
      <c r="AA409" s="36" t="n">
        <v>21</v>
      </c>
      <c r="AB409" s="37" t="n">
        <v>0.4772727272727273</v>
      </c>
      <c r="AC409" s="36" t="n">
        <v>16</v>
      </c>
      <c r="AD409" s="37" t="n">
        <v>0.4848484848484849</v>
      </c>
      <c r="AE409" s="36" t="n">
        <v>5</v>
      </c>
      <c r="AF409" s="37" t="n">
        <v>0.4545454545454545</v>
      </c>
      <c r="AG409" s="36" t="n">
        <v>12</v>
      </c>
      <c r="AH409" s="37" t="n">
        <v>0.75</v>
      </c>
    </row>
    <row r="410">
      <c r="A410" s="53" t="n">
        <v>45821</v>
      </c>
      <c r="B410" t="inlineStr">
        <is>
          <t>R01_Sumbagut</t>
        </is>
      </c>
      <c r="C410" t="inlineStr">
        <is>
          <t>NOP ACEH</t>
        </is>
      </c>
      <c r="D410" s="38" t="n">
        <v>0.756</v>
      </c>
      <c r="E410" s="38" t="n">
        <v>2.146</v>
      </c>
      <c r="F410" s="36" t="n">
        <v>3.233999999999999</v>
      </c>
      <c r="G410" s="36" t="n">
        <v>2.25</v>
      </c>
      <c r="H410" s="36" t="n">
        <v>72</v>
      </c>
      <c r="I410" s="37" t="n">
        <v>0.8372093023255814</v>
      </c>
      <c r="J410" s="36" t="n">
        <v>12</v>
      </c>
      <c r="K410" s="37" t="n">
        <v>0.75</v>
      </c>
      <c r="L410" s="36" t="n">
        <v>60</v>
      </c>
      <c r="M410" s="37" t="n">
        <v>0.8571428571428571</v>
      </c>
      <c r="N410" s="36" t="n">
        <v>6</v>
      </c>
      <c r="O410" s="37" t="n">
        <v>0.5</v>
      </c>
      <c r="P410" s="36" t="n">
        <v>6</v>
      </c>
      <c r="Q410" s="37" t="n">
        <v>0.5</v>
      </c>
      <c r="R410" s="36" t="n">
        <v>85</v>
      </c>
      <c r="S410" s="37" t="n">
        <v>0.9883720930232558</v>
      </c>
      <c r="T410" s="36" t="n">
        <v>24</v>
      </c>
      <c r="U410" s="37" t="n">
        <v>0.2790697674418605</v>
      </c>
      <c r="V410" s="38" t="n">
        <v>0</v>
      </c>
      <c r="W410" s="38" t="n">
        <v>3.820000000000001</v>
      </c>
      <c r="X410" s="38" t="n">
        <v>44.90799999999999</v>
      </c>
      <c r="Y410" s="38" t="n">
        <v>15.71999999999998</v>
      </c>
      <c r="Z410" s="38" t="n">
        <v>0</v>
      </c>
      <c r="AA410" s="36" t="n">
        <v>186</v>
      </c>
      <c r="AB410" s="37" t="n">
        <v>0.8157894736842105</v>
      </c>
      <c r="AC410" s="36" t="n">
        <v>27</v>
      </c>
      <c r="AD410" s="37" t="n">
        <v>0.7714285714285715</v>
      </c>
      <c r="AE410" s="36" t="n">
        <v>157</v>
      </c>
      <c r="AF410" s="37" t="n">
        <v>0.8219895287958116</v>
      </c>
      <c r="AG410" s="36" t="n">
        <v>2</v>
      </c>
      <c r="AH410" s="37" t="n">
        <v>0.07407407407407407</v>
      </c>
    </row>
    <row r="411">
      <c r="A411" s="53" t="n">
        <v>45821</v>
      </c>
      <c r="B411" t="inlineStr">
        <is>
          <t>R01_Sumbagut</t>
        </is>
      </c>
      <c r="C411" t="inlineStr">
        <is>
          <t>NOP BINJAI</t>
        </is>
      </c>
      <c r="D411" s="38" t="n">
        <v>0</v>
      </c>
      <c r="E411" s="38" t="n">
        <v>1.1</v>
      </c>
      <c r="F411" s="36" t="n">
        <v>10.094</v>
      </c>
      <c r="G411" s="36" t="n">
        <v>15.426</v>
      </c>
      <c r="H411" s="36" t="n">
        <v>11</v>
      </c>
      <c r="I411" s="37" t="n">
        <v>0.3666666666666666</v>
      </c>
      <c r="J411" s="36" t="n">
        <v>4</v>
      </c>
      <c r="K411" s="37" t="n">
        <v>0.5</v>
      </c>
      <c r="L411" s="36" t="n">
        <v>7</v>
      </c>
      <c r="M411" s="37" t="n">
        <v>0.3181818181818182</v>
      </c>
      <c r="N411" s="36" t="n">
        <v>2</v>
      </c>
      <c r="O411" s="37" t="n">
        <v>0.5</v>
      </c>
      <c r="P411" s="36" t="n">
        <v>2</v>
      </c>
      <c r="Q411" s="37" t="n">
        <v>0.5</v>
      </c>
      <c r="R411" s="36" t="n">
        <v>30</v>
      </c>
      <c r="S411" s="37" t="n">
        <v>1</v>
      </c>
      <c r="T411" s="36" t="n">
        <v>6</v>
      </c>
      <c r="U411" s="37" t="n">
        <v>0.2</v>
      </c>
      <c r="V411" s="38" t="n">
        <v>0</v>
      </c>
      <c r="W411" s="38" t="n">
        <v>1.524999999999999</v>
      </c>
      <c r="X411" s="38" t="n">
        <v>26.52200000000001</v>
      </c>
      <c r="Y411" s="38" t="n">
        <v>17.128</v>
      </c>
      <c r="Z411" s="38" t="n">
        <v>0</v>
      </c>
      <c r="AA411" s="36" t="n">
        <v>59</v>
      </c>
      <c r="AB411" s="37" t="n">
        <v>0.6555555555555556</v>
      </c>
      <c r="AC411" s="36" t="n">
        <v>12</v>
      </c>
      <c r="AD411" s="37" t="n">
        <v>0.5</v>
      </c>
      <c r="AE411" s="36" t="n">
        <v>44</v>
      </c>
      <c r="AF411" s="37" t="n">
        <v>0.7457627118644068</v>
      </c>
      <c r="AG411" s="36" t="n">
        <v>2</v>
      </c>
      <c r="AH411" s="37" t="n">
        <v>0.1666666666666667</v>
      </c>
    </row>
    <row r="412">
      <c r="A412" s="53" t="n">
        <v>45821</v>
      </c>
      <c r="B412" t="inlineStr">
        <is>
          <t>R01_Sumbagut</t>
        </is>
      </c>
      <c r="C412" t="inlineStr">
        <is>
          <t>NOP MEDAN</t>
        </is>
      </c>
      <c r="D412" s="38" t="n">
        <v>1.56</v>
      </c>
      <c r="E412" s="38" t="n">
        <v>2.45</v>
      </c>
      <c r="F412" s="36" t="n">
        <v>1.572</v>
      </c>
      <c r="G412" s="36" t="n">
        <v>2.892000000000001</v>
      </c>
      <c r="H412" s="36" t="n">
        <v>13</v>
      </c>
      <c r="I412" s="37" t="n">
        <v>0.2708333333333333</v>
      </c>
      <c r="J412" s="36" t="n">
        <v>9</v>
      </c>
      <c r="K412" s="37" t="n">
        <v>0.5625</v>
      </c>
      <c r="L412" s="36" t="n">
        <v>4</v>
      </c>
      <c r="M412" s="37" t="n">
        <v>0.125</v>
      </c>
      <c r="N412" s="36" t="n">
        <v>6</v>
      </c>
      <c r="O412" s="37" t="n">
        <v>0.6666666666666666</v>
      </c>
      <c r="P412" s="36" t="n">
        <v>6</v>
      </c>
      <c r="Q412" s="37" t="n">
        <v>0.6666666666666666</v>
      </c>
      <c r="R412" s="36" t="n">
        <v>47</v>
      </c>
      <c r="S412" s="37" t="n">
        <v>0.9791666666666666</v>
      </c>
      <c r="T412" s="36" t="n">
        <v>11</v>
      </c>
      <c r="U412" s="37" t="n">
        <v>0.2291666666666667</v>
      </c>
      <c r="V412" s="38" t="n">
        <v>0</v>
      </c>
      <c r="W412" s="38" t="n">
        <v>2.624000000000001</v>
      </c>
      <c r="X412" s="38" t="n">
        <v>4.167000000000001</v>
      </c>
      <c r="Y412" s="38" t="n">
        <v>1.32</v>
      </c>
      <c r="Z412" s="38" t="n">
        <v>0</v>
      </c>
      <c r="AA412" s="36" t="n">
        <v>16</v>
      </c>
      <c r="AB412" s="37" t="n">
        <v>0.3076923076923077</v>
      </c>
      <c r="AC412" s="36" t="n">
        <v>1</v>
      </c>
      <c r="AD412" s="37" t="n">
        <v>0.1111111111111111</v>
      </c>
      <c r="AE412" s="36" t="n">
        <v>15</v>
      </c>
      <c r="AF412" s="37" t="n">
        <v>0.3658536585365854</v>
      </c>
      <c r="AG412" s="36" t="n">
        <v>1</v>
      </c>
      <c r="AH412" s="37" t="n">
        <v>1</v>
      </c>
    </row>
    <row r="413">
      <c r="A413" s="53" t="n">
        <v>45821</v>
      </c>
      <c r="B413" t="inlineStr">
        <is>
          <t>R01_Sumbagut</t>
        </is>
      </c>
      <c r="C413" t="inlineStr">
        <is>
          <t>NOP PADANG SIDEMPUAN</t>
        </is>
      </c>
      <c r="D413" s="38" t="n">
        <v>0</v>
      </c>
      <c r="E413" s="38" t="n">
        <v>2.377</v>
      </c>
      <c r="F413" s="36" t="n">
        <v>5.01</v>
      </c>
      <c r="G413" s="36" t="n">
        <v>23.14</v>
      </c>
      <c r="H413" s="36" t="n">
        <v>16</v>
      </c>
      <c r="I413" s="37" t="n">
        <v>0.5</v>
      </c>
      <c r="J413" s="36" t="n">
        <v>2</v>
      </c>
      <c r="K413" s="37" t="n">
        <v>1</v>
      </c>
      <c r="L413" s="36" t="n">
        <v>14</v>
      </c>
      <c r="M413" s="37" t="n">
        <v>0.4666666666666667</v>
      </c>
      <c r="N413" s="36" t="n">
        <v>1</v>
      </c>
      <c r="O413" s="37" t="n">
        <v>0.5</v>
      </c>
      <c r="P413" s="36" t="n">
        <v>1</v>
      </c>
      <c r="Q413" s="37" t="n">
        <v>0.5</v>
      </c>
      <c r="R413" s="36" t="n">
        <v>32</v>
      </c>
      <c r="S413" s="37" t="n">
        <v>1</v>
      </c>
      <c r="T413" s="36" t="n">
        <v>10</v>
      </c>
      <c r="U413" s="37" t="n">
        <v>0.3125</v>
      </c>
      <c r="V413" s="38" t="n">
        <v>0.09</v>
      </c>
      <c r="W413" s="38" t="n">
        <v>3.268</v>
      </c>
      <c r="X413" s="38" t="n">
        <v>7.625000000000021</v>
      </c>
      <c r="Y413" s="38" t="n">
        <v>9.199999999999999</v>
      </c>
      <c r="Z413" s="38" t="n">
        <v>0</v>
      </c>
      <c r="AA413" s="36" t="n">
        <v>79</v>
      </c>
      <c r="AB413" s="37" t="n">
        <v>0.5197368421052632</v>
      </c>
      <c r="AC413" s="36" t="n">
        <v>29</v>
      </c>
      <c r="AD413" s="37" t="n">
        <v>0.6304347826086957</v>
      </c>
      <c r="AE413" s="36" t="n">
        <v>48</v>
      </c>
      <c r="AF413" s="37" t="n">
        <v>0.4615384615384616</v>
      </c>
      <c r="AG413" s="36" t="n">
        <v>15</v>
      </c>
      <c r="AH413" s="37" t="n">
        <v>0.5172413793103449</v>
      </c>
    </row>
    <row r="414">
      <c r="A414" s="53" t="n">
        <v>45821</v>
      </c>
      <c r="B414" t="inlineStr">
        <is>
          <t>R01_Sumbagut</t>
        </is>
      </c>
      <c r="C414" t="inlineStr">
        <is>
          <t>NOP PEMATANG SIANTAR</t>
        </is>
      </c>
      <c r="D414" s="38" t="n">
        <v>1.325</v>
      </c>
      <c r="E414" s="38" t="n">
        <v>3.664</v>
      </c>
      <c r="F414" s="36" t="n">
        <v>3.733999999999999</v>
      </c>
      <c r="G414" s="36" t="n">
        <v>2.800000000000001</v>
      </c>
      <c r="H414" s="36" t="n">
        <v>61</v>
      </c>
      <c r="I414" s="37" t="n">
        <v>0.648936170212766</v>
      </c>
      <c r="J414" s="36" t="n">
        <v>13</v>
      </c>
      <c r="K414" s="37" t="n">
        <v>0.8666666666666667</v>
      </c>
      <c r="L414" s="36" t="n">
        <v>48</v>
      </c>
      <c r="M414" s="37" t="n">
        <v>0.6075949367088608</v>
      </c>
      <c r="N414" s="36" t="n">
        <v>7</v>
      </c>
      <c r="O414" s="37" t="n">
        <v>0.5384615384615384</v>
      </c>
      <c r="P414" s="36" t="n">
        <v>7</v>
      </c>
      <c r="Q414" s="37" t="n">
        <v>0.5384615384615384</v>
      </c>
      <c r="R414" s="36" t="n">
        <v>93</v>
      </c>
      <c r="S414" s="37" t="n">
        <v>0.9893617021276596</v>
      </c>
      <c r="T414" s="36" t="n">
        <v>39</v>
      </c>
      <c r="U414" s="37" t="n">
        <v>0.4148936170212766</v>
      </c>
      <c r="V414" s="38" t="n">
        <v>0</v>
      </c>
      <c r="W414" s="38" t="n">
        <v>3.364</v>
      </c>
      <c r="X414" s="38" t="n">
        <v>31.45900000000004</v>
      </c>
      <c r="Y414" s="38" t="n">
        <v>24.428</v>
      </c>
      <c r="Z414" s="38" t="n">
        <v>0</v>
      </c>
      <c r="AA414" s="36" t="n">
        <v>68</v>
      </c>
      <c r="AB414" s="37" t="n">
        <v>0.7472527472527473</v>
      </c>
      <c r="AC414" s="36" t="n">
        <v>23</v>
      </c>
      <c r="AD414" s="37" t="n">
        <v>0.696969696969697</v>
      </c>
      <c r="AE414" s="36" t="n">
        <v>41</v>
      </c>
      <c r="AF414" s="37" t="n">
        <v>0.7735849056603774</v>
      </c>
      <c r="AG414" s="36" t="n">
        <v>14</v>
      </c>
      <c r="AH414" s="37" t="n">
        <v>0.6086956521739131</v>
      </c>
    </row>
    <row r="415">
      <c r="A415" s="53" t="n">
        <v>45821</v>
      </c>
      <c r="B415" t="inlineStr">
        <is>
          <t>R01_Sumbagut</t>
        </is>
      </c>
      <c r="C415" t="inlineStr">
        <is>
          <t>NOP RANTAU PRAPAT</t>
        </is>
      </c>
      <c r="D415" s="38" t="n">
        <v>1.961</v>
      </c>
      <c r="E415" s="38" t="n">
        <v>1.964</v>
      </c>
      <c r="F415" s="36" t="n">
        <v>2.626000000000001</v>
      </c>
      <c r="G415" s="36" t="n">
        <v>3.72</v>
      </c>
      <c r="H415" s="36" t="n">
        <v>44</v>
      </c>
      <c r="I415" s="37" t="n">
        <v>0.4631578947368421</v>
      </c>
      <c r="J415" s="36" t="n">
        <v>15</v>
      </c>
      <c r="K415" s="37" t="n">
        <v>0.5172413793103449</v>
      </c>
      <c r="L415" s="36" t="n">
        <v>29</v>
      </c>
      <c r="M415" s="37" t="n">
        <v>0.4393939393939394</v>
      </c>
      <c r="N415" s="36" t="n">
        <v>12</v>
      </c>
      <c r="O415" s="37" t="n">
        <v>0.8</v>
      </c>
      <c r="P415" s="36" t="n">
        <v>12</v>
      </c>
      <c r="Q415" s="37" t="n">
        <v>0.8</v>
      </c>
      <c r="R415" s="36" t="n">
        <v>92</v>
      </c>
      <c r="S415" s="37" t="n">
        <v>0.968421052631579</v>
      </c>
      <c r="T415" s="36" t="n">
        <v>34</v>
      </c>
      <c r="U415" s="37" t="n">
        <v>0.3578947368421053</v>
      </c>
      <c r="V415" s="38" t="n">
        <v>0</v>
      </c>
      <c r="W415" s="38" t="n">
        <v>2.305000000000003</v>
      </c>
      <c r="X415" s="38" t="n">
        <v>17.20800000000001</v>
      </c>
      <c r="Y415" s="38" t="n">
        <v>25.33300000000001</v>
      </c>
      <c r="Z415" s="38" t="n">
        <v>0</v>
      </c>
      <c r="AA415" s="36" t="n">
        <v>20</v>
      </c>
      <c r="AB415" s="37" t="n">
        <v>0.136986301369863</v>
      </c>
      <c r="AC415" s="36" t="n">
        <v>5</v>
      </c>
      <c r="AD415" s="37" t="n">
        <v>0.25</v>
      </c>
      <c r="AE415" s="36" t="n">
        <v>12</v>
      </c>
      <c r="AF415" s="37" t="n">
        <v>0.1025641025641026</v>
      </c>
      <c r="AG415" s="36" t="n">
        <v>5</v>
      </c>
      <c r="AH415" s="37" t="n">
        <v>1</v>
      </c>
    </row>
    <row r="416">
      <c r="A416" s="53" t="n">
        <v>45821</v>
      </c>
      <c r="B416" t="inlineStr">
        <is>
          <t>R10_Sumbagteng</t>
        </is>
      </c>
      <c r="C416" t="inlineStr">
        <is>
          <t>NOP BATAM</t>
        </is>
      </c>
      <c r="D416" s="38" t="n">
        <v>0</v>
      </c>
      <c r="E416" s="38" t="n">
        <v>11.11</v>
      </c>
      <c r="F416" s="36" t="n">
        <v>4.82</v>
      </c>
      <c r="G416" s="36" t="n">
        <v>9.954000000000002</v>
      </c>
      <c r="H416" s="36" t="n">
        <v>50</v>
      </c>
      <c r="I416" s="37" t="n">
        <v>0.5102040816326531</v>
      </c>
      <c r="J416" s="36" t="n">
        <v>10</v>
      </c>
      <c r="K416" s="37" t="n">
        <v>0.6666666666666666</v>
      </c>
      <c r="L416" s="36" t="n">
        <v>40</v>
      </c>
      <c r="M416" s="37" t="n">
        <v>0.4819277108433735</v>
      </c>
      <c r="N416" s="36" t="n">
        <v>7</v>
      </c>
      <c r="O416" s="37" t="n">
        <v>0.7</v>
      </c>
      <c r="P416" s="36" t="n">
        <v>7</v>
      </c>
      <c r="Q416" s="37" t="n">
        <v>0.7</v>
      </c>
      <c r="R416" s="36" t="n">
        <v>97</v>
      </c>
      <c r="S416" s="37" t="n">
        <v>0.9897959183673469</v>
      </c>
      <c r="T416" s="36" t="n">
        <v>34</v>
      </c>
      <c r="U416" s="37" t="n">
        <v>0.3469387755102041</v>
      </c>
      <c r="V416" s="38" t="n">
        <v>0</v>
      </c>
      <c r="W416" s="38" t="n">
        <v>9.028</v>
      </c>
      <c r="X416" s="38" t="n">
        <v>44.22</v>
      </c>
      <c r="Y416" s="38" t="n">
        <v>63.12400000000002</v>
      </c>
      <c r="Z416" s="38" t="n">
        <v>0</v>
      </c>
      <c r="AA416" s="36" t="n">
        <v>75</v>
      </c>
      <c r="AB416" s="37" t="n">
        <v>0.3409090909090909</v>
      </c>
      <c r="AC416" s="36" t="n">
        <v>37</v>
      </c>
      <c r="AD416" s="37" t="n">
        <v>0.4625</v>
      </c>
      <c r="AE416" s="36" t="n">
        <v>37</v>
      </c>
      <c r="AF416" s="37" t="n">
        <v>0.2681159420289855</v>
      </c>
      <c r="AG416" s="36" t="n">
        <v>33</v>
      </c>
      <c r="AH416" s="37" t="n">
        <v>0.8918918918918919</v>
      </c>
    </row>
    <row r="417">
      <c r="A417" s="53" t="n">
        <v>45821</v>
      </c>
      <c r="B417" t="inlineStr">
        <is>
          <t>R10_Sumbagteng</t>
        </is>
      </c>
      <c r="C417" t="inlineStr">
        <is>
          <t>NOP BUKITTINGGI</t>
        </is>
      </c>
      <c r="D417" s="38" t="n">
        <v>1.485</v>
      </c>
      <c r="E417" s="38" t="n">
        <v>3.89</v>
      </c>
      <c r="F417" s="36" t="n">
        <v>1.728000000000001</v>
      </c>
      <c r="G417" s="36" t="n">
        <v>1.414</v>
      </c>
      <c r="H417" s="36" t="n">
        <v>36</v>
      </c>
      <c r="I417" s="37" t="n">
        <v>0.5070422535211268</v>
      </c>
      <c r="J417" s="36" t="n">
        <v>12</v>
      </c>
      <c r="K417" s="37" t="n">
        <v>0.9230769230769231</v>
      </c>
      <c r="L417" s="36" t="n">
        <v>24</v>
      </c>
      <c r="M417" s="37" t="n">
        <v>0.4137931034482759</v>
      </c>
      <c r="N417" s="36" t="n">
        <v>5</v>
      </c>
      <c r="O417" s="37" t="n">
        <v>0.4166666666666667</v>
      </c>
      <c r="P417" s="36" t="n">
        <v>5</v>
      </c>
      <c r="Q417" s="37" t="n">
        <v>0.4166666666666667</v>
      </c>
      <c r="R417" s="36" t="n">
        <v>69</v>
      </c>
      <c r="S417" s="37" t="n">
        <v>0.971830985915493</v>
      </c>
      <c r="T417" s="36" t="n">
        <v>14</v>
      </c>
      <c r="U417" s="37" t="n">
        <v>0.1971830985915493</v>
      </c>
      <c r="V417" s="38" t="n">
        <v>0.02</v>
      </c>
      <c r="W417" s="38" t="n">
        <v>4.723000000000002</v>
      </c>
      <c r="X417" s="38" t="n">
        <v>49.962</v>
      </c>
      <c r="Y417" s="38" t="n">
        <v>20.21600000000004</v>
      </c>
      <c r="Z417" s="38" t="n">
        <v>0</v>
      </c>
      <c r="AA417" s="36" t="n">
        <v>55</v>
      </c>
      <c r="AB417" s="37" t="n">
        <v>0.5</v>
      </c>
      <c r="AC417" s="36" t="n">
        <v>9</v>
      </c>
      <c r="AD417" s="37" t="n">
        <v>0.6923076923076923</v>
      </c>
      <c r="AE417" s="36" t="n">
        <v>45</v>
      </c>
      <c r="AF417" s="37" t="n">
        <v>0.4736842105263158</v>
      </c>
      <c r="AG417" s="36" t="n">
        <v>5</v>
      </c>
      <c r="AH417" s="37" t="n">
        <v>0.5555555555555556</v>
      </c>
    </row>
    <row r="418">
      <c r="A418" s="53" t="n">
        <v>45821</v>
      </c>
      <c r="B418" t="inlineStr">
        <is>
          <t>R10_Sumbagteng</t>
        </is>
      </c>
      <c r="C418" t="inlineStr">
        <is>
          <t>NOP DUMAI</t>
        </is>
      </c>
      <c r="D418" s="38" t="n">
        <v>2.065</v>
      </c>
      <c r="E418" s="38" t="n">
        <v>5.3</v>
      </c>
      <c r="F418" s="36" t="n">
        <v>2.211</v>
      </c>
      <c r="G418" s="36" t="n">
        <v>6.098</v>
      </c>
      <c r="H418" s="36" t="n">
        <v>62</v>
      </c>
      <c r="I418" s="37" t="n">
        <v>0.3734939759036144</v>
      </c>
      <c r="J418" s="36" t="n">
        <v>32</v>
      </c>
      <c r="K418" s="37" t="n">
        <v>0.6274509803921569</v>
      </c>
      <c r="L418" s="36" t="n">
        <v>30</v>
      </c>
      <c r="M418" s="37" t="n">
        <v>0.2608695652173913</v>
      </c>
      <c r="N418" s="36" t="n">
        <v>28</v>
      </c>
      <c r="O418" s="37" t="n">
        <v>0.875</v>
      </c>
      <c r="P418" s="36" t="n">
        <v>27</v>
      </c>
      <c r="Q418" s="37" t="n">
        <v>0.8709677419354839</v>
      </c>
      <c r="R418" s="36" t="n">
        <v>155</v>
      </c>
      <c r="S418" s="37" t="n">
        <v>0.9337349397590361</v>
      </c>
      <c r="T418" s="36" t="n">
        <v>46</v>
      </c>
      <c r="U418" s="37" t="n">
        <v>0.2771084337349398</v>
      </c>
      <c r="V418" s="38" t="n">
        <v>0.01</v>
      </c>
      <c r="W418" s="38" t="n">
        <v>7.096000000000006</v>
      </c>
      <c r="X418" s="38" t="n">
        <v>48.44400000000005</v>
      </c>
      <c r="Y418" s="38" t="n">
        <v>67.74799999999999</v>
      </c>
      <c r="Z418" s="38" t="n">
        <v>0</v>
      </c>
      <c r="AA418" s="36" t="n">
        <v>85</v>
      </c>
      <c r="AB418" s="37" t="n">
        <v>0.2871621621621622</v>
      </c>
      <c r="AC418" s="36" t="n">
        <v>38</v>
      </c>
      <c r="AD418" s="37" t="n">
        <v>0.4175824175824176</v>
      </c>
      <c r="AE418" s="36" t="n">
        <v>46</v>
      </c>
      <c r="AF418" s="37" t="n">
        <v>0.2266009852216749</v>
      </c>
      <c r="AG418" s="36" t="n">
        <v>35</v>
      </c>
      <c r="AH418" s="37" t="n">
        <v>0.9210526315789473</v>
      </c>
    </row>
    <row r="419">
      <c r="A419" s="53" t="n">
        <v>45821</v>
      </c>
      <c r="B419" t="inlineStr">
        <is>
          <t>R10_Sumbagteng</t>
        </is>
      </c>
      <c r="C419" t="inlineStr">
        <is>
          <t>NOP PADANG</t>
        </is>
      </c>
      <c r="D419" s="38" t="n">
        <v>0</v>
      </c>
      <c r="E419" s="38" t="n">
        <v>1.35</v>
      </c>
      <c r="F419" s="36" t="n">
        <v>15.959</v>
      </c>
      <c r="G419" s="36" t="n">
        <v>3.3</v>
      </c>
      <c r="H419" s="36" t="n">
        <v>45</v>
      </c>
      <c r="I419" s="37" t="n">
        <v>0.703125</v>
      </c>
      <c r="J419" s="36" t="n">
        <v>0</v>
      </c>
      <c r="K419" s="37" t="n">
        <v>0</v>
      </c>
      <c r="L419" s="36" t="n">
        <v>45</v>
      </c>
      <c r="M419" s="37" t="n">
        <v>0.7142857142857143</v>
      </c>
      <c r="N419" s="36" t="n">
        <v>0</v>
      </c>
      <c r="O419" s="37" t="n">
        <v>0</v>
      </c>
      <c r="P419" s="36" t="n">
        <v>0</v>
      </c>
      <c r="Q419" s="37" t="n">
        <v>0</v>
      </c>
      <c r="R419" s="36" t="n">
        <v>48</v>
      </c>
      <c r="S419" s="37" t="n">
        <v>0.75</v>
      </c>
      <c r="T419" s="36" t="n">
        <v>19</v>
      </c>
      <c r="U419" s="37" t="n">
        <v>0.296875</v>
      </c>
      <c r="V419" s="38" t="n">
        <v>0</v>
      </c>
      <c r="W419" s="38" t="n">
        <v>3.08</v>
      </c>
      <c r="X419" s="38" t="n">
        <v>26.035</v>
      </c>
      <c r="Y419" s="38" t="n">
        <v>20.276</v>
      </c>
      <c r="Z419" s="38" t="n">
        <v>0</v>
      </c>
      <c r="AA419" s="36" t="n">
        <v>68</v>
      </c>
      <c r="AB419" s="37" t="n">
        <v>0.7391304347826086</v>
      </c>
      <c r="AC419" s="36" t="n">
        <v>20</v>
      </c>
      <c r="AD419" s="37" t="n">
        <v>0.625</v>
      </c>
      <c r="AE419" s="36" t="n">
        <v>47</v>
      </c>
      <c r="AF419" s="37" t="n">
        <v>0.7966101694915254</v>
      </c>
      <c r="AG419" s="36" t="n">
        <v>15</v>
      </c>
      <c r="AH419" s="37" t="n">
        <v>0.75</v>
      </c>
    </row>
    <row r="420">
      <c r="A420" s="53" t="n">
        <v>45821</v>
      </c>
      <c r="B420" t="inlineStr">
        <is>
          <t>R10_Sumbagteng</t>
        </is>
      </c>
      <c r="C420" t="inlineStr">
        <is>
          <t>NOP PEKANBARU</t>
        </is>
      </c>
      <c r="D420" s="38" t="n">
        <v>0</v>
      </c>
      <c r="E420" s="38" t="n">
        <v>1.96</v>
      </c>
      <c r="F420" s="36" t="n">
        <v>3.411000000000001</v>
      </c>
      <c r="G420" s="36" t="n">
        <v>7.571999999999994</v>
      </c>
      <c r="H420" s="36" t="n">
        <v>30</v>
      </c>
      <c r="I420" s="37" t="n">
        <v>0.2678571428571428</v>
      </c>
      <c r="J420" s="36" t="n">
        <v>4</v>
      </c>
      <c r="K420" s="37" t="n">
        <v>0.1904761904761905</v>
      </c>
      <c r="L420" s="36" t="n">
        <v>26</v>
      </c>
      <c r="M420" s="37" t="n">
        <v>0.2857142857142857</v>
      </c>
      <c r="N420" s="36" t="n">
        <v>3</v>
      </c>
      <c r="O420" s="37" t="n">
        <v>0.75</v>
      </c>
      <c r="P420" s="36" t="n">
        <v>3</v>
      </c>
      <c r="Q420" s="37" t="n">
        <v>0.75</v>
      </c>
      <c r="R420" s="36" t="n">
        <v>108</v>
      </c>
      <c r="S420" s="37" t="n">
        <v>0.9642857142857143</v>
      </c>
      <c r="T420" s="36" t="n">
        <v>16</v>
      </c>
      <c r="U420" s="37" t="n">
        <v>0.1428571428571428</v>
      </c>
      <c r="V420" s="38" t="n">
        <v>0</v>
      </c>
      <c r="W420" s="38" t="n">
        <v>7.174</v>
      </c>
      <c r="X420" s="38" t="n">
        <v>28.582</v>
      </c>
      <c r="Y420" s="38" t="n">
        <v>18.89200000000001</v>
      </c>
      <c r="Z420" s="38" t="n">
        <v>0</v>
      </c>
      <c r="AA420" s="36" t="n">
        <v>84</v>
      </c>
      <c r="AB420" s="37" t="n">
        <v>0.3442622950819672</v>
      </c>
      <c r="AC420" s="36" t="n">
        <v>28</v>
      </c>
      <c r="AD420" s="37" t="n">
        <v>0.4307692307692308</v>
      </c>
      <c r="AE420" s="36" t="n">
        <v>54</v>
      </c>
      <c r="AF420" s="37" t="n">
        <v>0.3068181818181818</v>
      </c>
      <c r="AG420" s="36" t="n">
        <v>26</v>
      </c>
      <c r="AH420" s="37" t="n">
        <v>0.9285714285714286</v>
      </c>
    </row>
    <row r="421">
      <c r="A421" s="53" t="n">
        <v>45821</v>
      </c>
      <c r="B421" t="inlineStr">
        <is>
          <t>R02_Sumbagsel</t>
        </is>
      </c>
      <c r="C421" t="inlineStr">
        <is>
          <t>NOP BENGKULU</t>
        </is>
      </c>
      <c r="D421" s="38" t="n">
        <v>0</v>
      </c>
      <c r="E421" s="38" t="n">
        <v>1.523</v>
      </c>
      <c r="F421" s="36" t="n">
        <v>2.515</v>
      </c>
      <c r="G421" s="36" t="n">
        <v>2.8</v>
      </c>
      <c r="H421" s="36" t="n">
        <v>17</v>
      </c>
      <c r="I421" s="37" t="n">
        <v>0.2575757575757576</v>
      </c>
      <c r="J421" s="36" t="n">
        <v>3</v>
      </c>
      <c r="K421" s="37" t="n">
        <v>0.2142857142857143</v>
      </c>
      <c r="L421" s="36" t="n">
        <v>14</v>
      </c>
      <c r="M421" s="37" t="n">
        <v>0.2692307692307692</v>
      </c>
      <c r="N421" s="36" t="n">
        <v>1</v>
      </c>
      <c r="O421" s="37" t="n">
        <v>0.3333333333333333</v>
      </c>
      <c r="P421" s="36" t="n">
        <v>1</v>
      </c>
      <c r="Q421" s="37" t="n">
        <v>0.3333333333333333</v>
      </c>
      <c r="R421" s="36" t="n">
        <v>65</v>
      </c>
      <c r="S421" s="37" t="n">
        <v>0.9848484848484849</v>
      </c>
      <c r="T421" s="36" t="n">
        <v>12</v>
      </c>
      <c r="U421" s="37" t="n">
        <v>0.1818181818181818</v>
      </c>
      <c r="V421" s="38" t="n">
        <v>0</v>
      </c>
      <c r="W421" s="38" t="n">
        <v>5.105</v>
      </c>
      <c r="X421" s="38" t="n">
        <v>20.09399999999995</v>
      </c>
      <c r="Y421" s="38" t="n">
        <v>5.99</v>
      </c>
      <c r="Z421" s="38" t="n">
        <v>0</v>
      </c>
      <c r="AA421" s="36" t="n">
        <v>86</v>
      </c>
      <c r="AB421" s="37" t="n">
        <v>0.6187050359712231</v>
      </c>
      <c r="AC421" s="36" t="n">
        <v>38</v>
      </c>
      <c r="AD421" s="37" t="n">
        <v>0.5757575757575758</v>
      </c>
      <c r="AE421" s="36" t="n">
        <v>40</v>
      </c>
      <c r="AF421" s="37" t="n">
        <v>0.625</v>
      </c>
      <c r="AG421" s="36" t="n">
        <v>34</v>
      </c>
      <c r="AH421" s="37" t="n">
        <v>0.8947368421052632</v>
      </c>
    </row>
    <row r="422">
      <c r="A422" s="53" t="n">
        <v>45821</v>
      </c>
      <c r="B422" t="inlineStr">
        <is>
          <t>R02_Sumbagsel</t>
        </is>
      </c>
      <c r="C422" t="inlineStr">
        <is>
          <t>NOP JAMBI</t>
        </is>
      </c>
      <c r="D422" s="38" t="n">
        <v>2.510000000000001</v>
      </c>
      <c r="E422" s="38" t="n">
        <v>6.935</v>
      </c>
      <c r="F422" s="36" t="n">
        <v>3.212</v>
      </c>
      <c r="G422" s="36" t="n">
        <v>5.696000000000001</v>
      </c>
      <c r="H422" s="36" t="n">
        <v>29</v>
      </c>
      <c r="I422" s="37" t="n">
        <v>0.2086330935251799</v>
      </c>
      <c r="J422" s="36" t="n">
        <v>16</v>
      </c>
      <c r="K422" s="37" t="n">
        <v>0.3265306122448979</v>
      </c>
      <c r="L422" s="36" t="n">
        <v>13</v>
      </c>
      <c r="M422" s="37" t="n">
        <v>0.1444444444444444</v>
      </c>
      <c r="N422" s="36" t="n">
        <v>9</v>
      </c>
      <c r="O422" s="37" t="n">
        <v>0.5625</v>
      </c>
      <c r="P422" s="36" t="n">
        <v>9</v>
      </c>
      <c r="Q422" s="37" t="n">
        <v>0.5625</v>
      </c>
      <c r="R422" s="36" t="n">
        <v>139</v>
      </c>
      <c r="S422" s="37" t="n">
        <v>1</v>
      </c>
      <c r="T422" s="36" t="n">
        <v>15</v>
      </c>
      <c r="U422" s="37" t="n">
        <v>0.1079136690647482</v>
      </c>
      <c r="V422" s="38" t="n">
        <v>0</v>
      </c>
      <c r="W422" s="38" t="n">
        <v>3.961000000000001</v>
      </c>
      <c r="X422" s="38" t="n">
        <v>7.579000000000008</v>
      </c>
      <c r="Y422" s="38" t="n">
        <v>8.98</v>
      </c>
      <c r="Z422" s="38" t="n">
        <v>0</v>
      </c>
      <c r="AA422" s="36" t="n">
        <v>39</v>
      </c>
      <c r="AB422" s="37" t="n">
        <v>0.1710526315789474</v>
      </c>
      <c r="AC422" s="36" t="n">
        <v>16</v>
      </c>
      <c r="AD422" s="37" t="n">
        <v>0.1290322580645161</v>
      </c>
      <c r="AE422" s="36" t="n">
        <v>18</v>
      </c>
      <c r="AF422" s="37" t="n">
        <v>0.2068965517241379</v>
      </c>
      <c r="AG422" s="36" t="n">
        <v>11</v>
      </c>
      <c r="AH422" s="37" t="n">
        <v>0.6875</v>
      </c>
    </row>
    <row r="423">
      <c r="A423" s="53" t="n">
        <v>45821</v>
      </c>
      <c r="B423" t="inlineStr">
        <is>
          <t>R02_Sumbagsel</t>
        </is>
      </c>
      <c r="C423" t="inlineStr">
        <is>
          <t>NOP LAMPUNG</t>
        </is>
      </c>
      <c r="D423" s="38" t="n">
        <v>0</v>
      </c>
      <c r="E423" s="38" t="n">
        <v>1.919</v>
      </c>
      <c r="F423" s="36" t="n">
        <v>3.29</v>
      </c>
      <c r="G423" s="36" t="n">
        <v>1.982000000000001</v>
      </c>
      <c r="H423" s="36" t="n">
        <v>21</v>
      </c>
      <c r="I423" s="37" t="n">
        <v>0.5</v>
      </c>
      <c r="J423" s="36" t="n">
        <v>10</v>
      </c>
      <c r="K423" s="37" t="n">
        <v>0.7142857142857143</v>
      </c>
      <c r="L423" s="36" t="n">
        <v>11</v>
      </c>
      <c r="M423" s="37" t="n">
        <v>0.3928571428571428</v>
      </c>
      <c r="N423" s="36" t="n">
        <v>6</v>
      </c>
      <c r="O423" s="37" t="n">
        <v>0.6</v>
      </c>
      <c r="P423" s="36" t="n">
        <v>6</v>
      </c>
      <c r="Q423" s="37" t="n">
        <v>0.6</v>
      </c>
      <c r="R423" s="36" t="n">
        <v>42</v>
      </c>
      <c r="S423" s="37" t="n">
        <v>1</v>
      </c>
      <c r="T423" s="36" t="n">
        <v>15</v>
      </c>
      <c r="U423" s="37" t="n">
        <v>0.3571428571428572</v>
      </c>
      <c r="V423" s="38" t="n">
        <v>0</v>
      </c>
      <c r="W423" s="38" t="n">
        <v>1.734</v>
      </c>
      <c r="X423" s="38" t="n">
        <v>3.254</v>
      </c>
      <c r="Y423" s="38" t="n">
        <v>22.1</v>
      </c>
      <c r="Z423" s="38" t="n">
        <v>0</v>
      </c>
      <c r="AA423" s="36" t="n">
        <v>95</v>
      </c>
      <c r="AB423" s="37" t="n">
        <v>0.8482142857142857</v>
      </c>
      <c r="AC423" s="36" t="n">
        <v>19</v>
      </c>
      <c r="AD423" s="37" t="n">
        <v>0.8636363636363636</v>
      </c>
      <c r="AE423" s="36" t="n">
        <v>75</v>
      </c>
      <c r="AF423" s="37" t="n">
        <v>0.8426966292134831</v>
      </c>
      <c r="AG423" s="36" t="n">
        <v>15</v>
      </c>
      <c r="AH423" s="37" t="n">
        <v>0.7894736842105263</v>
      </c>
    </row>
    <row r="424">
      <c r="A424" s="53" t="n">
        <v>45821</v>
      </c>
      <c r="B424" t="inlineStr">
        <is>
          <t>R02_Sumbagsel</t>
        </is>
      </c>
      <c r="C424" t="inlineStr">
        <is>
          <t>NOP MUARA ENIM</t>
        </is>
      </c>
      <c r="D424" s="38" t="n">
        <v>4.45</v>
      </c>
      <c r="E424" s="38" t="n">
        <v>1.308</v>
      </c>
      <c r="F424" s="36" t="n">
        <v>2.81</v>
      </c>
      <c r="G424" s="36" t="n">
        <v>2.162</v>
      </c>
      <c r="H424" s="36" t="n">
        <v>29</v>
      </c>
      <c r="I424" s="37" t="n">
        <v>0.453125</v>
      </c>
      <c r="J424" s="36" t="n">
        <v>7</v>
      </c>
      <c r="K424" s="37" t="n">
        <v>0.6363636363636364</v>
      </c>
      <c r="L424" s="36" t="n">
        <v>22</v>
      </c>
      <c r="M424" s="37" t="n">
        <v>0.4150943396226415</v>
      </c>
      <c r="N424" s="36" t="n">
        <v>4</v>
      </c>
      <c r="O424" s="37" t="n">
        <v>0.5714285714285714</v>
      </c>
      <c r="P424" s="36" t="n">
        <v>4</v>
      </c>
      <c r="Q424" s="37" t="n">
        <v>0.5714285714285714</v>
      </c>
      <c r="R424" s="36" t="n">
        <v>63</v>
      </c>
      <c r="S424" s="37" t="n">
        <v>0.984375</v>
      </c>
      <c r="T424" s="36" t="n">
        <v>14</v>
      </c>
      <c r="U424" s="37" t="n">
        <v>0.21875</v>
      </c>
      <c r="V424" s="38" t="n">
        <v>0</v>
      </c>
      <c r="W424" s="38" t="n">
        <v>16.47</v>
      </c>
      <c r="X424" s="38" t="n">
        <v>26.818</v>
      </c>
      <c r="Y424" s="38" t="n">
        <v>6</v>
      </c>
      <c r="Z424" s="38" t="n">
        <v>0</v>
      </c>
      <c r="AA424" s="36" t="n">
        <v>117</v>
      </c>
      <c r="AB424" s="37" t="n">
        <v>0.6324324324324324</v>
      </c>
      <c r="AC424" s="36" t="n">
        <v>45</v>
      </c>
      <c r="AD424" s="37" t="n">
        <v>0.5844155844155844</v>
      </c>
      <c r="AE424" s="36" t="n">
        <v>67</v>
      </c>
      <c r="AF424" s="37" t="n">
        <v>0.67</v>
      </c>
      <c r="AG424" s="36" t="n">
        <v>34</v>
      </c>
      <c r="AH424" s="37" t="n">
        <v>0.7555555555555555</v>
      </c>
    </row>
    <row r="425">
      <c r="A425" s="53" t="n">
        <v>45821</v>
      </c>
      <c r="B425" t="inlineStr">
        <is>
          <t>R02_Sumbagsel</t>
        </is>
      </c>
      <c r="C425" t="inlineStr">
        <is>
          <t>NOP PALEMBANG</t>
        </is>
      </c>
      <c r="D425" s="38" t="n">
        <v>0.6900000000000001</v>
      </c>
      <c r="E425" s="38" t="n">
        <v>4.564999999999992</v>
      </c>
      <c r="F425" s="36" t="n">
        <v>3.485000000000001</v>
      </c>
      <c r="G425" s="36" t="n">
        <v>6.441999999999999</v>
      </c>
      <c r="H425" s="36" t="n">
        <v>49</v>
      </c>
      <c r="I425" s="37" t="n">
        <v>0.3043478260869565</v>
      </c>
      <c r="J425" s="36" t="n">
        <v>3</v>
      </c>
      <c r="K425" s="37" t="n">
        <v>0.2</v>
      </c>
      <c r="L425" s="36" t="n">
        <v>46</v>
      </c>
      <c r="M425" s="37" t="n">
        <v>0.3150684931506849</v>
      </c>
      <c r="N425" s="36" t="n">
        <v>2</v>
      </c>
      <c r="O425" s="37" t="n">
        <v>0.6666666666666666</v>
      </c>
      <c r="P425" s="36" t="n">
        <v>2</v>
      </c>
      <c r="Q425" s="37" t="n">
        <v>0.6666666666666666</v>
      </c>
      <c r="R425" s="36" t="n">
        <v>161</v>
      </c>
      <c r="S425" s="37" t="n">
        <v>1</v>
      </c>
      <c r="T425" s="36" t="n">
        <v>24</v>
      </c>
      <c r="U425" s="37" t="n">
        <v>0.1490683229813665</v>
      </c>
      <c r="V425" s="38" t="n">
        <v>0</v>
      </c>
      <c r="W425" s="38" t="n">
        <v>3.08</v>
      </c>
      <c r="X425" s="38" t="n">
        <v>7.448000000000015</v>
      </c>
      <c r="Y425" s="38" t="n">
        <v>11.60000000000001</v>
      </c>
      <c r="Z425" s="38" t="n">
        <v>0</v>
      </c>
      <c r="AA425" s="36" t="n">
        <v>36</v>
      </c>
      <c r="AB425" s="37" t="n">
        <v>0.1565217391304348</v>
      </c>
      <c r="AC425" s="36" t="n">
        <v>13</v>
      </c>
      <c r="AD425" s="37" t="n">
        <v>0.1171171171171171</v>
      </c>
      <c r="AE425" s="36" t="n">
        <v>23</v>
      </c>
      <c r="AF425" s="37" t="n">
        <v>0.2072072072072072</v>
      </c>
      <c r="AG425" s="36" t="n">
        <v>11</v>
      </c>
      <c r="AH425" s="37" t="n">
        <v>0.8461538461538461</v>
      </c>
    </row>
    <row r="426">
      <c r="A426" s="53" t="n">
        <v>45821</v>
      </c>
      <c r="B426" t="inlineStr">
        <is>
          <t>R02_Sumbagsel</t>
        </is>
      </c>
      <c r="C426" t="inlineStr">
        <is>
          <t>NOP PANGKAL PINANG</t>
        </is>
      </c>
      <c r="D426" s="38" t="n">
        <v>0</v>
      </c>
      <c r="E426" s="38" t="n">
        <v>0.76</v>
      </c>
      <c r="F426" s="36" t="n">
        <v>1.51</v>
      </c>
      <c r="G426" s="36" t="n">
        <v>2.32</v>
      </c>
      <c r="H426" s="36" t="n">
        <v>12</v>
      </c>
      <c r="I426" s="37" t="n">
        <v>0.8</v>
      </c>
      <c r="J426" s="36" t="n">
        <v>1</v>
      </c>
      <c r="K426" s="37" t="n">
        <v>1</v>
      </c>
      <c r="L426" s="36" t="n">
        <v>11</v>
      </c>
      <c r="M426" s="37" t="n">
        <v>0.7857142857142857</v>
      </c>
      <c r="N426" s="36" t="n">
        <v>0</v>
      </c>
      <c r="O426" s="37" t="n">
        <v>0</v>
      </c>
      <c r="P426" s="36" t="n">
        <v>0</v>
      </c>
      <c r="Q426" s="37" t="n">
        <v>0</v>
      </c>
      <c r="R426" s="36" t="n">
        <v>15</v>
      </c>
      <c r="S426" s="37" t="n">
        <v>1</v>
      </c>
      <c r="T426" s="36" t="n">
        <v>6</v>
      </c>
      <c r="U426" s="37" t="n">
        <v>0.4</v>
      </c>
      <c r="V426" s="38" t="n">
        <v>0</v>
      </c>
      <c r="W426" s="38" t="n">
        <v>1.71</v>
      </c>
      <c r="X426" s="38" t="n">
        <v>9.042999999999999</v>
      </c>
      <c r="Y426" s="38" t="n">
        <v>7.609000000000001</v>
      </c>
      <c r="Z426" s="38" t="n">
        <v>0</v>
      </c>
      <c r="AA426" s="36" t="n">
        <v>76</v>
      </c>
      <c r="AB426" s="37" t="n">
        <v>0.95</v>
      </c>
      <c r="AC426" s="36" t="n">
        <v>26</v>
      </c>
      <c r="AD426" s="37" t="n">
        <v>0.9285714285714286</v>
      </c>
      <c r="AE426" s="36" t="n">
        <v>50</v>
      </c>
      <c r="AF426" s="37" t="n">
        <v>0.9615384615384616</v>
      </c>
      <c r="AG426" s="36" t="n">
        <v>20</v>
      </c>
      <c r="AH426" s="37" t="n">
        <v>0.7692307692307693</v>
      </c>
    </row>
    <row r="427">
      <c r="A427" s="53" t="n">
        <v>45821</v>
      </c>
      <c r="B427" t="inlineStr">
        <is>
          <t>R05_Jawa Tengah DIY</t>
        </is>
      </c>
      <c r="C427" t="inlineStr">
        <is>
          <t>NOP MAGELANG</t>
        </is>
      </c>
      <c r="D427" s="38" t="n">
        <v>0.41</v>
      </c>
      <c r="E427" s="38" t="n">
        <v>0</v>
      </c>
      <c r="F427" s="36" t="n">
        <v>2.278</v>
      </c>
      <c r="G427" s="36" t="n">
        <v>1.558</v>
      </c>
      <c r="H427" s="36" t="n">
        <v>7</v>
      </c>
      <c r="I427" s="37" t="n">
        <v>0.7777777777777778</v>
      </c>
      <c r="J427" s="36" t="n">
        <v>1</v>
      </c>
      <c r="K427" s="37" t="n">
        <v>1</v>
      </c>
      <c r="L427" s="36" t="n">
        <v>6</v>
      </c>
      <c r="M427" s="37" t="n">
        <v>0.75</v>
      </c>
      <c r="N427" s="36" t="n">
        <v>1</v>
      </c>
      <c r="O427" s="37" t="n">
        <v>1</v>
      </c>
      <c r="P427" s="36" t="n">
        <v>1</v>
      </c>
      <c r="Q427" s="37" t="n">
        <v>1</v>
      </c>
      <c r="R427" s="36" t="n">
        <v>9</v>
      </c>
      <c r="S427" s="37" t="n">
        <v>1</v>
      </c>
      <c r="T427" s="36" t="n">
        <v>6</v>
      </c>
      <c r="U427" s="37" t="n">
        <v>0.6666666666666666</v>
      </c>
      <c r="V427" s="38" t="n">
        <v>0</v>
      </c>
      <c r="W427" s="38" t="n">
        <v>2.188</v>
      </c>
      <c r="X427" s="38" t="n">
        <v>3.506000000000001</v>
      </c>
      <c r="Y427" s="38" t="n">
        <v>9.228</v>
      </c>
      <c r="Z427" s="38" t="n">
        <v>0</v>
      </c>
      <c r="AA427" s="36" t="n">
        <v>48</v>
      </c>
      <c r="AB427" s="37" t="n">
        <v>0.9795918367346939</v>
      </c>
      <c r="AC427" s="36" t="n">
        <v>6</v>
      </c>
      <c r="AD427" s="37" t="n">
        <v>0.8571428571428571</v>
      </c>
      <c r="AE427" s="36" t="n">
        <v>42</v>
      </c>
      <c r="AF427" s="37" t="n">
        <v>1</v>
      </c>
      <c r="AG427" s="36" t="n">
        <v>6</v>
      </c>
      <c r="AH427" s="37" t="n">
        <v>1</v>
      </c>
    </row>
    <row r="428">
      <c r="A428" s="53" t="n">
        <v>45821</v>
      </c>
      <c r="B428" t="inlineStr">
        <is>
          <t>R05_Jawa Tengah DIY</t>
        </is>
      </c>
      <c r="C428" t="inlineStr">
        <is>
          <t>NOP PEKALONGAN</t>
        </is>
      </c>
      <c r="D428" s="38" t="n">
        <v>0.46</v>
      </c>
      <c r="E428" s="38" t="n">
        <v>0</v>
      </c>
      <c r="F428" s="36" t="n">
        <v>0.78</v>
      </c>
      <c r="G428" s="36" t="n">
        <v>3.555</v>
      </c>
      <c r="H428" s="36" t="n">
        <v>4</v>
      </c>
      <c r="I428" s="37" t="n">
        <v>0.6666666666666666</v>
      </c>
      <c r="J428" s="36" t="n">
        <v>0</v>
      </c>
      <c r="K428" s="37" t="n">
        <v>0</v>
      </c>
      <c r="L428" s="36" t="n">
        <v>4</v>
      </c>
      <c r="M428" s="37" t="n">
        <v>0.8</v>
      </c>
      <c r="N428" s="36" t="n">
        <v>0</v>
      </c>
      <c r="O428" s="37" t="n">
        <v>0</v>
      </c>
      <c r="P428" s="36" t="n">
        <v>0</v>
      </c>
      <c r="Q428" s="37" t="n">
        <v>0</v>
      </c>
      <c r="R428" s="36" t="n">
        <v>5</v>
      </c>
      <c r="S428" s="37" t="n">
        <v>0.8333333333333334</v>
      </c>
      <c r="T428" s="36" t="n">
        <v>2</v>
      </c>
      <c r="U428" s="37" t="n">
        <v>0.3333333333333333</v>
      </c>
      <c r="V428" s="38" t="n">
        <v>0</v>
      </c>
      <c r="W428" s="38" t="n">
        <v>3.658000000000001</v>
      </c>
      <c r="X428" s="38" t="n">
        <v>6.911</v>
      </c>
      <c r="Y428" s="38" t="n">
        <v>32.625</v>
      </c>
      <c r="Z428" s="38" t="n">
        <v>0</v>
      </c>
      <c r="AA428" s="36" t="n">
        <v>30</v>
      </c>
      <c r="AB428" s="37" t="n">
        <v>0.7692307692307693</v>
      </c>
      <c r="AC428" s="36" t="n">
        <v>9</v>
      </c>
      <c r="AD428" s="37" t="n">
        <v>0.6923076923076923</v>
      </c>
      <c r="AE428" s="36" t="n">
        <v>21</v>
      </c>
      <c r="AF428" s="37" t="n">
        <v>0.8076923076923077</v>
      </c>
      <c r="AG428" s="36" t="n">
        <v>4</v>
      </c>
      <c r="AH428" s="37" t="n">
        <v>0.4444444444444444</v>
      </c>
    </row>
    <row r="429">
      <c r="A429" s="53" t="n">
        <v>45821</v>
      </c>
      <c r="B429" t="inlineStr">
        <is>
          <t>R05_Jawa Tengah DIY</t>
        </is>
      </c>
      <c r="C429" t="inlineStr">
        <is>
          <t>NOP PURWOKERTO</t>
        </is>
      </c>
      <c r="D429" s="38" t="n">
        <v>0.4</v>
      </c>
      <c r="E429" s="38" t="n">
        <v>0</v>
      </c>
      <c r="F429" s="36" t="n">
        <v>1.374</v>
      </c>
      <c r="G429" s="36" t="n">
        <v>1.828</v>
      </c>
      <c r="H429" s="36" t="n">
        <v>3</v>
      </c>
      <c r="I429" s="37" t="n">
        <v>0.4285714285714285</v>
      </c>
      <c r="J429" s="36" t="n">
        <v>0</v>
      </c>
      <c r="K429" s="37" t="n">
        <v>0</v>
      </c>
      <c r="L429" s="36" t="n">
        <v>3</v>
      </c>
      <c r="M429" s="37" t="n">
        <v>0.5</v>
      </c>
      <c r="N429" s="36" t="n">
        <v>0</v>
      </c>
      <c r="O429" s="37" t="n">
        <v>0</v>
      </c>
      <c r="P429" s="36" t="n">
        <v>0</v>
      </c>
      <c r="Q429" s="37" t="n">
        <v>0</v>
      </c>
      <c r="R429" s="36" t="n">
        <v>6</v>
      </c>
      <c r="S429" s="37" t="n">
        <v>0.8571428571428571</v>
      </c>
      <c r="T429" s="36" t="n">
        <v>1</v>
      </c>
      <c r="U429" s="37" t="n">
        <v>0.1428571428571428</v>
      </c>
      <c r="V429" s="38" t="n">
        <v>0.13</v>
      </c>
      <c r="W429" s="38" t="n">
        <v>1.146</v>
      </c>
      <c r="X429" s="38" t="n">
        <v>2.215</v>
      </c>
      <c r="Y429" s="38" t="n">
        <v>16.9</v>
      </c>
      <c r="Z429" s="38" t="n">
        <v>0</v>
      </c>
      <c r="AA429" s="36" t="n">
        <v>15</v>
      </c>
      <c r="AB429" s="37" t="n">
        <v>0.75</v>
      </c>
      <c r="AC429" s="36" t="n">
        <v>1</v>
      </c>
      <c r="AD429" s="37" t="n">
        <v>0.3333333333333333</v>
      </c>
      <c r="AE429" s="36" t="n">
        <v>14</v>
      </c>
      <c r="AF429" s="37" t="n">
        <v>0.8235294117647058</v>
      </c>
      <c r="AG429" s="36" t="n">
        <v>0</v>
      </c>
      <c r="AH429" s="37" t="n">
        <v>0</v>
      </c>
    </row>
    <row r="430">
      <c r="A430" s="53" t="n">
        <v>45821</v>
      </c>
      <c r="B430" t="inlineStr">
        <is>
          <t>R05_Jawa Tengah DIY</t>
        </is>
      </c>
      <c r="C430" t="inlineStr">
        <is>
          <t>NOP SEMARANG</t>
        </is>
      </c>
      <c r="D430" s="38" t="n">
        <v>1.985</v>
      </c>
      <c r="E430" s="38" t="n">
        <v>0</v>
      </c>
      <c r="F430" s="36" t="n">
        <v>1.353</v>
      </c>
      <c r="G430" s="36" t="n">
        <v>1.813</v>
      </c>
      <c r="H430" s="36" t="n">
        <v>20</v>
      </c>
      <c r="I430" s="37" t="n">
        <v>0.8333333333333334</v>
      </c>
      <c r="J430" s="36" t="n">
        <v>3</v>
      </c>
      <c r="K430" s="37" t="n">
        <v>0.75</v>
      </c>
      <c r="L430" s="36" t="n">
        <v>17</v>
      </c>
      <c r="M430" s="37" t="n">
        <v>0.85</v>
      </c>
      <c r="N430" s="36" t="n">
        <v>3</v>
      </c>
      <c r="O430" s="37" t="n">
        <v>1</v>
      </c>
      <c r="P430" s="36" t="n">
        <v>3</v>
      </c>
      <c r="Q430" s="37" t="n">
        <v>1</v>
      </c>
      <c r="R430" s="36" t="n">
        <v>20</v>
      </c>
      <c r="S430" s="37" t="n">
        <v>0.8333333333333334</v>
      </c>
      <c r="T430" s="36" t="n">
        <v>17</v>
      </c>
      <c r="U430" s="37" t="n">
        <v>0.7083333333333334</v>
      </c>
      <c r="V430" s="38" t="n">
        <v>0</v>
      </c>
      <c r="W430" s="38" t="n">
        <v>1.21</v>
      </c>
      <c r="X430" s="38" t="n">
        <v>4.228999999999999</v>
      </c>
      <c r="Y430" s="38" t="n">
        <v>41.115</v>
      </c>
      <c r="Z430" s="38" t="n">
        <v>0</v>
      </c>
      <c r="AA430" s="36" t="n">
        <v>18</v>
      </c>
      <c r="AB430" s="37" t="n">
        <v>0.9</v>
      </c>
      <c r="AC430" s="36" t="n">
        <v>4</v>
      </c>
      <c r="AD430" s="37" t="n">
        <v>0.6666666666666666</v>
      </c>
      <c r="AE430" s="36" t="n">
        <v>14</v>
      </c>
      <c r="AF430" s="37" t="n">
        <v>1</v>
      </c>
      <c r="AG430" s="36" t="n">
        <v>3</v>
      </c>
      <c r="AH430" s="37" t="n">
        <v>0.75</v>
      </c>
    </row>
    <row r="431">
      <c r="A431" s="53" t="n">
        <v>45821</v>
      </c>
      <c r="B431" t="inlineStr">
        <is>
          <t>R05_Jawa Tengah DIY</t>
        </is>
      </c>
      <c r="C431" t="inlineStr">
        <is>
          <t>NOP SURAKARTA</t>
        </is>
      </c>
      <c r="D431" s="38" t="n">
        <v>2.198</v>
      </c>
      <c r="E431" s="38" t="n">
        <v>0</v>
      </c>
      <c r="F431" s="36" t="n">
        <v>1.39</v>
      </c>
      <c r="G431" s="36" t="n">
        <v>2.553</v>
      </c>
      <c r="H431" s="36" t="n">
        <v>14</v>
      </c>
      <c r="I431" s="37" t="n">
        <v>0.7368421052631579</v>
      </c>
      <c r="J431" s="36" t="n">
        <v>3</v>
      </c>
      <c r="K431" s="37" t="n">
        <v>0.75</v>
      </c>
      <c r="L431" s="36" t="n">
        <v>11</v>
      </c>
      <c r="M431" s="37" t="n">
        <v>0.7333333333333333</v>
      </c>
      <c r="N431" s="36" t="n">
        <v>2</v>
      </c>
      <c r="O431" s="37" t="n">
        <v>0.6666666666666666</v>
      </c>
      <c r="P431" s="36" t="n">
        <v>2</v>
      </c>
      <c r="Q431" s="37" t="n">
        <v>0.6666666666666666</v>
      </c>
      <c r="R431" s="36" t="n">
        <v>18</v>
      </c>
      <c r="S431" s="37" t="n">
        <v>0.9473684210526315</v>
      </c>
      <c r="T431" s="36" t="n">
        <v>11</v>
      </c>
      <c r="U431" s="37" t="n">
        <v>0.5789473684210527</v>
      </c>
      <c r="V431" s="38" t="n">
        <v>0</v>
      </c>
      <c r="W431" s="38" t="n">
        <v>0.605</v>
      </c>
      <c r="X431" s="38" t="n">
        <v>5.668</v>
      </c>
      <c r="Y431" s="38" t="n">
        <v>70.42400000000001</v>
      </c>
      <c r="Z431" s="38" t="n">
        <v>0</v>
      </c>
      <c r="AA431" s="36" t="n">
        <v>26</v>
      </c>
      <c r="AB431" s="37" t="n">
        <v>0.7878787878787878</v>
      </c>
      <c r="AC431" s="36" t="n">
        <v>2</v>
      </c>
      <c r="AD431" s="37" t="n">
        <v>0.3333333333333333</v>
      </c>
      <c r="AE431" s="36" t="n">
        <v>24</v>
      </c>
      <c r="AF431" s="37" t="n">
        <v>0.8888888888888888</v>
      </c>
      <c r="AG431" s="36" t="n">
        <v>0</v>
      </c>
      <c r="AH431" s="37" t="n">
        <v>0</v>
      </c>
    </row>
    <row r="432">
      <c r="A432" s="53" t="n">
        <v>45821</v>
      </c>
      <c r="B432" t="inlineStr">
        <is>
          <t>R05_Jawa Tengah DIY</t>
        </is>
      </c>
      <c r="C432" t="inlineStr">
        <is>
          <t>NOP YOGYAKARTA</t>
        </is>
      </c>
      <c r="D432" s="38" t="n">
        <v>3.064</v>
      </c>
      <c r="E432" s="38" t="n">
        <v>0</v>
      </c>
      <c r="F432" s="36" t="n">
        <v>1.45</v>
      </c>
      <c r="G432" s="36" t="n">
        <v>2.856</v>
      </c>
      <c r="H432" s="36" t="n">
        <v>12</v>
      </c>
      <c r="I432" s="37" t="n">
        <v>0.8571428571428571</v>
      </c>
      <c r="J432" s="36" t="n">
        <v>3</v>
      </c>
      <c r="K432" s="37" t="n">
        <v>1</v>
      </c>
      <c r="L432" s="36" t="n">
        <v>9</v>
      </c>
      <c r="M432" s="37" t="n">
        <v>0.8181818181818182</v>
      </c>
      <c r="N432" s="36" t="n">
        <v>3</v>
      </c>
      <c r="O432" s="37" t="n">
        <v>1</v>
      </c>
      <c r="P432" s="36" t="n">
        <v>3</v>
      </c>
      <c r="Q432" s="37" t="n">
        <v>1</v>
      </c>
      <c r="R432" s="36" t="n">
        <v>14</v>
      </c>
      <c r="S432" s="37" t="n">
        <v>1</v>
      </c>
      <c r="T432" s="36" t="n">
        <v>8</v>
      </c>
      <c r="U432" s="37" t="n">
        <v>0.5714285714285714</v>
      </c>
      <c r="V432" s="38" t="n">
        <v>0</v>
      </c>
      <c r="W432" s="38" t="n">
        <v>3.54</v>
      </c>
      <c r="X432" s="38" t="n">
        <v>8.102000000000006</v>
      </c>
      <c r="Y432" s="38" t="n">
        <v>23.936</v>
      </c>
      <c r="Z432" s="38" t="n">
        <v>0</v>
      </c>
      <c r="AA432" s="36" t="n">
        <v>33</v>
      </c>
      <c r="AB432" s="37" t="n">
        <v>1</v>
      </c>
      <c r="AC432" s="36" t="n">
        <v>11</v>
      </c>
      <c r="AD432" s="37" t="n">
        <v>1</v>
      </c>
      <c r="AE432" s="36" t="n">
        <v>22</v>
      </c>
      <c r="AF432" s="37" t="n">
        <v>1</v>
      </c>
      <c r="AG432" s="36" t="n">
        <v>9</v>
      </c>
      <c r="AH432" s="37" t="n">
        <v>0.8181818181818182</v>
      </c>
    </row>
    <row r="433">
      <c r="A433" s="53" t="n">
        <v>45821</v>
      </c>
      <c r="B433" t="inlineStr">
        <is>
          <t>R06_Jawa Timur</t>
        </is>
      </c>
      <c r="C433" t="inlineStr">
        <is>
          <t>NOP JEMBER</t>
        </is>
      </c>
      <c r="D433" s="38" t="n">
        <v>0.62</v>
      </c>
      <c r="E433" s="38" t="n">
        <v>0</v>
      </c>
      <c r="F433" s="36" t="n">
        <v>0.86</v>
      </c>
      <c r="G433" s="36" t="n">
        <v>1.697</v>
      </c>
      <c r="H433" s="36" t="n">
        <v>8</v>
      </c>
      <c r="I433" s="37" t="n">
        <v>0.8</v>
      </c>
      <c r="J433" s="36" t="n">
        <v>1</v>
      </c>
      <c r="K433" s="37" t="n">
        <v>1</v>
      </c>
      <c r="L433" s="36" t="n">
        <v>7</v>
      </c>
      <c r="M433" s="37" t="n">
        <v>0.7777777777777778</v>
      </c>
      <c r="N433" s="36" t="n">
        <v>1</v>
      </c>
      <c r="O433" s="37" t="n">
        <v>1</v>
      </c>
      <c r="P433" s="36" t="n">
        <v>1</v>
      </c>
      <c r="Q433" s="37" t="n">
        <v>1</v>
      </c>
      <c r="R433" s="36" t="n">
        <v>10</v>
      </c>
      <c r="S433" s="37" t="n">
        <v>1</v>
      </c>
      <c r="T433" s="36" t="n">
        <v>4</v>
      </c>
      <c r="U433" s="37" t="n">
        <v>0.4</v>
      </c>
      <c r="V433" s="38" t="n">
        <v>0</v>
      </c>
      <c r="W433" s="38" t="n">
        <v>5.443000000000001</v>
      </c>
      <c r="X433" s="38" t="n">
        <v>2.788</v>
      </c>
      <c r="Y433" s="38" t="n">
        <v>44.979</v>
      </c>
      <c r="Z433" s="38" t="n">
        <v>0</v>
      </c>
      <c r="AA433" s="36" t="n">
        <v>23</v>
      </c>
      <c r="AB433" s="37" t="n">
        <v>0.8846153846153846</v>
      </c>
      <c r="AC433" s="36" t="n">
        <v>11</v>
      </c>
      <c r="AD433" s="37" t="n">
        <v>0.9166666666666666</v>
      </c>
      <c r="AE433" s="36" t="n">
        <v>12</v>
      </c>
      <c r="AF433" s="37" t="n">
        <v>0.8571428571428571</v>
      </c>
      <c r="AG433" s="36" t="n">
        <v>10</v>
      </c>
      <c r="AH433" s="37" t="n">
        <v>0.9090909090909091</v>
      </c>
    </row>
    <row r="434">
      <c r="A434" s="53" t="n">
        <v>45821</v>
      </c>
      <c r="B434" t="inlineStr">
        <is>
          <t>R06_Jawa Timur</t>
        </is>
      </c>
      <c r="C434" t="inlineStr">
        <is>
          <t>NOP KEDIRI</t>
        </is>
      </c>
      <c r="D434" s="38" t="n">
        <v>0</v>
      </c>
      <c r="E434" s="38" t="n">
        <v>0</v>
      </c>
      <c r="F434" s="36" t="n">
        <v>1.188</v>
      </c>
      <c r="G434" s="36" t="n">
        <v>1.022</v>
      </c>
      <c r="H434" s="36" t="n">
        <v>8</v>
      </c>
      <c r="I434" s="37" t="n">
        <v>1</v>
      </c>
      <c r="J434" s="36" t="n">
        <v>0</v>
      </c>
      <c r="K434" s="37" t="n">
        <v>0</v>
      </c>
      <c r="L434" s="36" t="n">
        <v>8</v>
      </c>
      <c r="M434" s="37" t="n">
        <v>1</v>
      </c>
      <c r="N434" s="36" t="n">
        <v>0</v>
      </c>
      <c r="O434" s="37" t="n">
        <v>0</v>
      </c>
      <c r="P434" s="36" t="n">
        <v>0</v>
      </c>
      <c r="Q434" s="37" t="n">
        <v>0</v>
      </c>
      <c r="R434" s="36" t="n">
        <v>8</v>
      </c>
      <c r="S434" s="37" t="n">
        <v>1</v>
      </c>
      <c r="T434" s="36" t="n">
        <v>6</v>
      </c>
      <c r="U434" s="37" t="n">
        <v>0.75</v>
      </c>
      <c r="V434" s="38" t="n">
        <v>0</v>
      </c>
      <c r="W434" s="38" t="n">
        <v>2.13</v>
      </c>
      <c r="X434" s="38" t="n">
        <v>2.56</v>
      </c>
      <c r="Y434" s="38" t="n">
        <v>0</v>
      </c>
      <c r="Z434" s="38" t="n">
        <v>0</v>
      </c>
      <c r="AA434" s="36" t="n">
        <v>10</v>
      </c>
      <c r="AB434" s="37" t="n">
        <v>1</v>
      </c>
      <c r="AC434" s="36" t="n">
        <v>1</v>
      </c>
      <c r="AD434" s="37" t="n">
        <v>1</v>
      </c>
      <c r="AE434" s="36" t="n">
        <v>9</v>
      </c>
      <c r="AF434" s="37" t="n">
        <v>1</v>
      </c>
      <c r="AG434" s="36" t="n">
        <v>1</v>
      </c>
      <c r="AH434" s="37" t="n">
        <v>1</v>
      </c>
    </row>
    <row r="435">
      <c r="A435" s="53" t="n">
        <v>45821</v>
      </c>
      <c r="B435" t="inlineStr">
        <is>
          <t>R06_Jawa Timur</t>
        </is>
      </c>
      <c r="C435" t="inlineStr">
        <is>
          <t>NOP LAMONGAN</t>
        </is>
      </c>
      <c r="D435" s="38" t="n">
        <v>1.41</v>
      </c>
      <c r="E435" s="38" t="n">
        <v>0</v>
      </c>
      <c r="F435" s="36" t="n">
        <v>0</v>
      </c>
      <c r="G435" s="36" t="n">
        <v>0.374</v>
      </c>
      <c r="H435" s="36" t="n">
        <v>3</v>
      </c>
      <c r="I435" s="37" t="n">
        <v>0.5</v>
      </c>
      <c r="J435" s="36" t="n">
        <v>2</v>
      </c>
      <c r="K435" s="37" t="n">
        <v>1</v>
      </c>
      <c r="L435" s="36" t="n">
        <v>1</v>
      </c>
      <c r="M435" s="37" t="n">
        <v>0.25</v>
      </c>
      <c r="N435" s="36" t="n">
        <v>2</v>
      </c>
      <c r="O435" s="37" t="n">
        <v>1</v>
      </c>
      <c r="P435" s="36" t="n">
        <v>2</v>
      </c>
      <c r="Q435" s="37" t="n">
        <v>1</v>
      </c>
      <c r="R435" s="36" t="n">
        <v>6</v>
      </c>
      <c r="S435" s="37" t="n">
        <v>1</v>
      </c>
      <c r="T435" s="36" t="n">
        <v>2</v>
      </c>
      <c r="U435" s="37" t="n">
        <v>0.3333333333333333</v>
      </c>
      <c r="V435" s="38" t="n">
        <v>0</v>
      </c>
      <c r="W435" s="38" t="n">
        <v>0.25</v>
      </c>
      <c r="X435" s="38" t="n">
        <v>5.016</v>
      </c>
      <c r="Y435" s="38" t="n">
        <v>0</v>
      </c>
      <c r="Z435" s="38" t="n">
        <v>0</v>
      </c>
      <c r="AA435" s="36" t="n">
        <v>1</v>
      </c>
      <c r="AB435" s="37" t="n">
        <v>0.3333333333333333</v>
      </c>
      <c r="AC435" s="36" t="n">
        <v>0</v>
      </c>
      <c r="AD435" s="37" t="n">
        <v>0</v>
      </c>
      <c r="AE435" s="36" t="n">
        <v>1</v>
      </c>
      <c r="AF435" s="37" t="n">
        <v>0.5</v>
      </c>
      <c r="AG435" s="36" t="n">
        <v>0</v>
      </c>
      <c r="AH435" s="37" t="n">
        <v>0</v>
      </c>
    </row>
    <row r="436">
      <c r="A436" s="53" t="n">
        <v>45821</v>
      </c>
      <c r="B436" t="inlineStr">
        <is>
          <t>R06_Jawa Timur</t>
        </is>
      </c>
      <c r="C436" t="inlineStr">
        <is>
          <t>NOP MADIUN</t>
        </is>
      </c>
      <c r="D436" s="38" t="n">
        <v>0</v>
      </c>
      <c r="E436" s="38" t="n">
        <v>0</v>
      </c>
      <c r="F436" s="36" t="n">
        <v>0.62</v>
      </c>
      <c r="G436" s="36" t="n">
        <v>0</v>
      </c>
      <c r="H436" s="36" t="n">
        <v>0</v>
      </c>
      <c r="I436" s="37" t="n">
        <v>0</v>
      </c>
      <c r="J436" s="36" t="n">
        <v>0</v>
      </c>
      <c r="K436" s="37" t="n">
        <v>0</v>
      </c>
      <c r="L436" s="36" t="n">
        <v>0</v>
      </c>
      <c r="M436" s="37" t="n">
        <v>0</v>
      </c>
      <c r="N436" s="36" t="n">
        <v>0</v>
      </c>
      <c r="O436" s="37" t="n">
        <v>0</v>
      </c>
      <c r="P436" s="36" t="n">
        <v>0</v>
      </c>
      <c r="Q436" s="37" t="n">
        <v>0</v>
      </c>
      <c r="R436" s="36" t="n">
        <v>1</v>
      </c>
      <c r="S436" s="37" t="n">
        <v>1</v>
      </c>
      <c r="T436" s="36" t="n">
        <v>0</v>
      </c>
      <c r="U436" s="37" t="n">
        <v>0</v>
      </c>
      <c r="V436" s="38" t="n">
        <v>0</v>
      </c>
      <c r="W436" s="38" t="n">
        <v>0.984</v>
      </c>
      <c r="X436" s="38" t="n">
        <v>18.721</v>
      </c>
      <c r="Y436" s="38" t="n">
        <v>17.757</v>
      </c>
      <c r="Z436" s="38" t="n">
        <v>0</v>
      </c>
      <c r="AA436" s="36" t="n">
        <v>9</v>
      </c>
      <c r="AB436" s="37" t="n">
        <v>0.75</v>
      </c>
      <c r="AC436" s="36" t="n">
        <v>1</v>
      </c>
      <c r="AD436" s="37" t="n">
        <v>0.5</v>
      </c>
      <c r="AE436" s="36" t="n">
        <v>8</v>
      </c>
      <c r="AF436" s="37" t="n">
        <v>0.8</v>
      </c>
      <c r="AG436" s="36" t="n">
        <v>1</v>
      </c>
      <c r="AH436" s="37" t="n">
        <v>1</v>
      </c>
    </row>
    <row r="437">
      <c r="A437" s="53" t="n">
        <v>45821</v>
      </c>
      <c r="B437" t="inlineStr">
        <is>
          <t>R06_Jawa Timur</t>
        </is>
      </c>
      <c r="C437" t="inlineStr">
        <is>
          <t>NOP MALANG</t>
        </is>
      </c>
      <c r="D437" s="38" t="n">
        <v>0</v>
      </c>
      <c r="E437" s="38" t="n">
        <v>0</v>
      </c>
      <c r="F437" s="36" t="n">
        <v>0.668</v>
      </c>
      <c r="G437" s="36" t="n">
        <v>2.421</v>
      </c>
      <c r="H437" s="36" t="n">
        <v>7</v>
      </c>
      <c r="I437" s="37" t="n">
        <v>1</v>
      </c>
      <c r="J437" s="36" t="n">
        <v>0</v>
      </c>
      <c r="K437" s="37" t="n">
        <v>0</v>
      </c>
      <c r="L437" s="36" t="n">
        <v>7</v>
      </c>
      <c r="M437" s="37" t="n">
        <v>1</v>
      </c>
      <c r="N437" s="36" t="n">
        <v>0</v>
      </c>
      <c r="O437" s="37" t="n">
        <v>0</v>
      </c>
      <c r="P437" s="36" t="n">
        <v>0</v>
      </c>
      <c r="Q437" s="37" t="n">
        <v>0</v>
      </c>
      <c r="R437" s="36" t="n">
        <v>7</v>
      </c>
      <c r="S437" s="37" t="n">
        <v>1</v>
      </c>
      <c r="T437" s="36" t="n">
        <v>7</v>
      </c>
      <c r="U437" s="37" t="n">
        <v>1</v>
      </c>
      <c r="V437" s="38" t="n">
        <v>0</v>
      </c>
      <c r="W437" s="38" t="n">
        <v>0.5940000000000001</v>
      </c>
      <c r="X437" s="38" t="n">
        <v>9.524000000000001</v>
      </c>
      <c r="Y437" s="38" t="n">
        <v>10.394</v>
      </c>
      <c r="Z437" s="38" t="n">
        <v>0</v>
      </c>
      <c r="AA437" s="36" t="n">
        <v>8</v>
      </c>
      <c r="AB437" s="37" t="n">
        <v>0.6666666666666666</v>
      </c>
      <c r="AC437" s="36" t="n">
        <v>1</v>
      </c>
      <c r="AD437" s="37" t="n">
        <v>0.5</v>
      </c>
      <c r="AE437" s="36" t="n">
        <v>7</v>
      </c>
      <c r="AF437" s="37" t="n">
        <v>0.7</v>
      </c>
      <c r="AG437" s="36" t="n">
        <v>1</v>
      </c>
      <c r="AH437" s="37" t="n">
        <v>1</v>
      </c>
    </row>
    <row r="438">
      <c r="A438" s="53" t="n">
        <v>45821</v>
      </c>
      <c r="B438" t="inlineStr">
        <is>
          <t>R06_Jawa Timur</t>
        </is>
      </c>
      <c r="C438" t="inlineStr">
        <is>
          <t>NOP SIDOARJO</t>
        </is>
      </c>
      <c r="D438" s="38" t="n">
        <v>0</v>
      </c>
      <c r="E438" s="38" t="n">
        <v>0</v>
      </c>
      <c r="F438" s="36" t="n">
        <v>1.53</v>
      </c>
      <c r="G438" s="36" t="n">
        <v>0</v>
      </c>
      <c r="H438" s="36" t="n">
        <v>1</v>
      </c>
      <c r="I438" s="37" t="n">
        <v>1</v>
      </c>
      <c r="J438" s="36" t="n">
        <v>0</v>
      </c>
      <c r="K438" s="37" t="n">
        <v>0</v>
      </c>
      <c r="L438" s="36" t="n">
        <v>1</v>
      </c>
      <c r="M438" s="37" t="n">
        <v>1</v>
      </c>
      <c r="N438" s="36" t="n">
        <v>0</v>
      </c>
      <c r="O438" s="37" t="n">
        <v>0</v>
      </c>
      <c r="P438" s="36" t="n">
        <v>0</v>
      </c>
      <c r="Q438" s="37" t="n">
        <v>0</v>
      </c>
      <c r="R438" s="36" t="n">
        <v>1</v>
      </c>
      <c r="S438" s="37" t="n">
        <v>1</v>
      </c>
      <c r="T438" s="36" t="n">
        <v>1</v>
      </c>
      <c r="U438" s="37" t="n">
        <v>1</v>
      </c>
      <c r="V438" s="38" t="n">
        <v>0</v>
      </c>
      <c r="W438" s="38" t="n">
        <v>1.198</v>
      </c>
      <c r="X438" s="38" t="n">
        <v>1.672</v>
      </c>
      <c r="Y438" s="38" t="n">
        <v>0</v>
      </c>
      <c r="Z438" s="38" t="n">
        <v>0</v>
      </c>
      <c r="AA438" s="36" t="n">
        <v>5</v>
      </c>
      <c r="AB438" s="37" t="n">
        <v>0.8333333333333334</v>
      </c>
      <c r="AC438" s="36" t="n">
        <v>2</v>
      </c>
      <c r="AD438" s="37" t="n">
        <v>0.6666666666666666</v>
      </c>
      <c r="AE438" s="36" t="n">
        <v>3</v>
      </c>
      <c r="AF438" s="37" t="n">
        <v>1</v>
      </c>
      <c r="AG438" s="36" t="n">
        <v>1</v>
      </c>
      <c r="AH438" s="37" t="n">
        <v>0.5</v>
      </c>
    </row>
    <row r="439">
      <c r="A439" s="53" t="n">
        <v>45821</v>
      </c>
      <c r="B439" t="inlineStr">
        <is>
          <t>R06_Jawa Timur</t>
        </is>
      </c>
      <c r="C439" t="inlineStr">
        <is>
          <t>NOP SURABAYA</t>
        </is>
      </c>
      <c r="D439" s="38" t="n">
        <v>2.315</v>
      </c>
      <c r="E439" s="38" t="n">
        <v>1.58</v>
      </c>
      <c r="F439" s="36" t="n">
        <v>6.395</v>
      </c>
      <c r="G439" s="36" t="n">
        <v>2.14</v>
      </c>
      <c r="H439" s="36" t="n">
        <v>8</v>
      </c>
      <c r="I439" s="37" t="n">
        <v>0.5714285714285714</v>
      </c>
      <c r="J439" s="36" t="n">
        <v>4</v>
      </c>
      <c r="K439" s="37" t="n">
        <v>0.5714285714285714</v>
      </c>
      <c r="L439" s="36" t="n">
        <v>4</v>
      </c>
      <c r="M439" s="37" t="n">
        <v>0.5714285714285714</v>
      </c>
      <c r="N439" s="36" t="n">
        <v>4</v>
      </c>
      <c r="O439" s="37" t="n">
        <v>1</v>
      </c>
      <c r="P439" s="36" t="n">
        <v>4</v>
      </c>
      <c r="Q439" s="37" t="n">
        <v>1</v>
      </c>
      <c r="R439" s="36" t="n">
        <v>9</v>
      </c>
      <c r="S439" s="37" t="n">
        <v>0.6428571428571429</v>
      </c>
      <c r="T439" s="36" t="n">
        <v>7</v>
      </c>
      <c r="U439" s="37" t="n">
        <v>0.5</v>
      </c>
      <c r="V439" s="38" t="n">
        <v>0</v>
      </c>
      <c r="W439" s="38" t="n">
        <v>10.68299999999999</v>
      </c>
      <c r="X439" s="38" t="n">
        <v>3.182</v>
      </c>
      <c r="Y439" s="38" t="n">
        <v>0</v>
      </c>
      <c r="Z439" s="38" t="n">
        <v>0</v>
      </c>
      <c r="AA439" s="36" t="n">
        <v>15</v>
      </c>
      <c r="AB439" s="37" t="n">
        <v>0.4545454545454545</v>
      </c>
      <c r="AC439" s="36" t="n">
        <v>2</v>
      </c>
      <c r="AD439" s="37" t="n">
        <v>0.2</v>
      </c>
      <c r="AE439" s="36" t="n">
        <v>13</v>
      </c>
      <c r="AF439" s="37" t="n">
        <v>0.5652173913043478</v>
      </c>
      <c r="AG439" s="36" t="n">
        <v>0</v>
      </c>
      <c r="AH439" s="37" t="n">
        <v>0</v>
      </c>
    </row>
    <row r="440">
      <c r="A440" s="53" t="n">
        <v>45821</v>
      </c>
      <c r="B440" t="inlineStr">
        <is>
          <t>R07_Bali Nusra</t>
        </is>
      </c>
      <c r="C440" t="inlineStr">
        <is>
          <t>NOP DENPASAR</t>
        </is>
      </c>
      <c r="D440" s="38" t="n">
        <v>0.6759999999999999</v>
      </c>
      <c r="E440" s="38" t="n">
        <v>0</v>
      </c>
      <c r="F440" s="36" t="n">
        <v>0.53</v>
      </c>
      <c r="G440" s="36" t="n">
        <v>1.798</v>
      </c>
      <c r="H440" s="36" t="n">
        <v>16</v>
      </c>
      <c r="I440" s="37" t="n">
        <v>1</v>
      </c>
      <c r="J440" s="36" t="n">
        <v>2</v>
      </c>
      <c r="K440" s="37" t="n">
        <v>1</v>
      </c>
      <c r="L440" s="36" t="n">
        <v>14</v>
      </c>
      <c r="M440" s="37" t="n">
        <v>1</v>
      </c>
      <c r="N440" s="36" t="n">
        <v>2</v>
      </c>
      <c r="O440" s="37" t="n">
        <v>1</v>
      </c>
      <c r="P440" s="36" t="n">
        <v>2</v>
      </c>
      <c r="Q440" s="37" t="n">
        <v>1</v>
      </c>
      <c r="R440" s="36" t="n">
        <v>16</v>
      </c>
      <c r="S440" s="37" t="n">
        <v>1</v>
      </c>
      <c r="T440" s="36" t="n">
        <v>14</v>
      </c>
      <c r="U440" s="37" t="n">
        <v>0.875</v>
      </c>
      <c r="V440" s="38" t="n">
        <v>0</v>
      </c>
      <c r="W440" s="38" t="n">
        <v>15.942</v>
      </c>
      <c r="X440" s="38" t="n">
        <v>7.731</v>
      </c>
      <c r="Y440" s="38" t="n">
        <v>57.82600000000001</v>
      </c>
      <c r="Z440" s="38" t="n">
        <v>0</v>
      </c>
      <c r="AA440" s="36" t="n">
        <v>17</v>
      </c>
      <c r="AB440" s="37" t="n">
        <v>0.9444444444444444</v>
      </c>
      <c r="AC440" s="36" t="n">
        <v>7</v>
      </c>
      <c r="AD440" s="37" t="n">
        <v>1</v>
      </c>
      <c r="AE440" s="36" t="n">
        <v>10</v>
      </c>
      <c r="AF440" s="37" t="n">
        <v>0.9090909090909091</v>
      </c>
      <c r="AG440" s="36" t="n">
        <v>5</v>
      </c>
      <c r="AH440" s="37" t="n">
        <v>0.7142857142857143</v>
      </c>
    </row>
    <row r="441">
      <c r="A441" s="53" t="n">
        <v>45821</v>
      </c>
      <c r="B441" t="inlineStr">
        <is>
          <t>R07_Bali Nusra</t>
        </is>
      </c>
      <c r="C441" t="inlineStr">
        <is>
          <t>NOP FLORES</t>
        </is>
      </c>
      <c r="D441" s="38" t="n">
        <v>0</v>
      </c>
      <c r="E441" s="38" t="n">
        <v>9.610999999999999</v>
      </c>
      <c r="F441" s="36" t="n">
        <v>13.402</v>
      </c>
      <c r="G441" s="36" t="n">
        <v>14.76</v>
      </c>
      <c r="H441" s="36" t="n">
        <v>14</v>
      </c>
      <c r="I441" s="37" t="n">
        <v>0.2641509433962264</v>
      </c>
      <c r="J441" s="36" t="n">
        <v>4</v>
      </c>
      <c r="K441" s="37" t="n">
        <v>0.4</v>
      </c>
      <c r="L441" s="36" t="n">
        <v>10</v>
      </c>
      <c r="M441" s="37" t="n">
        <v>0.2325581395348837</v>
      </c>
      <c r="N441" s="36" t="n">
        <v>4</v>
      </c>
      <c r="O441" s="37" t="n">
        <v>1</v>
      </c>
      <c r="P441" s="36" t="n">
        <v>4</v>
      </c>
      <c r="Q441" s="37" t="n">
        <v>1</v>
      </c>
      <c r="R441" s="36" t="n">
        <v>53</v>
      </c>
      <c r="S441" s="37" t="n">
        <v>1</v>
      </c>
      <c r="T441" s="36" t="n">
        <v>13</v>
      </c>
      <c r="U441" s="37" t="n">
        <v>0.2452830188679245</v>
      </c>
      <c r="V441" s="38" t="n">
        <v>0</v>
      </c>
      <c r="W441" s="38" t="n">
        <v>14.204</v>
      </c>
      <c r="X441" s="38" t="n">
        <v>19.655</v>
      </c>
      <c r="Y441" s="38" t="n">
        <v>0</v>
      </c>
      <c r="Z441" s="38" t="n">
        <v>0</v>
      </c>
      <c r="AA441" s="36" t="n">
        <v>45</v>
      </c>
      <c r="AB441" s="37" t="n">
        <v>0.5232558139534884</v>
      </c>
      <c r="AC441" s="36" t="n">
        <v>37</v>
      </c>
      <c r="AD441" s="37" t="n">
        <v>0.5362318840579711</v>
      </c>
      <c r="AE441" s="36" t="n">
        <v>8</v>
      </c>
      <c r="AF441" s="37" t="n">
        <v>0.4705882352941176</v>
      </c>
      <c r="AG441" s="36" t="n">
        <v>34</v>
      </c>
      <c r="AH441" s="37" t="n">
        <v>0.918918918918919</v>
      </c>
    </row>
    <row r="442">
      <c r="A442" s="53" t="n">
        <v>45821</v>
      </c>
      <c r="B442" t="inlineStr">
        <is>
          <t>R07_Bali Nusra</t>
        </is>
      </c>
      <c r="C442" t="inlineStr">
        <is>
          <t>NOP KUPANG</t>
        </is>
      </c>
      <c r="D442" s="38" t="n">
        <v>0</v>
      </c>
      <c r="E442" s="38" t="n">
        <v>2.592</v>
      </c>
      <c r="F442" s="36" t="n">
        <v>3.349000000000002</v>
      </c>
      <c r="G442" s="36" t="n">
        <v>8.01</v>
      </c>
      <c r="H442" s="36" t="n">
        <v>18</v>
      </c>
      <c r="I442" s="37" t="n">
        <v>0.3157894736842105</v>
      </c>
      <c r="J442" s="36" t="n">
        <v>8</v>
      </c>
      <c r="K442" s="37" t="n">
        <v>0.8</v>
      </c>
      <c r="L442" s="36" t="n">
        <v>10</v>
      </c>
      <c r="M442" s="37" t="n">
        <v>0.2127659574468085</v>
      </c>
      <c r="N442" s="36" t="n">
        <v>6</v>
      </c>
      <c r="O442" s="37" t="n">
        <v>0.75</v>
      </c>
      <c r="P442" s="36" t="n">
        <v>6</v>
      </c>
      <c r="Q442" s="37" t="n">
        <v>0.75</v>
      </c>
      <c r="R442" s="36" t="n">
        <v>57</v>
      </c>
      <c r="S442" s="37" t="n">
        <v>1</v>
      </c>
      <c r="T442" s="36" t="n">
        <v>16</v>
      </c>
      <c r="U442" s="37" t="n">
        <v>0.2807017543859649</v>
      </c>
      <c r="V442" s="38" t="n">
        <v>0</v>
      </c>
      <c r="W442" s="38" t="n">
        <v>14.03000000000001</v>
      </c>
      <c r="X442" s="38" t="n">
        <v>18.916</v>
      </c>
      <c r="Y442" s="38" t="n">
        <v>49.99700000000001</v>
      </c>
      <c r="Z442" s="38" t="n">
        <v>0</v>
      </c>
      <c r="AA442" s="36" t="n">
        <v>56</v>
      </c>
      <c r="AB442" s="37" t="n">
        <v>0.5600000000000001</v>
      </c>
      <c r="AC442" s="36" t="n">
        <v>36</v>
      </c>
      <c r="AD442" s="37" t="n">
        <v>0.6206896551724138</v>
      </c>
      <c r="AE442" s="36" t="n">
        <v>20</v>
      </c>
      <c r="AF442" s="37" t="n">
        <v>0.4761904761904762</v>
      </c>
      <c r="AG442" s="36" t="n">
        <v>33</v>
      </c>
      <c r="AH442" s="37" t="n">
        <v>0.9166666666666666</v>
      </c>
    </row>
    <row r="443">
      <c r="A443" s="53" t="n">
        <v>45821</v>
      </c>
      <c r="B443" t="inlineStr">
        <is>
          <t>R07_Bali Nusra</t>
        </is>
      </c>
      <c r="C443" t="inlineStr">
        <is>
          <t>NOP MATARAM</t>
        </is>
      </c>
      <c r="D443" s="38" t="n">
        <v>0</v>
      </c>
      <c r="E443" s="38" t="n">
        <v>2.04</v>
      </c>
      <c r="F443" s="36" t="n">
        <v>2.032</v>
      </c>
      <c r="G443" s="36" t="n">
        <v>9.988999999999994</v>
      </c>
      <c r="H443" s="36" t="n">
        <v>24</v>
      </c>
      <c r="I443" s="37" t="n">
        <v>0.6666666666666666</v>
      </c>
      <c r="J443" s="36" t="n">
        <v>0</v>
      </c>
      <c r="K443" s="37" t="n">
        <v>0</v>
      </c>
      <c r="L443" s="36" t="n">
        <v>24</v>
      </c>
      <c r="M443" s="37" t="n">
        <v>0.6857142857142857</v>
      </c>
      <c r="N443" s="36" t="n">
        <v>0</v>
      </c>
      <c r="O443" s="37" t="n">
        <v>0</v>
      </c>
      <c r="P443" s="36" t="n">
        <v>0</v>
      </c>
      <c r="Q443" s="37" t="n">
        <v>0</v>
      </c>
      <c r="R443" s="36" t="n">
        <v>36</v>
      </c>
      <c r="S443" s="37" t="n">
        <v>1</v>
      </c>
      <c r="T443" s="36" t="n">
        <v>18</v>
      </c>
      <c r="U443" s="37" t="n">
        <v>0.5</v>
      </c>
      <c r="V443" s="38" t="n">
        <v>0</v>
      </c>
      <c r="W443" s="38" t="n">
        <v>10.35</v>
      </c>
      <c r="X443" s="38" t="n">
        <v>12.76600000000001</v>
      </c>
      <c r="Y443" s="38" t="n">
        <v>0.5</v>
      </c>
      <c r="Z443" s="38" t="n">
        <v>0</v>
      </c>
      <c r="AA443" s="36" t="n">
        <v>17</v>
      </c>
      <c r="AB443" s="37" t="n">
        <v>0.4722222222222222</v>
      </c>
      <c r="AC443" s="36" t="n">
        <v>12</v>
      </c>
      <c r="AD443" s="37" t="n">
        <v>0.4615384615384616</v>
      </c>
      <c r="AE443" s="36" t="n">
        <v>5</v>
      </c>
      <c r="AF443" s="37" t="n">
        <v>0.5</v>
      </c>
      <c r="AG443" s="36" t="n">
        <v>6</v>
      </c>
      <c r="AH443" s="37" t="n">
        <v>0.5</v>
      </c>
    </row>
    <row r="444">
      <c r="A444" s="53" t="n">
        <v>45822</v>
      </c>
      <c r="B444" t="inlineStr">
        <is>
          <t>R01_Sumbagut</t>
        </is>
      </c>
      <c r="C444" t="inlineStr">
        <is>
          <t>NOP ACEH</t>
        </is>
      </c>
      <c r="D444" s="38" t="n">
        <v>0</v>
      </c>
      <c r="E444" s="38" t="n">
        <v>2.665</v>
      </c>
      <c r="F444" s="36" t="n">
        <v>4.123</v>
      </c>
      <c r="G444" s="36" t="n">
        <v>4.087999999999997</v>
      </c>
      <c r="H444" s="36" t="n">
        <v>59</v>
      </c>
      <c r="I444" s="37" t="n">
        <v>0.8309859154929577</v>
      </c>
      <c r="J444" s="36" t="n">
        <v>14</v>
      </c>
      <c r="K444" s="37" t="n">
        <v>1</v>
      </c>
      <c r="L444" s="36" t="n">
        <v>45</v>
      </c>
      <c r="M444" s="37" t="n">
        <v>0.7894736842105263</v>
      </c>
      <c r="N444" s="36" t="n">
        <v>5</v>
      </c>
      <c r="O444" s="37" t="n">
        <v>0.3571428571428572</v>
      </c>
      <c r="P444" s="36" t="n">
        <v>5</v>
      </c>
      <c r="Q444" s="37" t="n">
        <v>0.3571428571428572</v>
      </c>
      <c r="R444" s="36" t="n">
        <v>69</v>
      </c>
      <c r="S444" s="37" t="n">
        <v>0.971830985915493</v>
      </c>
      <c r="T444" s="36" t="n">
        <v>18</v>
      </c>
      <c r="U444" s="37" t="n">
        <v>0.2535211267605634</v>
      </c>
      <c r="V444" s="38" t="n">
        <v>0.03</v>
      </c>
      <c r="W444" s="38" t="n">
        <v>1.37</v>
      </c>
      <c r="X444" s="38" t="n">
        <v>27.5</v>
      </c>
      <c r="Y444" s="38" t="n">
        <v>21.068</v>
      </c>
      <c r="Z444" s="38" t="n">
        <v>0</v>
      </c>
      <c r="AA444" s="36" t="n">
        <v>147</v>
      </c>
      <c r="AB444" s="37" t="n">
        <v>0.84</v>
      </c>
      <c r="AC444" s="36" t="n">
        <v>19</v>
      </c>
      <c r="AD444" s="37" t="n">
        <v>0.6551724137931034</v>
      </c>
      <c r="AE444" s="36" t="n">
        <v>126</v>
      </c>
      <c r="AF444" s="37" t="n">
        <v>0.875</v>
      </c>
      <c r="AG444" s="36" t="n">
        <v>4</v>
      </c>
      <c r="AH444" s="37" t="n">
        <v>0.2105263157894737</v>
      </c>
    </row>
    <row r="445">
      <c r="A445" s="53" t="n">
        <v>45822</v>
      </c>
      <c r="B445" t="inlineStr">
        <is>
          <t>R01_Sumbagut</t>
        </is>
      </c>
      <c r="C445" t="inlineStr">
        <is>
          <t>NOP BINJAI</t>
        </is>
      </c>
      <c r="D445" s="38" t="n">
        <v>0.41</v>
      </c>
      <c r="E445" s="38" t="n">
        <v>0.9399999999999999</v>
      </c>
      <c r="F445" s="36" t="n">
        <v>1.105</v>
      </c>
      <c r="G445" s="36" t="n">
        <v>2.275</v>
      </c>
      <c r="H445" s="36" t="n">
        <v>16</v>
      </c>
      <c r="I445" s="37" t="n">
        <v>0.7272727272727273</v>
      </c>
      <c r="J445" s="36" t="n">
        <v>3</v>
      </c>
      <c r="K445" s="37" t="n">
        <v>0.75</v>
      </c>
      <c r="L445" s="36" t="n">
        <v>13</v>
      </c>
      <c r="M445" s="37" t="n">
        <v>0.7222222222222222</v>
      </c>
      <c r="N445" s="36" t="n">
        <v>1</v>
      </c>
      <c r="O445" s="37" t="n">
        <v>0.3333333333333333</v>
      </c>
      <c r="P445" s="36" t="n">
        <v>1</v>
      </c>
      <c r="Q445" s="37" t="n">
        <v>0.3333333333333333</v>
      </c>
      <c r="R445" s="36" t="n">
        <v>19</v>
      </c>
      <c r="S445" s="37" t="n">
        <v>0.8636363636363636</v>
      </c>
      <c r="T445" s="36" t="n">
        <v>8</v>
      </c>
      <c r="U445" s="37" t="n">
        <v>0.3636363636363636</v>
      </c>
      <c r="V445" s="38" t="n">
        <v>0</v>
      </c>
      <c r="W445" s="38" t="n">
        <v>1.72</v>
      </c>
      <c r="X445" s="38" t="n">
        <v>18.06</v>
      </c>
      <c r="Y445" s="38" t="n">
        <v>25.22</v>
      </c>
      <c r="Z445" s="38" t="n">
        <v>0</v>
      </c>
      <c r="AA445" s="36" t="n">
        <v>58</v>
      </c>
      <c r="AB445" s="37" t="n">
        <v>0.6373626373626373</v>
      </c>
      <c r="AC445" s="36" t="n">
        <v>22</v>
      </c>
      <c r="AD445" s="37" t="n">
        <v>0.5365853658536586</v>
      </c>
      <c r="AE445" s="36" t="n">
        <v>35</v>
      </c>
      <c r="AF445" s="37" t="n">
        <v>0.7608695652173914</v>
      </c>
      <c r="AG445" s="36" t="n">
        <v>8</v>
      </c>
      <c r="AH445" s="37" t="n">
        <v>0.3636363636363636</v>
      </c>
    </row>
    <row r="446">
      <c r="A446" s="53" t="n">
        <v>45822</v>
      </c>
      <c r="B446" t="inlineStr">
        <is>
          <t>R01_Sumbagut</t>
        </is>
      </c>
      <c r="C446" t="inlineStr">
        <is>
          <t>NOP MEDAN</t>
        </is>
      </c>
      <c r="D446" s="38" t="n">
        <v>0.77</v>
      </c>
      <c r="E446" s="38" t="n">
        <v>1.86</v>
      </c>
      <c r="F446" s="36" t="n">
        <v>1.424</v>
      </c>
      <c r="G446" s="36" t="n">
        <v>2.346999999999998</v>
      </c>
      <c r="H446" s="36" t="n">
        <v>7</v>
      </c>
      <c r="I446" s="37" t="n">
        <v>0.3043478260869565</v>
      </c>
      <c r="J446" s="36" t="n">
        <v>5</v>
      </c>
      <c r="K446" s="37" t="n">
        <v>0.5</v>
      </c>
      <c r="L446" s="36" t="n">
        <v>2</v>
      </c>
      <c r="M446" s="37" t="n">
        <v>0.1538461538461539</v>
      </c>
      <c r="N446" s="36" t="n">
        <v>5</v>
      </c>
      <c r="O446" s="37" t="n">
        <v>1</v>
      </c>
      <c r="P446" s="36" t="n">
        <v>5</v>
      </c>
      <c r="Q446" s="37" t="n">
        <v>1</v>
      </c>
      <c r="R446" s="36" t="n">
        <v>22</v>
      </c>
      <c r="S446" s="37" t="n">
        <v>0.9565217391304348</v>
      </c>
      <c r="T446" s="36" t="n">
        <v>6</v>
      </c>
      <c r="U446" s="37" t="n">
        <v>0.2608695652173913</v>
      </c>
      <c r="V446" s="38" t="n">
        <v>0</v>
      </c>
      <c r="W446" s="38" t="n">
        <v>1.040999999999999</v>
      </c>
      <c r="X446" s="38" t="n">
        <v>2.67</v>
      </c>
      <c r="Y446" s="38" t="n">
        <v>0.1520000000000001</v>
      </c>
      <c r="Z446" s="38" t="n">
        <v>0</v>
      </c>
      <c r="AA446" s="36" t="n">
        <v>11</v>
      </c>
      <c r="AB446" s="37" t="n">
        <v>0.2682926829268293</v>
      </c>
      <c r="AC446" s="36" t="n">
        <v>0</v>
      </c>
      <c r="AD446" s="37" t="n">
        <v>0</v>
      </c>
      <c r="AE446" s="36" t="n">
        <v>11</v>
      </c>
      <c r="AF446" s="37" t="n">
        <v>0.4074074074074074</v>
      </c>
      <c r="AG446" s="36" t="n">
        <v>0</v>
      </c>
      <c r="AH446" s="37" t="n">
        <v>0</v>
      </c>
    </row>
    <row r="447">
      <c r="A447" s="53" t="n">
        <v>45822</v>
      </c>
      <c r="B447" t="inlineStr">
        <is>
          <t>R01_Sumbagut</t>
        </is>
      </c>
      <c r="C447" t="inlineStr">
        <is>
          <t>NOP PADANG SIDEMPUAN</t>
        </is>
      </c>
      <c r="D447" s="38" t="n">
        <v>0</v>
      </c>
      <c r="E447" s="38" t="n">
        <v>2.287</v>
      </c>
      <c r="F447" s="36" t="n">
        <v>4.378</v>
      </c>
      <c r="G447" s="36" t="n">
        <v>5.534000000000001</v>
      </c>
      <c r="H447" s="36" t="n">
        <v>51</v>
      </c>
      <c r="I447" s="37" t="n">
        <v>0.5368421052631579</v>
      </c>
      <c r="J447" s="36" t="n">
        <v>3</v>
      </c>
      <c r="K447" s="37" t="n">
        <v>0.75</v>
      </c>
      <c r="L447" s="36" t="n">
        <v>48</v>
      </c>
      <c r="M447" s="37" t="n">
        <v>0.5274725274725275</v>
      </c>
      <c r="N447" s="36" t="n">
        <v>2</v>
      </c>
      <c r="O447" s="37" t="n">
        <v>0.6666666666666666</v>
      </c>
      <c r="P447" s="36" t="n">
        <v>2</v>
      </c>
      <c r="Q447" s="37" t="n">
        <v>0.6666666666666666</v>
      </c>
      <c r="R447" s="36" t="n">
        <v>95</v>
      </c>
      <c r="S447" s="37" t="n">
        <v>1</v>
      </c>
      <c r="T447" s="36" t="n">
        <v>17</v>
      </c>
      <c r="U447" s="37" t="n">
        <v>0.1789473684210526</v>
      </c>
      <c r="V447" s="38" t="n">
        <v>0</v>
      </c>
      <c r="W447" s="38" t="n">
        <v>3.63</v>
      </c>
      <c r="X447" s="38" t="n">
        <v>11.628</v>
      </c>
      <c r="Y447" s="38" t="n">
        <v>13.5</v>
      </c>
      <c r="Z447" s="38" t="n">
        <v>0</v>
      </c>
      <c r="AA447" s="36" t="n">
        <v>125</v>
      </c>
      <c r="AB447" s="37" t="n">
        <v>0.7530120481927711</v>
      </c>
      <c r="AC447" s="36" t="n">
        <v>59</v>
      </c>
      <c r="AD447" s="37" t="n">
        <v>0.7763157894736842</v>
      </c>
      <c r="AE447" s="36" t="n">
        <v>66</v>
      </c>
      <c r="AF447" s="37" t="n">
        <v>0.75</v>
      </c>
      <c r="AG447" s="36" t="n">
        <v>32</v>
      </c>
      <c r="AH447" s="37" t="n">
        <v>0.5423728813559322</v>
      </c>
    </row>
    <row r="448">
      <c r="A448" s="53" t="n">
        <v>45822</v>
      </c>
      <c r="B448" t="inlineStr">
        <is>
          <t>R01_Sumbagut</t>
        </is>
      </c>
      <c r="C448" t="inlineStr">
        <is>
          <t>NOP PEMATANG SIANTAR</t>
        </is>
      </c>
      <c r="D448" s="38" t="n">
        <v>1.076</v>
      </c>
      <c r="E448" s="38" t="n">
        <v>6.92399999999998</v>
      </c>
      <c r="F448" s="36" t="n">
        <v>4.28</v>
      </c>
      <c r="G448" s="36" t="n">
        <v>4.09</v>
      </c>
      <c r="H448" s="36" t="n">
        <v>54</v>
      </c>
      <c r="I448" s="37" t="n">
        <v>0.675</v>
      </c>
      <c r="J448" s="36" t="n">
        <v>15</v>
      </c>
      <c r="K448" s="37" t="n">
        <v>0.8333333333333334</v>
      </c>
      <c r="L448" s="36" t="n">
        <v>39</v>
      </c>
      <c r="M448" s="37" t="n">
        <v>0.6290322580645161</v>
      </c>
      <c r="N448" s="36" t="n">
        <v>7</v>
      </c>
      <c r="O448" s="37" t="n">
        <v>0.4666666666666667</v>
      </c>
      <c r="P448" s="36" t="n">
        <v>7</v>
      </c>
      <c r="Q448" s="37" t="n">
        <v>0.4666666666666667</v>
      </c>
      <c r="R448" s="36" t="n">
        <v>80</v>
      </c>
      <c r="S448" s="37" t="n">
        <v>1</v>
      </c>
      <c r="T448" s="36" t="n">
        <v>42</v>
      </c>
      <c r="U448" s="37" t="n">
        <v>0.525</v>
      </c>
      <c r="V448" s="38" t="n">
        <v>0</v>
      </c>
      <c r="W448" s="38" t="n">
        <v>2.784</v>
      </c>
      <c r="X448" s="38" t="n">
        <v>18.54</v>
      </c>
      <c r="Y448" s="38" t="n">
        <v>35.24399999999999</v>
      </c>
      <c r="Z448" s="38" t="n">
        <v>0</v>
      </c>
      <c r="AA448" s="36" t="n">
        <v>61</v>
      </c>
      <c r="AB448" s="37" t="n">
        <v>0.6630434782608695</v>
      </c>
      <c r="AC448" s="36" t="n">
        <v>23</v>
      </c>
      <c r="AD448" s="37" t="n">
        <v>0.8214285714285714</v>
      </c>
      <c r="AE448" s="36" t="n">
        <v>35</v>
      </c>
      <c r="AF448" s="37" t="n">
        <v>0.625</v>
      </c>
      <c r="AG448" s="36" t="n">
        <v>13</v>
      </c>
      <c r="AH448" s="37" t="n">
        <v>0.5652173913043478</v>
      </c>
    </row>
    <row r="449">
      <c r="A449" s="53" t="n">
        <v>45822</v>
      </c>
      <c r="B449" t="inlineStr">
        <is>
          <t>R01_Sumbagut</t>
        </is>
      </c>
      <c r="C449" t="inlineStr">
        <is>
          <t>NOP RANTAU PRAPAT</t>
        </is>
      </c>
      <c r="D449" s="38" t="n">
        <v>3.982000000000001</v>
      </c>
      <c r="E449" s="38" t="n">
        <v>6.435000000000004</v>
      </c>
      <c r="F449" s="36" t="n">
        <v>3.879</v>
      </c>
      <c r="G449" s="36" t="n">
        <v>12.17800000000001</v>
      </c>
      <c r="H449" s="36" t="n">
        <v>75</v>
      </c>
      <c r="I449" s="37" t="n">
        <v>0.4464285714285715</v>
      </c>
      <c r="J449" s="36" t="n">
        <v>14</v>
      </c>
      <c r="K449" s="37" t="n">
        <v>0.5600000000000001</v>
      </c>
      <c r="L449" s="36" t="n">
        <v>61</v>
      </c>
      <c r="M449" s="37" t="n">
        <v>0.4265734265734266</v>
      </c>
      <c r="N449" s="36" t="n">
        <v>8</v>
      </c>
      <c r="O449" s="37" t="n">
        <v>0.5714285714285714</v>
      </c>
      <c r="P449" s="36" t="n">
        <v>8</v>
      </c>
      <c r="Q449" s="37" t="n">
        <v>0.5714285714285714</v>
      </c>
      <c r="R449" s="36" t="n">
        <v>161</v>
      </c>
      <c r="S449" s="37" t="n">
        <v>0.9583333333333334</v>
      </c>
      <c r="T449" s="36" t="n">
        <v>33</v>
      </c>
      <c r="U449" s="37" t="n">
        <v>0.1964285714285714</v>
      </c>
      <c r="V449" s="38" t="n">
        <v>0.03</v>
      </c>
      <c r="W449" s="38" t="n">
        <v>4.58</v>
      </c>
      <c r="X449" s="38" t="n">
        <v>18.822</v>
      </c>
      <c r="Y449" s="38" t="n">
        <v>26.45</v>
      </c>
      <c r="Z449" s="38" t="n">
        <v>0</v>
      </c>
      <c r="AA449" s="36" t="n">
        <v>35</v>
      </c>
      <c r="AB449" s="37" t="n">
        <v>0.1715686274509804</v>
      </c>
      <c r="AC449" s="36" t="n">
        <v>8</v>
      </c>
      <c r="AD449" s="37" t="n">
        <v>0.25</v>
      </c>
      <c r="AE449" s="36" t="n">
        <v>22</v>
      </c>
      <c r="AF449" s="37" t="n">
        <v>0.1333333333333333</v>
      </c>
      <c r="AG449" s="36" t="n">
        <v>6</v>
      </c>
      <c r="AH449" s="37" t="n">
        <v>0.75</v>
      </c>
    </row>
    <row r="450">
      <c r="A450" s="53" t="n">
        <v>45822</v>
      </c>
      <c r="B450" t="inlineStr">
        <is>
          <t>R10_Sumbagteng</t>
        </is>
      </c>
      <c r="C450" t="inlineStr">
        <is>
          <t>NOP BATAM</t>
        </is>
      </c>
      <c r="D450" s="38" t="n">
        <v>0</v>
      </c>
      <c r="E450" s="38" t="n">
        <v>12.87</v>
      </c>
      <c r="F450" s="36" t="n">
        <v>6.08</v>
      </c>
      <c r="G450" s="36" t="n">
        <v>14.57</v>
      </c>
      <c r="H450" s="36" t="n">
        <v>58</v>
      </c>
      <c r="I450" s="37" t="n">
        <v>0.5321100917431193</v>
      </c>
      <c r="J450" s="36" t="n">
        <v>6</v>
      </c>
      <c r="K450" s="37" t="n">
        <v>0.5454545454545454</v>
      </c>
      <c r="L450" s="36" t="n">
        <v>52</v>
      </c>
      <c r="M450" s="37" t="n">
        <v>0.5306122448979592</v>
      </c>
      <c r="N450" s="36" t="n">
        <v>6</v>
      </c>
      <c r="O450" s="37" t="n">
        <v>1</v>
      </c>
      <c r="P450" s="36" t="n">
        <v>6</v>
      </c>
      <c r="Q450" s="37" t="n">
        <v>1</v>
      </c>
      <c r="R450" s="36" t="n">
        <v>108</v>
      </c>
      <c r="S450" s="37" t="n">
        <v>0.9908256880733946</v>
      </c>
      <c r="T450" s="36" t="n">
        <v>35</v>
      </c>
      <c r="U450" s="37" t="n">
        <v>0.3211009174311927</v>
      </c>
      <c r="V450" s="38" t="n">
        <v>0</v>
      </c>
      <c r="W450" s="38" t="n">
        <v>5.789999999999999</v>
      </c>
      <c r="X450" s="38" t="n">
        <v>24.54000000000002</v>
      </c>
      <c r="Y450" s="38" t="n">
        <v>25.08100000000003</v>
      </c>
      <c r="Z450" s="38" t="n">
        <v>0</v>
      </c>
      <c r="AA450" s="36" t="n">
        <v>97</v>
      </c>
      <c r="AB450" s="37" t="n">
        <v>0.3579335793357933</v>
      </c>
      <c r="AC450" s="36" t="n">
        <v>47</v>
      </c>
      <c r="AD450" s="37" t="n">
        <v>0.4433962264150944</v>
      </c>
      <c r="AE450" s="36" t="n">
        <v>48</v>
      </c>
      <c r="AF450" s="37" t="n">
        <v>0.2962962962962963</v>
      </c>
      <c r="AG450" s="36" t="n">
        <v>45</v>
      </c>
      <c r="AH450" s="37" t="n">
        <v>0.9574468085106383</v>
      </c>
    </row>
    <row r="451">
      <c r="A451" s="53" t="n">
        <v>45822</v>
      </c>
      <c r="B451" t="inlineStr">
        <is>
          <t>R10_Sumbagteng</t>
        </is>
      </c>
      <c r="C451" t="inlineStr">
        <is>
          <t>NOP BUKITTINGGI</t>
        </is>
      </c>
      <c r="D451" s="38" t="n">
        <v>1.528</v>
      </c>
      <c r="E451" s="38" t="n">
        <v>3.26</v>
      </c>
      <c r="F451" s="36" t="n">
        <v>2.724000000000001</v>
      </c>
      <c r="G451" s="36" t="n">
        <v>1.48</v>
      </c>
      <c r="H451" s="36" t="n">
        <v>28</v>
      </c>
      <c r="I451" s="37" t="n">
        <v>0.7</v>
      </c>
      <c r="J451" s="36" t="n">
        <v>8</v>
      </c>
      <c r="K451" s="37" t="n">
        <v>0.8888888888888888</v>
      </c>
      <c r="L451" s="36" t="n">
        <v>20</v>
      </c>
      <c r="M451" s="37" t="n">
        <v>0.6451612903225806</v>
      </c>
      <c r="N451" s="36" t="n">
        <v>6</v>
      </c>
      <c r="O451" s="37" t="n">
        <v>0.75</v>
      </c>
      <c r="P451" s="36" t="n">
        <v>6</v>
      </c>
      <c r="Q451" s="37" t="n">
        <v>0.75</v>
      </c>
      <c r="R451" s="36" t="n">
        <v>37</v>
      </c>
      <c r="S451" s="37" t="n">
        <v>0.925</v>
      </c>
      <c r="T451" s="36" t="n">
        <v>17</v>
      </c>
      <c r="U451" s="37" t="n">
        <v>0.425</v>
      </c>
      <c r="V451" s="38" t="n">
        <v>0</v>
      </c>
      <c r="W451" s="38" t="n">
        <v>2.241999999999999</v>
      </c>
      <c r="X451" s="38" t="n">
        <v>27.054</v>
      </c>
      <c r="Y451" s="38" t="n">
        <v>19.40200000000002</v>
      </c>
      <c r="Z451" s="38" t="n">
        <v>0</v>
      </c>
      <c r="AA451" s="36" t="n">
        <v>49</v>
      </c>
      <c r="AB451" s="37" t="n">
        <v>0.4336283185840708</v>
      </c>
      <c r="AC451" s="36" t="n">
        <v>18</v>
      </c>
      <c r="AD451" s="37" t="n">
        <v>0.9473684210526315</v>
      </c>
      <c r="AE451" s="36" t="n">
        <v>30</v>
      </c>
      <c r="AF451" s="37" t="n">
        <v>0.3296703296703297</v>
      </c>
      <c r="AG451" s="36" t="n">
        <v>12</v>
      </c>
      <c r="AH451" s="37" t="n">
        <v>0.6666666666666666</v>
      </c>
    </row>
    <row r="452">
      <c r="A452" s="53" t="n">
        <v>45822</v>
      </c>
      <c r="B452" t="inlineStr">
        <is>
          <t>R10_Sumbagteng</t>
        </is>
      </c>
      <c r="C452" t="inlineStr">
        <is>
          <t>NOP DUMAI</t>
        </is>
      </c>
      <c r="D452" s="38" t="n">
        <v>2.674</v>
      </c>
      <c r="E452" s="38" t="n">
        <v>3.604000000000001</v>
      </c>
      <c r="F452" s="36" t="n">
        <v>4.05</v>
      </c>
      <c r="G452" s="36" t="n">
        <v>3.724</v>
      </c>
      <c r="H452" s="36" t="n">
        <v>104</v>
      </c>
      <c r="I452" s="37" t="n">
        <v>0.5875706214689266</v>
      </c>
      <c r="J452" s="36" t="n">
        <v>40</v>
      </c>
      <c r="K452" s="37" t="n">
        <v>0.7017543859649122</v>
      </c>
      <c r="L452" s="36" t="n">
        <v>64</v>
      </c>
      <c r="M452" s="37" t="n">
        <v>0.5333333333333333</v>
      </c>
      <c r="N452" s="36" t="n">
        <v>25</v>
      </c>
      <c r="O452" s="37" t="n">
        <v>0.625</v>
      </c>
      <c r="P452" s="36" t="n">
        <v>25</v>
      </c>
      <c r="Q452" s="37" t="n">
        <v>0.625</v>
      </c>
      <c r="R452" s="36" t="n">
        <v>165</v>
      </c>
      <c r="S452" s="37" t="n">
        <v>0.9322033898305084</v>
      </c>
      <c r="T452" s="36" t="n">
        <v>41</v>
      </c>
      <c r="U452" s="37" t="n">
        <v>0.231638418079096</v>
      </c>
      <c r="V452" s="38" t="n">
        <v>0.01</v>
      </c>
      <c r="W452" s="38" t="n">
        <v>4.786</v>
      </c>
      <c r="X452" s="38" t="n">
        <v>35.032</v>
      </c>
      <c r="Y452" s="38" t="n">
        <v>32.31100000000001</v>
      </c>
      <c r="Z452" s="38" t="n">
        <v>0</v>
      </c>
      <c r="AA452" s="36" t="n">
        <v>88</v>
      </c>
      <c r="AB452" s="37" t="n">
        <v>0.2904290429042904</v>
      </c>
      <c r="AC452" s="36" t="n">
        <v>39</v>
      </c>
      <c r="AD452" s="37" t="n">
        <v>0.4020618556701031</v>
      </c>
      <c r="AE452" s="36" t="n">
        <v>48</v>
      </c>
      <c r="AF452" s="37" t="n">
        <v>0.2341463414634146</v>
      </c>
      <c r="AG452" s="36" t="n">
        <v>31</v>
      </c>
      <c r="AH452" s="37" t="n">
        <v>0.7948717948717948</v>
      </c>
    </row>
    <row r="453">
      <c r="A453" s="53" t="n">
        <v>45822</v>
      </c>
      <c r="B453" t="inlineStr">
        <is>
          <t>R10_Sumbagteng</t>
        </is>
      </c>
      <c r="C453" t="inlineStr">
        <is>
          <t>NOP PADANG</t>
        </is>
      </c>
      <c r="D453" s="38" t="n">
        <v>0</v>
      </c>
      <c r="E453" s="38" t="n">
        <v>5.704000000000001</v>
      </c>
      <c r="F453" s="36" t="n">
        <v>2.152000000000001</v>
      </c>
      <c r="G453" s="36" t="n">
        <v>7.330000000000004</v>
      </c>
      <c r="H453" s="36" t="n">
        <v>19</v>
      </c>
      <c r="I453" s="37" t="n">
        <v>0.4634146341463415</v>
      </c>
      <c r="J453" s="36" t="n">
        <v>3</v>
      </c>
      <c r="K453" s="37" t="n">
        <v>0.6</v>
      </c>
      <c r="L453" s="36" t="n">
        <v>16</v>
      </c>
      <c r="M453" s="37" t="n">
        <v>0.4444444444444444</v>
      </c>
      <c r="N453" s="36" t="n">
        <v>3</v>
      </c>
      <c r="O453" s="37" t="n">
        <v>1</v>
      </c>
      <c r="P453" s="36" t="n">
        <v>3</v>
      </c>
      <c r="Q453" s="37" t="n">
        <v>1</v>
      </c>
      <c r="R453" s="36" t="n">
        <v>41</v>
      </c>
      <c r="S453" s="37" t="n">
        <v>1</v>
      </c>
      <c r="T453" s="36" t="n">
        <v>9</v>
      </c>
      <c r="U453" s="37" t="n">
        <v>0.2195121951219512</v>
      </c>
      <c r="V453" s="38" t="n">
        <v>0</v>
      </c>
      <c r="W453" s="38" t="n">
        <v>7.615</v>
      </c>
      <c r="X453" s="38" t="n">
        <v>33.81200000000002</v>
      </c>
      <c r="Y453" s="38" t="n">
        <v>60.25600000000001</v>
      </c>
      <c r="Z453" s="38" t="n">
        <v>0</v>
      </c>
      <c r="AA453" s="36" t="n">
        <v>64</v>
      </c>
      <c r="AB453" s="37" t="n">
        <v>0.7191011235955056</v>
      </c>
      <c r="AC453" s="36" t="n">
        <v>11</v>
      </c>
      <c r="AD453" s="37" t="n">
        <v>0.4230769230769231</v>
      </c>
      <c r="AE453" s="36" t="n">
        <v>53</v>
      </c>
      <c r="AF453" s="37" t="n">
        <v>0.8548387096774194</v>
      </c>
      <c r="AG453" s="36" t="n">
        <v>8</v>
      </c>
      <c r="AH453" s="37" t="n">
        <v>0.7272727272727273</v>
      </c>
    </row>
    <row r="454">
      <c r="A454" s="53" t="n">
        <v>45822</v>
      </c>
      <c r="B454" t="inlineStr">
        <is>
          <t>R10_Sumbagteng</t>
        </is>
      </c>
      <c r="C454" t="inlineStr">
        <is>
          <t>NOP PEKANBARU</t>
        </is>
      </c>
      <c r="D454" s="38" t="n">
        <v>2.7</v>
      </c>
      <c r="E454" s="38" t="n">
        <v>2.751</v>
      </c>
      <c r="F454" s="36" t="n">
        <v>5.49</v>
      </c>
      <c r="G454" s="36" t="n">
        <v>6.356000000000002</v>
      </c>
      <c r="H454" s="36" t="n">
        <v>52</v>
      </c>
      <c r="I454" s="37" t="n">
        <v>0.3132530120481928</v>
      </c>
      <c r="J454" s="36" t="n">
        <v>16</v>
      </c>
      <c r="K454" s="37" t="n">
        <v>0.4324324324324325</v>
      </c>
      <c r="L454" s="36" t="n">
        <v>36</v>
      </c>
      <c r="M454" s="37" t="n">
        <v>0.2790697674418605</v>
      </c>
      <c r="N454" s="36" t="n">
        <v>11</v>
      </c>
      <c r="O454" s="37" t="n">
        <v>0.6875</v>
      </c>
      <c r="P454" s="36" t="n">
        <v>11</v>
      </c>
      <c r="Q454" s="37" t="n">
        <v>0.6875</v>
      </c>
      <c r="R454" s="36" t="n">
        <v>156</v>
      </c>
      <c r="S454" s="37" t="n">
        <v>0.9397590361445783</v>
      </c>
      <c r="T454" s="36" t="n">
        <v>27</v>
      </c>
      <c r="U454" s="37" t="n">
        <v>0.1626506024096386</v>
      </c>
      <c r="V454" s="38" t="n">
        <v>10.28</v>
      </c>
      <c r="W454" s="38" t="n">
        <v>5.724000000000002</v>
      </c>
      <c r="X454" s="38" t="n">
        <v>39.02199999999999</v>
      </c>
      <c r="Y454" s="38" t="n">
        <v>30.72800000000004</v>
      </c>
      <c r="Z454" s="38" t="n">
        <v>0</v>
      </c>
      <c r="AA454" s="36" t="n">
        <v>75</v>
      </c>
      <c r="AB454" s="37" t="n">
        <v>0.2659574468085106</v>
      </c>
      <c r="AC454" s="36" t="n">
        <v>29</v>
      </c>
      <c r="AD454" s="37" t="n">
        <v>0.3918918918918919</v>
      </c>
      <c r="AE454" s="36" t="n">
        <v>46</v>
      </c>
      <c r="AF454" s="37" t="n">
        <v>0.2254901960784314</v>
      </c>
      <c r="AG454" s="36" t="n">
        <v>26</v>
      </c>
      <c r="AH454" s="37" t="n">
        <v>0.896551724137931</v>
      </c>
    </row>
    <row r="455">
      <c r="A455" s="53" t="n">
        <v>45822</v>
      </c>
      <c r="B455" t="inlineStr">
        <is>
          <t>R02_Sumbagsel</t>
        </is>
      </c>
      <c r="C455" t="inlineStr">
        <is>
          <t>NOP BENGKULU</t>
        </is>
      </c>
      <c r="D455" s="38" t="n">
        <v>5.456</v>
      </c>
      <c r="E455" s="38" t="n">
        <v>7.458000000000002</v>
      </c>
      <c r="F455" s="36" t="n">
        <v>8.697999999999999</v>
      </c>
      <c r="G455" s="36" t="n">
        <v>7.637</v>
      </c>
      <c r="H455" s="36" t="n">
        <v>69</v>
      </c>
      <c r="I455" s="37" t="n">
        <v>0.5</v>
      </c>
      <c r="J455" s="36" t="n">
        <v>30</v>
      </c>
      <c r="K455" s="37" t="n">
        <v>0.5882352941176471</v>
      </c>
      <c r="L455" s="36" t="n">
        <v>39</v>
      </c>
      <c r="M455" s="37" t="n">
        <v>0.4482758620689655</v>
      </c>
      <c r="N455" s="36" t="n">
        <v>24</v>
      </c>
      <c r="O455" s="37" t="n">
        <v>0.8</v>
      </c>
      <c r="P455" s="36" t="n">
        <v>24</v>
      </c>
      <c r="Q455" s="37" t="n">
        <v>0.8</v>
      </c>
      <c r="R455" s="36" t="n">
        <v>138</v>
      </c>
      <c r="S455" s="37" t="n">
        <v>1</v>
      </c>
      <c r="T455" s="36" t="n">
        <v>47</v>
      </c>
      <c r="U455" s="37" t="n">
        <v>0.3405797101449275</v>
      </c>
      <c r="V455" s="38" t="n">
        <v>0</v>
      </c>
      <c r="W455" s="38" t="n">
        <v>6.014</v>
      </c>
      <c r="X455" s="38" t="n">
        <v>7.03</v>
      </c>
      <c r="Y455" s="38" t="n">
        <v>5</v>
      </c>
      <c r="Z455" s="38" t="n">
        <v>0</v>
      </c>
      <c r="AA455" s="36" t="n">
        <v>70</v>
      </c>
      <c r="AB455" s="37" t="n">
        <v>0.4861111111111111</v>
      </c>
      <c r="AC455" s="36" t="n">
        <v>52</v>
      </c>
      <c r="AD455" s="37" t="n">
        <v>0.5591397849462365</v>
      </c>
      <c r="AE455" s="36" t="n">
        <v>17</v>
      </c>
      <c r="AF455" s="37" t="n">
        <v>0.3777777777777778</v>
      </c>
      <c r="AG455" s="36" t="n">
        <v>47</v>
      </c>
      <c r="AH455" s="37" t="n">
        <v>0.9038461538461539</v>
      </c>
    </row>
    <row r="456">
      <c r="A456" s="53" t="n">
        <v>45822</v>
      </c>
      <c r="B456" t="inlineStr">
        <is>
          <t>R02_Sumbagsel</t>
        </is>
      </c>
      <c r="C456" t="inlineStr">
        <is>
          <t>NOP JAMBI</t>
        </is>
      </c>
      <c r="D456" s="38" t="n">
        <v>4.278</v>
      </c>
      <c r="E456" s="38" t="n">
        <v>5.388000000000001</v>
      </c>
      <c r="F456" s="36" t="n">
        <v>5.71</v>
      </c>
      <c r="G456" s="36" t="n">
        <v>6.56</v>
      </c>
      <c r="H456" s="36" t="n">
        <v>79</v>
      </c>
      <c r="I456" s="37" t="n">
        <v>0.4787878787878788</v>
      </c>
      <c r="J456" s="36" t="n">
        <v>21</v>
      </c>
      <c r="K456" s="37" t="n">
        <v>0.5526315789473685</v>
      </c>
      <c r="L456" s="36" t="n">
        <v>58</v>
      </c>
      <c r="M456" s="37" t="n">
        <v>0.4566929133858268</v>
      </c>
      <c r="N456" s="36" t="n">
        <v>17</v>
      </c>
      <c r="O456" s="37" t="n">
        <v>0.8095238095238095</v>
      </c>
      <c r="P456" s="36" t="n">
        <v>17</v>
      </c>
      <c r="Q456" s="37" t="n">
        <v>0.8095238095238095</v>
      </c>
      <c r="R456" s="36" t="n">
        <v>165</v>
      </c>
      <c r="S456" s="37" t="n">
        <v>1</v>
      </c>
      <c r="T456" s="36" t="n">
        <v>42</v>
      </c>
      <c r="U456" s="37" t="n">
        <v>0.2545454545454545</v>
      </c>
      <c r="V456" s="38" t="n">
        <v>0</v>
      </c>
      <c r="W456" s="38" t="n">
        <v>6.207999999999998</v>
      </c>
      <c r="X456" s="38" t="n">
        <v>8.141</v>
      </c>
      <c r="Y456" s="38" t="n">
        <v>16.358</v>
      </c>
      <c r="Z456" s="38" t="n">
        <v>0</v>
      </c>
      <c r="AA456" s="36" t="n">
        <v>22</v>
      </c>
      <c r="AB456" s="37" t="n">
        <v>0.1294117647058824</v>
      </c>
      <c r="AC456" s="36" t="n">
        <v>6</v>
      </c>
      <c r="AD456" s="37" t="n">
        <v>0.07228915662650602</v>
      </c>
      <c r="AE456" s="36" t="n">
        <v>13</v>
      </c>
      <c r="AF456" s="37" t="n">
        <v>0.1780821917808219</v>
      </c>
      <c r="AG456" s="36" t="n">
        <v>3</v>
      </c>
      <c r="AH456" s="37" t="n">
        <v>0.5</v>
      </c>
    </row>
    <row r="457">
      <c r="A457" s="53" t="n">
        <v>45822</v>
      </c>
      <c r="B457" t="inlineStr">
        <is>
          <t>R02_Sumbagsel</t>
        </is>
      </c>
      <c r="C457" t="inlineStr">
        <is>
          <t>NOP LAMPUNG</t>
        </is>
      </c>
      <c r="D457" s="38" t="n">
        <v>1.381</v>
      </c>
      <c r="E457" s="38" t="n">
        <v>2.087</v>
      </c>
      <c r="F457" s="36" t="n">
        <v>4.206</v>
      </c>
      <c r="G457" s="36" t="n">
        <v>6.802000000000001</v>
      </c>
      <c r="H457" s="36" t="n">
        <v>84</v>
      </c>
      <c r="I457" s="37" t="n">
        <v>0.5029940119760479</v>
      </c>
      <c r="J457" s="36" t="n">
        <v>28</v>
      </c>
      <c r="K457" s="37" t="n">
        <v>0.875</v>
      </c>
      <c r="L457" s="36" t="n">
        <v>56</v>
      </c>
      <c r="M457" s="37" t="n">
        <v>0.4148148148148148</v>
      </c>
      <c r="N457" s="36" t="n">
        <v>17</v>
      </c>
      <c r="O457" s="37" t="n">
        <v>0.6071428571428571</v>
      </c>
      <c r="P457" s="36" t="n">
        <v>17</v>
      </c>
      <c r="Q457" s="37" t="n">
        <v>0.6071428571428571</v>
      </c>
      <c r="R457" s="36" t="n">
        <v>165</v>
      </c>
      <c r="S457" s="37" t="n">
        <v>0.9880239520958084</v>
      </c>
      <c r="T457" s="36" t="n">
        <v>46</v>
      </c>
      <c r="U457" s="37" t="n">
        <v>0.2754491017964072</v>
      </c>
      <c r="V457" s="38" t="n">
        <v>0.03</v>
      </c>
      <c r="W457" s="38" t="n">
        <v>4.132000000000001</v>
      </c>
      <c r="X457" s="38" t="n">
        <v>3.82</v>
      </c>
      <c r="Y457" s="38" t="n">
        <v>45.31</v>
      </c>
      <c r="Z457" s="38" t="n">
        <v>0</v>
      </c>
      <c r="AA457" s="36" t="n">
        <v>130</v>
      </c>
      <c r="AB457" s="37" t="n">
        <v>0.87248322147651</v>
      </c>
      <c r="AC457" s="36" t="n">
        <v>60</v>
      </c>
      <c r="AD457" s="37" t="n">
        <v>0.9090909090909091</v>
      </c>
      <c r="AE457" s="36" t="n">
        <v>67</v>
      </c>
      <c r="AF457" s="37" t="n">
        <v>0.8375</v>
      </c>
      <c r="AG457" s="36" t="n">
        <v>49</v>
      </c>
      <c r="AH457" s="37" t="n">
        <v>0.8166666666666667</v>
      </c>
    </row>
    <row r="458">
      <c r="A458" s="53" t="n">
        <v>45822</v>
      </c>
      <c r="B458" t="inlineStr">
        <is>
          <t>R02_Sumbagsel</t>
        </is>
      </c>
      <c r="C458" t="inlineStr">
        <is>
          <t>NOP MUARA ENIM</t>
        </is>
      </c>
      <c r="D458" s="38" t="n">
        <v>3.245</v>
      </c>
      <c r="E458" s="38" t="n">
        <v>5.934000000000002</v>
      </c>
      <c r="F458" s="36" t="n">
        <v>5.13</v>
      </c>
      <c r="G458" s="36" t="n">
        <v>7.76</v>
      </c>
      <c r="H458" s="36" t="n">
        <v>95</v>
      </c>
      <c r="I458" s="37" t="n">
        <v>0.4439252336448598</v>
      </c>
      <c r="J458" s="36" t="n">
        <v>16</v>
      </c>
      <c r="K458" s="37" t="n">
        <v>0.5517241379310345</v>
      </c>
      <c r="L458" s="36" t="n">
        <v>79</v>
      </c>
      <c r="M458" s="37" t="n">
        <v>0.4270270270270271</v>
      </c>
      <c r="N458" s="36" t="n">
        <v>10</v>
      </c>
      <c r="O458" s="37" t="n">
        <v>0.625</v>
      </c>
      <c r="P458" s="36" t="n">
        <v>10</v>
      </c>
      <c r="Q458" s="37" t="n">
        <v>0.6666666666666666</v>
      </c>
      <c r="R458" s="36" t="n">
        <v>206</v>
      </c>
      <c r="S458" s="37" t="n">
        <v>0.9626168224299065</v>
      </c>
      <c r="T458" s="36" t="n">
        <v>40</v>
      </c>
      <c r="U458" s="37" t="n">
        <v>0.1869158878504673</v>
      </c>
      <c r="V458" s="38" t="n">
        <v>0</v>
      </c>
      <c r="W458" s="38" t="n">
        <v>8.054000000000004</v>
      </c>
      <c r="X458" s="38" t="n">
        <v>6.98</v>
      </c>
      <c r="Y458" s="38" t="n">
        <v>6.99</v>
      </c>
      <c r="Z458" s="38" t="n">
        <v>0</v>
      </c>
      <c r="AA458" s="36" t="n">
        <v>83</v>
      </c>
      <c r="AB458" s="37" t="n">
        <v>0.3624454148471616</v>
      </c>
      <c r="AC458" s="36" t="n">
        <v>39</v>
      </c>
      <c r="AD458" s="37" t="n">
        <v>0.3023255813953488</v>
      </c>
      <c r="AE458" s="36" t="n">
        <v>37</v>
      </c>
      <c r="AF458" s="37" t="n">
        <v>0.4204545454545455</v>
      </c>
      <c r="AG458" s="36" t="n">
        <v>32</v>
      </c>
      <c r="AH458" s="37" t="n">
        <v>0.8205128205128205</v>
      </c>
    </row>
    <row r="459">
      <c r="A459" s="53" t="n">
        <v>45822</v>
      </c>
      <c r="B459" t="inlineStr">
        <is>
          <t>R02_Sumbagsel</t>
        </is>
      </c>
      <c r="C459" t="inlineStr">
        <is>
          <t>NOP PALEMBANG</t>
        </is>
      </c>
      <c r="D459" s="38" t="n">
        <v>1.737</v>
      </c>
      <c r="E459" s="38" t="n">
        <v>14.88</v>
      </c>
      <c r="F459" s="36" t="n">
        <v>5.564</v>
      </c>
      <c r="G459" s="36" t="n">
        <v>8.16</v>
      </c>
      <c r="H459" s="36" t="n">
        <v>78</v>
      </c>
      <c r="I459" s="37" t="n">
        <v>0.4968152866242038</v>
      </c>
      <c r="J459" s="36" t="n">
        <v>7</v>
      </c>
      <c r="K459" s="37" t="n">
        <v>0.4666666666666667</v>
      </c>
      <c r="L459" s="36" t="n">
        <v>71</v>
      </c>
      <c r="M459" s="37" t="n">
        <v>0.5</v>
      </c>
      <c r="N459" s="36" t="n">
        <v>3</v>
      </c>
      <c r="O459" s="37" t="n">
        <v>0.4285714285714285</v>
      </c>
      <c r="P459" s="36" t="n">
        <v>3</v>
      </c>
      <c r="Q459" s="37" t="n">
        <v>0.4285714285714285</v>
      </c>
      <c r="R459" s="36" t="n">
        <v>155</v>
      </c>
      <c r="S459" s="37" t="n">
        <v>0.9872611464968153</v>
      </c>
      <c r="T459" s="36" t="n">
        <v>14</v>
      </c>
      <c r="U459" s="37" t="n">
        <v>0.08917197452229299</v>
      </c>
      <c r="V459" s="38" t="n">
        <v>0</v>
      </c>
      <c r="W459" s="38" t="n">
        <v>3.408999999999999</v>
      </c>
      <c r="X459" s="38" t="n">
        <v>11.97</v>
      </c>
      <c r="Y459" s="38" t="n">
        <v>16.31400000000002</v>
      </c>
      <c r="Z459" s="38" t="n">
        <v>0</v>
      </c>
      <c r="AA459" s="36" t="n">
        <v>38</v>
      </c>
      <c r="AB459" s="37" t="n">
        <v>0.1989528795811518</v>
      </c>
      <c r="AC459" s="36" t="n">
        <v>17</v>
      </c>
      <c r="AD459" s="37" t="n">
        <v>0.173469387755102</v>
      </c>
      <c r="AE459" s="36" t="n">
        <v>21</v>
      </c>
      <c r="AF459" s="37" t="n">
        <v>0.2470588235294118</v>
      </c>
      <c r="AG459" s="36" t="n">
        <v>10</v>
      </c>
      <c r="AH459" s="37" t="n">
        <v>0.5882352941176471</v>
      </c>
    </row>
    <row r="460">
      <c r="A460" s="53" t="n">
        <v>45822</v>
      </c>
      <c r="B460" t="inlineStr">
        <is>
          <t>R02_Sumbagsel</t>
        </is>
      </c>
      <c r="C460" t="inlineStr">
        <is>
          <t>NOP PANGKAL PINANG</t>
        </is>
      </c>
      <c r="D460" s="38" t="n">
        <v>0</v>
      </c>
      <c r="E460" s="38" t="n">
        <v>0</v>
      </c>
      <c r="F460" s="36" t="n">
        <v>2.152000000000001</v>
      </c>
      <c r="G460" s="36" t="n">
        <v>2.52</v>
      </c>
      <c r="H460" s="36" t="n">
        <v>6</v>
      </c>
      <c r="I460" s="37" t="n">
        <v>0.4615384615384616</v>
      </c>
      <c r="J460" s="36" t="n">
        <v>0</v>
      </c>
      <c r="K460" s="37" t="n">
        <v>0</v>
      </c>
      <c r="L460" s="36" t="n">
        <v>6</v>
      </c>
      <c r="M460" s="37" t="n">
        <v>0.4615384615384616</v>
      </c>
      <c r="N460" s="36" t="n">
        <v>0</v>
      </c>
      <c r="O460" s="37" t="n">
        <v>0</v>
      </c>
      <c r="P460" s="36" t="n">
        <v>0</v>
      </c>
      <c r="Q460" s="37" t="n">
        <v>0</v>
      </c>
      <c r="R460" s="36" t="n">
        <v>13</v>
      </c>
      <c r="S460" s="37" t="n">
        <v>1</v>
      </c>
      <c r="T460" s="36" t="n">
        <v>2</v>
      </c>
      <c r="U460" s="37" t="n">
        <v>0.1538461538461539</v>
      </c>
      <c r="V460" s="38" t="n">
        <v>0</v>
      </c>
      <c r="W460" s="38" t="n">
        <v>2.360000000000002</v>
      </c>
      <c r="X460" s="38" t="n">
        <v>2.059</v>
      </c>
      <c r="Y460" s="38" t="n">
        <v>6.843999999999999</v>
      </c>
      <c r="Z460" s="38" t="n">
        <v>0</v>
      </c>
      <c r="AA460" s="36" t="n">
        <v>66</v>
      </c>
      <c r="AB460" s="37" t="n">
        <v>0.9166666666666666</v>
      </c>
      <c r="AC460" s="36" t="n">
        <v>27</v>
      </c>
      <c r="AD460" s="37" t="n">
        <v>0.9</v>
      </c>
      <c r="AE460" s="36" t="n">
        <v>39</v>
      </c>
      <c r="AF460" s="37" t="n">
        <v>0.9512195121951219</v>
      </c>
      <c r="AG460" s="36" t="n">
        <v>21</v>
      </c>
      <c r="AH460" s="37" t="n">
        <v>0.7777777777777778</v>
      </c>
    </row>
    <row r="461">
      <c r="A461" s="53" t="n">
        <v>45822</v>
      </c>
      <c r="B461" t="inlineStr">
        <is>
          <t>R05_Jawa Tengah DIY</t>
        </is>
      </c>
      <c r="C461" t="inlineStr">
        <is>
          <t>NOP MAGELANG</t>
        </is>
      </c>
      <c r="D461" s="38" t="n">
        <v>0</v>
      </c>
      <c r="E461" s="38" t="n">
        <v>0</v>
      </c>
      <c r="F461" s="36" t="n">
        <v>2.088</v>
      </c>
      <c r="G461" s="36" t="n">
        <v>2.318</v>
      </c>
      <c r="H461" s="36" t="n">
        <v>23</v>
      </c>
      <c r="I461" s="37" t="n">
        <v>0.9583333333333334</v>
      </c>
      <c r="J461" s="36" t="n">
        <v>0</v>
      </c>
      <c r="K461" s="37" t="n">
        <v>0</v>
      </c>
      <c r="L461" s="36" t="n">
        <v>23</v>
      </c>
      <c r="M461" s="37" t="n">
        <v>0.9583333333333334</v>
      </c>
      <c r="N461" s="36" t="n">
        <v>0</v>
      </c>
      <c r="O461" s="37" t="n">
        <v>0</v>
      </c>
      <c r="P461" s="36" t="n">
        <v>0</v>
      </c>
      <c r="Q461" s="37" t="n">
        <v>0</v>
      </c>
      <c r="R461" s="36" t="n">
        <v>24</v>
      </c>
      <c r="S461" s="37" t="n">
        <v>1</v>
      </c>
      <c r="T461" s="36" t="n">
        <v>21</v>
      </c>
      <c r="U461" s="37" t="n">
        <v>0.875</v>
      </c>
      <c r="V461" s="38" t="n">
        <v>0</v>
      </c>
      <c r="W461" s="38" t="n">
        <v>2.158</v>
      </c>
      <c r="X461" s="38" t="n">
        <v>6.399</v>
      </c>
      <c r="Y461" s="38" t="n">
        <v>12.566</v>
      </c>
      <c r="Z461" s="38" t="n">
        <v>0</v>
      </c>
      <c r="AA461" s="36" t="n">
        <v>76</v>
      </c>
      <c r="AB461" s="37" t="n">
        <v>0.9743589743589743</v>
      </c>
      <c r="AC461" s="36" t="n">
        <v>16</v>
      </c>
      <c r="AD461" s="37" t="n">
        <v>0.9411764705882353</v>
      </c>
      <c r="AE461" s="36" t="n">
        <v>60</v>
      </c>
      <c r="AF461" s="37" t="n">
        <v>0.9836065573770492</v>
      </c>
      <c r="AG461" s="36" t="n">
        <v>16</v>
      </c>
      <c r="AH461" s="37" t="n">
        <v>1</v>
      </c>
    </row>
    <row r="462">
      <c r="A462" s="53" t="n">
        <v>45822</v>
      </c>
      <c r="B462" t="inlineStr">
        <is>
          <t>R05_Jawa Tengah DIY</t>
        </is>
      </c>
      <c r="C462" t="inlineStr">
        <is>
          <t>NOP PEKALONGAN</t>
        </is>
      </c>
      <c r="D462" s="38" t="n">
        <v>0</v>
      </c>
      <c r="E462" s="38" t="n">
        <v>0</v>
      </c>
      <c r="F462" s="36" t="n">
        <v>1.82</v>
      </c>
      <c r="G462" s="36" t="n">
        <v>0.73</v>
      </c>
      <c r="H462" s="36" t="n">
        <v>6</v>
      </c>
      <c r="I462" s="37" t="n">
        <v>0.75</v>
      </c>
      <c r="J462" s="36" t="n">
        <v>0</v>
      </c>
      <c r="K462" s="37" t="n">
        <v>0</v>
      </c>
      <c r="L462" s="36" t="n">
        <v>6</v>
      </c>
      <c r="M462" s="37" t="n">
        <v>0.75</v>
      </c>
      <c r="N462" s="36" t="n">
        <v>0</v>
      </c>
      <c r="O462" s="37" t="n">
        <v>0</v>
      </c>
      <c r="P462" s="36" t="n">
        <v>0</v>
      </c>
      <c r="Q462" s="37" t="n">
        <v>0</v>
      </c>
      <c r="R462" s="36" t="n">
        <v>8</v>
      </c>
      <c r="S462" s="37" t="n">
        <v>1</v>
      </c>
      <c r="T462" s="36" t="n">
        <v>7</v>
      </c>
      <c r="U462" s="37" t="n">
        <v>0.875</v>
      </c>
      <c r="V462" s="38" t="n">
        <v>0.12</v>
      </c>
      <c r="W462" s="38" t="n">
        <v>4.229000000000003</v>
      </c>
      <c r="X462" s="38" t="n">
        <v>2.380999999999999</v>
      </c>
      <c r="Y462" s="38" t="n">
        <v>49.48</v>
      </c>
      <c r="Z462" s="38" t="n">
        <v>0</v>
      </c>
      <c r="AA462" s="36" t="n">
        <v>26</v>
      </c>
      <c r="AB462" s="37" t="n">
        <v>0.8387096774193549</v>
      </c>
      <c r="AC462" s="36" t="n">
        <v>11</v>
      </c>
      <c r="AD462" s="37" t="n">
        <v>0.7333333333333333</v>
      </c>
      <c r="AE462" s="36" t="n">
        <v>15</v>
      </c>
      <c r="AF462" s="37" t="n">
        <v>0.9375</v>
      </c>
      <c r="AG462" s="36" t="n">
        <v>6</v>
      </c>
      <c r="AH462" s="37" t="n">
        <v>0.5454545454545454</v>
      </c>
    </row>
    <row r="463">
      <c r="A463" s="53" t="n">
        <v>45822</v>
      </c>
      <c r="B463" t="inlineStr">
        <is>
          <t>R05_Jawa Tengah DIY</t>
        </is>
      </c>
      <c r="C463" t="inlineStr">
        <is>
          <t>NOP PURWOKERTO</t>
        </is>
      </c>
      <c r="D463" s="38" t="n">
        <v>0.826</v>
      </c>
      <c r="E463" s="38" t="n">
        <v>0</v>
      </c>
      <c r="F463" s="36" t="n">
        <v>4.166000000000002</v>
      </c>
      <c r="G463" s="36" t="n">
        <v>2.507</v>
      </c>
      <c r="H463" s="36" t="n">
        <v>24</v>
      </c>
      <c r="I463" s="37" t="n">
        <v>0.5714285714285714</v>
      </c>
      <c r="J463" s="36" t="n">
        <v>3</v>
      </c>
      <c r="K463" s="37" t="n">
        <v>1</v>
      </c>
      <c r="L463" s="36" t="n">
        <v>21</v>
      </c>
      <c r="M463" s="37" t="n">
        <v>0.5384615384615384</v>
      </c>
      <c r="N463" s="36" t="n">
        <v>2</v>
      </c>
      <c r="O463" s="37" t="n">
        <v>0.6666666666666666</v>
      </c>
      <c r="P463" s="36" t="n">
        <v>2</v>
      </c>
      <c r="Q463" s="37" t="n">
        <v>0.6666666666666666</v>
      </c>
      <c r="R463" s="36" t="n">
        <v>42</v>
      </c>
      <c r="S463" s="37" t="n">
        <v>1</v>
      </c>
      <c r="T463" s="36" t="n">
        <v>11</v>
      </c>
      <c r="U463" s="37" t="n">
        <v>0.2619047619047619</v>
      </c>
      <c r="V463" s="38" t="n">
        <v>0.427</v>
      </c>
      <c r="W463" s="38" t="n">
        <v>2.955</v>
      </c>
      <c r="X463" s="38" t="n">
        <v>4.407999999999999</v>
      </c>
      <c r="Y463" s="38" t="n">
        <v>13.42</v>
      </c>
      <c r="Z463" s="38" t="n">
        <v>0</v>
      </c>
      <c r="AA463" s="36" t="n">
        <v>37</v>
      </c>
      <c r="AB463" s="37" t="n">
        <v>0.9487179487179487</v>
      </c>
      <c r="AC463" s="36" t="n">
        <v>17</v>
      </c>
      <c r="AD463" s="37" t="n">
        <v>0.9444444444444444</v>
      </c>
      <c r="AE463" s="36" t="n">
        <v>20</v>
      </c>
      <c r="AF463" s="37" t="n">
        <v>0.9523809523809523</v>
      </c>
      <c r="AG463" s="36" t="n">
        <v>9</v>
      </c>
      <c r="AH463" s="37" t="n">
        <v>0.5294117647058824</v>
      </c>
    </row>
    <row r="464">
      <c r="A464" s="53" t="n">
        <v>45822</v>
      </c>
      <c r="B464" t="inlineStr">
        <is>
          <t>R05_Jawa Tengah DIY</t>
        </is>
      </c>
      <c r="C464" t="inlineStr">
        <is>
          <t>NOP SEMARANG</t>
        </is>
      </c>
      <c r="D464" s="38" t="n">
        <v>2.658</v>
      </c>
      <c r="E464" s="38" t="n">
        <v>0</v>
      </c>
      <c r="F464" s="36" t="n">
        <v>4.132000000000001</v>
      </c>
      <c r="G464" s="36" t="n">
        <v>3.604</v>
      </c>
      <c r="H464" s="36" t="n">
        <v>150</v>
      </c>
      <c r="I464" s="37" t="n">
        <v>0.8928571428571429</v>
      </c>
      <c r="J464" s="36" t="n">
        <v>9</v>
      </c>
      <c r="K464" s="37" t="n">
        <v>0.9</v>
      </c>
      <c r="L464" s="36" t="n">
        <v>141</v>
      </c>
      <c r="M464" s="37" t="n">
        <v>0.8924050632911392</v>
      </c>
      <c r="N464" s="36" t="n">
        <v>8</v>
      </c>
      <c r="O464" s="37" t="n">
        <v>0.8888888888888888</v>
      </c>
      <c r="P464" s="36" t="n">
        <v>8</v>
      </c>
      <c r="Q464" s="37" t="n">
        <v>0.8888888888888888</v>
      </c>
      <c r="R464" s="36" t="n">
        <v>167</v>
      </c>
      <c r="S464" s="37" t="n">
        <v>0.9940476190476191</v>
      </c>
      <c r="T464" s="36" t="n">
        <v>101</v>
      </c>
      <c r="U464" s="37" t="n">
        <v>0.6011904761904762</v>
      </c>
      <c r="V464" s="38" t="n">
        <v>2.795</v>
      </c>
      <c r="W464" s="38" t="n">
        <v>3.982000000000001</v>
      </c>
      <c r="X464" s="38" t="n">
        <v>3.468</v>
      </c>
      <c r="Y464" s="38" t="n">
        <v>9.814000000000009</v>
      </c>
      <c r="Z464" s="38" t="n">
        <v>0</v>
      </c>
      <c r="AA464" s="36" t="n">
        <v>71</v>
      </c>
      <c r="AB464" s="37" t="n">
        <v>0.9594594594594594</v>
      </c>
      <c r="AC464" s="36" t="n">
        <v>30</v>
      </c>
      <c r="AD464" s="37" t="n">
        <v>0.967741935483871</v>
      </c>
      <c r="AE464" s="36" t="n">
        <v>41</v>
      </c>
      <c r="AF464" s="37" t="n">
        <v>0.9534883720930233</v>
      </c>
      <c r="AG464" s="36" t="n">
        <v>23</v>
      </c>
      <c r="AH464" s="37" t="n">
        <v>0.7666666666666667</v>
      </c>
    </row>
    <row r="465">
      <c r="A465" s="53" t="n">
        <v>45822</v>
      </c>
      <c r="B465" t="inlineStr">
        <is>
          <t>R05_Jawa Tengah DIY</t>
        </is>
      </c>
      <c r="C465" t="inlineStr">
        <is>
          <t>NOP SURAKARTA</t>
        </is>
      </c>
      <c r="D465" s="38" t="n">
        <v>1.423</v>
      </c>
      <c r="E465" s="38" t="n">
        <v>0</v>
      </c>
      <c r="F465" s="36" t="n">
        <v>3.986</v>
      </c>
      <c r="G465" s="36" t="n">
        <v>3.014</v>
      </c>
      <c r="H465" s="36" t="n">
        <v>88</v>
      </c>
      <c r="I465" s="37" t="n">
        <v>0.8461538461538461</v>
      </c>
      <c r="J465" s="36" t="n">
        <v>8</v>
      </c>
      <c r="K465" s="37" t="n">
        <v>1</v>
      </c>
      <c r="L465" s="36" t="n">
        <v>80</v>
      </c>
      <c r="M465" s="37" t="n">
        <v>0.8333333333333334</v>
      </c>
      <c r="N465" s="36" t="n">
        <v>8</v>
      </c>
      <c r="O465" s="37" t="n">
        <v>1</v>
      </c>
      <c r="P465" s="36" t="n">
        <v>8</v>
      </c>
      <c r="Q465" s="37" t="n">
        <v>1</v>
      </c>
      <c r="R465" s="36" t="n">
        <v>103</v>
      </c>
      <c r="S465" s="37" t="n">
        <v>0.9903846153846154</v>
      </c>
      <c r="T465" s="36" t="n">
        <v>65</v>
      </c>
      <c r="U465" s="37" t="n">
        <v>0.625</v>
      </c>
      <c r="V465" s="38" t="n">
        <v>0.13</v>
      </c>
      <c r="W465" s="38" t="n">
        <v>2.536</v>
      </c>
      <c r="X465" s="38" t="n">
        <v>3.765</v>
      </c>
      <c r="Y465" s="38" t="n">
        <v>12.42100000000001</v>
      </c>
      <c r="Z465" s="38" t="n">
        <v>0</v>
      </c>
      <c r="AA465" s="36" t="n">
        <v>84</v>
      </c>
      <c r="AB465" s="37" t="n">
        <v>0.7777777777777778</v>
      </c>
      <c r="AC465" s="36" t="n">
        <v>35</v>
      </c>
      <c r="AD465" s="37" t="n">
        <v>0.7954545454545454</v>
      </c>
      <c r="AE465" s="36" t="n">
        <v>49</v>
      </c>
      <c r="AF465" s="37" t="n">
        <v>0.765625</v>
      </c>
      <c r="AG465" s="36" t="n">
        <v>23</v>
      </c>
      <c r="AH465" s="37" t="n">
        <v>0.6571428571428571</v>
      </c>
    </row>
    <row r="466">
      <c r="A466" s="53" t="n">
        <v>45822</v>
      </c>
      <c r="B466" t="inlineStr">
        <is>
          <t>R05_Jawa Tengah DIY</t>
        </is>
      </c>
      <c r="C466" t="inlineStr">
        <is>
          <t>NOP YOGYAKARTA</t>
        </is>
      </c>
      <c r="D466" s="38" t="n">
        <v>0</v>
      </c>
      <c r="E466" s="38" t="n">
        <v>0</v>
      </c>
      <c r="F466" s="36" t="n">
        <v>3.870000000000002</v>
      </c>
      <c r="G466" s="36" t="n">
        <v>4.668</v>
      </c>
      <c r="H466" s="36" t="n">
        <v>39</v>
      </c>
      <c r="I466" s="37" t="n">
        <v>0.6724137931034483</v>
      </c>
      <c r="J466" s="36" t="n">
        <v>0</v>
      </c>
      <c r="K466" s="37" t="n">
        <v>0</v>
      </c>
      <c r="L466" s="36" t="n">
        <v>39</v>
      </c>
      <c r="M466" s="37" t="n">
        <v>0.6724137931034483</v>
      </c>
      <c r="N466" s="36" t="n">
        <v>0</v>
      </c>
      <c r="O466" s="37" t="n">
        <v>0</v>
      </c>
      <c r="P466" s="36" t="n">
        <v>0</v>
      </c>
      <c r="Q466" s="37" t="n">
        <v>0</v>
      </c>
      <c r="R466" s="36" t="n">
        <v>57</v>
      </c>
      <c r="S466" s="37" t="n">
        <v>0.9827586206896551</v>
      </c>
      <c r="T466" s="36" t="n">
        <v>25</v>
      </c>
      <c r="U466" s="37" t="n">
        <v>0.4310344827586207</v>
      </c>
      <c r="V466" s="38" t="n">
        <v>0</v>
      </c>
      <c r="W466" s="38" t="n">
        <v>2.538</v>
      </c>
      <c r="X466" s="38" t="n">
        <v>5.603000000000003</v>
      </c>
      <c r="Y466" s="38" t="n">
        <v>36.38900000000001</v>
      </c>
      <c r="Z466" s="38" t="n">
        <v>0</v>
      </c>
      <c r="AA466" s="36" t="n">
        <v>41</v>
      </c>
      <c r="AB466" s="37" t="n">
        <v>0.9318181818181818</v>
      </c>
      <c r="AC466" s="36" t="n">
        <v>11</v>
      </c>
      <c r="AD466" s="37" t="n">
        <v>0.9166666666666666</v>
      </c>
      <c r="AE466" s="36" t="n">
        <v>30</v>
      </c>
      <c r="AF466" s="37" t="n">
        <v>0.9375</v>
      </c>
      <c r="AG466" s="36" t="n">
        <v>11</v>
      </c>
      <c r="AH466" s="37" t="n">
        <v>1</v>
      </c>
    </row>
    <row r="467">
      <c r="A467" s="53" t="n">
        <v>45822</v>
      </c>
      <c r="B467" t="inlineStr">
        <is>
          <t>R06_Jawa Timur</t>
        </is>
      </c>
      <c r="C467" t="inlineStr">
        <is>
          <t>NOP JEMBER</t>
        </is>
      </c>
      <c r="D467" s="38" t="n">
        <v>0</v>
      </c>
      <c r="E467" s="38" t="n">
        <v>0</v>
      </c>
      <c r="F467" s="36" t="n">
        <v>0.9399999999999999</v>
      </c>
      <c r="G467" s="36" t="n">
        <v>2.612000000000001</v>
      </c>
      <c r="H467" s="36" t="n">
        <v>11</v>
      </c>
      <c r="I467" s="37" t="n">
        <v>0.7857142857142857</v>
      </c>
      <c r="J467" s="36" t="n">
        <v>0</v>
      </c>
      <c r="K467" s="37" t="n">
        <v>0</v>
      </c>
      <c r="L467" s="36" t="n">
        <v>11</v>
      </c>
      <c r="M467" s="37" t="n">
        <v>0.7857142857142857</v>
      </c>
      <c r="N467" s="36" t="n">
        <v>0</v>
      </c>
      <c r="O467" s="37" t="n">
        <v>0</v>
      </c>
      <c r="P467" s="36" t="n">
        <v>0</v>
      </c>
      <c r="Q467" s="37" t="n">
        <v>0</v>
      </c>
      <c r="R467" s="36" t="n">
        <v>14</v>
      </c>
      <c r="S467" s="37" t="n">
        <v>1</v>
      </c>
      <c r="T467" s="36" t="n">
        <v>5</v>
      </c>
      <c r="U467" s="37" t="n">
        <v>0.3571428571428572</v>
      </c>
      <c r="V467" s="38" t="n">
        <v>0</v>
      </c>
      <c r="W467" s="38" t="n">
        <v>2.804</v>
      </c>
      <c r="X467" s="38" t="n">
        <v>3.37</v>
      </c>
      <c r="Y467" s="38" t="n">
        <v>22.256</v>
      </c>
      <c r="Z467" s="38" t="n">
        <v>0</v>
      </c>
      <c r="AA467" s="36" t="n">
        <v>24</v>
      </c>
      <c r="AB467" s="37" t="n">
        <v>0.8888888888888888</v>
      </c>
      <c r="AC467" s="36" t="n">
        <v>7</v>
      </c>
      <c r="AD467" s="37" t="n">
        <v>0.875</v>
      </c>
      <c r="AE467" s="36" t="n">
        <v>17</v>
      </c>
      <c r="AF467" s="37" t="n">
        <v>0.8947368421052632</v>
      </c>
      <c r="AG467" s="36" t="n">
        <v>3</v>
      </c>
      <c r="AH467" s="37" t="n">
        <v>0.4285714285714285</v>
      </c>
    </row>
    <row r="468">
      <c r="A468" s="53" t="n">
        <v>45822</v>
      </c>
      <c r="B468" t="inlineStr">
        <is>
          <t>R06_Jawa Timur</t>
        </is>
      </c>
      <c r="C468" t="inlineStr">
        <is>
          <t>NOP KEDIRI</t>
        </is>
      </c>
      <c r="D468" s="38" t="n">
        <v>0.92</v>
      </c>
      <c r="E468" s="38" t="n">
        <v>0</v>
      </c>
      <c r="F468" s="36" t="n">
        <v>2.612</v>
      </c>
      <c r="G468" s="36" t="n">
        <v>4.417000000000001</v>
      </c>
      <c r="H468" s="36" t="n">
        <v>21</v>
      </c>
      <c r="I468" s="37" t="n">
        <v>0.75</v>
      </c>
      <c r="J468" s="36" t="n">
        <v>1</v>
      </c>
      <c r="K468" s="37" t="n">
        <v>1</v>
      </c>
      <c r="L468" s="36" t="n">
        <v>20</v>
      </c>
      <c r="M468" s="37" t="n">
        <v>0.7407407407407407</v>
      </c>
      <c r="N468" s="36" t="n">
        <v>1</v>
      </c>
      <c r="O468" s="37" t="n">
        <v>1</v>
      </c>
      <c r="P468" s="36" t="n">
        <v>1</v>
      </c>
      <c r="Q468" s="37" t="n">
        <v>1</v>
      </c>
      <c r="R468" s="36" t="n">
        <v>27</v>
      </c>
      <c r="S468" s="37" t="n">
        <v>0.9642857142857143</v>
      </c>
      <c r="T468" s="36" t="n">
        <v>21</v>
      </c>
      <c r="U468" s="37" t="n">
        <v>0.75</v>
      </c>
      <c r="V468" s="38" t="n">
        <v>0</v>
      </c>
      <c r="W468" s="38" t="n">
        <v>1.96</v>
      </c>
      <c r="X468" s="38" t="n">
        <v>3.476</v>
      </c>
      <c r="Y468" s="38" t="n">
        <v>0.4</v>
      </c>
      <c r="Z468" s="38" t="n">
        <v>0</v>
      </c>
      <c r="AA468" s="36" t="n">
        <v>40</v>
      </c>
      <c r="AB468" s="37" t="n">
        <v>1</v>
      </c>
      <c r="AC468" s="36" t="n">
        <v>11</v>
      </c>
      <c r="AD468" s="37" t="n">
        <v>1</v>
      </c>
      <c r="AE468" s="36" t="n">
        <v>29</v>
      </c>
      <c r="AF468" s="37" t="n">
        <v>1</v>
      </c>
      <c r="AG468" s="36" t="n">
        <v>11</v>
      </c>
      <c r="AH468" s="37" t="n">
        <v>1</v>
      </c>
    </row>
    <row r="469">
      <c r="A469" s="53" t="n">
        <v>45822</v>
      </c>
      <c r="B469" t="inlineStr">
        <is>
          <t>R06_Jawa Timur</t>
        </is>
      </c>
      <c r="C469" t="inlineStr">
        <is>
          <t>NOP LAMONGAN</t>
        </is>
      </c>
      <c r="D469" s="38" t="n">
        <v>0</v>
      </c>
      <c r="E469" s="38" t="n">
        <v>0</v>
      </c>
      <c r="F469" s="36" t="n">
        <v>2.42</v>
      </c>
      <c r="G469" s="36" t="n">
        <v>2.729</v>
      </c>
      <c r="H469" s="36" t="n">
        <v>5</v>
      </c>
      <c r="I469" s="37" t="n">
        <v>1</v>
      </c>
      <c r="J469" s="36" t="n">
        <v>0</v>
      </c>
      <c r="K469" s="37" t="n">
        <v>0</v>
      </c>
      <c r="L469" s="36" t="n">
        <v>5</v>
      </c>
      <c r="M469" s="37" t="n">
        <v>1</v>
      </c>
      <c r="N469" s="36" t="n">
        <v>0</v>
      </c>
      <c r="O469" s="37" t="n">
        <v>0</v>
      </c>
      <c r="P469" s="36" t="n">
        <v>0</v>
      </c>
      <c r="Q469" s="37" t="n">
        <v>0</v>
      </c>
      <c r="R469" s="36" t="n">
        <v>5</v>
      </c>
      <c r="S469" s="37" t="n">
        <v>1</v>
      </c>
      <c r="T469" s="36" t="n">
        <v>3</v>
      </c>
      <c r="U469" s="37" t="n">
        <v>0.6</v>
      </c>
      <c r="V469" s="38" t="n">
        <v>0</v>
      </c>
      <c r="W469" s="38" t="n">
        <v>0</v>
      </c>
      <c r="X469" s="38" t="n">
        <v>3.631</v>
      </c>
      <c r="Y469" s="38" t="n">
        <v>21.38</v>
      </c>
      <c r="Z469" s="38" t="n">
        <v>0</v>
      </c>
      <c r="AA469" s="36" t="n">
        <v>2</v>
      </c>
      <c r="AB469" s="37" t="n">
        <v>0.6666666666666666</v>
      </c>
      <c r="AC469" s="36" t="n">
        <v>0</v>
      </c>
      <c r="AD469" s="37" t="n">
        <v>0</v>
      </c>
      <c r="AE469" s="36" t="n">
        <v>2</v>
      </c>
      <c r="AF469" s="37" t="n">
        <v>0.6666666666666666</v>
      </c>
      <c r="AG469" s="36" t="n">
        <v>0</v>
      </c>
      <c r="AH469" s="37" t="n">
        <v>0</v>
      </c>
    </row>
    <row r="470">
      <c r="A470" s="53" t="n">
        <v>45822</v>
      </c>
      <c r="B470" t="inlineStr">
        <is>
          <t>R06_Jawa Timur</t>
        </is>
      </c>
      <c r="C470" t="inlineStr">
        <is>
          <t>NOP MADIUN</t>
        </is>
      </c>
      <c r="D470" s="38" t="n">
        <v>0</v>
      </c>
      <c r="E470" s="38" t="n">
        <v>0</v>
      </c>
      <c r="F470" s="36" t="n">
        <v>2.799</v>
      </c>
      <c r="G470" s="36" t="n">
        <v>3.888</v>
      </c>
      <c r="H470" s="36" t="n">
        <v>17</v>
      </c>
      <c r="I470" s="37" t="n">
        <v>0.5</v>
      </c>
      <c r="J470" s="36" t="n">
        <v>0</v>
      </c>
      <c r="K470" s="37" t="n">
        <v>0</v>
      </c>
      <c r="L470" s="36" t="n">
        <v>17</v>
      </c>
      <c r="M470" s="37" t="n">
        <v>0.5</v>
      </c>
      <c r="N470" s="36" t="n">
        <v>0</v>
      </c>
      <c r="O470" s="37" t="n">
        <v>0</v>
      </c>
      <c r="P470" s="36" t="n">
        <v>0</v>
      </c>
      <c r="Q470" s="37" t="n">
        <v>0</v>
      </c>
      <c r="R470" s="36" t="n">
        <v>33</v>
      </c>
      <c r="S470" s="37" t="n">
        <v>0.9705882352941176</v>
      </c>
      <c r="T470" s="36" t="n">
        <v>11</v>
      </c>
      <c r="U470" s="37" t="n">
        <v>0.3235294117647059</v>
      </c>
      <c r="V470" s="38" t="n">
        <v>0</v>
      </c>
      <c r="W470" s="38" t="n">
        <v>2.77</v>
      </c>
      <c r="X470" s="38" t="n">
        <v>2.984</v>
      </c>
      <c r="Y470" s="38" t="n">
        <v>0</v>
      </c>
      <c r="Z470" s="38" t="n">
        <v>0</v>
      </c>
      <c r="AA470" s="36" t="n">
        <v>25</v>
      </c>
      <c r="AB470" s="37" t="n">
        <v>0.7575757575757576</v>
      </c>
      <c r="AC470" s="36" t="n">
        <v>8</v>
      </c>
      <c r="AD470" s="37" t="n">
        <v>0.8888888888888888</v>
      </c>
      <c r="AE470" s="36" t="n">
        <v>17</v>
      </c>
      <c r="AF470" s="37" t="n">
        <v>0.7083333333333334</v>
      </c>
      <c r="AG470" s="36" t="n">
        <v>5</v>
      </c>
      <c r="AH470" s="37" t="n">
        <v>0.625</v>
      </c>
    </row>
    <row r="471">
      <c r="A471" s="53" t="n">
        <v>45822</v>
      </c>
      <c r="B471" t="inlineStr">
        <is>
          <t>R06_Jawa Timur</t>
        </is>
      </c>
      <c r="C471" t="inlineStr">
        <is>
          <t>NOP MALANG</t>
        </is>
      </c>
      <c r="D471" s="38" t="n">
        <v>0</v>
      </c>
      <c r="E471" s="38" t="n">
        <v>0</v>
      </c>
      <c r="F471" s="36" t="n">
        <v>3.23</v>
      </c>
      <c r="G471" s="36" t="n">
        <v>1.324</v>
      </c>
      <c r="H471" s="36" t="n">
        <v>17</v>
      </c>
      <c r="I471" s="37" t="n">
        <v>0.8947368421052632</v>
      </c>
      <c r="J471" s="36" t="n">
        <v>0</v>
      </c>
      <c r="K471" s="37" t="n">
        <v>0</v>
      </c>
      <c r="L471" s="36" t="n">
        <v>17</v>
      </c>
      <c r="M471" s="37" t="n">
        <v>0.8947368421052632</v>
      </c>
      <c r="N471" s="36" t="n">
        <v>0</v>
      </c>
      <c r="O471" s="37" t="n">
        <v>0</v>
      </c>
      <c r="P471" s="36" t="n">
        <v>0</v>
      </c>
      <c r="Q471" s="37" t="n">
        <v>0</v>
      </c>
      <c r="R471" s="36" t="n">
        <v>19</v>
      </c>
      <c r="S471" s="37" t="n">
        <v>1</v>
      </c>
      <c r="T471" s="36" t="n">
        <v>14</v>
      </c>
      <c r="U471" s="37" t="n">
        <v>0.7368421052631579</v>
      </c>
      <c r="V471" s="38" t="n">
        <v>0</v>
      </c>
      <c r="W471" s="38" t="n">
        <v>3.142000000000001</v>
      </c>
      <c r="X471" s="38" t="n">
        <v>11.488</v>
      </c>
      <c r="Y471" s="38" t="n">
        <v>8.960000000000001</v>
      </c>
      <c r="Z471" s="38" t="n">
        <v>0</v>
      </c>
      <c r="AA471" s="36" t="n">
        <v>18</v>
      </c>
      <c r="AB471" s="37" t="n">
        <v>0.9473684210526315</v>
      </c>
      <c r="AC471" s="36" t="n">
        <v>6</v>
      </c>
      <c r="AD471" s="37" t="n">
        <v>0.8571428571428571</v>
      </c>
      <c r="AE471" s="36" t="n">
        <v>12</v>
      </c>
      <c r="AF471" s="37" t="n">
        <v>1</v>
      </c>
      <c r="AG471" s="36" t="n">
        <v>4</v>
      </c>
      <c r="AH471" s="37" t="n">
        <v>0.6666666666666666</v>
      </c>
    </row>
    <row r="472">
      <c r="A472" s="53" t="n">
        <v>45822</v>
      </c>
      <c r="B472" t="inlineStr">
        <is>
          <t>R06_Jawa Timur</t>
        </is>
      </c>
      <c r="C472" t="inlineStr">
        <is>
          <t>NOP SIDOARJO</t>
        </is>
      </c>
      <c r="D472" s="38" t="n">
        <v>0.38</v>
      </c>
      <c r="E472" s="38" t="n">
        <v>0</v>
      </c>
      <c r="F472" s="36" t="n">
        <v>2.086</v>
      </c>
      <c r="G472" s="36" t="n">
        <v>0.37</v>
      </c>
      <c r="H472" s="36" t="n">
        <v>2</v>
      </c>
      <c r="I472" s="37" t="n">
        <v>0.4</v>
      </c>
      <c r="J472" s="36" t="n">
        <v>0</v>
      </c>
      <c r="K472" s="37" t="n">
        <v>0</v>
      </c>
      <c r="L472" s="36" t="n">
        <v>2</v>
      </c>
      <c r="M472" s="37" t="n">
        <v>0.5</v>
      </c>
      <c r="N472" s="36" t="n">
        <v>0</v>
      </c>
      <c r="O472" s="37" t="n">
        <v>0</v>
      </c>
      <c r="P472" s="36" t="n">
        <v>0</v>
      </c>
      <c r="Q472" s="37" t="n">
        <v>0</v>
      </c>
      <c r="R472" s="36" t="n">
        <v>4</v>
      </c>
      <c r="S472" s="37" t="n">
        <v>0.8</v>
      </c>
      <c r="T472" s="36" t="n">
        <v>2</v>
      </c>
      <c r="U472" s="37" t="n">
        <v>0.4</v>
      </c>
      <c r="V472" s="38" t="n">
        <v>0</v>
      </c>
      <c r="W472" s="38" t="n">
        <v>1.19</v>
      </c>
      <c r="X472" s="38" t="n">
        <v>9.608000000000001</v>
      </c>
      <c r="Y472" s="38" t="n">
        <v>0</v>
      </c>
      <c r="Z472" s="38" t="n">
        <v>0</v>
      </c>
      <c r="AA472" s="36" t="n">
        <v>12</v>
      </c>
      <c r="AB472" s="37" t="n">
        <v>0.8</v>
      </c>
      <c r="AC472" s="36" t="n">
        <v>4</v>
      </c>
      <c r="AD472" s="37" t="n">
        <v>0.6666666666666666</v>
      </c>
      <c r="AE472" s="36" t="n">
        <v>8</v>
      </c>
      <c r="AF472" s="37" t="n">
        <v>0.8888888888888888</v>
      </c>
      <c r="AG472" s="36" t="n">
        <v>3</v>
      </c>
      <c r="AH472" s="37" t="n">
        <v>0.75</v>
      </c>
    </row>
    <row r="473">
      <c r="A473" s="53" t="n">
        <v>45822</v>
      </c>
      <c r="B473" t="inlineStr">
        <is>
          <t>R06_Jawa Timur</t>
        </is>
      </c>
      <c r="C473" t="inlineStr">
        <is>
          <t>NOP SURABAYA</t>
        </is>
      </c>
      <c r="D473" s="38" t="n">
        <v>1.14</v>
      </c>
      <c r="E473" s="38" t="n">
        <v>0</v>
      </c>
      <c r="F473" s="36" t="n">
        <v>3.624</v>
      </c>
      <c r="G473" s="36" t="n">
        <v>5.791</v>
      </c>
      <c r="H473" s="36" t="n">
        <v>5</v>
      </c>
      <c r="I473" s="37" t="n">
        <v>0.625</v>
      </c>
      <c r="J473" s="36" t="n">
        <v>1</v>
      </c>
      <c r="K473" s="37" t="n">
        <v>1</v>
      </c>
      <c r="L473" s="36" t="n">
        <v>4</v>
      </c>
      <c r="M473" s="37" t="n">
        <v>0.5714285714285714</v>
      </c>
      <c r="N473" s="36" t="n">
        <v>0</v>
      </c>
      <c r="O473" s="37" t="n">
        <v>0</v>
      </c>
      <c r="P473" s="36" t="n">
        <v>0</v>
      </c>
      <c r="Q473" s="37" t="n">
        <v>0</v>
      </c>
      <c r="R473" s="36" t="n">
        <v>6</v>
      </c>
      <c r="S473" s="37" t="n">
        <v>0.75</v>
      </c>
      <c r="T473" s="36" t="n">
        <v>4</v>
      </c>
      <c r="U473" s="37" t="n">
        <v>0.5</v>
      </c>
      <c r="V473" s="38" t="n">
        <v>16.97</v>
      </c>
      <c r="W473" s="38" t="n">
        <v>2.906000000000001</v>
      </c>
      <c r="X473" s="38" t="n">
        <v>10.06</v>
      </c>
      <c r="Y473" s="38" t="n">
        <v>1.545</v>
      </c>
      <c r="Z473" s="38" t="n">
        <v>0</v>
      </c>
      <c r="AA473" s="36" t="n">
        <v>31</v>
      </c>
      <c r="AB473" s="37" t="n">
        <v>0.7560975609756098</v>
      </c>
      <c r="AC473" s="36" t="n">
        <v>5</v>
      </c>
      <c r="AD473" s="37" t="n">
        <v>0.625</v>
      </c>
      <c r="AE473" s="36" t="n">
        <v>26</v>
      </c>
      <c r="AF473" s="37" t="n">
        <v>0.7878787878787878</v>
      </c>
      <c r="AG473" s="36" t="n">
        <v>5</v>
      </c>
      <c r="AH473" s="37" t="n">
        <v>1</v>
      </c>
    </row>
    <row r="474">
      <c r="A474" s="53" t="n">
        <v>45822</v>
      </c>
      <c r="B474" t="inlineStr">
        <is>
          <t>R07_Bali Nusra</t>
        </is>
      </c>
      <c r="C474" t="inlineStr">
        <is>
          <t>NOP DENPASAR</t>
        </is>
      </c>
      <c r="D474" s="38" t="n">
        <v>8.727</v>
      </c>
      <c r="E474" s="38" t="n">
        <v>0</v>
      </c>
      <c r="F474" s="36" t="n">
        <v>2.812</v>
      </c>
      <c r="G474" s="36" t="n">
        <v>2.06</v>
      </c>
      <c r="H474" s="36" t="n">
        <v>11</v>
      </c>
      <c r="I474" s="37" t="n">
        <v>0.9166666666666666</v>
      </c>
      <c r="J474" s="36" t="n">
        <v>2</v>
      </c>
      <c r="K474" s="37" t="n">
        <v>1</v>
      </c>
      <c r="L474" s="36" t="n">
        <v>9</v>
      </c>
      <c r="M474" s="37" t="n">
        <v>0.9</v>
      </c>
      <c r="N474" s="36" t="n">
        <v>2</v>
      </c>
      <c r="O474" s="37" t="n">
        <v>1</v>
      </c>
      <c r="P474" s="36" t="n">
        <v>2</v>
      </c>
      <c r="Q474" s="37" t="n">
        <v>1</v>
      </c>
      <c r="R474" s="36" t="n">
        <v>11</v>
      </c>
      <c r="S474" s="37" t="n">
        <v>0.9166666666666666</v>
      </c>
      <c r="T474" s="36" t="n">
        <v>9</v>
      </c>
      <c r="U474" s="37" t="n">
        <v>0.75</v>
      </c>
      <c r="V474" s="38" t="n">
        <v>0</v>
      </c>
      <c r="W474" s="38" t="n">
        <v>3.104000000000001</v>
      </c>
      <c r="X474" s="38" t="n">
        <v>3.749000000000001</v>
      </c>
      <c r="Y474" s="38" t="n">
        <v>16.761</v>
      </c>
      <c r="Z474" s="38" t="n">
        <v>0</v>
      </c>
      <c r="AA474" s="36" t="n">
        <v>22</v>
      </c>
      <c r="AB474" s="37" t="n">
        <v>0.7857142857142857</v>
      </c>
      <c r="AC474" s="36" t="n">
        <v>10</v>
      </c>
      <c r="AD474" s="37" t="n">
        <v>0.8333333333333334</v>
      </c>
      <c r="AE474" s="36" t="n">
        <v>12</v>
      </c>
      <c r="AF474" s="37" t="n">
        <v>0.75</v>
      </c>
      <c r="AG474" s="36" t="n">
        <v>5</v>
      </c>
      <c r="AH474" s="37" t="n">
        <v>0.5</v>
      </c>
    </row>
    <row r="475">
      <c r="A475" s="53" t="n">
        <v>45822</v>
      </c>
      <c r="B475" t="inlineStr">
        <is>
          <t>R07_Bali Nusra</t>
        </is>
      </c>
      <c r="C475" t="inlineStr">
        <is>
          <t>NOP FLORES</t>
        </is>
      </c>
      <c r="D475" s="38" t="n">
        <v>4.236</v>
      </c>
      <c r="E475" s="38" t="n">
        <v>4.265000000000001</v>
      </c>
      <c r="F475" s="36" t="n">
        <v>8.308000000000003</v>
      </c>
      <c r="G475" s="36" t="n">
        <v>15.23</v>
      </c>
      <c r="H475" s="36" t="n">
        <v>47</v>
      </c>
      <c r="I475" s="37" t="n">
        <v>0.5164835164835165</v>
      </c>
      <c r="J475" s="36" t="n">
        <v>20</v>
      </c>
      <c r="K475" s="37" t="n">
        <v>0.5405405405405406</v>
      </c>
      <c r="L475" s="36" t="n">
        <v>27</v>
      </c>
      <c r="M475" s="37" t="n">
        <v>0.5</v>
      </c>
      <c r="N475" s="36" t="n">
        <v>12</v>
      </c>
      <c r="O475" s="37" t="n">
        <v>0.6</v>
      </c>
      <c r="P475" s="36" t="n">
        <v>12</v>
      </c>
      <c r="Q475" s="37" t="n">
        <v>0.6</v>
      </c>
      <c r="R475" s="36" t="n">
        <v>84</v>
      </c>
      <c r="S475" s="37" t="n">
        <v>0.9230769230769231</v>
      </c>
      <c r="T475" s="36" t="n">
        <v>26</v>
      </c>
      <c r="U475" s="37" t="n">
        <v>0.2857142857142857</v>
      </c>
      <c r="V475" s="38" t="n">
        <v>0</v>
      </c>
      <c r="W475" s="38" t="n">
        <v>50.61199999999999</v>
      </c>
      <c r="X475" s="38" t="n">
        <v>6.16</v>
      </c>
      <c r="Y475" s="38" t="n">
        <v>23.795</v>
      </c>
      <c r="Z475" s="38" t="n">
        <v>0</v>
      </c>
      <c r="AA475" s="36" t="n">
        <v>88</v>
      </c>
      <c r="AB475" s="37" t="n">
        <v>0.55</v>
      </c>
      <c r="AC475" s="36" t="n">
        <v>70</v>
      </c>
      <c r="AD475" s="37" t="n">
        <v>0.6194690265486725</v>
      </c>
      <c r="AE475" s="36" t="n">
        <v>18</v>
      </c>
      <c r="AF475" s="37" t="n">
        <v>0.3829787234042553</v>
      </c>
      <c r="AG475" s="36" t="n">
        <v>63</v>
      </c>
      <c r="AH475" s="37" t="n">
        <v>0.9</v>
      </c>
    </row>
    <row r="476">
      <c r="A476" s="53" t="n">
        <v>45822</v>
      </c>
      <c r="B476" t="inlineStr">
        <is>
          <t>R07_Bali Nusra</t>
        </is>
      </c>
      <c r="C476" t="inlineStr">
        <is>
          <t>NOP KUPANG</t>
        </is>
      </c>
      <c r="D476" s="38" t="n">
        <v>0</v>
      </c>
      <c r="E476" s="38" t="n">
        <v>6.62</v>
      </c>
      <c r="F476" s="36" t="n">
        <v>6.16</v>
      </c>
      <c r="G476" s="36" t="n">
        <v>7.532</v>
      </c>
      <c r="H476" s="36" t="n">
        <v>43</v>
      </c>
      <c r="I476" s="37" t="n">
        <v>0.5375</v>
      </c>
      <c r="J476" s="36" t="n">
        <v>15</v>
      </c>
      <c r="K476" s="37" t="n">
        <v>0.9375</v>
      </c>
      <c r="L476" s="36" t="n">
        <v>28</v>
      </c>
      <c r="M476" s="37" t="n">
        <v>0.4375</v>
      </c>
      <c r="N476" s="36" t="n">
        <v>15</v>
      </c>
      <c r="O476" s="37" t="n">
        <v>1</v>
      </c>
      <c r="P476" s="36" t="n">
        <v>15</v>
      </c>
      <c r="Q476" s="37" t="n">
        <v>1</v>
      </c>
      <c r="R476" s="36" t="n">
        <v>80</v>
      </c>
      <c r="S476" s="37" t="n">
        <v>1</v>
      </c>
      <c r="T476" s="36" t="n">
        <v>23</v>
      </c>
      <c r="U476" s="37" t="n">
        <v>0.2875</v>
      </c>
      <c r="V476" s="38" t="n">
        <v>0</v>
      </c>
      <c r="W476" s="38" t="n">
        <v>13.444</v>
      </c>
      <c r="X476" s="38" t="n">
        <v>9.710000000000001</v>
      </c>
      <c r="Y476" s="38" t="n">
        <v>19.087</v>
      </c>
      <c r="Z476" s="38" t="n">
        <v>0</v>
      </c>
      <c r="AA476" s="36" t="n">
        <v>43</v>
      </c>
      <c r="AB476" s="37" t="n">
        <v>0.5733333333333334</v>
      </c>
      <c r="AC476" s="36" t="n">
        <v>22</v>
      </c>
      <c r="AD476" s="37" t="n">
        <v>0.4680851063829787</v>
      </c>
      <c r="AE476" s="36" t="n">
        <v>21</v>
      </c>
      <c r="AF476" s="37" t="n">
        <v>0.75</v>
      </c>
      <c r="AG476" s="36" t="n">
        <v>19</v>
      </c>
      <c r="AH476" s="37" t="n">
        <v>0.8636363636363636</v>
      </c>
    </row>
    <row r="477">
      <c r="A477" s="53" t="n">
        <v>45822</v>
      </c>
      <c r="B477" t="inlineStr">
        <is>
          <t>R07_Bali Nusra</t>
        </is>
      </c>
      <c r="C477" t="inlineStr">
        <is>
          <t>NOP MATARAM</t>
        </is>
      </c>
      <c r="D477" s="38" t="n">
        <v>0.6779999999999999</v>
      </c>
      <c r="E477" s="38" t="n">
        <v>0</v>
      </c>
      <c r="F477" s="36" t="n">
        <v>3.448</v>
      </c>
      <c r="G477" s="36" t="n">
        <v>2.114</v>
      </c>
      <c r="H477" s="36" t="n">
        <v>17</v>
      </c>
      <c r="I477" s="37" t="n">
        <v>0.6071428571428571</v>
      </c>
      <c r="J477" s="36" t="n">
        <v>4</v>
      </c>
      <c r="K477" s="37" t="n">
        <v>1</v>
      </c>
      <c r="L477" s="36" t="n">
        <v>13</v>
      </c>
      <c r="M477" s="37" t="n">
        <v>0.5416666666666666</v>
      </c>
      <c r="N477" s="36" t="n">
        <v>4</v>
      </c>
      <c r="O477" s="37" t="n">
        <v>1</v>
      </c>
      <c r="P477" s="36" t="n">
        <v>4</v>
      </c>
      <c r="Q477" s="37" t="n">
        <v>1</v>
      </c>
      <c r="R477" s="36" t="n">
        <v>28</v>
      </c>
      <c r="S477" s="37" t="n">
        <v>1</v>
      </c>
      <c r="T477" s="36" t="n">
        <v>10</v>
      </c>
      <c r="U477" s="37" t="n">
        <v>0.3571428571428572</v>
      </c>
      <c r="V477" s="38" t="n">
        <v>6.864</v>
      </c>
      <c r="W477" s="38" t="n">
        <v>10.45</v>
      </c>
      <c r="X477" s="38" t="n">
        <v>9.98</v>
      </c>
      <c r="Y477" s="38" t="n">
        <v>28.582</v>
      </c>
      <c r="Z477" s="38" t="n">
        <v>0</v>
      </c>
      <c r="AA477" s="36" t="n">
        <v>26</v>
      </c>
      <c r="AB477" s="37" t="n">
        <v>0.52</v>
      </c>
      <c r="AC477" s="36" t="n">
        <v>18</v>
      </c>
      <c r="AD477" s="37" t="n">
        <v>0.5294117647058824</v>
      </c>
      <c r="AE477" s="36" t="n">
        <v>8</v>
      </c>
      <c r="AF477" s="37" t="n">
        <v>0.5</v>
      </c>
      <c r="AG477" s="36" t="n">
        <v>8</v>
      </c>
      <c r="AH477" s="37" t="n">
        <v>0.4444444444444444</v>
      </c>
    </row>
    <row r="478">
      <c r="A478" s="53" t="n">
        <v>45823</v>
      </c>
      <c r="B478" t="inlineStr">
        <is>
          <t>R01_Sumbagut</t>
        </is>
      </c>
      <c r="C478" t="inlineStr">
        <is>
          <t>NOP ACEH</t>
        </is>
      </c>
      <c r="D478" s="38" t="n">
        <v>2.29</v>
      </c>
      <c r="E478" s="38" t="n">
        <v>2.327999999999999</v>
      </c>
      <c r="F478" s="36" t="n">
        <v>3.433000000000002</v>
      </c>
      <c r="G478" s="36" t="n">
        <v>6.652000000000002</v>
      </c>
      <c r="H478" s="36" t="n">
        <v>65</v>
      </c>
      <c r="I478" s="37" t="n">
        <v>0.9848484848484849</v>
      </c>
      <c r="J478" s="36" t="n">
        <v>10</v>
      </c>
      <c r="K478" s="37" t="n">
        <v>0.9090909090909091</v>
      </c>
      <c r="L478" s="36" t="n">
        <v>55</v>
      </c>
      <c r="M478" s="37" t="n">
        <v>1</v>
      </c>
      <c r="N478" s="36" t="n">
        <v>4</v>
      </c>
      <c r="O478" s="37" t="n">
        <v>0.4</v>
      </c>
      <c r="P478" s="36" t="n">
        <v>4</v>
      </c>
      <c r="Q478" s="37" t="n">
        <v>0.4</v>
      </c>
      <c r="R478" s="36" t="n">
        <v>66</v>
      </c>
      <c r="S478" s="37" t="n">
        <v>1</v>
      </c>
      <c r="T478" s="36" t="n">
        <v>16</v>
      </c>
      <c r="U478" s="37" t="n">
        <v>0.2424242424242424</v>
      </c>
      <c r="V478" s="38" t="n">
        <v>0</v>
      </c>
      <c r="W478" s="38" t="n">
        <v>6.241</v>
      </c>
      <c r="X478" s="38" t="n">
        <v>18.78</v>
      </c>
      <c r="Y478" s="38" t="n">
        <v>22.329</v>
      </c>
      <c r="Z478" s="38" t="n">
        <v>0</v>
      </c>
      <c r="AA478" s="36" t="n">
        <v>189</v>
      </c>
      <c r="AB478" s="37" t="n">
        <v>0.8957345971563981</v>
      </c>
      <c r="AC478" s="36" t="n">
        <v>33</v>
      </c>
      <c r="AD478" s="37" t="n">
        <v>0.7857142857142857</v>
      </c>
      <c r="AE478" s="36" t="n">
        <v>152</v>
      </c>
      <c r="AF478" s="37" t="n">
        <v>0.9212121212121213</v>
      </c>
      <c r="AG478" s="36" t="n">
        <v>2</v>
      </c>
      <c r="AH478" s="37" t="n">
        <v>0.06060606060606061</v>
      </c>
    </row>
    <row r="479">
      <c r="A479" s="53" t="n">
        <v>45823</v>
      </c>
      <c r="B479" t="inlineStr">
        <is>
          <t>R01_Sumbagut</t>
        </is>
      </c>
      <c r="C479" t="inlineStr">
        <is>
          <t>NOP BINJAI</t>
        </is>
      </c>
      <c r="D479" s="38" t="n">
        <v>0</v>
      </c>
      <c r="E479" s="38" t="n">
        <v>1.95</v>
      </c>
      <c r="F479" s="36" t="n">
        <v>1.224</v>
      </c>
      <c r="G479" s="36" t="n">
        <v>4.713000000000002</v>
      </c>
      <c r="H479" s="36" t="n">
        <v>11</v>
      </c>
      <c r="I479" s="37" t="n">
        <v>0.275</v>
      </c>
      <c r="J479" s="36" t="n">
        <v>4</v>
      </c>
      <c r="K479" s="37" t="n">
        <v>0.3636363636363636</v>
      </c>
      <c r="L479" s="36" t="n">
        <v>7</v>
      </c>
      <c r="M479" s="37" t="n">
        <v>0.2413793103448276</v>
      </c>
      <c r="N479" s="36" t="n">
        <v>3</v>
      </c>
      <c r="O479" s="37" t="n">
        <v>0.75</v>
      </c>
      <c r="P479" s="36" t="n">
        <v>3</v>
      </c>
      <c r="Q479" s="37" t="n">
        <v>0.75</v>
      </c>
      <c r="R479" s="36" t="n">
        <v>40</v>
      </c>
      <c r="S479" s="37" t="n">
        <v>1</v>
      </c>
      <c r="T479" s="36" t="n">
        <v>6</v>
      </c>
      <c r="U479" s="37" t="n">
        <v>0.15</v>
      </c>
      <c r="V479" s="38" t="n">
        <v>0.15</v>
      </c>
      <c r="W479" s="38" t="n">
        <v>1.454000000000001</v>
      </c>
      <c r="X479" s="38" t="n">
        <v>12.997</v>
      </c>
      <c r="Y479" s="38" t="n">
        <v>5.67</v>
      </c>
      <c r="Z479" s="38" t="n">
        <v>0</v>
      </c>
      <c r="AA479" s="36" t="n">
        <v>57</v>
      </c>
      <c r="AB479" s="37" t="n">
        <v>0.6</v>
      </c>
      <c r="AC479" s="36" t="n">
        <v>13</v>
      </c>
      <c r="AD479" s="37" t="n">
        <v>0.3823529411764706</v>
      </c>
      <c r="AE479" s="36" t="n">
        <v>42</v>
      </c>
      <c r="AF479" s="37" t="n">
        <v>0.7368421052631579</v>
      </c>
      <c r="AG479" s="36" t="n">
        <v>3</v>
      </c>
      <c r="AH479" s="37" t="n">
        <v>0.2307692307692308</v>
      </c>
    </row>
    <row r="480">
      <c r="A480" s="53" t="n">
        <v>45823</v>
      </c>
      <c r="B480" t="inlineStr">
        <is>
          <t>R01_Sumbagut</t>
        </is>
      </c>
      <c r="C480" t="inlineStr">
        <is>
          <t>NOP MEDAN</t>
        </is>
      </c>
      <c r="D480" s="38" t="n">
        <v>4.535</v>
      </c>
      <c r="E480" s="38" t="n">
        <v>4.734000000000001</v>
      </c>
      <c r="F480" s="36" t="n">
        <v>2.087</v>
      </c>
      <c r="G480" s="36" t="n">
        <v>9.071999999999999</v>
      </c>
      <c r="H480" s="36" t="n">
        <v>27</v>
      </c>
      <c r="I480" s="37" t="n">
        <v>0.6136363636363636</v>
      </c>
      <c r="J480" s="36" t="n">
        <v>23</v>
      </c>
      <c r="K480" s="37" t="n">
        <v>0.696969696969697</v>
      </c>
      <c r="L480" s="36" t="n">
        <v>4</v>
      </c>
      <c r="M480" s="37" t="n">
        <v>0.3636363636363636</v>
      </c>
      <c r="N480" s="36" t="n">
        <v>20</v>
      </c>
      <c r="O480" s="37" t="n">
        <v>0.8695652173913043</v>
      </c>
      <c r="P480" s="36" t="n">
        <v>20</v>
      </c>
      <c r="Q480" s="37" t="n">
        <v>0.8695652173913043</v>
      </c>
      <c r="R480" s="36" t="n">
        <v>38</v>
      </c>
      <c r="S480" s="37" t="n">
        <v>0.8636363636363636</v>
      </c>
      <c r="T480" s="36" t="n">
        <v>24</v>
      </c>
      <c r="U480" s="37" t="n">
        <v>0.5454545454545454</v>
      </c>
      <c r="V480" s="38" t="n">
        <v>0</v>
      </c>
      <c r="W480" s="38" t="n">
        <v>5.466000000000001</v>
      </c>
      <c r="X480" s="38" t="n">
        <v>7.744000000000003</v>
      </c>
      <c r="Y480" s="38" t="n">
        <v>0.198</v>
      </c>
      <c r="Z480" s="38" t="n">
        <v>0</v>
      </c>
      <c r="AA480" s="36" t="n">
        <v>9</v>
      </c>
      <c r="AB480" s="37" t="n">
        <v>0.169811320754717</v>
      </c>
      <c r="AC480" s="36" t="n">
        <v>4</v>
      </c>
      <c r="AD480" s="37" t="n">
        <v>0.16</v>
      </c>
      <c r="AE480" s="36" t="n">
        <v>5</v>
      </c>
      <c r="AF480" s="37" t="n">
        <v>0.1785714285714286</v>
      </c>
      <c r="AG480" s="36" t="n">
        <v>4</v>
      </c>
      <c r="AH480" s="37" t="n">
        <v>1</v>
      </c>
    </row>
    <row r="481">
      <c r="A481" s="53" t="n">
        <v>45823</v>
      </c>
      <c r="B481" t="inlineStr">
        <is>
          <t>R01_Sumbagut</t>
        </is>
      </c>
      <c r="C481" t="inlineStr">
        <is>
          <t>NOP PADANG SIDEMPUAN</t>
        </is>
      </c>
      <c r="D481" s="38" t="n">
        <v>1.432</v>
      </c>
      <c r="E481" s="38" t="n">
        <v>2.19</v>
      </c>
      <c r="F481" s="36" t="n">
        <v>1.42</v>
      </c>
      <c r="G481" s="36" t="n">
        <v>2.215</v>
      </c>
      <c r="H481" s="36" t="n">
        <v>33</v>
      </c>
      <c r="I481" s="37" t="n">
        <v>0.4714285714285714</v>
      </c>
      <c r="J481" s="36" t="n">
        <v>2</v>
      </c>
      <c r="K481" s="37" t="n">
        <v>0.6666666666666666</v>
      </c>
      <c r="L481" s="36" t="n">
        <v>31</v>
      </c>
      <c r="M481" s="37" t="n">
        <v>0.4626865671641791</v>
      </c>
      <c r="N481" s="36" t="n">
        <v>1</v>
      </c>
      <c r="O481" s="37" t="n">
        <v>0.5</v>
      </c>
      <c r="P481" s="36" t="n">
        <v>1</v>
      </c>
      <c r="Q481" s="37" t="n">
        <v>0.5</v>
      </c>
      <c r="R481" s="36" t="n">
        <v>70</v>
      </c>
      <c r="S481" s="37" t="n">
        <v>1</v>
      </c>
      <c r="T481" s="36" t="n">
        <v>13</v>
      </c>
      <c r="U481" s="37" t="n">
        <v>0.1857142857142857</v>
      </c>
      <c r="V481" s="38" t="n">
        <v>0.14</v>
      </c>
      <c r="W481" s="38" t="n">
        <v>1.564</v>
      </c>
      <c r="X481" s="38" t="n">
        <v>5.938000000000004</v>
      </c>
      <c r="Y481" s="38" t="n">
        <v>9.019000000000037</v>
      </c>
      <c r="Z481" s="38" t="n">
        <v>0</v>
      </c>
      <c r="AA481" s="36" t="n">
        <v>136</v>
      </c>
      <c r="AB481" s="37" t="n">
        <v>0.6181818181818182</v>
      </c>
      <c r="AC481" s="36" t="n">
        <v>65</v>
      </c>
      <c r="AD481" s="37" t="n">
        <v>0.6018518518518519</v>
      </c>
      <c r="AE481" s="36" t="n">
        <v>67</v>
      </c>
      <c r="AF481" s="37" t="n">
        <v>0.6261682242990654</v>
      </c>
      <c r="AG481" s="36" t="n">
        <v>29</v>
      </c>
      <c r="AH481" s="37" t="n">
        <v>0.4461538461538462</v>
      </c>
    </row>
    <row r="482">
      <c r="A482" s="53" t="n">
        <v>45823</v>
      </c>
      <c r="B482" t="inlineStr">
        <is>
          <t>R01_Sumbagut</t>
        </is>
      </c>
      <c r="C482" t="inlineStr">
        <is>
          <t>NOP PEMATANG SIANTAR</t>
        </is>
      </c>
      <c r="D482" s="38" t="n">
        <v>0.88</v>
      </c>
      <c r="E482" s="38" t="n">
        <v>3.107</v>
      </c>
      <c r="F482" s="36" t="n">
        <v>3.31</v>
      </c>
      <c r="G482" s="36" t="n">
        <v>9.110000000000003</v>
      </c>
      <c r="H482" s="36" t="n">
        <v>16</v>
      </c>
      <c r="I482" s="37" t="n">
        <v>0.3478260869565217</v>
      </c>
      <c r="J482" s="36" t="n">
        <v>5</v>
      </c>
      <c r="K482" s="37" t="n">
        <v>0.4545454545454545</v>
      </c>
      <c r="L482" s="36" t="n">
        <v>11</v>
      </c>
      <c r="M482" s="37" t="n">
        <v>0.3142857142857143</v>
      </c>
      <c r="N482" s="36" t="n">
        <v>2</v>
      </c>
      <c r="O482" s="37" t="n">
        <v>0.4</v>
      </c>
      <c r="P482" s="36" t="n">
        <v>2</v>
      </c>
      <c r="Q482" s="37" t="n">
        <v>0.4</v>
      </c>
      <c r="R482" s="36" t="n">
        <v>45</v>
      </c>
      <c r="S482" s="37" t="n">
        <v>0.9782608695652174</v>
      </c>
      <c r="T482" s="36" t="n">
        <v>8</v>
      </c>
      <c r="U482" s="37" t="n">
        <v>0.1739130434782609</v>
      </c>
      <c r="V482" s="38" t="n">
        <v>0</v>
      </c>
      <c r="W482" s="38" t="n">
        <v>2.894000000000001</v>
      </c>
      <c r="X482" s="38" t="n">
        <v>21.79</v>
      </c>
      <c r="Y482" s="38" t="n">
        <v>19.489</v>
      </c>
      <c r="Z482" s="38" t="n">
        <v>0</v>
      </c>
      <c r="AA482" s="36" t="n">
        <v>57</v>
      </c>
      <c r="AB482" s="37" t="n">
        <v>0.6</v>
      </c>
      <c r="AC482" s="36" t="n">
        <v>19</v>
      </c>
      <c r="AD482" s="37" t="n">
        <v>0.5757575757575758</v>
      </c>
      <c r="AE482" s="36" t="n">
        <v>38</v>
      </c>
      <c r="AF482" s="37" t="n">
        <v>0.6333333333333333</v>
      </c>
      <c r="AG482" s="36" t="n">
        <v>11</v>
      </c>
      <c r="AH482" s="37" t="n">
        <v>0.5789473684210527</v>
      </c>
    </row>
    <row r="483">
      <c r="A483" s="53" t="n">
        <v>45823</v>
      </c>
      <c r="B483" t="inlineStr">
        <is>
          <t>R01_Sumbagut</t>
        </is>
      </c>
      <c r="C483" t="inlineStr">
        <is>
          <t>NOP RANTAU PRAPAT</t>
        </is>
      </c>
      <c r="D483" s="38" t="n">
        <v>0</v>
      </c>
      <c r="E483" s="38" t="n">
        <v>3.07</v>
      </c>
      <c r="F483" s="36" t="n">
        <v>2.634000000000001</v>
      </c>
      <c r="G483" s="36" t="n">
        <v>3.75</v>
      </c>
      <c r="H483" s="36" t="n">
        <v>36</v>
      </c>
      <c r="I483" s="37" t="n">
        <v>0.4615384615384616</v>
      </c>
      <c r="J483" s="36" t="n">
        <v>8</v>
      </c>
      <c r="K483" s="37" t="n">
        <v>0.4705882352941176</v>
      </c>
      <c r="L483" s="36" t="n">
        <v>28</v>
      </c>
      <c r="M483" s="37" t="n">
        <v>0.459016393442623</v>
      </c>
      <c r="N483" s="36" t="n">
        <v>6</v>
      </c>
      <c r="O483" s="37" t="n">
        <v>0.75</v>
      </c>
      <c r="P483" s="36" t="n">
        <v>6</v>
      </c>
      <c r="Q483" s="37" t="n">
        <v>0.75</v>
      </c>
      <c r="R483" s="36" t="n">
        <v>75</v>
      </c>
      <c r="S483" s="37" t="n">
        <v>0.9615384615384616</v>
      </c>
      <c r="T483" s="36" t="n">
        <v>27</v>
      </c>
      <c r="U483" s="37" t="n">
        <v>0.3461538461538461</v>
      </c>
      <c r="V483" s="38" t="n">
        <v>0</v>
      </c>
      <c r="W483" s="38" t="n">
        <v>1.44</v>
      </c>
      <c r="X483" s="38" t="n">
        <v>22.07</v>
      </c>
      <c r="Y483" s="38" t="n">
        <v>22.825</v>
      </c>
      <c r="Z483" s="38" t="n">
        <v>0</v>
      </c>
      <c r="AA483" s="36" t="n">
        <v>23</v>
      </c>
      <c r="AB483" s="37" t="n">
        <v>0.1678832116788321</v>
      </c>
      <c r="AC483" s="36" t="n">
        <v>5</v>
      </c>
      <c r="AD483" s="37" t="n">
        <v>0.25</v>
      </c>
      <c r="AE483" s="36" t="n">
        <v>17</v>
      </c>
      <c r="AF483" s="37" t="n">
        <v>0.1504424778761062</v>
      </c>
      <c r="AG483" s="36" t="n">
        <v>4</v>
      </c>
      <c r="AH483" s="37" t="n">
        <v>0.8</v>
      </c>
    </row>
    <row r="484">
      <c r="A484" s="53" t="n">
        <v>45823</v>
      </c>
      <c r="B484" t="inlineStr">
        <is>
          <t>R10_Sumbagteng</t>
        </is>
      </c>
      <c r="C484" t="inlineStr">
        <is>
          <t>NOP BATAM</t>
        </is>
      </c>
      <c r="D484" s="38" t="n">
        <v>0</v>
      </c>
      <c r="E484" s="38" t="n">
        <v>8.634999999999998</v>
      </c>
      <c r="F484" s="36" t="n">
        <v>13.271</v>
      </c>
      <c r="G484" s="36" t="n">
        <v>8.52</v>
      </c>
      <c r="H484" s="36" t="n">
        <v>16</v>
      </c>
      <c r="I484" s="37" t="n">
        <v>0.2222222222222222</v>
      </c>
      <c r="J484" s="36" t="n">
        <v>5</v>
      </c>
      <c r="K484" s="37" t="n">
        <v>0.625</v>
      </c>
      <c r="L484" s="36" t="n">
        <v>11</v>
      </c>
      <c r="M484" s="37" t="n">
        <v>0.171875</v>
      </c>
      <c r="N484" s="36" t="n">
        <v>5</v>
      </c>
      <c r="O484" s="37" t="n">
        <v>1</v>
      </c>
      <c r="P484" s="36" t="n">
        <v>5</v>
      </c>
      <c r="Q484" s="37" t="n">
        <v>1</v>
      </c>
      <c r="R484" s="36" t="n">
        <v>71</v>
      </c>
      <c r="S484" s="37" t="n">
        <v>0.9861111111111112</v>
      </c>
      <c r="T484" s="36" t="n">
        <v>13</v>
      </c>
      <c r="U484" s="37" t="n">
        <v>0.1805555555555556</v>
      </c>
      <c r="V484" s="38" t="n">
        <v>0</v>
      </c>
      <c r="W484" s="38" t="n">
        <v>8.980000000000002</v>
      </c>
      <c r="X484" s="38" t="n">
        <v>20.232</v>
      </c>
      <c r="Y484" s="38" t="n">
        <v>14.382</v>
      </c>
      <c r="Z484" s="38" t="n">
        <v>0</v>
      </c>
      <c r="AA484" s="36" t="n">
        <v>49</v>
      </c>
      <c r="AB484" s="37" t="n">
        <v>0.1967871485943775</v>
      </c>
      <c r="AC484" s="36" t="n">
        <v>25</v>
      </c>
      <c r="AD484" s="37" t="n">
        <v>0.2777777777777778</v>
      </c>
      <c r="AE484" s="36" t="n">
        <v>23</v>
      </c>
      <c r="AF484" s="37" t="n">
        <v>0.1474358974358974</v>
      </c>
      <c r="AG484" s="36" t="n">
        <v>22</v>
      </c>
      <c r="AH484" s="37" t="n">
        <v>0.88</v>
      </c>
    </row>
    <row r="485">
      <c r="A485" s="53" t="n">
        <v>45823</v>
      </c>
      <c r="B485" t="inlineStr">
        <is>
          <t>R10_Sumbagteng</t>
        </is>
      </c>
      <c r="C485" t="inlineStr">
        <is>
          <t>NOP BUKITTINGGI</t>
        </is>
      </c>
      <c r="D485" s="38" t="n">
        <v>0</v>
      </c>
      <c r="E485" s="38" t="n">
        <v>1.73</v>
      </c>
      <c r="F485" s="36" t="n">
        <v>3.823999999999997</v>
      </c>
      <c r="G485" s="36" t="n">
        <v>14.49700000000001</v>
      </c>
      <c r="H485" s="36" t="n">
        <v>41</v>
      </c>
      <c r="I485" s="37" t="n">
        <v>0.6612903225806451</v>
      </c>
      <c r="J485" s="36" t="n">
        <v>9</v>
      </c>
      <c r="K485" s="37" t="n">
        <v>0.8181818181818182</v>
      </c>
      <c r="L485" s="36" t="n">
        <v>32</v>
      </c>
      <c r="M485" s="37" t="n">
        <v>0.6274509803921569</v>
      </c>
      <c r="N485" s="36" t="n">
        <v>5</v>
      </c>
      <c r="O485" s="37" t="n">
        <v>0.5555555555555556</v>
      </c>
      <c r="P485" s="36" t="n">
        <v>5</v>
      </c>
      <c r="Q485" s="37" t="n">
        <v>0.5555555555555556</v>
      </c>
      <c r="R485" s="36" t="n">
        <v>57</v>
      </c>
      <c r="S485" s="37" t="n">
        <v>0.9193548387096774</v>
      </c>
      <c r="T485" s="36" t="n">
        <v>20</v>
      </c>
      <c r="U485" s="37" t="n">
        <v>0.3225806451612903</v>
      </c>
      <c r="V485" s="38" t="n">
        <v>0</v>
      </c>
      <c r="W485" s="38" t="n">
        <v>4.835</v>
      </c>
      <c r="X485" s="38" t="n">
        <v>23.23</v>
      </c>
      <c r="Y485" s="38" t="n">
        <v>18.02000000000001</v>
      </c>
      <c r="Z485" s="38" t="n">
        <v>0</v>
      </c>
      <c r="AA485" s="36" t="n">
        <v>59</v>
      </c>
      <c r="AB485" s="37" t="n">
        <v>0.6276595744680851</v>
      </c>
      <c r="AC485" s="36" t="n">
        <v>7</v>
      </c>
      <c r="AD485" s="37" t="n">
        <v>0.875</v>
      </c>
      <c r="AE485" s="36" t="n">
        <v>49</v>
      </c>
      <c r="AF485" s="37" t="n">
        <v>0.5975609756097561</v>
      </c>
      <c r="AG485" s="36" t="n">
        <v>7</v>
      </c>
      <c r="AH485" s="37" t="n">
        <v>1</v>
      </c>
    </row>
    <row r="486">
      <c r="A486" s="53" t="n">
        <v>45823</v>
      </c>
      <c r="B486" t="inlineStr">
        <is>
          <t>R10_Sumbagteng</t>
        </is>
      </c>
      <c r="C486" t="inlineStr">
        <is>
          <t>NOP DUMAI</t>
        </is>
      </c>
      <c r="D486" s="38" t="n">
        <v>0.36</v>
      </c>
      <c r="E486" s="38" t="n">
        <v>4.683999999999998</v>
      </c>
      <c r="F486" s="36" t="n">
        <v>4.174000000000002</v>
      </c>
      <c r="G486" s="36" t="n">
        <v>4.746000000000001</v>
      </c>
      <c r="H486" s="36" t="n">
        <v>53</v>
      </c>
      <c r="I486" s="37" t="n">
        <v>0.53</v>
      </c>
      <c r="J486" s="36" t="n">
        <v>11</v>
      </c>
      <c r="K486" s="37" t="n">
        <v>0.5238095238095238</v>
      </c>
      <c r="L486" s="36" t="n">
        <v>42</v>
      </c>
      <c r="M486" s="37" t="n">
        <v>0.5316455696202531</v>
      </c>
      <c r="N486" s="36" t="n">
        <v>8</v>
      </c>
      <c r="O486" s="37" t="n">
        <v>0.7272727272727273</v>
      </c>
      <c r="P486" s="36" t="n">
        <v>8</v>
      </c>
      <c r="Q486" s="37" t="n">
        <v>0.7272727272727273</v>
      </c>
      <c r="R486" s="36" t="n">
        <v>97</v>
      </c>
      <c r="S486" s="37" t="n">
        <v>0.97</v>
      </c>
      <c r="T486" s="36" t="n">
        <v>32</v>
      </c>
      <c r="U486" s="37" t="n">
        <v>0.32</v>
      </c>
      <c r="V486" s="38" t="n">
        <v>0.1</v>
      </c>
      <c r="W486" s="38" t="n">
        <v>10.466</v>
      </c>
      <c r="X486" s="38" t="n">
        <v>15.955</v>
      </c>
      <c r="Y486" s="38" t="n">
        <v>13.374</v>
      </c>
      <c r="Z486" s="38" t="n">
        <v>0</v>
      </c>
      <c r="AA486" s="36" t="n">
        <v>78</v>
      </c>
      <c r="AB486" s="37" t="n">
        <v>0.3132530120481928</v>
      </c>
      <c r="AC486" s="36" t="n">
        <v>43</v>
      </c>
      <c r="AD486" s="37" t="n">
        <v>0.6142857142857143</v>
      </c>
      <c r="AE486" s="36" t="n">
        <v>35</v>
      </c>
      <c r="AF486" s="37" t="n">
        <v>0.1966292134831461</v>
      </c>
      <c r="AG486" s="36" t="n">
        <v>34</v>
      </c>
      <c r="AH486" s="37" t="n">
        <v>0.7906976744186046</v>
      </c>
    </row>
    <row r="487">
      <c r="A487" s="53" t="n">
        <v>45823</v>
      </c>
      <c r="B487" t="inlineStr">
        <is>
          <t>R10_Sumbagteng</t>
        </is>
      </c>
      <c r="C487" t="inlineStr">
        <is>
          <t>NOP PADANG</t>
        </is>
      </c>
      <c r="D487" s="38" t="n">
        <v>0</v>
      </c>
      <c r="E487" s="38" t="n">
        <v>1.349</v>
      </c>
      <c r="F487" s="36" t="n">
        <v>3.12</v>
      </c>
      <c r="G487" s="36" t="n">
        <v>7.536999999999999</v>
      </c>
      <c r="H487" s="36" t="n">
        <v>19</v>
      </c>
      <c r="I487" s="37" t="n">
        <v>0.9047619047619048</v>
      </c>
      <c r="J487" s="36" t="n">
        <v>2</v>
      </c>
      <c r="K487" s="37" t="n">
        <v>1</v>
      </c>
      <c r="L487" s="36" t="n">
        <v>17</v>
      </c>
      <c r="M487" s="37" t="n">
        <v>0.8947368421052632</v>
      </c>
      <c r="N487" s="36" t="n">
        <v>1</v>
      </c>
      <c r="O487" s="37" t="n">
        <v>0.5</v>
      </c>
      <c r="P487" s="36" t="n">
        <v>1</v>
      </c>
      <c r="Q487" s="37" t="n">
        <v>0.5</v>
      </c>
      <c r="R487" s="36" t="n">
        <v>21</v>
      </c>
      <c r="S487" s="37" t="n">
        <v>1</v>
      </c>
      <c r="T487" s="36" t="n">
        <v>7</v>
      </c>
      <c r="U487" s="37" t="n">
        <v>0.3333333333333333</v>
      </c>
      <c r="V487" s="38" t="n">
        <v>0.01</v>
      </c>
      <c r="W487" s="38" t="n">
        <v>4.33</v>
      </c>
      <c r="X487" s="38" t="n">
        <v>21.119</v>
      </c>
      <c r="Y487" s="38" t="n">
        <v>6.646000000000002</v>
      </c>
      <c r="Z487" s="38" t="n">
        <v>0</v>
      </c>
      <c r="AA487" s="36" t="n">
        <v>66</v>
      </c>
      <c r="AB487" s="37" t="n">
        <v>0.8571428571428571</v>
      </c>
      <c r="AC487" s="36" t="n">
        <v>18</v>
      </c>
      <c r="AD487" s="37" t="n">
        <v>0.75</v>
      </c>
      <c r="AE487" s="36" t="n">
        <v>46</v>
      </c>
      <c r="AF487" s="37" t="n">
        <v>0.9019607843137255</v>
      </c>
      <c r="AG487" s="36" t="n">
        <v>14</v>
      </c>
      <c r="AH487" s="37" t="n">
        <v>0.7777777777777778</v>
      </c>
    </row>
    <row r="488">
      <c r="A488" s="53" t="n">
        <v>45823</v>
      </c>
      <c r="B488" t="inlineStr">
        <is>
          <t>R10_Sumbagteng</t>
        </is>
      </c>
      <c r="C488" t="inlineStr">
        <is>
          <t>NOP PEKANBARU</t>
        </is>
      </c>
      <c r="D488" s="38" t="n">
        <v>0</v>
      </c>
      <c r="E488" s="38" t="n">
        <v>2.41</v>
      </c>
      <c r="F488" s="36" t="n">
        <v>3.257</v>
      </c>
      <c r="G488" s="36" t="n">
        <v>7.359999999999994</v>
      </c>
      <c r="H488" s="36" t="n">
        <v>59</v>
      </c>
      <c r="I488" s="37" t="n">
        <v>0.4916666666666666</v>
      </c>
      <c r="J488" s="36" t="n">
        <v>7</v>
      </c>
      <c r="K488" s="37" t="n">
        <v>0.6363636363636364</v>
      </c>
      <c r="L488" s="36" t="n">
        <v>52</v>
      </c>
      <c r="M488" s="37" t="n">
        <v>0.4770642201834863</v>
      </c>
      <c r="N488" s="36" t="n">
        <v>5</v>
      </c>
      <c r="O488" s="37" t="n">
        <v>0.7142857142857143</v>
      </c>
      <c r="P488" s="36" t="n">
        <v>5</v>
      </c>
      <c r="Q488" s="37" t="n">
        <v>0.7142857142857143</v>
      </c>
      <c r="R488" s="36" t="n">
        <v>116</v>
      </c>
      <c r="S488" s="37" t="n">
        <v>0.9666666666666667</v>
      </c>
      <c r="T488" s="36" t="n">
        <v>33</v>
      </c>
      <c r="U488" s="37" t="n">
        <v>0.275</v>
      </c>
      <c r="V488" s="38" t="n">
        <v>0.009000000000000001</v>
      </c>
      <c r="W488" s="38" t="n">
        <v>5.630000000000001</v>
      </c>
      <c r="X488" s="38" t="n">
        <v>17.41</v>
      </c>
      <c r="Y488" s="38" t="n">
        <v>19.712</v>
      </c>
      <c r="Z488" s="38" t="n">
        <v>0</v>
      </c>
      <c r="AA488" s="36" t="n">
        <v>59</v>
      </c>
      <c r="AB488" s="37" t="n">
        <v>0.2286821705426356</v>
      </c>
      <c r="AC488" s="36" t="n">
        <v>26</v>
      </c>
      <c r="AD488" s="37" t="n">
        <v>0.3333333333333333</v>
      </c>
      <c r="AE488" s="36" t="n">
        <v>32</v>
      </c>
      <c r="AF488" s="37" t="n">
        <v>0.1807909604519774</v>
      </c>
      <c r="AG488" s="36" t="n">
        <v>24</v>
      </c>
      <c r="AH488" s="37" t="n">
        <v>0.9230769230769231</v>
      </c>
    </row>
    <row r="489">
      <c r="A489" s="53" t="n">
        <v>45823</v>
      </c>
      <c r="B489" t="inlineStr">
        <is>
          <t>R02_Sumbagsel</t>
        </is>
      </c>
      <c r="C489" t="inlineStr">
        <is>
          <t>NOP BENGKULU</t>
        </is>
      </c>
      <c r="D489" s="38" t="n">
        <v>3.511</v>
      </c>
      <c r="E489" s="38" t="n">
        <v>5.05</v>
      </c>
      <c r="F489" s="36" t="n">
        <v>3.976</v>
      </c>
      <c r="G489" s="36" t="n">
        <v>5.378000000000009</v>
      </c>
      <c r="H489" s="36" t="n">
        <v>20</v>
      </c>
      <c r="I489" s="37" t="n">
        <v>0.2985074626865671</v>
      </c>
      <c r="J489" s="36" t="n">
        <v>7</v>
      </c>
      <c r="K489" s="37" t="n">
        <v>0.3043478260869565</v>
      </c>
      <c r="L489" s="36" t="n">
        <v>13</v>
      </c>
      <c r="M489" s="37" t="n">
        <v>0.2954545454545455</v>
      </c>
      <c r="N489" s="36" t="n">
        <v>5</v>
      </c>
      <c r="O489" s="37" t="n">
        <v>0.7142857142857143</v>
      </c>
      <c r="P489" s="36" t="n">
        <v>5</v>
      </c>
      <c r="Q489" s="37" t="n">
        <v>0.7142857142857143</v>
      </c>
      <c r="R489" s="36" t="n">
        <v>67</v>
      </c>
      <c r="S489" s="37" t="n">
        <v>1</v>
      </c>
      <c r="T489" s="36" t="n">
        <v>15</v>
      </c>
      <c r="U489" s="37" t="n">
        <v>0.2238805970149254</v>
      </c>
      <c r="V489" s="38" t="n">
        <v>0</v>
      </c>
      <c r="W489" s="38" t="n">
        <v>4.05</v>
      </c>
      <c r="X489" s="38" t="n">
        <v>6.519000000000005</v>
      </c>
      <c r="Y489" s="38" t="n">
        <v>5</v>
      </c>
      <c r="Z489" s="38" t="n">
        <v>0</v>
      </c>
      <c r="AA489" s="36" t="n">
        <v>84</v>
      </c>
      <c r="AB489" s="37" t="n">
        <v>0.5316455696202531</v>
      </c>
      <c r="AC489" s="36" t="n">
        <v>60</v>
      </c>
      <c r="AD489" s="37" t="n">
        <v>0.5405405405405406</v>
      </c>
      <c r="AE489" s="36" t="n">
        <v>24</v>
      </c>
      <c r="AF489" s="37" t="n">
        <v>0.5217391304347826</v>
      </c>
      <c r="AG489" s="36" t="n">
        <v>47</v>
      </c>
      <c r="AH489" s="37" t="n">
        <v>0.7833333333333333</v>
      </c>
    </row>
    <row r="490">
      <c r="A490" s="53" t="n">
        <v>45823</v>
      </c>
      <c r="B490" t="inlineStr">
        <is>
          <t>R02_Sumbagsel</t>
        </is>
      </c>
      <c r="C490" t="inlineStr">
        <is>
          <t>NOP JAMBI</t>
        </is>
      </c>
      <c r="D490" s="38" t="n">
        <v>1.737999999999998</v>
      </c>
      <c r="E490" s="38" t="n">
        <v>3.318</v>
      </c>
      <c r="F490" s="36" t="n">
        <v>4.285</v>
      </c>
      <c r="G490" s="36" t="n">
        <v>7.004</v>
      </c>
      <c r="H490" s="36" t="n">
        <v>42</v>
      </c>
      <c r="I490" s="37" t="n">
        <v>0.2456140350877193</v>
      </c>
      <c r="J490" s="36" t="n">
        <v>16</v>
      </c>
      <c r="K490" s="37" t="n">
        <v>0.3076923076923077</v>
      </c>
      <c r="L490" s="36" t="n">
        <v>26</v>
      </c>
      <c r="M490" s="37" t="n">
        <v>0.2184873949579832</v>
      </c>
      <c r="N490" s="36" t="n">
        <v>4</v>
      </c>
      <c r="O490" s="37" t="n">
        <v>0.25</v>
      </c>
      <c r="P490" s="36" t="n">
        <v>4</v>
      </c>
      <c r="Q490" s="37" t="n">
        <v>0.3076923076923077</v>
      </c>
      <c r="R490" s="36" t="n">
        <v>165</v>
      </c>
      <c r="S490" s="37" t="n">
        <v>0.9649122807017544</v>
      </c>
      <c r="T490" s="36" t="n">
        <v>13</v>
      </c>
      <c r="U490" s="37" t="n">
        <v>0.07602339181286549</v>
      </c>
      <c r="V490" s="38" t="n">
        <v>0</v>
      </c>
      <c r="W490" s="38" t="n">
        <v>3.99</v>
      </c>
      <c r="X490" s="38" t="n">
        <v>4.691</v>
      </c>
      <c r="Y490" s="38" t="n">
        <v>18.393</v>
      </c>
      <c r="Z490" s="38" t="n">
        <v>0</v>
      </c>
      <c r="AA490" s="36" t="n">
        <v>31</v>
      </c>
      <c r="AB490" s="37" t="n">
        <v>0.1347826086956522</v>
      </c>
      <c r="AC490" s="36" t="n">
        <v>18</v>
      </c>
      <c r="AD490" s="37" t="n">
        <v>0.119205298013245</v>
      </c>
      <c r="AE490" s="36" t="n">
        <v>10</v>
      </c>
      <c r="AF490" s="37" t="n">
        <v>0.1515151515151515</v>
      </c>
      <c r="AG490" s="36" t="n">
        <v>14</v>
      </c>
      <c r="AH490" s="37" t="n">
        <v>0.7777777777777778</v>
      </c>
    </row>
    <row r="491">
      <c r="A491" s="53" t="n">
        <v>45823</v>
      </c>
      <c r="B491" t="inlineStr">
        <is>
          <t>R02_Sumbagsel</t>
        </is>
      </c>
      <c r="C491" t="inlineStr">
        <is>
          <t>NOP LAMPUNG</t>
        </is>
      </c>
      <c r="D491" s="38" t="n">
        <v>0</v>
      </c>
      <c r="E491" s="38" t="n">
        <v>8.422000000000004</v>
      </c>
      <c r="F491" s="36" t="n">
        <v>1.718</v>
      </c>
      <c r="G491" s="36" t="n">
        <v>3.582000000000001</v>
      </c>
      <c r="H491" s="36" t="n">
        <v>32</v>
      </c>
      <c r="I491" s="37" t="n">
        <v>0.5614035087719298</v>
      </c>
      <c r="J491" s="36" t="n">
        <v>9</v>
      </c>
      <c r="K491" s="37" t="n">
        <v>0.6923076923076923</v>
      </c>
      <c r="L491" s="36" t="n">
        <v>23</v>
      </c>
      <c r="M491" s="37" t="n">
        <v>0.5227272727272727</v>
      </c>
      <c r="N491" s="36" t="n">
        <v>9</v>
      </c>
      <c r="O491" s="37" t="n">
        <v>1</v>
      </c>
      <c r="P491" s="36" t="n">
        <v>9</v>
      </c>
      <c r="Q491" s="37" t="n">
        <v>1</v>
      </c>
      <c r="R491" s="36" t="n">
        <v>56</v>
      </c>
      <c r="S491" s="37" t="n">
        <v>0.9824561403508771</v>
      </c>
      <c r="T491" s="36" t="n">
        <v>24</v>
      </c>
      <c r="U491" s="37" t="n">
        <v>0.4210526315789473</v>
      </c>
      <c r="V491" s="38" t="n">
        <v>0</v>
      </c>
      <c r="W491" s="38" t="n">
        <v>2.298</v>
      </c>
      <c r="X491" s="38" t="n">
        <v>2.89</v>
      </c>
      <c r="Y491" s="38" t="n">
        <v>24.074</v>
      </c>
      <c r="Z491" s="38" t="n">
        <v>0</v>
      </c>
      <c r="AA491" s="36" t="n">
        <v>46</v>
      </c>
      <c r="AB491" s="37" t="n">
        <v>0.8518518518518519</v>
      </c>
      <c r="AC491" s="36" t="n">
        <v>15</v>
      </c>
      <c r="AD491" s="37" t="n">
        <v>0.7894736842105263</v>
      </c>
      <c r="AE491" s="36" t="n">
        <v>31</v>
      </c>
      <c r="AF491" s="37" t="n">
        <v>0.8857142857142857</v>
      </c>
      <c r="AG491" s="36" t="n">
        <v>13</v>
      </c>
      <c r="AH491" s="37" t="n">
        <v>0.8666666666666667</v>
      </c>
    </row>
    <row r="492">
      <c r="A492" s="53" t="n">
        <v>45823</v>
      </c>
      <c r="B492" t="inlineStr">
        <is>
          <t>R02_Sumbagsel</t>
        </is>
      </c>
      <c r="C492" t="inlineStr">
        <is>
          <t>NOP MUARA ENIM</t>
        </is>
      </c>
      <c r="D492" s="38" t="n">
        <v>5.8</v>
      </c>
      <c r="E492" s="38" t="n">
        <v>2.066000000000001</v>
      </c>
      <c r="F492" s="36" t="n">
        <v>1.696000000000001</v>
      </c>
      <c r="G492" s="36" t="n">
        <v>6.592</v>
      </c>
      <c r="H492" s="36" t="n">
        <v>17</v>
      </c>
      <c r="I492" s="37" t="n">
        <v>0.34</v>
      </c>
      <c r="J492" s="36" t="n">
        <v>1</v>
      </c>
      <c r="K492" s="37" t="n">
        <v>0.125</v>
      </c>
      <c r="L492" s="36" t="n">
        <v>16</v>
      </c>
      <c r="M492" s="37" t="n">
        <v>0.3809523809523809</v>
      </c>
      <c r="N492" s="36" t="n">
        <v>1</v>
      </c>
      <c r="O492" s="37" t="n">
        <v>1</v>
      </c>
      <c r="P492" s="36" t="n">
        <v>1</v>
      </c>
      <c r="Q492" s="37" t="n">
        <v>1</v>
      </c>
      <c r="R492" s="36" t="n">
        <v>49</v>
      </c>
      <c r="S492" s="37" t="n">
        <v>0.98</v>
      </c>
      <c r="T492" s="36" t="n">
        <v>9</v>
      </c>
      <c r="U492" s="37" t="n">
        <v>0.18</v>
      </c>
      <c r="V492" s="38" t="n">
        <v>0</v>
      </c>
      <c r="W492" s="38" t="n">
        <v>6.25400000000002</v>
      </c>
      <c r="X492" s="38" t="n">
        <v>17.16600000000003</v>
      </c>
      <c r="Y492" s="38" t="n">
        <v>6</v>
      </c>
      <c r="Z492" s="38" t="n">
        <v>0</v>
      </c>
      <c r="AA492" s="36" t="n">
        <v>84</v>
      </c>
      <c r="AB492" s="37" t="n">
        <v>0.5675675675675675</v>
      </c>
      <c r="AC492" s="36" t="n">
        <v>29</v>
      </c>
      <c r="AD492" s="37" t="n">
        <v>0.5471698113207547</v>
      </c>
      <c r="AE492" s="36" t="n">
        <v>53</v>
      </c>
      <c r="AF492" s="37" t="n">
        <v>0.5955056179775281</v>
      </c>
      <c r="AG492" s="36" t="n">
        <v>18</v>
      </c>
      <c r="AH492" s="37" t="n">
        <v>0.6206896551724138</v>
      </c>
    </row>
    <row r="493">
      <c r="A493" s="53" t="n">
        <v>45823</v>
      </c>
      <c r="B493" t="inlineStr">
        <is>
          <t>R02_Sumbagsel</t>
        </is>
      </c>
      <c r="C493" t="inlineStr">
        <is>
          <t>NOP PALEMBANG</t>
        </is>
      </c>
      <c r="D493" s="38" t="n">
        <v>0</v>
      </c>
      <c r="E493" s="38" t="n">
        <v>4.662000000000003</v>
      </c>
      <c r="F493" s="36" t="n">
        <v>7.359999999999999</v>
      </c>
      <c r="G493" s="36" t="n">
        <v>4.67</v>
      </c>
      <c r="H493" s="36" t="n">
        <v>21</v>
      </c>
      <c r="I493" s="37" t="n">
        <v>0.2876712328767123</v>
      </c>
      <c r="J493" s="36" t="n">
        <v>4</v>
      </c>
      <c r="K493" s="37" t="n">
        <v>0.2222222222222222</v>
      </c>
      <c r="L493" s="36" t="n">
        <v>17</v>
      </c>
      <c r="M493" s="37" t="n">
        <v>0.3090909090909091</v>
      </c>
      <c r="N493" s="36" t="n">
        <v>3</v>
      </c>
      <c r="O493" s="37" t="n">
        <v>0.75</v>
      </c>
      <c r="P493" s="36" t="n">
        <v>3</v>
      </c>
      <c r="Q493" s="37" t="n">
        <v>0.75</v>
      </c>
      <c r="R493" s="36" t="n">
        <v>70</v>
      </c>
      <c r="S493" s="37" t="n">
        <v>0.958904109589041</v>
      </c>
      <c r="T493" s="36" t="n">
        <v>11</v>
      </c>
      <c r="U493" s="37" t="n">
        <v>0.1506849315068493</v>
      </c>
      <c r="V493" s="38" t="n">
        <v>0</v>
      </c>
      <c r="W493" s="38" t="n">
        <v>3.076000000000001</v>
      </c>
      <c r="X493" s="38" t="n">
        <v>10.40600000000003</v>
      </c>
      <c r="Y493" s="38" t="n">
        <v>6</v>
      </c>
      <c r="Z493" s="38" t="n">
        <v>0</v>
      </c>
      <c r="AA493" s="36" t="n">
        <v>26</v>
      </c>
      <c r="AB493" s="37" t="n">
        <v>0.1830985915492958</v>
      </c>
      <c r="AC493" s="36" t="n">
        <v>13</v>
      </c>
      <c r="AD493" s="37" t="n">
        <v>0.1884057971014493</v>
      </c>
      <c r="AE493" s="36" t="n">
        <v>13</v>
      </c>
      <c r="AF493" s="37" t="n">
        <v>0.1857142857142857</v>
      </c>
      <c r="AG493" s="36" t="n">
        <v>9</v>
      </c>
      <c r="AH493" s="37" t="n">
        <v>0.6923076923076923</v>
      </c>
    </row>
    <row r="494">
      <c r="A494" s="53" t="n">
        <v>45823</v>
      </c>
      <c r="B494" t="inlineStr">
        <is>
          <t>R02_Sumbagsel</t>
        </is>
      </c>
      <c r="C494" t="inlineStr">
        <is>
          <t>NOP PANGKAL PINANG</t>
        </is>
      </c>
      <c r="D494" s="38" t="n">
        <v>0</v>
      </c>
      <c r="E494" s="38" t="n">
        <v>0</v>
      </c>
      <c r="F494" s="36" t="n">
        <v>1.626</v>
      </c>
      <c r="G494" s="36" t="n">
        <v>3.21</v>
      </c>
      <c r="H494" s="36" t="n">
        <v>13</v>
      </c>
      <c r="I494" s="37" t="n">
        <v>0.6190476190476191</v>
      </c>
      <c r="J494" s="36" t="n">
        <v>0</v>
      </c>
      <c r="K494" s="37" t="n">
        <v>0</v>
      </c>
      <c r="L494" s="36" t="n">
        <v>13</v>
      </c>
      <c r="M494" s="37" t="n">
        <v>0.6190476190476191</v>
      </c>
      <c r="N494" s="36" t="n">
        <v>0</v>
      </c>
      <c r="O494" s="37" t="n">
        <v>0</v>
      </c>
      <c r="P494" s="36" t="n">
        <v>0</v>
      </c>
      <c r="Q494" s="37" t="n">
        <v>0</v>
      </c>
      <c r="R494" s="36" t="n">
        <v>21</v>
      </c>
      <c r="S494" s="37" t="n">
        <v>1</v>
      </c>
      <c r="T494" s="36" t="n">
        <v>9</v>
      </c>
      <c r="U494" s="37" t="n">
        <v>0.4285714285714285</v>
      </c>
      <c r="V494" s="38" t="n">
        <v>0</v>
      </c>
      <c r="W494" s="38" t="n">
        <v>2.980000000000001</v>
      </c>
      <c r="X494" s="38" t="n">
        <v>13.964</v>
      </c>
      <c r="Y494" s="38" t="n">
        <v>3.69</v>
      </c>
      <c r="Z494" s="38" t="n">
        <v>0</v>
      </c>
      <c r="AA494" s="36" t="n">
        <v>71</v>
      </c>
      <c r="AB494" s="37" t="n">
        <v>0.9220779220779221</v>
      </c>
      <c r="AC494" s="36" t="n">
        <v>32</v>
      </c>
      <c r="AD494" s="37" t="n">
        <v>0.9142857142857143</v>
      </c>
      <c r="AE494" s="36" t="n">
        <v>36</v>
      </c>
      <c r="AF494" s="37" t="n">
        <v>0.9473684210526315</v>
      </c>
      <c r="AG494" s="36" t="n">
        <v>27</v>
      </c>
      <c r="AH494" s="37" t="n">
        <v>0.84375</v>
      </c>
    </row>
    <row r="495">
      <c r="A495" s="53" t="n">
        <v>45823</v>
      </c>
      <c r="B495" t="inlineStr">
        <is>
          <t>R05_Jawa Tengah DIY</t>
        </is>
      </c>
      <c r="C495" t="inlineStr">
        <is>
          <t>NOP MAGELANG</t>
        </is>
      </c>
      <c r="D495" s="38" t="n">
        <v>1.09</v>
      </c>
      <c r="E495" s="38" t="n">
        <v>0</v>
      </c>
      <c r="F495" s="36" t="n">
        <v>2.318</v>
      </c>
      <c r="G495" s="36" t="n">
        <v>2.778</v>
      </c>
      <c r="H495" s="36" t="n">
        <v>18</v>
      </c>
      <c r="I495" s="37" t="n">
        <v>0.8571428571428571</v>
      </c>
      <c r="J495" s="36" t="n">
        <v>1</v>
      </c>
      <c r="K495" s="37" t="n">
        <v>1</v>
      </c>
      <c r="L495" s="36" t="n">
        <v>17</v>
      </c>
      <c r="M495" s="37" t="n">
        <v>0.85</v>
      </c>
      <c r="N495" s="36" t="n">
        <v>1</v>
      </c>
      <c r="O495" s="37" t="n">
        <v>1</v>
      </c>
      <c r="P495" s="36" t="n">
        <v>1</v>
      </c>
      <c r="Q495" s="37" t="n">
        <v>1</v>
      </c>
      <c r="R495" s="36" t="n">
        <v>21</v>
      </c>
      <c r="S495" s="37" t="n">
        <v>1</v>
      </c>
      <c r="T495" s="36" t="n">
        <v>12</v>
      </c>
      <c r="U495" s="37" t="n">
        <v>0.5714285714285714</v>
      </c>
      <c r="V495" s="38" t="n">
        <v>0</v>
      </c>
      <c r="W495" s="38" t="n">
        <v>2.071</v>
      </c>
      <c r="X495" s="38" t="n">
        <v>4.174</v>
      </c>
      <c r="Y495" s="38" t="n">
        <v>10.578</v>
      </c>
      <c r="Z495" s="38" t="n">
        <v>0</v>
      </c>
      <c r="AA495" s="36" t="n">
        <v>64</v>
      </c>
      <c r="AB495" s="37" t="n">
        <v>1</v>
      </c>
      <c r="AC495" s="36" t="n">
        <v>12</v>
      </c>
      <c r="AD495" s="37" t="n">
        <v>1</v>
      </c>
      <c r="AE495" s="36" t="n">
        <v>52</v>
      </c>
      <c r="AF495" s="37" t="n">
        <v>1</v>
      </c>
      <c r="AG495" s="36" t="n">
        <v>12</v>
      </c>
      <c r="AH495" s="37" t="n">
        <v>1</v>
      </c>
    </row>
    <row r="496">
      <c r="A496" s="53" t="n">
        <v>45823</v>
      </c>
      <c r="B496" t="inlineStr">
        <is>
          <t>R05_Jawa Tengah DIY</t>
        </is>
      </c>
      <c r="C496" t="inlineStr">
        <is>
          <t>NOP PEKALONGAN</t>
        </is>
      </c>
      <c r="D496" s="38" t="n">
        <v>1.66</v>
      </c>
      <c r="E496" s="38" t="n">
        <v>0</v>
      </c>
      <c r="F496" s="36" t="n">
        <v>3.447</v>
      </c>
      <c r="G496" s="36" t="n">
        <v>2.094</v>
      </c>
      <c r="H496" s="36" t="n">
        <v>16</v>
      </c>
      <c r="I496" s="37" t="n">
        <v>0.8</v>
      </c>
      <c r="J496" s="36" t="n">
        <v>1</v>
      </c>
      <c r="K496" s="37" t="n">
        <v>1</v>
      </c>
      <c r="L496" s="36" t="n">
        <v>15</v>
      </c>
      <c r="M496" s="37" t="n">
        <v>0.7894736842105263</v>
      </c>
      <c r="N496" s="36" t="n">
        <v>1</v>
      </c>
      <c r="O496" s="37" t="n">
        <v>1</v>
      </c>
      <c r="P496" s="36" t="n">
        <v>1</v>
      </c>
      <c r="Q496" s="37" t="n">
        <v>1</v>
      </c>
      <c r="R496" s="36" t="n">
        <v>19</v>
      </c>
      <c r="S496" s="37" t="n">
        <v>0.95</v>
      </c>
      <c r="T496" s="36" t="n">
        <v>13</v>
      </c>
      <c r="U496" s="37" t="n">
        <v>0.65</v>
      </c>
      <c r="V496" s="38" t="n">
        <v>0</v>
      </c>
      <c r="W496" s="38" t="n">
        <v>3.5</v>
      </c>
      <c r="X496" s="38" t="n">
        <v>5.606000000000001</v>
      </c>
      <c r="Y496" s="38" t="n">
        <v>28.848</v>
      </c>
      <c r="Z496" s="38" t="n">
        <v>0</v>
      </c>
      <c r="AA496" s="36" t="n">
        <v>30</v>
      </c>
      <c r="AB496" s="37" t="n">
        <v>0.8823529411764706</v>
      </c>
      <c r="AC496" s="36" t="n">
        <v>9</v>
      </c>
      <c r="AD496" s="37" t="n">
        <v>0.8181818181818182</v>
      </c>
      <c r="AE496" s="36" t="n">
        <v>21</v>
      </c>
      <c r="AF496" s="37" t="n">
        <v>0.9130434782608695</v>
      </c>
      <c r="AG496" s="36" t="n">
        <v>5</v>
      </c>
      <c r="AH496" s="37" t="n">
        <v>0.5555555555555556</v>
      </c>
    </row>
    <row r="497">
      <c r="A497" s="53" t="n">
        <v>45823</v>
      </c>
      <c r="B497" t="inlineStr">
        <is>
          <t>R05_Jawa Tengah DIY</t>
        </is>
      </c>
      <c r="C497" t="inlineStr">
        <is>
          <t>NOP PURWOKERTO</t>
        </is>
      </c>
      <c r="D497" s="38" t="n">
        <v>2.312</v>
      </c>
      <c r="E497" s="38" t="n">
        <v>0</v>
      </c>
      <c r="F497" s="36" t="n">
        <v>4.261000000000001</v>
      </c>
      <c r="G497" s="36" t="n">
        <v>2.744</v>
      </c>
      <c r="H497" s="36" t="n">
        <v>8</v>
      </c>
      <c r="I497" s="37" t="n">
        <v>0.8</v>
      </c>
      <c r="J497" s="36" t="n">
        <v>2</v>
      </c>
      <c r="K497" s="37" t="n">
        <v>0.6666666666666666</v>
      </c>
      <c r="L497" s="36" t="n">
        <v>6</v>
      </c>
      <c r="M497" s="37" t="n">
        <v>0.8571428571428571</v>
      </c>
      <c r="N497" s="36" t="n">
        <v>2</v>
      </c>
      <c r="O497" s="37" t="n">
        <v>1</v>
      </c>
      <c r="P497" s="36" t="n">
        <v>2</v>
      </c>
      <c r="Q497" s="37" t="n">
        <v>1</v>
      </c>
      <c r="R497" s="36" t="n">
        <v>9</v>
      </c>
      <c r="S497" s="37" t="n">
        <v>0.9</v>
      </c>
      <c r="T497" s="36" t="n">
        <v>7</v>
      </c>
      <c r="U497" s="37" t="n">
        <v>0.7</v>
      </c>
      <c r="V497" s="38" t="n">
        <v>0</v>
      </c>
      <c r="W497" s="38" t="n">
        <v>0</v>
      </c>
      <c r="X497" s="38" t="n">
        <v>11.72800000000001</v>
      </c>
      <c r="Y497" s="38" t="n">
        <v>8.304</v>
      </c>
      <c r="Z497" s="38" t="n">
        <v>0</v>
      </c>
      <c r="AA497" s="36" t="n">
        <v>6</v>
      </c>
      <c r="AB497" s="37" t="n">
        <v>0.6</v>
      </c>
      <c r="AC497" s="36" t="n">
        <v>0</v>
      </c>
      <c r="AD497" s="37" t="n">
        <v>0</v>
      </c>
      <c r="AE497" s="36" t="n">
        <v>6</v>
      </c>
      <c r="AF497" s="37" t="n">
        <v>0.6</v>
      </c>
      <c r="AG497" s="36" t="n">
        <v>0</v>
      </c>
      <c r="AH497" s="37" t="n">
        <v>0</v>
      </c>
    </row>
    <row r="498">
      <c r="A498" s="53" t="n">
        <v>45823</v>
      </c>
      <c r="B498" t="inlineStr">
        <is>
          <t>R05_Jawa Tengah DIY</t>
        </is>
      </c>
      <c r="C498" t="inlineStr">
        <is>
          <t>NOP SEMARANG</t>
        </is>
      </c>
      <c r="D498" s="38" t="n">
        <v>0</v>
      </c>
      <c r="E498" s="38" t="n">
        <v>0</v>
      </c>
      <c r="F498" s="36" t="n">
        <v>1.264</v>
      </c>
      <c r="G498" s="36" t="n">
        <v>4.156</v>
      </c>
      <c r="H498" s="36" t="n">
        <v>12</v>
      </c>
      <c r="I498" s="37" t="n">
        <v>0.6</v>
      </c>
      <c r="J498" s="36" t="n">
        <v>0</v>
      </c>
      <c r="K498" s="37" t="n">
        <v>0</v>
      </c>
      <c r="L498" s="36" t="n">
        <v>12</v>
      </c>
      <c r="M498" s="37" t="n">
        <v>0.6</v>
      </c>
      <c r="N498" s="36" t="n">
        <v>0</v>
      </c>
      <c r="O498" s="37" t="n">
        <v>0</v>
      </c>
      <c r="P498" s="36" t="n">
        <v>0</v>
      </c>
      <c r="Q498" s="37" t="n">
        <v>0</v>
      </c>
      <c r="R498" s="36" t="n">
        <v>19</v>
      </c>
      <c r="S498" s="37" t="n">
        <v>0.95</v>
      </c>
      <c r="T498" s="36" t="n">
        <v>9</v>
      </c>
      <c r="U498" s="37" t="n">
        <v>0.45</v>
      </c>
      <c r="V498" s="38" t="n">
        <v>0</v>
      </c>
      <c r="W498" s="38" t="n">
        <v>10.84</v>
      </c>
      <c r="X498" s="38" t="n">
        <v>7.655</v>
      </c>
      <c r="Y498" s="38" t="n">
        <v>15.68</v>
      </c>
      <c r="Z498" s="38" t="n">
        <v>0</v>
      </c>
      <c r="AA498" s="36" t="n">
        <v>31</v>
      </c>
      <c r="AB498" s="37" t="n">
        <v>0.8611111111111112</v>
      </c>
      <c r="AC498" s="36" t="n">
        <v>13</v>
      </c>
      <c r="AD498" s="37" t="n">
        <v>0.8666666666666667</v>
      </c>
      <c r="AE498" s="36" t="n">
        <v>18</v>
      </c>
      <c r="AF498" s="37" t="n">
        <v>0.8571428571428571</v>
      </c>
      <c r="AG498" s="36" t="n">
        <v>13</v>
      </c>
      <c r="AH498" s="37" t="n">
        <v>1</v>
      </c>
    </row>
    <row r="499">
      <c r="A499" s="53" t="n">
        <v>45823</v>
      </c>
      <c r="B499" t="inlineStr">
        <is>
          <t>R05_Jawa Tengah DIY</t>
        </is>
      </c>
      <c r="C499" t="inlineStr">
        <is>
          <t>NOP SURAKARTA</t>
        </is>
      </c>
      <c r="D499" s="38" t="n">
        <v>0.67</v>
      </c>
      <c r="E499" s="38" t="n">
        <v>0</v>
      </c>
      <c r="F499" s="36" t="n">
        <v>2.498</v>
      </c>
      <c r="G499" s="36" t="n">
        <v>3.136</v>
      </c>
      <c r="H499" s="36" t="n">
        <v>13</v>
      </c>
      <c r="I499" s="37" t="n">
        <v>0.4814814814814815</v>
      </c>
      <c r="J499" s="36" t="n">
        <v>1</v>
      </c>
      <c r="K499" s="37" t="n">
        <v>1</v>
      </c>
      <c r="L499" s="36" t="n">
        <v>12</v>
      </c>
      <c r="M499" s="37" t="n">
        <v>0.4615384615384616</v>
      </c>
      <c r="N499" s="36" t="n">
        <v>1</v>
      </c>
      <c r="O499" s="37" t="n">
        <v>1</v>
      </c>
      <c r="P499" s="36" t="n">
        <v>1</v>
      </c>
      <c r="Q499" s="37" t="n">
        <v>1</v>
      </c>
      <c r="R499" s="36" t="n">
        <v>27</v>
      </c>
      <c r="S499" s="37" t="n">
        <v>1</v>
      </c>
      <c r="T499" s="36" t="n">
        <v>7</v>
      </c>
      <c r="U499" s="37" t="n">
        <v>0.2592592592592592</v>
      </c>
      <c r="V499" s="38" t="n">
        <v>0</v>
      </c>
      <c r="W499" s="38" t="n">
        <v>6.052000000000001</v>
      </c>
      <c r="X499" s="38" t="n">
        <v>9.690000000000005</v>
      </c>
      <c r="Y499" s="38" t="n">
        <v>13.826</v>
      </c>
      <c r="Z499" s="38" t="n">
        <v>0</v>
      </c>
      <c r="AA499" s="36" t="n">
        <v>31</v>
      </c>
      <c r="AB499" s="37" t="n">
        <v>0.8611111111111112</v>
      </c>
      <c r="AC499" s="36" t="n">
        <v>13</v>
      </c>
      <c r="AD499" s="37" t="n">
        <v>0.7647058823529411</v>
      </c>
      <c r="AE499" s="36" t="n">
        <v>18</v>
      </c>
      <c r="AF499" s="37" t="n">
        <v>0.9473684210526315</v>
      </c>
      <c r="AG499" s="36" t="n">
        <v>6</v>
      </c>
      <c r="AH499" s="37" t="n">
        <v>0.4615384615384616</v>
      </c>
    </row>
    <row r="500">
      <c r="A500" s="53" t="n">
        <v>45823</v>
      </c>
      <c r="B500" t="inlineStr">
        <is>
          <t>R05_Jawa Tengah DIY</t>
        </is>
      </c>
      <c r="C500" t="inlineStr">
        <is>
          <t>NOP YOGYAKARTA</t>
        </is>
      </c>
      <c r="D500" s="38" t="n">
        <v>4.916</v>
      </c>
      <c r="E500" s="38" t="n">
        <v>0</v>
      </c>
      <c r="F500" s="36" t="n">
        <v>2.403</v>
      </c>
      <c r="G500" s="36" t="n">
        <v>1.504</v>
      </c>
      <c r="H500" s="36" t="n">
        <v>14</v>
      </c>
      <c r="I500" s="37" t="n">
        <v>0.7368421052631579</v>
      </c>
      <c r="J500" s="36" t="n">
        <v>4</v>
      </c>
      <c r="K500" s="37" t="n">
        <v>1</v>
      </c>
      <c r="L500" s="36" t="n">
        <v>10</v>
      </c>
      <c r="M500" s="37" t="n">
        <v>0.6666666666666666</v>
      </c>
      <c r="N500" s="36" t="n">
        <v>4</v>
      </c>
      <c r="O500" s="37" t="n">
        <v>1</v>
      </c>
      <c r="P500" s="36" t="n">
        <v>4</v>
      </c>
      <c r="Q500" s="37" t="n">
        <v>1</v>
      </c>
      <c r="R500" s="36" t="n">
        <v>19</v>
      </c>
      <c r="S500" s="37" t="n">
        <v>1</v>
      </c>
      <c r="T500" s="36" t="n">
        <v>9</v>
      </c>
      <c r="U500" s="37" t="n">
        <v>0.4736842105263158</v>
      </c>
      <c r="V500" s="38" t="n">
        <v>0</v>
      </c>
      <c r="W500" s="38" t="n">
        <v>6.817999999999996</v>
      </c>
      <c r="X500" s="38" t="n">
        <v>8.207000000000001</v>
      </c>
      <c r="Y500" s="38" t="n">
        <v>9.146000000000003</v>
      </c>
      <c r="Z500" s="38" t="n">
        <v>0</v>
      </c>
      <c r="AA500" s="36" t="n">
        <v>39</v>
      </c>
      <c r="AB500" s="37" t="n">
        <v>0.975</v>
      </c>
      <c r="AC500" s="36" t="n">
        <v>9</v>
      </c>
      <c r="AD500" s="37" t="n">
        <v>0.9</v>
      </c>
      <c r="AE500" s="36" t="n">
        <v>30</v>
      </c>
      <c r="AF500" s="37" t="n">
        <v>1</v>
      </c>
      <c r="AG500" s="36" t="n">
        <v>7</v>
      </c>
      <c r="AH500" s="37" t="n">
        <v>0.7777777777777778</v>
      </c>
    </row>
    <row r="501">
      <c r="A501" s="53" t="n">
        <v>45823</v>
      </c>
      <c r="B501" t="inlineStr">
        <is>
          <t>R06_Jawa Timur</t>
        </is>
      </c>
      <c r="C501" t="inlineStr">
        <is>
          <t>NOP JEMBER</t>
        </is>
      </c>
      <c r="D501" s="38" t="n">
        <v>0</v>
      </c>
      <c r="E501" s="38" t="n">
        <v>0</v>
      </c>
      <c r="F501" s="36" t="n">
        <v>1.685</v>
      </c>
      <c r="G501" s="36" t="n">
        <v>2.419999999999999</v>
      </c>
      <c r="H501" s="36" t="n">
        <v>15</v>
      </c>
      <c r="I501" s="37" t="n">
        <v>0.9375</v>
      </c>
      <c r="J501" s="36" t="n">
        <v>0</v>
      </c>
      <c r="K501" s="37" t="n">
        <v>0</v>
      </c>
      <c r="L501" s="36" t="n">
        <v>15</v>
      </c>
      <c r="M501" s="37" t="n">
        <v>0.9375</v>
      </c>
      <c r="N501" s="36" t="n">
        <v>0</v>
      </c>
      <c r="O501" s="37" t="n">
        <v>0</v>
      </c>
      <c r="P501" s="36" t="n">
        <v>0</v>
      </c>
      <c r="Q501" s="37" t="n">
        <v>0</v>
      </c>
      <c r="R501" s="36" t="n">
        <v>16</v>
      </c>
      <c r="S501" s="37" t="n">
        <v>1</v>
      </c>
      <c r="T501" s="36" t="n">
        <v>9</v>
      </c>
      <c r="U501" s="37" t="n">
        <v>0.5625</v>
      </c>
      <c r="V501" s="38" t="n">
        <v>0</v>
      </c>
      <c r="W501" s="38" t="n">
        <v>1.66</v>
      </c>
      <c r="X501" s="38" t="n">
        <v>2.947000000000001</v>
      </c>
      <c r="Y501" s="38" t="n">
        <v>11.178</v>
      </c>
      <c r="Z501" s="38" t="n">
        <v>0</v>
      </c>
      <c r="AA501" s="36" t="n">
        <v>20</v>
      </c>
      <c r="AB501" s="37" t="n">
        <v>0.8</v>
      </c>
      <c r="AC501" s="36" t="n">
        <v>4</v>
      </c>
      <c r="AD501" s="37" t="n">
        <v>0.6666666666666666</v>
      </c>
      <c r="AE501" s="36" t="n">
        <v>16</v>
      </c>
      <c r="AF501" s="37" t="n">
        <v>0.8421052631578947</v>
      </c>
      <c r="AG501" s="36" t="n">
        <v>2</v>
      </c>
      <c r="AH501" s="37" t="n">
        <v>0.5</v>
      </c>
    </row>
    <row r="502">
      <c r="A502" s="53" t="n">
        <v>45823</v>
      </c>
      <c r="B502" t="inlineStr">
        <is>
          <t>R06_Jawa Timur</t>
        </is>
      </c>
      <c r="C502" t="inlineStr">
        <is>
          <t>NOP KEDIRI</t>
        </is>
      </c>
      <c r="D502" s="38" t="n">
        <v>0</v>
      </c>
      <c r="E502" s="38" t="n">
        <v>0</v>
      </c>
      <c r="F502" s="36" t="n">
        <v>2.26</v>
      </c>
      <c r="G502" s="36" t="n">
        <v>1.046</v>
      </c>
      <c r="H502" s="36" t="n">
        <v>8</v>
      </c>
      <c r="I502" s="37" t="n">
        <v>0.8</v>
      </c>
      <c r="J502" s="36" t="n">
        <v>0</v>
      </c>
      <c r="K502" s="37" t="n">
        <v>0</v>
      </c>
      <c r="L502" s="36" t="n">
        <v>8</v>
      </c>
      <c r="M502" s="37" t="n">
        <v>0.8</v>
      </c>
      <c r="N502" s="36" t="n">
        <v>0</v>
      </c>
      <c r="O502" s="37" t="n">
        <v>0</v>
      </c>
      <c r="P502" s="36" t="n">
        <v>0</v>
      </c>
      <c r="Q502" s="37" t="n">
        <v>0</v>
      </c>
      <c r="R502" s="36" t="n">
        <v>10</v>
      </c>
      <c r="S502" s="37" t="n">
        <v>1</v>
      </c>
      <c r="T502" s="36" t="n">
        <v>6</v>
      </c>
      <c r="U502" s="37" t="n">
        <v>0.6</v>
      </c>
      <c r="V502" s="38" t="n">
        <v>0</v>
      </c>
      <c r="W502" s="38" t="n">
        <v>0</v>
      </c>
      <c r="X502" s="38" t="n">
        <v>2.761</v>
      </c>
      <c r="Y502" s="38" t="n">
        <v>0</v>
      </c>
      <c r="Z502" s="38" t="n">
        <v>0</v>
      </c>
      <c r="AA502" s="36" t="n">
        <v>10</v>
      </c>
      <c r="AB502" s="37" t="n">
        <v>1</v>
      </c>
      <c r="AC502" s="36" t="n">
        <v>0</v>
      </c>
      <c r="AD502" s="37" t="n">
        <v>0</v>
      </c>
      <c r="AE502" s="36" t="n">
        <v>10</v>
      </c>
      <c r="AF502" s="37" t="n">
        <v>1</v>
      </c>
      <c r="AG502" s="36" t="n">
        <v>0</v>
      </c>
      <c r="AH502" s="37" t="n">
        <v>0</v>
      </c>
    </row>
    <row r="503">
      <c r="A503" s="53" t="n">
        <v>45823</v>
      </c>
      <c r="B503" t="inlineStr">
        <is>
          <t>R06_Jawa Timur</t>
        </is>
      </c>
      <c r="C503" t="inlineStr">
        <is>
          <t>NOP LAMONGAN</t>
        </is>
      </c>
      <c r="D503" s="38" t="n">
        <v>0</v>
      </c>
      <c r="E503" s="38" t="n">
        <v>0</v>
      </c>
      <c r="F503" s="36" t="n">
        <v>2.704</v>
      </c>
      <c r="G503" s="36" t="n">
        <v>0.37</v>
      </c>
      <c r="H503" s="36" t="n">
        <v>4</v>
      </c>
      <c r="I503" s="37" t="n">
        <v>1</v>
      </c>
      <c r="J503" s="36" t="n">
        <v>0</v>
      </c>
      <c r="K503" s="37" t="n">
        <v>0</v>
      </c>
      <c r="L503" s="36" t="n">
        <v>4</v>
      </c>
      <c r="M503" s="37" t="n">
        <v>1</v>
      </c>
      <c r="N503" s="36" t="n">
        <v>0</v>
      </c>
      <c r="O503" s="37" t="n">
        <v>0</v>
      </c>
      <c r="P503" s="36" t="n">
        <v>0</v>
      </c>
      <c r="Q503" s="37" t="n">
        <v>0</v>
      </c>
      <c r="R503" s="36" t="n">
        <v>4</v>
      </c>
      <c r="S503" s="37" t="n">
        <v>1</v>
      </c>
      <c r="T503" s="36" t="n">
        <v>4</v>
      </c>
      <c r="U503" s="37" t="n">
        <v>1</v>
      </c>
      <c r="V503" s="38" t="n">
        <v>0</v>
      </c>
      <c r="W503" s="38" t="n">
        <v>2.285</v>
      </c>
      <c r="X503" s="38" t="n">
        <v>12.782</v>
      </c>
      <c r="Y503" s="38" t="n">
        <v>19.329</v>
      </c>
      <c r="Z503" s="38" t="n">
        <v>0</v>
      </c>
      <c r="AA503" s="36" t="n">
        <v>10</v>
      </c>
      <c r="AB503" s="37" t="n">
        <v>0.7692307692307693</v>
      </c>
      <c r="AC503" s="36" t="n">
        <v>4</v>
      </c>
      <c r="AD503" s="37" t="n">
        <v>1</v>
      </c>
      <c r="AE503" s="36" t="n">
        <v>6</v>
      </c>
      <c r="AF503" s="37" t="n">
        <v>0.6666666666666666</v>
      </c>
      <c r="AG503" s="36" t="n">
        <v>3</v>
      </c>
      <c r="AH503" s="37" t="n">
        <v>0.75</v>
      </c>
    </row>
    <row r="504">
      <c r="A504" s="53" t="n">
        <v>45823</v>
      </c>
      <c r="B504" t="inlineStr">
        <is>
          <t>R06_Jawa Timur</t>
        </is>
      </c>
      <c r="C504" t="inlineStr">
        <is>
          <t>NOP MADIUN</t>
        </is>
      </c>
      <c r="D504" s="38" t="n">
        <v>0</v>
      </c>
      <c r="E504" s="38" t="n">
        <v>0</v>
      </c>
      <c r="F504" s="36" t="n">
        <v>0.9</v>
      </c>
      <c r="G504" s="36" t="n">
        <v>2.53</v>
      </c>
      <c r="H504" s="36" t="n">
        <v>4</v>
      </c>
      <c r="I504" s="37" t="n">
        <v>0.3636363636363636</v>
      </c>
      <c r="J504" s="36" t="n">
        <v>0</v>
      </c>
      <c r="K504" s="37" t="n">
        <v>0</v>
      </c>
      <c r="L504" s="36" t="n">
        <v>4</v>
      </c>
      <c r="M504" s="37" t="n">
        <v>0.3636363636363636</v>
      </c>
      <c r="N504" s="36" t="n">
        <v>0</v>
      </c>
      <c r="O504" s="37" t="n">
        <v>0</v>
      </c>
      <c r="P504" s="36" t="n">
        <v>0</v>
      </c>
      <c r="Q504" s="37" t="n">
        <v>0</v>
      </c>
      <c r="R504" s="36" t="n">
        <v>10</v>
      </c>
      <c r="S504" s="37" t="n">
        <v>0.9090909090909091</v>
      </c>
      <c r="T504" s="36" t="n">
        <v>2</v>
      </c>
      <c r="U504" s="37" t="n">
        <v>0.1818181818181818</v>
      </c>
      <c r="V504" s="38" t="n">
        <v>0</v>
      </c>
      <c r="W504" s="38" t="n">
        <v>17.687</v>
      </c>
      <c r="X504" s="38" t="n">
        <v>3.04</v>
      </c>
      <c r="Y504" s="38" t="n">
        <v>12.706</v>
      </c>
      <c r="Z504" s="38" t="n">
        <v>0</v>
      </c>
      <c r="AA504" s="36" t="n">
        <v>16</v>
      </c>
      <c r="AB504" s="37" t="n">
        <v>0.7619047619047619</v>
      </c>
      <c r="AC504" s="36" t="n">
        <v>4</v>
      </c>
      <c r="AD504" s="37" t="n">
        <v>0.5</v>
      </c>
      <c r="AE504" s="36" t="n">
        <v>12</v>
      </c>
      <c r="AF504" s="37" t="n">
        <v>0.9230769230769231</v>
      </c>
      <c r="AG504" s="36" t="n">
        <v>3</v>
      </c>
      <c r="AH504" s="37" t="n">
        <v>0.75</v>
      </c>
    </row>
    <row r="505">
      <c r="A505" s="53" t="n">
        <v>45823</v>
      </c>
      <c r="B505" t="inlineStr">
        <is>
          <t>R06_Jawa Timur</t>
        </is>
      </c>
      <c r="C505" t="inlineStr">
        <is>
          <t>NOP MALANG</t>
        </is>
      </c>
      <c r="D505" s="38" t="n">
        <v>0</v>
      </c>
      <c r="E505" s="38" t="n">
        <v>0</v>
      </c>
      <c r="F505" s="36" t="n">
        <v>2.225</v>
      </c>
      <c r="G505" s="36" t="n">
        <v>0.794</v>
      </c>
      <c r="H505" s="36" t="n">
        <v>9</v>
      </c>
      <c r="I505" s="37" t="n">
        <v>0.8181818181818182</v>
      </c>
      <c r="J505" s="36" t="n">
        <v>0</v>
      </c>
      <c r="K505" s="37" t="n">
        <v>0</v>
      </c>
      <c r="L505" s="36" t="n">
        <v>9</v>
      </c>
      <c r="M505" s="37" t="n">
        <v>0.8181818181818182</v>
      </c>
      <c r="N505" s="36" t="n">
        <v>0</v>
      </c>
      <c r="O505" s="37" t="n">
        <v>0</v>
      </c>
      <c r="P505" s="36" t="n">
        <v>0</v>
      </c>
      <c r="Q505" s="37" t="n">
        <v>0</v>
      </c>
      <c r="R505" s="36" t="n">
        <v>11</v>
      </c>
      <c r="S505" s="37" t="n">
        <v>1</v>
      </c>
      <c r="T505" s="36" t="n">
        <v>9</v>
      </c>
      <c r="U505" s="37" t="n">
        <v>0.8181818181818182</v>
      </c>
      <c r="V505" s="38" t="n">
        <v>0</v>
      </c>
      <c r="W505" s="38" t="n">
        <v>1.718</v>
      </c>
      <c r="X505" s="38" t="n">
        <v>2.816000000000002</v>
      </c>
      <c r="Y505" s="38" t="n">
        <v>30.994</v>
      </c>
      <c r="Z505" s="38" t="n">
        <v>0</v>
      </c>
      <c r="AA505" s="36" t="n">
        <v>24</v>
      </c>
      <c r="AB505" s="37" t="n">
        <v>0.9230769230769231</v>
      </c>
      <c r="AC505" s="36" t="n">
        <v>9</v>
      </c>
      <c r="AD505" s="37" t="n">
        <v>1</v>
      </c>
      <c r="AE505" s="36" t="n">
        <v>15</v>
      </c>
      <c r="AF505" s="37" t="n">
        <v>0.8823529411764706</v>
      </c>
      <c r="AG505" s="36" t="n">
        <v>5</v>
      </c>
      <c r="AH505" s="37" t="n">
        <v>0.5555555555555556</v>
      </c>
    </row>
    <row r="506">
      <c r="A506" s="53" t="n">
        <v>45823</v>
      </c>
      <c r="B506" t="inlineStr">
        <is>
          <t>R06_Jawa Timur</t>
        </is>
      </c>
      <c r="C506" t="inlineStr">
        <is>
          <t>NOP SIDOARJO</t>
        </is>
      </c>
      <c r="D506" s="38" t="n">
        <v>0</v>
      </c>
      <c r="E506" s="38" t="n">
        <v>0</v>
      </c>
      <c r="F506" s="36" t="n">
        <v>1.222</v>
      </c>
      <c r="G506" s="36" t="n">
        <v>25.376</v>
      </c>
      <c r="H506" s="36" t="n">
        <v>6</v>
      </c>
      <c r="I506" s="37" t="n">
        <v>0.6666666666666666</v>
      </c>
      <c r="J506" s="36" t="n">
        <v>0</v>
      </c>
      <c r="K506" s="37" t="n">
        <v>0</v>
      </c>
      <c r="L506" s="36" t="n">
        <v>6</v>
      </c>
      <c r="M506" s="37" t="n">
        <v>0.6666666666666666</v>
      </c>
      <c r="N506" s="36" t="n">
        <v>0</v>
      </c>
      <c r="O506" s="37" t="n">
        <v>0</v>
      </c>
      <c r="P506" s="36" t="n">
        <v>0</v>
      </c>
      <c r="Q506" s="37" t="n">
        <v>0</v>
      </c>
      <c r="R506" s="36" t="n">
        <v>8</v>
      </c>
      <c r="S506" s="37" t="n">
        <v>0.8888888888888888</v>
      </c>
      <c r="T506" s="36" t="n">
        <v>5</v>
      </c>
      <c r="U506" s="37" t="n">
        <v>0.5555555555555556</v>
      </c>
      <c r="V506" s="38" t="n">
        <v>0.01</v>
      </c>
      <c r="W506" s="38" t="n">
        <v>1.206</v>
      </c>
      <c r="X506" s="38" t="n">
        <v>1.62</v>
      </c>
      <c r="Y506" s="38" t="n">
        <v>0</v>
      </c>
      <c r="Z506" s="38" t="n">
        <v>0</v>
      </c>
      <c r="AA506" s="36" t="n">
        <v>11</v>
      </c>
      <c r="AB506" s="37" t="n">
        <v>0.7333333333333333</v>
      </c>
      <c r="AC506" s="36" t="n">
        <v>3</v>
      </c>
      <c r="AD506" s="37" t="n">
        <v>0.5</v>
      </c>
      <c r="AE506" s="36" t="n">
        <v>8</v>
      </c>
      <c r="AF506" s="37" t="n">
        <v>0.8888888888888888</v>
      </c>
      <c r="AG506" s="36" t="n">
        <v>2</v>
      </c>
      <c r="AH506" s="37" t="n">
        <v>0.6666666666666666</v>
      </c>
    </row>
    <row r="507">
      <c r="A507" s="53" t="n">
        <v>45823</v>
      </c>
      <c r="B507" t="inlineStr">
        <is>
          <t>R06_Jawa Timur</t>
        </is>
      </c>
      <c r="C507" t="inlineStr">
        <is>
          <t>NOP SURABAYA</t>
        </is>
      </c>
      <c r="D507" s="38" t="n">
        <v>2.066</v>
      </c>
      <c r="E507" s="38" t="n">
        <v>0</v>
      </c>
      <c r="F507" s="36" t="n">
        <v>3.208</v>
      </c>
      <c r="G507" s="36" t="n">
        <v>1.881</v>
      </c>
      <c r="H507" s="36" t="n">
        <v>9</v>
      </c>
      <c r="I507" s="37" t="n">
        <v>0.6</v>
      </c>
      <c r="J507" s="36" t="n">
        <v>6</v>
      </c>
      <c r="K507" s="37" t="n">
        <v>0.6666666666666666</v>
      </c>
      <c r="L507" s="36" t="n">
        <v>3</v>
      </c>
      <c r="M507" s="37" t="n">
        <v>0.5</v>
      </c>
      <c r="N507" s="36" t="n">
        <v>5</v>
      </c>
      <c r="O507" s="37" t="n">
        <v>0.8333333333333334</v>
      </c>
      <c r="P507" s="36" t="n">
        <v>5</v>
      </c>
      <c r="Q507" s="37" t="n">
        <v>0.8333333333333334</v>
      </c>
      <c r="R507" s="36" t="n">
        <v>6</v>
      </c>
      <c r="S507" s="37" t="n">
        <v>0.4</v>
      </c>
      <c r="T507" s="36" t="n">
        <v>6</v>
      </c>
      <c r="U507" s="37" t="n">
        <v>0.4</v>
      </c>
      <c r="V507" s="38" t="n">
        <v>0</v>
      </c>
      <c r="W507" s="38" t="n">
        <v>13.328</v>
      </c>
      <c r="X507" s="38" t="n">
        <v>8.503999999999998</v>
      </c>
      <c r="Y507" s="38" t="n">
        <v>0.6889999999999999</v>
      </c>
      <c r="Z507" s="38" t="n">
        <v>0</v>
      </c>
      <c r="AA507" s="36" t="n">
        <v>9</v>
      </c>
      <c r="AB507" s="37" t="n">
        <v>0.45</v>
      </c>
      <c r="AC507" s="36" t="n">
        <v>1</v>
      </c>
      <c r="AD507" s="37" t="n">
        <v>0.3333333333333333</v>
      </c>
      <c r="AE507" s="36" t="n">
        <v>8</v>
      </c>
      <c r="AF507" s="37" t="n">
        <v>0.4705882352941176</v>
      </c>
      <c r="AG507" s="36" t="n">
        <v>0</v>
      </c>
      <c r="AH507" s="37" t="n">
        <v>0</v>
      </c>
    </row>
    <row r="508">
      <c r="A508" s="53" t="n">
        <v>45823</v>
      </c>
      <c r="B508" t="inlineStr">
        <is>
          <t>R07_Bali Nusra</t>
        </is>
      </c>
      <c r="C508" t="inlineStr">
        <is>
          <t>NOP DENPASAR</t>
        </is>
      </c>
      <c r="D508" s="38" t="n">
        <v>0</v>
      </c>
      <c r="E508" s="38" t="n">
        <v>0</v>
      </c>
      <c r="F508" s="36" t="n">
        <v>0</v>
      </c>
      <c r="G508" s="36" t="n">
        <v>5.911</v>
      </c>
      <c r="H508" s="36" t="n">
        <v>2</v>
      </c>
      <c r="I508" s="37" t="n">
        <v>1</v>
      </c>
      <c r="J508" s="36" t="n">
        <v>0</v>
      </c>
      <c r="K508" s="37" t="n">
        <v>0</v>
      </c>
      <c r="L508" s="36" t="n">
        <v>2</v>
      </c>
      <c r="M508" s="37" t="n">
        <v>1</v>
      </c>
      <c r="N508" s="36" t="n">
        <v>0</v>
      </c>
      <c r="O508" s="37" t="n">
        <v>0</v>
      </c>
      <c r="P508" s="36" t="n">
        <v>0</v>
      </c>
      <c r="Q508" s="37" t="n">
        <v>0</v>
      </c>
      <c r="R508" s="36" t="n">
        <v>2</v>
      </c>
      <c r="S508" s="37" t="n">
        <v>1</v>
      </c>
      <c r="T508" s="36" t="n">
        <v>2</v>
      </c>
      <c r="U508" s="37" t="n">
        <v>1</v>
      </c>
      <c r="V508" s="38" t="n">
        <v>0</v>
      </c>
      <c r="W508" s="38" t="n">
        <v>3.108000000000001</v>
      </c>
      <c r="X508" s="38" t="n">
        <v>2.58</v>
      </c>
      <c r="Y508" s="38" t="n">
        <v>24.896</v>
      </c>
      <c r="Z508" s="38" t="n">
        <v>0</v>
      </c>
      <c r="AA508" s="36" t="n">
        <v>9</v>
      </c>
      <c r="AB508" s="37" t="n">
        <v>0.9</v>
      </c>
      <c r="AC508" s="36" t="n">
        <v>4</v>
      </c>
      <c r="AD508" s="37" t="n">
        <v>0.8</v>
      </c>
      <c r="AE508" s="36" t="n">
        <v>5</v>
      </c>
      <c r="AF508" s="37" t="n">
        <v>1</v>
      </c>
      <c r="AG508" s="36" t="n">
        <v>3</v>
      </c>
      <c r="AH508" s="37" t="n">
        <v>0.75</v>
      </c>
    </row>
    <row r="509">
      <c r="A509" s="53" t="n">
        <v>45823</v>
      </c>
      <c r="B509" t="inlineStr">
        <is>
          <t>R07_Bali Nusra</t>
        </is>
      </c>
      <c r="C509" t="inlineStr">
        <is>
          <t>NOP FLORES</t>
        </is>
      </c>
      <c r="D509" s="38" t="n">
        <v>1.344</v>
      </c>
      <c r="E509" s="38" t="n">
        <v>5.93</v>
      </c>
      <c r="F509" s="36" t="n">
        <v>2.35</v>
      </c>
      <c r="G509" s="36" t="n">
        <v>9.163000000000004</v>
      </c>
      <c r="H509" s="36" t="n">
        <v>8</v>
      </c>
      <c r="I509" s="37" t="n">
        <v>0.1081081081081081</v>
      </c>
      <c r="J509" s="36" t="n">
        <v>6</v>
      </c>
      <c r="K509" s="37" t="n">
        <v>0.2857142857142857</v>
      </c>
      <c r="L509" s="36" t="n">
        <v>2</v>
      </c>
      <c r="M509" s="37" t="n">
        <v>0.03773584905660377</v>
      </c>
      <c r="N509" s="36" t="n">
        <v>5</v>
      </c>
      <c r="O509" s="37" t="n">
        <v>0.8333333333333334</v>
      </c>
      <c r="P509" s="36" t="n">
        <v>5</v>
      </c>
      <c r="Q509" s="37" t="n">
        <v>0.8333333333333334</v>
      </c>
      <c r="R509" s="36" t="n">
        <v>67</v>
      </c>
      <c r="S509" s="37" t="n">
        <v>0.9054054054054054</v>
      </c>
      <c r="T509" s="36" t="n">
        <v>7</v>
      </c>
      <c r="U509" s="37" t="n">
        <v>0.0945945945945946</v>
      </c>
      <c r="V509" s="38" t="n">
        <v>0</v>
      </c>
      <c r="W509" s="38" t="n">
        <v>37.576</v>
      </c>
      <c r="X509" s="38" t="n">
        <v>11.56</v>
      </c>
      <c r="Y509" s="38" t="n">
        <v>20.699</v>
      </c>
      <c r="Z509" s="38" t="n">
        <v>0</v>
      </c>
      <c r="AA509" s="36" t="n">
        <v>78</v>
      </c>
      <c r="AB509" s="37" t="n">
        <v>0.6046511627906976</v>
      </c>
      <c r="AC509" s="36" t="n">
        <v>69</v>
      </c>
      <c r="AD509" s="37" t="n">
        <v>0.6634615384615384</v>
      </c>
      <c r="AE509" s="36" t="n">
        <v>9</v>
      </c>
      <c r="AF509" s="37" t="n">
        <v>0.36</v>
      </c>
      <c r="AG509" s="36" t="n">
        <v>62</v>
      </c>
      <c r="AH509" s="37" t="n">
        <v>0.8985507246376812</v>
      </c>
    </row>
    <row r="510">
      <c r="A510" s="53" t="n">
        <v>45823</v>
      </c>
      <c r="B510" t="inlineStr">
        <is>
          <t>R07_Bali Nusra</t>
        </is>
      </c>
      <c r="C510" t="inlineStr">
        <is>
          <t>NOP KUPANG</t>
        </is>
      </c>
      <c r="D510" s="38" t="n">
        <v>0</v>
      </c>
      <c r="E510" s="38" t="n">
        <v>0.67</v>
      </c>
      <c r="F510" s="36" t="n">
        <v>10.474</v>
      </c>
      <c r="G510" s="36" t="n">
        <v>8.356000000000002</v>
      </c>
      <c r="H510" s="36" t="n">
        <v>3</v>
      </c>
      <c r="I510" s="37" t="n">
        <v>0.1153846153846154</v>
      </c>
      <c r="J510" s="36" t="n">
        <v>0</v>
      </c>
      <c r="K510" s="37" t="n">
        <v>0</v>
      </c>
      <c r="L510" s="36" t="n">
        <v>3</v>
      </c>
      <c r="M510" s="37" t="n">
        <v>0.12</v>
      </c>
      <c r="N510" s="36" t="n">
        <v>0</v>
      </c>
      <c r="O510" s="37" t="n">
        <v>0</v>
      </c>
      <c r="P510" s="36" t="n">
        <v>0</v>
      </c>
      <c r="Q510" s="37" t="n">
        <v>0</v>
      </c>
      <c r="R510" s="36" t="n">
        <v>17</v>
      </c>
      <c r="S510" s="37" t="n">
        <v>0.6538461538461539</v>
      </c>
      <c r="T510" s="36" t="n">
        <v>3</v>
      </c>
      <c r="U510" s="37" t="n">
        <v>0.1153846153846154</v>
      </c>
      <c r="V510" s="38" t="n">
        <v>0</v>
      </c>
      <c r="W510" s="38" t="n">
        <v>15.704</v>
      </c>
      <c r="X510" s="38" t="n">
        <v>15.252</v>
      </c>
      <c r="Y510" s="38" t="n">
        <v>21.898</v>
      </c>
      <c r="Z510" s="38" t="n">
        <v>0</v>
      </c>
      <c r="AA510" s="36" t="n">
        <v>22</v>
      </c>
      <c r="AB510" s="37" t="n">
        <v>0.4888888888888889</v>
      </c>
      <c r="AC510" s="36" t="n">
        <v>13</v>
      </c>
      <c r="AD510" s="37" t="n">
        <v>0.7222222222222222</v>
      </c>
      <c r="AE510" s="36" t="n">
        <v>9</v>
      </c>
      <c r="AF510" s="37" t="n">
        <v>0.3333333333333333</v>
      </c>
      <c r="AG510" s="36" t="n">
        <v>11</v>
      </c>
      <c r="AH510" s="37" t="n">
        <v>0.8461538461538461</v>
      </c>
    </row>
    <row r="511">
      <c r="A511" s="53" t="n">
        <v>45823</v>
      </c>
      <c r="B511" t="inlineStr">
        <is>
          <t>R07_Bali Nusra</t>
        </is>
      </c>
      <c r="C511" t="inlineStr">
        <is>
          <t>NOP MATARAM</t>
        </is>
      </c>
      <c r="D511" s="38" t="n">
        <v>0</v>
      </c>
      <c r="E511" s="38" t="n">
        <v>3.35</v>
      </c>
      <c r="F511" s="36" t="n">
        <v>2.48</v>
      </c>
      <c r="G511" s="36" t="n">
        <v>1.26</v>
      </c>
      <c r="H511" s="36" t="n">
        <v>7</v>
      </c>
      <c r="I511" s="37" t="n">
        <v>0.4117647058823529</v>
      </c>
      <c r="J511" s="36" t="n">
        <v>1</v>
      </c>
      <c r="K511" s="37" t="n">
        <v>1</v>
      </c>
      <c r="L511" s="36" t="n">
        <v>6</v>
      </c>
      <c r="M511" s="37" t="n">
        <v>0.375</v>
      </c>
      <c r="N511" s="36" t="n">
        <v>0</v>
      </c>
      <c r="O511" s="37" t="n">
        <v>0</v>
      </c>
      <c r="P511" s="36" t="n">
        <v>0</v>
      </c>
      <c r="Q511" s="37" t="n">
        <v>0</v>
      </c>
      <c r="R511" s="36" t="n">
        <v>16</v>
      </c>
      <c r="S511" s="37" t="n">
        <v>0.9411764705882353</v>
      </c>
      <c r="T511" s="36" t="n">
        <v>5</v>
      </c>
      <c r="U511" s="37" t="n">
        <v>0.2941176470588235</v>
      </c>
      <c r="V511" s="38" t="n">
        <v>0</v>
      </c>
      <c r="W511" s="38" t="n">
        <v>19.522</v>
      </c>
      <c r="X511" s="38" t="n">
        <v>9.453000000000003</v>
      </c>
      <c r="Y511" s="38" t="n">
        <v>22.298</v>
      </c>
      <c r="Z511" s="38" t="n">
        <v>0</v>
      </c>
      <c r="AA511" s="36" t="n">
        <v>14</v>
      </c>
      <c r="AB511" s="37" t="n">
        <v>0.4</v>
      </c>
      <c r="AC511" s="36" t="n">
        <v>9</v>
      </c>
      <c r="AD511" s="37" t="n">
        <v>0.5</v>
      </c>
      <c r="AE511" s="36" t="n">
        <v>5</v>
      </c>
      <c r="AF511" s="37" t="n">
        <v>0.2941176470588235</v>
      </c>
      <c r="AG511" s="36" t="n">
        <v>5</v>
      </c>
      <c r="AH511" s="37" t="n">
        <v>0.5555555555555556</v>
      </c>
    </row>
    <row r="512">
      <c r="A512" s="53" t="n">
        <v>45824</v>
      </c>
      <c r="B512" t="inlineStr">
        <is>
          <t>R01_Sumbagut</t>
        </is>
      </c>
      <c r="C512" t="inlineStr">
        <is>
          <t>NOP ACEH</t>
        </is>
      </c>
      <c r="D512" s="38" t="n">
        <v>0</v>
      </c>
      <c r="E512" s="38" t="n">
        <v>1.771</v>
      </c>
      <c r="F512" s="36" t="n">
        <v>4.365000000000002</v>
      </c>
      <c r="G512" s="36" t="n">
        <v>4.328000000000001</v>
      </c>
      <c r="H512" s="36" t="n">
        <v>57</v>
      </c>
      <c r="I512" s="37" t="n">
        <v>0.8142857142857143</v>
      </c>
      <c r="J512" s="36" t="n">
        <v>19</v>
      </c>
      <c r="K512" s="37" t="n">
        <v>0.7916666666666666</v>
      </c>
      <c r="L512" s="36" t="n">
        <v>38</v>
      </c>
      <c r="M512" s="37" t="n">
        <v>0.8260869565217391</v>
      </c>
      <c r="N512" s="36" t="n">
        <v>1</v>
      </c>
      <c r="O512" s="37" t="n">
        <v>0.05263157894736842</v>
      </c>
      <c r="P512" s="36" t="n">
        <v>1</v>
      </c>
      <c r="Q512" s="37" t="n">
        <v>0.05263157894736842</v>
      </c>
      <c r="R512" s="36" t="n">
        <v>45</v>
      </c>
      <c r="S512" s="37" t="n">
        <v>0.6428571428571429</v>
      </c>
      <c r="T512" s="36" t="n">
        <v>9</v>
      </c>
      <c r="U512" s="37" t="n">
        <v>0.1285714285714286</v>
      </c>
      <c r="V512" s="38" t="n">
        <v>0</v>
      </c>
      <c r="W512" s="38" t="n">
        <v>4.636000000000013</v>
      </c>
      <c r="X512" s="38" t="n">
        <v>6.01</v>
      </c>
      <c r="Y512" s="38" t="n">
        <v>0.79</v>
      </c>
      <c r="Z512" s="38" t="n">
        <v>0</v>
      </c>
      <c r="AA512" s="36" t="n">
        <v>134</v>
      </c>
      <c r="AB512" s="37" t="n">
        <v>0.8589743589743589</v>
      </c>
      <c r="AC512" s="36" t="n">
        <v>30</v>
      </c>
      <c r="AD512" s="37" t="n">
        <v>0.7894736842105263</v>
      </c>
      <c r="AE512" s="36" t="n">
        <v>99</v>
      </c>
      <c r="AF512" s="37" t="n">
        <v>0.8839285714285714</v>
      </c>
      <c r="AG512" s="36" t="n">
        <v>1</v>
      </c>
      <c r="AH512" s="37" t="n">
        <v>0.03333333333333333</v>
      </c>
    </row>
    <row r="513">
      <c r="A513" s="53" t="n">
        <v>45824</v>
      </c>
      <c r="B513" t="inlineStr">
        <is>
          <t>R01_Sumbagut</t>
        </is>
      </c>
      <c r="C513" t="inlineStr">
        <is>
          <t>NOP BINJAI</t>
        </is>
      </c>
      <c r="D513" s="38" t="n">
        <v>0</v>
      </c>
      <c r="E513" s="38" t="n">
        <v>3.512999999999999</v>
      </c>
      <c r="F513" s="36" t="n">
        <v>1.01</v>
      </c>
      <c r="G513" s="36" t="n">
        <v>2.524000000000001</v>
      </c>
      <c r="H513" s="36" t="n">
        <v>25</v>
      </c>
      <c r="I513" s="37" t="n">
        <v>0.7142857142857143</v>
      </c>
      <c r="J513" s="36" t="n">
        <v>6</v>
      </c>
      <c r="K513" s="37" t="n">
        <v>0.6</v>
      </c>
      <c r="L513" s="36" t="n">
        <v>19</v>
      </c>
      <c r="M513" s="37" t="n">
        <v>0.76</v>
      </c>
      <c r="N513" s="36" t="n">
        <v>3</v>
      </c>
      <c r="O513" s="37" t="n">
        <v>0.5</v>
      </c>
      <c r="P513" s="36" t="n">
        <v>3</v>
      </c>
      <c r="Q513" s="37" t="n">
        <v>0.5</v>
      </c>
      <c r="R513" s="36" t="n">
        <v>32</v>
      </c>
      <c r="S513" s="37" t="n">
        <v>0.9142857142857143</v>
      </c>
      <c r="T513" s="36" t="n">
        <v>15</v>
      </c>
      <c r="U513" s="37" t="n">
        <v>0.4285714285714285</v>
      </c>
      <c r="V513" s="38" t="n">
        <v>0.16</v>
      </c>
      <c r="W513" s="38" t="n">
        <v>1.824000000000002</v>
      </c>
      <c r="X513" s="38" t="n">
        <v>8.689000000000002</v>
      </c>
      <c r="Y513" s="38" t="n">
        <v>0</v>
      </c>
      <c r="Z513" s="38" t="n">
        <v>0</v>
      </c>
      <c r="AA513" s="36" t="n">
        <v>46</v>
      </c>
      <c r="AB513" s="37" t="n">
        <v>0.71875</v>
      </c>
      <c r="AC513" s="36" t="n">
        <v>15</v>
      </c>
      <c r="AD513" s="37" t="n">
        <v>0.5357142857142857</v>
      </c>
      <c r="AE513" s="36" t="n">
        <v>31</v>
      </c>
      <c r="AF513" s="37" t="n">
        <v>0.8611111111111112</v>
      </c>
      <c r="AG513" s="36" t="n">
        <v>9</v>
      </c>
      <c r="AH513" s="37" t="n">
        <v>0.6</v>
      </c>
    </row>
    <row r="514">
      <c r="A514" s="53" t="n">
        <v>45824</v>
      </c>
      <c r="B514" t="inlineStr">
        <is>
          <t>R01_Sumbagut</t>
        </is>
      </c>
      <c r="C514" t="inlineStr">
        <is>
          <t>NOP MEDAN</t>
        </is>
      </c>
      <c r="D514" s="38" t="n">
        <v>0</v>
      </c>
      <c r="E514" s="38" t="n">
        <v>5.387999999999998</v>
      </c>
      <c r="F514" s="36" t="n">
        <v>2.075</v>
      </c>
      <c r="G514" s="36" t="n">
        <v>7.012</v>
      </c>
      <c r="H514" s="36" t="n">
        <v>17</v>
      </c>
      <c r="I514" s="37" t="n">
        <v>0.25</v>
      </c>
      <c r="J514" s="36" t="n">
        <v>8</v>
      </c>
      <c r="K514" s="37" t="n">
        <v>0.5333333333333333</v>
      </c>
      <c r="L514" s="36" t="n">
        <v>9</v>
      </c>
      <c r="M514" s="37" t="n">
        <v>0.169811320754717</v>
      </c>
      <c r="N514" s="36" t="n">
        <v>8</v>
      </c>
      <c r="O514" s="37" t="n">
        <v>1</v>
      </c>
      <c r="P514" s="36" t="n">
        <v>8</v>
      </c>
      <c r="Q514" s="37" t="n">
        <v>1</v>
      </c>
      <c r="R514" s="36" t="n">
        <v>55</v>
      </c>
      <c r="S514" s="37" t="n">
        <v>0.8088235294117647</v>
      </c>
      <c r="T514" s="36" t="n">
        <v>7</v>
      </c>
      <c r="U514" s="37" t="n">
        <v>0.1029411764705882</v>
      </c>
      <c r="V514" s="38" t="n">
        <v>0</v>
      </c>
      <c r="W514" s="38" t="n">
        <v>3.306</v>
      </c>
      <c r="X514" s="38" t="n">
        <v>7.804000000000001</v>
      </c>
      <c r="Y514" s="38" t="n">
        <v>4.495999999999998</v>
      </c>
      <c r="Z514" s="38" t="n">
        <v>0</v>
      </c>
      <c r="AA514" s="36" t="n">
        <v>22</v>
      </c>
      <c r="AB514" s="37" t="n">
        <v>0.2894736842105263</v>
      </c>
      <c r="AC514" s="36" t="n">
        <v>6</v>
      </c>
      <c r="AD514" s="37" t="n">
        <v>0.2608695652173913</v>
      </c>
      <c r="AE514" s="36" t="n">
        <v>15</v>
      </c>
      <c r="AF514" s="37" t="n">
        <v>0.3061224489795918</v>
      </c>
      <c r="AG514" s="36" t="n">
        <v>5</v>
      </c>
      <c r="AH514" s="37" t="n">
        <v>0.8333333333333334</v>
      </c>
    </row>
    <row r="515">
      <c r="A515" s="53" t="n">
        <v>45824</v>
      </c>
      <c r="B515" t="inlineStr">
        <is>
          <t>R01_Sumbagut</t>
        </is>
      </c>
      <c r="C515" t="inlineStr">
        <is>
          <t>NOP PADANG SIDEMPUAN</t>
        </is>
      </c>
      <c r="D515" s="38" t="n">
        <v>0</v>
      </c>
      <c r="E515" s="38" t="n">
        <v>0</v>
      </c>
      <c r="F515" s="36" t="n">
        <v>4.662000000000001</v>
      </c>
      <c r="G515" s="36" t="n">
        <v>6.95</v>
      </c>
      <c r="H515" s="36" t="n">
        <v>29</v>
      </c>
      <c r="I515" s="37" t="n">
        <v>0.58</v>
      </c>
      <c r="J515" s="36" t="n">
        <v>2</v>
      </c>
      <c r="K515" s="37" t="n">
        <v>1</v>
      </c>
      <c r="L515" s="36" t="n">
        <v>27</v>
      </c>
      <c r="M515" s="37" t="n">
        <v>0.5625</v>
      </c>
      <c r="N515" s="36" t="n">
        <v>1</v>
      </c>
      <c r="O515" s="37" t="n">
        <v>0.5</v>
      </c>
      <c r="P515" s="36" t="n">
        <v>1</v>
      </c>
      <c r="Q515" s="37" t="n">
        <v>0.5</v>
      </c>
      <c r="R515" s="36" t="n">
        <v>37</v>
      </c>
      <c r="S515" s="37" t="n">
        <v>0.74</v>
      </c>
      <c r="T515" s="36" t="n">
        <v>7</v>
      </c>
      <c r="U515" s="37" t="n">
        <v>0.14</v>
      </c>
      <c r="V515" s="38" t="n">
        <v>0.13</v>
      </c>
      <c r="W515" s="38" t="n">
        <v>2.09</v>
      </c>
      <c r="X515" s="38" t="n">
        <v>1.662000000000001</v>
      </c>
      <c r="Y515" s="38" t="n">
        <v>3.705999999999999</v>
      </c>
      <c r="Z515" s="38" t="n">
        <v>0</v>
      </c>
      <c r="AA515" s="36" t="n">
        <v>146</v>
      </c>
      <c r="AB515" s="37" t="n">
        <v>0.4022038567493113</v>
      </c>
      <c r="AC515" s="36" t="n">
        <v>68</v>
      </c>
      <c r="AD515" s="37" t="n">
        <v>0.7391304347826086</v>
      </c>
      <c r="AE515" s="36" t="n">
        <v>78</v>
      </c>
      <c r="AF515" s="37" t="n">
        <v>0.2878228782287823</v>
      </c>
      <c r="AG515" s="36" t="n">
        <v>31</v>
      </c>
      <c r="AH515" s="37" t="n">
        <v>0.4558823529411765</v>
      </c>
    </row>
    <row r="516">
      <c r="A516" s="53" t="n">
        <v>45824</v>
      </c>
      <c r="B516" t="inlineStr">
        <is>
          <t>R01_Sumbagut</t>
        </is>
      </c>
      <c r="C516" t="inlineStr">
        <is>
          <t>NOP PEMATANG SIANTAR</t>
        </is>
      </c>
      <c r="D516" s="38" t="n">
        <v>0</v>
      </c>
      <c r="E516" s="38" t="n">
        <v>5.145999999999994</v>
      </c>
      <c r="F516" s="36" t="n">
        <v>3.446</v>
      </c>
      <c r="G516" s="36" t="n">
        <v>6.4</v>
      </c>
      <c r="H516" s="36" t="n">
        <v>78</v>
      </c>
      <c r="I516" s="37" t="n">
        <v>0.4406779661016949</v>
      </c>
      <c r="J516" s="36" t="n">
        <v>10</v>
      </c>
      <c r="K516" s="37" t="n">
        <v>0.5263157894736842</v>
      </c>
      <c r="L516" s="36" t="n">
        <v>68</v>
      </c>
      <c r="M516" s="37" t="n">
        <v>0.4303797468354431</v>
      </c>
      <c r="N516" s="36" t="n">
        <v>4</v>
      </c>
      <c r="O516" s="37" t="n">
        <v>0.4</v>
      </c>
      <c r="P516" s="36" t="n">
        <v>4</v>
      </c>
      <c r="Q516" s="37" t="n">
        <v>0.4</v>
      </c>
      <c r="R516" s="36" t="n">
        <v>144</v>
      </c>
      <c r="S516" s="37" t="n">
        <v>0.8135593220338984</v>
      </c>
      <c r="T516" s="36" t="n">
        <v>36</v>
      </c>
      <c r="U516" s="37" t="n">
        <v>0.2033898305084746</v>
      </c>
      <c r="V516" s="38" t="n">
        <v>0</v>
      </c>
      <c r="W516" s="38" t="n">
        <v>2.262999999999999</v>
      </c>
      <c r="X516" s="38" t="n">
        <v>2.530000000000001</v>
      </c>
      <c r="Y516" s="38" t="n">
        <v>4.399000000000002</v>
      </c>
      <c r="Z516" s="38" t="n">
        <v>0</v>
      </c>
      <c r="AA516" s="36" t="n">
        <v>165</v>
      </c>
      <c r="AB516" s="37" t="n">
        <v>0.6226415094339622</v>
      </c>
      <c r="AC516" s="36" t="n">
        <v>63</v>
      </c>
      <c r="AD516" s="37" t="n">
        <v>0.8076923076923077</v>
      </c>
      <c r="AE516" s="36" t="n">
        <v>97</v>
      </c>
      <c r="AF516" s="37" t="n">
        <v>0.5359116022099447</v>
      </c>
      <c r="AG516" s="36" t="n">
        <v>32</v>
      </c>
      <c r="AH516" s="37" t="n">
        <v>0.5079365079365079</v>
      </c>
    </row>
    <row r="517">
      <c r="A517" s="53" t="n">
        <v>45824</v>
      </c>
      <c r="B517" t="inlineStr">
        <is>
          <t>R01_Sumbagut</t>
        </is>
      </c>
      <c r="C517" t="inlineStr">
        <is>
          <t>NOP RANTAU PRAPAT</t>
        </is>
      </c>
      <c r="D517" s="38" t="n">
        <v>5.408</v>
      </c>
      <c r="E517" s="38" t="n">
        <v>5.74</v>
      </c>
      <c r="F517" s="36" t="n">
        <v>9.481000000000002</v>
      </c>
      <c r="G517" s="36" t="n">
        <v>7.819000000000001</v>
      </c>
      <c r="H517" s="36" t="n">
        <v>148</v>
      </c>
      <c r="I517" s="37" t="n">
        <v>0.3978494623655914</v>
      </c>
      <c r="J517" s="36" t="n">
        <v>29</v>
      </c>
      <c r="K517" s="37" t="n">
        <v>0.5178571428571429</v>
      </c>
      <c r="L517" s="36" t="n">
        <v>119</v>
      </c>
      <c r="M517" s="37" t="n">
        <v>0.3765822784810127</v>
      </c>
      <c r="N517" s="36" t="n">
        <v>13</v>
      </c>
      <c r="O517" s="37" t="n">
        <v>0.4482758620689655</v>
      </c>
      <c r="P517" s="36" t="n">
        <v>13</v>
      </c>
      <c r="Q517" s="37" t="n">
        <v>0.4482758620689655</v>
      </c>
      <c r="R517" s="36" t="n">
        <v>306</v>
      </c>
      <c r="S517" s="37" t="n">
        <v>0.8225806451612904</v>
      </c>
      <c r="T517" s="36" t="n">
        <v>43</v>
      </c>
      <c r="U517" s="37" t="n">
        <v>0.1155913978494624</v>
      </c>
      <c r="V517" s="38" t="n">
        <v>0.02</v>
      </c>
      <c r="W517" s="38" t="n">
        <v>6.858000000000003</v>
      </c>
      <c r="X517" s="38" t="n">
        <v>6.480999999999998</v>
      </c>
      <c r="Y517" s="38" t="n">
        <v>6.762</v>
      </c>
      <c r="Z517" s="38" t="n">
        <v>0</v>
      </c>
      <c r="AA517" s="36" t="n">
        <v>37</v>
      </c>
      <c r="AB517" s="37" t="n">
        <v>0.1060171919770774</v>
      </c>
      <c r="AC517" s="36" t="n">
        <v>23</v>
      </c>
      <c r="AD517" s="37" t="n">
        <v>0.2839506172839506</v>
      </c>
      <c r="AE517" s="36" t="n">
        <v>11</v>
      </c>
      <c r="AF517" s="37" t="n">
        <v>0.04182509505703422</v>
      </c>
      <c r="AG517" s="36" t="n">
        <v>10</v>
      </c>
      <c r="AH517" s="37" t="n">
        <v>0.4347826086956522</v>
      </c>
    </row>
    <row r="518">
      <c r="A518" s="53" t="n">
        <v>45824</v>
      </c>
      <c r="B518" t="inlineStr">
        <is>
          <t>R10_Sumbagteng</t>
        </is>
      </c>
      <c r="C518" t="inlineStr">
        <is>
          <t>NOP BATAM</t>
        </is>
      </c>
      <c r="D518" s="38" t="n">
        <v>0.296</v>
      </c>
      <c r="E518" s="38" t="n">
        <v>8.125999999999999</v>
      </c>
      <c r="F518" s="36" t="n">
        <v>6.960000000000001</v>
      </c>
      <c r="G518" s="36" t="n">
        <v>5.899999999999999</v>
      </c>
      <c r="H518" s="36" t="n">
        <v>66</v>
      </c>
      <c r="I518" s="37" t="n">
        <v>0.6</v>
      </c>
      <c r="J518" s="36" t="n">
        <v>10</v>
      </c>
      <c r="K518" s="37" t="n">
        <v>0.5555555555555556</v>
      </c>
      <c r="L518" s="36" t="n">
        <v>56</v>
      </c>
      <c r="M518" s="37" t="n">
        <v>0.6086956521739131</v>
      </c>
      <c r="N518" s="36" t="n">
        <v>8</v>
      </c>
      <c r="O518" s="37" t="n">
        <v>0.8</v>
      </c>
      <c r="P518" s="36" t="n">
        <v>8</v>
      </c>
      <c r="Q518" s="37" t="n">
        <v>0.8</v>
      </c>
      <c r="R518" s="36" t="n">
        <v>89</v>
      </c>
      <c r="S518" s="37" t="n">
        <v>0.8090909090909091</v>
      </c>
      <c r="T518" s="36" t="n">
        <v>30</v>
      </c>
      <c r="U518" s="37" t="n">
        <v>0.2727272727272727</v>
      </c>
      <c r="V518" s="38" t="n">
        <v>0</v>
      </c>
      <c r="W518" s="38" t="n">
        <v>5.077000000000004</v>
      </c>
      <c r="X518" s="38" t="n">
        <v>6.200000000000003</v>
      </c>
      <c r="Y518" s="38" t="n">
        <v>0.8719999999999997</v>
      </c>
      <c r="Z518" s="38" t="n">
        <v>0</v>
      </c>
      <c r="AA518" s="36" t="n">
        <v>102</v>
      </c>
      <c r="AB518" s="37" t="n">
        <v>0.4377682403433477</v>
      </c>
      <c r="AC518" s="36" t="n">
        <v>29</v>
      </c>
      <c r="AD518" s="37" t="n">
        <v>0.5370370370370371</v>
      </c>
      <c r="AE518" s="36" t="n">
        <v>70</v>
      </c>
      <c r="AF518" s="37" t="n">
        <v>0.4069767441860465</v>
      </c>
      <c r="AG518" s="36" t="n">
        <v>22</v>
      </c>
      <c r="AH518" s="37" t="n">
        <v>0.7586206896551724</v>
      </c>
    </row>
    <row r="519">
      <c r="A519" s="53" t="n">
        <v>45824</v>
      </c>
      <c r="B519" t="inlineStr">
        <is>
          <t>R10_Sumbagteng</t>
        </is>
      </c>
      <c r="C519" t="inlineStr">
        <is>
          <t>NOP BUKITTINGGI</t>
        </is>
      </c>
      <c r="D519" s="38" t="n">
        <v>0.601</v>
      </c>
      <c r="E519" s="38" t="n">
        <v>2.136000000000001</v>
      </c>
      <c r="F519" s="36" t="n">
        <v>5.783</v>
      </c>
      <c r="G519" s="36" t="n">
        <v>3.033</v>
      </c>
      <c r="H519" s="36" t="n">
        <v>83</v>
      </c>
      <c r="I519" s="37" t="n">
        <v>0.6974789915966386</v>
      </c>
      <c r="J519" s="36" t="n">
        <v>9</v>
      </c>
      <c r="K519" s="37" t="n">
        <v>0.391304347826087</v>
      </c>
      <c r="L519" s="36" t="n">
        <v>74</v>
      </c>
      <c r="M519" s="37" t="n">
        <v>0.7708333333333334</v>
      </c>
      <c r="N519" s="36" t="n">
        <v>4</v>
      </c>
      <c r="O519" s="37" t="n">
        <v>0.4444444444444444</v>
      </c>
      <c r="P519" s="36" t="n">
        <v>4</v>
      </c>
      <c r="Q519" s="37" t="n">
        <v>0.4444444444444444</v>
      </c>
      <c r="R519" s="36" t="n">
        <v>80</v>
      </c>
      <c r="S519" s="37" t="n">
        <v>0.6722689075630253</v>
      </c>
      <c r="T519" s="36" t="n">
        <v>29</v>
      </c>
      <c r="U519" s="37" t="n">
        <v>0.2436974789915966</v>
      </c>
      <c r="V519" s="38" t="n">
        <v>0</v>
      </c>
      <c r="W519" s="38" t="n">
        <v>1.442</v>
      </c>
      <c r="X519" s="38" t="n">
        <v>4.166000000000001</v>
      </c>
      <c r="Y519" s="38" t="n">
        <v>5.010000000000002</v>
      </c>
      <c r="Z519" s="38" t="n">
        <v>0</v>
      </c>
      <c r="AA519" s="36" t="n">
        <v>54</v>
      </c>
      <c r="AB519" s="37" t="n">
        <v>0.5567010309278351</v>
      </c>
      <c r="AC519" s="36" t="n">
        <v>14</v>
      </c>
      <c r="AD519" s="37" t="n">
        <v>0.7368421052631579</v>
      </c>
      <c r="AE519" s="36" t="n">
        <v>39</v>
      </c>
      <c r="AF519" s="37" t="n">
        <v>0.52</v>
      </c>
      <c r="AG519" s="36" t="n">
        <v>7</v>
      </c>
      <c r="AH519" s="37" t="n">
        <v>0.5</v>
      </c>
    </row>
    <row r="520">
      <c r="A520" s="53" t="n">
        <v>45824</v>
      </c>
      <c r="B520" t="inlineStr">
        <is>
          <t>R10_Sumbagteng</t>
        </is>
      </c>
      <c r="C520" t="inlineStr">
        <is>
          <t>NOP DUMAI</t>
        </is>
      </c>
      <c r="D520" s="38" t="n">
        <v>1.96</v>
      </c>
      <c r="E520" s="38" t="n">
        <v>9.986000000000001</v>
      </c>
      <c r="F520" s="36" t="n">
        <v>3.614</v>
      </c>
      <c r="G520" s="36" t="n">
        <v>8.960000000000001</v>
      </c>
      <c r="H520" s="36" t="n">
        <v>224</v>
      </c>
      <c r="I520" s="37" t="n">
        <v>0.5463414634146342</v>
      </c>
      <c r="J520" s="36" t="n">
        <v>56</v>
      </c>
      <c r="K520" s="37" t="n">
        <v>0.5544554455445545</v>
      </c>
      <c r="L520" s="36" t="n">
        <v>168</v>
      </c>
      <c r="M520" s="37" t="n">
        <v>0.5436893203883495</v>
      </c>
      <c r="N520" s="36" t="n">
        <v>38</v>
      </c>
      <c r="O520" s="37" t="n">
        <v>0.6785714285714286</v>
      </c>
      <c r="P520" s="36" t="n">
        <v>38</v>
      </c>
      <c r="Q520" s="37" t="n">
        <v>0.6785714285714286</v>
      </c>
      <c r="R520" s="36" t="n">
        <v>279</v>
      </c>
      <c r="S520" s="37" t="n">
        <v>0.6804878048780488</v>
      </c>
      <c r="T520" s="36" t="n">
        <v>96</v>
      </c>
      <c r="U520" s="37" t="n">
        <v>0.2341463414634146</v>
      </c>
      <c r="V520" s="38" t="n">
        <v>8.266</v>
      </c>
      <c r="W520" s="38" t="n">
        <v>6.892000000000001</v>
      </c>
      <c r="X520" s="38" t="n">
        <v>6.616000000000005</v>
      </c>
      <c r="Y520" s="38" t="n">
        <v>6.38</v>
      </c>
      <c r="Z520" s="38" t="n">
        <v>0</v>
      </c>
      <c r="AA520" s="36" t="n">
        <v>85</v>
      </c>
      <c r="AB520" s="37" t="n">
        <v>0.1893095768374165</v>
      </c>
      <c r="AC520" s="36" t="n">
        <v>45</v>
      </c>
      <c r="AD520" s="37" t="n">
        <v>0.3461538461538461</v>
      </c>
      <c r="AE520" s="36" t="n">
        <v>39</v>
      </c>
      <c r="AF520" s="37" t="n">
        <v>0.1238095238095238</v>
      </c>
      <c r="AG520" s="36" t="n">
        <v>39</v>
      </c>
      <c r="AH520" s="37" t="n">
        <v>0.8666666666666667</v>
      </c>
    </row>
    <row r="521">
      <c r="A521" s="53" t="n">
        <v>45824</v>
      </c>
      <c r="B521" t="inlineStr">
        <is>
          <t>R10_Sumbagteng</t>
        </is>
      </c>
      <c r="C521" t="inlineStr">
        <is>
          <t>NOP PADANG</t>
        </is>
      </c>
      <c r="D521" s="38" t="n">
        <v>0</v>
      </c>
      <c r="E521" s="38" t="n">
        <v>1.168</v>
      </c>
      <c r="F521" s="36" t="n">
        <v>2.39</v>
      </c>
      <c r="G521" s="36" t="n">
        <v>1.772</v>
      </c>
      <c r="H521" s="36" t="n">
        <v>61</v>
      </c>
      <c r="I521" s="37" t="n">
        <v>0.7439024390243902</v>
      </c>
      <c r="J521" s="36" t="n">
        <v>5</v>
      </c>
      <c r="K521" s="37" t="n">
        <v>1</v>
      </c>
      <c r="L521" s="36" t="n">
        <v>56</v>
      </c>
      <c r="M521" s="37" t="n">
        <v>0.7272727272727273</v>
      </c>
      <c r="N521" s="36" t="n">
        <v>5</v>
      </c>
      <c r="O521" s="37" t="n">
        <v>1</v>
      </c>
      <c r="P521" s="36" t="n">
        <v>5</v>
      </c>
      <c r="Q521" s="37" t="n">
        <v>1</v>
      </c>
      <c r="R521" s="36" t="n">
        <v>41</v>
      </c>
      <c r="S521" s="37" t="n">
        <v>0.5</v>
      </c>
      <c r="T521" s="36" t="n">
        <v>20</v>
      </c>
      <c r="U521" s="37" t="n">
        <v>0.2439024390243902</v>
      </c>
      <c r="V521" s="38" t="n">
        <v>0.13</v>
      </c>
      <c r="W521" s="38" t="n">
        <v>4.666999999999998</v>
      </c>
      <c r="X521" s="38" t="n">
        <v>5.15</v>
      </c>
      <c r="Y521" s="38" t="n">
        <v>11.47</v>
      </c>
      <c r="Z521" s="38" t="n">
        <v>0</v>
      </c>
      <c r="AA521" s="36" t="n">
        <v>77</v>
      </c>
      <c r="AB521" s="37" t="n">
        <v>0.7857142857142857</v>
      </c>
      <c r="AC521" s="36" t="n">
        <v>13</v>
      </c>
      <c r="AD521" s="37" t="n">
        <v>0.52</v>
      </c>
      <c r="AE521" s="36" t="n">
        <v>63</v>
      </c>
      <c r="AF521" s="37" t="n">
        <v>0.875</v>
      </c>
      <c r="AG521" s="36" t="n">
        <v>6</v>
      </c>
      <c r="AH521" s="37" t="n">
        <v>0.4615384615384616</v>
      </c>
    </row>
    <row r="522">
      <c r="A522" s="53" t="n">
        <v>45824</v>
      </c>
      <c r="B522" t="inlineStr">
        <is>
          <t>R10_Sumbagteng</t>
        </is>
      </c>
      <c r="C522" t="inlineStr">
        <is>
          <t>NOP PEKANBARU</t>
        </is>
      </c>
      <c r="D522" s="38" t="n">
        <v>1.808</v>
      </c>
      <c r="E522" s="38" t="n">
        <v>2.903999999999999</v>
      </c>
      <c r="F522" s="36" t="n">
        <v>2.964</v>
      </c>
      <c r="G522" s="36" t="n">
        <v>4.148000000000001</v>
      </c>
      <c r="H522" s="36" t="n">
        <v>139</v>
      </c>
      <c r="I522" s="37" t="n">
        <v>0.5245283018867924</v>
      </c>
      <c r="J522" s="36" t="n">
        <v>16</v>
      </c>
      <c r="K522" s="37" t="n">
        <v>0.4848484848484849</v>
      </c>
      <c r="L522" s="36" t="n">
        <v>123</v>
      </c>
      <c r="M522" s="37" t="n">
        <v>0.5301724137931034</v>
      </c>
      <c r="N522" s="36" t="n">
        <v>8</v>
      </c>
      <c r="O522" s="37" t="n">
        <v>0.5</v>
      </c>
      <c r="P522" s="36" t="n">
        <v>8</v>
      </c>
      <c r="Q522" s="37" t="n">
        <v>0.5</v>
      </c>
      <c r="R522" s="36" t="n">
        <v>106</v>
      </c>
      <c r="S522" s="37" t="n">
        <v>0.4</v>
      </c>
      <c r="T522" s="36" t="n">
        <v>49</v>
      </c>
      <c r="U522" s="37" t="n">
        <v>0.1849056603773585</v>
      </c>
      <c r="V522" s="38" t="n">
        <v>0.01</v>
      </c>
      <c r="W522" s="38" t="n">
        <v>2.595</v>
      </c>
      <c r="X522" s="38" t="n">
        <v>5.205</v>
      </c>
      <c r="Y522" s="38" t="n">
        <v>3.03</v>
      </c>
      <c r="Z522" s="38" t="n">
        <v>0</v>
      </c>
      <c r="AA522" s="36" t="n">
        <v>103</v>
      </c>
      <c r="AB522" s="37" t="n">
        <v>0.3355048859934853</v>
      </c>
      <c r="AC522" s="36" t="n">
        <v>51</v>
      </c>
      <c r="AD522" s="37" t="n">
        <v>0.5</v>
      </c>
      <c r="AE522" s="36" t="n">
        <v>51</v>
      </c>
      <c r="AF522" s="37" t="n">
        <v>0.2524752475247525</v>
      </c>
      <c r="AG522" s="36" t="n">
        <v>34</v>
      </c>
      <c r="AH522" s="37" t="n">
        <v>0.6666666666666666</v>
      </c>
    </row>
    <row r="523">
      <c r="A523" s="53" t="n">
        <v>45824</v>
      </c>
      <c r="B523" t="inlineStr">
        <is>
          <t>R02_Sumbagsel</t>
        </is>
      </c>
      <c r="C523" t="inlineStr">
        <is>
          <t>NOP BENGKULU</t>
        </is>
      </c>
      <c r="D523" s="38" t="n">
        <v>1.651</v>
      </c>
      <c r="E523" s="38" t="n">
        <v>4.675999999999998</v>
      </c>
      <c r="F523" s="36" t="n">
        <v>5.205000000000002</v>
      </c>
      <c r="G523" s="36" t="n">
        <v>7.085</v>
      </c>
      <c r="H523" s="36" t="n">
        <v>55</v>
      </c>
      <c r="I523" s="37" t="n">
        <v>0.3416149068322981</v>
      </c>
      <c r="J523" s="36" t="n">
        <v>15</v>
      </c>
      <c r="K523" s="37" t="n">
        <v>0.3658536585365854</v>
      </c>
      <c r="L523" s="36" t="n">
        <v>40</v>
      </c>
      <c r="M523" s="37" t="n">
        <v>0.3333333333333333</v>
      </c>
      <c r="N523" s="36" t="n">
        <v>10</v>
      </c>
      <c r="O523" s="37" t="n">
        <v>0.6666666666666666</v>
      </c>
      <c r="P523" s="36" t="n">
        <v>10</v>
      </c>
      <c r="Q523" s="37" t="n">
        <v>0.6666666666666666</v>
      </c>
      <c r="R523" s="36" t="n">
        <v>134</v>
      </c>
      <c r="S523" s="37" t="n">
        <v>0.8322981366459627</v>
      </c>
      <c r="T523" s="36" t="n">
        <v>28</v>
      </c>
      <c r="U523" s="37" t="n">
        <v>0.1739130434782609</v>
      </c>
      <c r="V523" s="38" t="n">
        <v>0</v>
      </c>
      <c r="W523" s="38" t="n">
        <v>3.512000000000003</v>
      </c>
      <c r="X523" s="38" t="n">
        <v>4.298</v>
      </c>
      <c r="Y523" s="38" t="n">
        <v>0</v>
      </c>
      <c r="Z523" s="38" t="n">
        <v>0</v>
      </c>
      <c r="AA523" s="36" t="n">
        <v>113</v>
      </c>
      <c r="AB523" s="37" t="n">
        <v>0.4396887159533074</v>
      </c>
      <c r="AC523" s="36" t="n">
        <v>66</v>
      </c>
      <c r="AD523" s="37" t="n">
        <v>0.4313725490196079</v>
      </c>
      <c r="AE523" s="36" t="n">
        <v>40</v>
      </c>
      <c r="AF523" s="37" t="n">
        <v>0.4166666666666667</v>
      </c>
      <c r="AG523" s="36" t="n">
        <v>48</v>
      </c>
      <c r="AH523" s="37" t="n">
        <v>0.7272727272727273</v>
      </c>
    </row>
    <row r="524">
      <c r="A524" s="53" t="n">
        <v>45824</v>
      </c>
      <c r="B524" t="inlineStr">
        <is>
          <t>R02_Sumbagsel</t>
        </is>
      </c>
      <c r="C524" t="inlineStr">
        <is>
          <t>NOP JAMBI</t>
        </is>
      </c>
      <c r="D524" s="38" t="n">
        <v>2.454</v>
      </c>
      <c r="E524" s="38" t="n">
        <v>4.685</v>
      </c>
      <c r="F524" s="36" t="n">
        <v>4.071000000000004</v>
      </c>
      <c r="G524" s="36" t="n">
        <v>4.452000000000003</v>
      </c>
      <c r="H524" s="36" t="n">
        <v>60</v>
      </c>
      <c r="I524" s="37" t="n">
        <v>0.2205882352941176</v>
      </c>
      <c r="J524" s="36" t="n">
        <v>26</v>
      </c>
      <c r="K524" s="37" t="n">
        <v>0.3209876543209876</v>
      </c>
      <c r="L524" s="36" t="n">
        <v>34</v>
      </c>
      <c r="M524" s="37" t="n">
        <v>0.1780104712041885</v>
      </c>
      <c r="N524" s="36" t="n">
        <v>7</v>
      </c>
      <c r="O524" s="37" t="n">
        <v>0.2692307692307692</v>
      </c>
      <c r="P524" s="36" t="n">
        <v>7</v>
      </c>
      <c r="Q524" s="37" t="n">
        <v>0.2692307692307692</v>
      </c>
      <c r="R524" s="36" t="n">
        <v>143</v>
      </c>
      <c r="S524" s="37" t="n">
        <v>0.5257352941176471</v>
      </c>
      <c r="T524" s="36" t="n">
        <v>18</v>
      </c>
      <c r="U524" s="37" t="n">
        <v>0.06617647058823529</v>
      </c>
      <c r="V524" s="38" t="n">
        <v>0</v>
      </c>
      <c r="W524" s="38" t="n">
        <v>3.483</v>
      </c>
      <c r="X524" s="38" t="n">
        <v>5.074</v>
      </c>
      <c r="Y524" s="38" t="n">
        <v>3.792999999999999</v>
      </c>
      <c r="Z524" s="38" t="n">
        <v>0</v>
      </c>
      <c r="AA524" s="36" t="n">
        <v>55</v>
      </c>
      <c r="AB524" s="37" t="n">
        <v>0.2156862745098039</v>
      </c>
      <c r="AC524" s="36" t="n">
        <v>24</v>
      </c>
      <c r="AD524" s="37" t="n">
        <v>0.1621621621621622</v>
      </c>
      <c r="AE524" s="36" t="n">
        <v>25</v>
      </c>
      <c r="AF524" s="37" t="n">
        <v>0.2747252747252747</v>
      </c>
      <c r="AG524" s="36" t="n">
        <v>12</v>
      </c>
      <c r="AH524" s="37" t="n">
        <v>0.5</v>
      </c>
    </row>
    <row r="525">
      <c r="A525" s="53" t="n">
        <v>45824</v>
      </c>
      <c r="B525" t="inlineStr">
        <is>
          <t>R02_Sumbagsel</t>
        </is>
      </c>
      <c r="C525" t="inlineStr">
        <is>
          <t>NOP LAMPUNG</t>
        </is>
      </c>
      <c r="D525" s="38" t="n">
        <v>0</v>
      </c>
      <c r="E525" s="38" t="n">
        <v>2.458999999999998</v>
      </c>
      <c r="F525" s="36" t="n">
        <v>4.06</v>
      </c>
      <c r="G525" s="36" t="n">
        <v>3.809000000000001</v>
      </c>
      <c r="H525" s="36" t="n">
        <v>46</v>
      </c>
      <c r="I525" s="37" t="n">
        <v>0.7419354838709677</v>
      </c>
      <c r="J525" s="36" t="n">
        <v>9</v>
      </c>
      <c r="K525" s="37" t="n">
        <v>0.9</v>
      </c>
      <c r="L525" s="36" t="n">
        <v>37</v>
      </c>
      <c r="M525" s="37" t="n">
        <v>0.7115384615384616</v>
      </c>
      <c r="N525" s="36" t="n">
        <v>8</v>
      </c>
      <c r="O525" s="37" t="n">
        <v>0.8888888888888888</v>
      </c>
      <c r="P525" s="36" t="n">
        <v>8</v>
      </c>
      <c r="Q525" s="37" t="n">
        <v>0.8888888888888888</v>
      </c>
      <c r="R525" s="36" t="n">
        <v>58</v>
      </c>
      <c r="S525" s="37" t="n">
        <v>0.9354838709677419</v>
      </c>
      <c r="T525" s="36" t="n">
        <v>30</v>
      </c>
      <c r="U525" s="37" t="n">
        <v>0.4838709677419355</v>
      </c>
      <c r="V525" s="38" t="n">
        <v>0</v>
      </c>
      <c r="W525" s="38" t="n">
        <v>2.842</v>
      </c>
      <c r="X525" s="38" t="n">
        <v>3.864</v>
      </c>
      <c r="Y525" s="38" t="n">
        <v>13.258</v>
      </c>
      <c r="Z525" s="38" t="n">
        <v>0</v>
      </c>
      <c r="AA525" s="36" t="n">
        <v>109</v>
      </c>
      <c r="AB525" s="37" t="n">
        <v>0.9083333333333333</v>
      </c>
      <c r="AC525" s="36" t="n">
        <v>22</v>
      </c>
      <c r="AD525" s="37" t="n">
        <v>0.7586206896551724</v>
      </c>
      <c r="AE525" s="36" t="n">
        <v>83</v>
      </c>
      <c r="AF525" s="37" t="n">
        <v>0.9540229885057471</v>
      </c>
      <c r="AG525" s="36" t="n">
        <v>18</v>
      </c>
      <c r="AH525" s="37" t="n">
        <v>0.8181818181818182</v>
      </c>
    </row>
    <row r="526">
      <c r="A526" s="53" t="n">
        <v>45824</v>
      </c>
      <c r="B526" t="inlineStr">
        <is>
          <t>R02_Sumbagsel</t>
        </is>
      </c>
      <c r="C526" t="inlineStr">
        <is>
          <t>NOP MUARA ENIM</t>
        </is>
      </c>
      <c r="D526" s="38" t="n">
        <v>1.816</v>
      </c>
      <c r="E526" s="38" t="n">
        <v>4.91</v>
      </c>
      <c r="F526" s="36" t="n">
        <v>4.616</v>
      </c>
      <c r="G526" s="36" t="n">
        <v>5.473999999999999</v>
      </c>
      <c r="H526" s="36" t="n">
        <v>66</v>
      </c>
      <c r="I526" s="37" t="n">
        <v>0.3333333333333333</v>
      </c>
      <c r="J526" s="36" t="n">
        <v>10</v>
      </c>
      <c r="K526" s="37" t="n">
        <v>0.4761904761904762</v>
      </c>
      <c r="L526" s="36" t="n">
        <v>56</v>
      </c>
      <c r="M526" s="37" t="n">
        <v>0.3163841807909605</v>
      </c>
      <c r="N526" s="36" t="n">
        <v>7</v>
      </c>
      <c r="O526" s="37" t="n">
        <v>0.7</v>
      </c>
      <c r="P526" s="36" t="n">
        <v>7</v>
      </c>
      <c r="Q526" s="37" t="n">
        <v>0.7</v>
      </c>
      <c r="R526" s="36" t="n">
        <v>131</v>
      </c>
      <c r="S526" s="37" t="n">
        <v>0.6616161616161617</v>
      </c>
      <c r="T526" s="36" t="n">
        <v>26</v>
      </c>
      <c r="U526" s="37" t="n">
        <v>0.1313131313131313</v>
      </c>
      <c r="V526" s="38" t="n">
        <v>0</v>
      </c>
      <c r="W526" s="38" t="n">
        <v>4.825000000000002</v>
      </c>
      <c r="X526" s="38" t="n">
        <v>4.808000000000001</v>
      </c>
      <c r="Y526" s="38" t="n">
        <v>1.056</v>
      </c>
      <c r="Z526" s="38" t="n">
        <v>0</v>
      </c>
      <c r="AA526" s="36" t="n">
        <v>100</v>
      </c>
      <c r="AB526" s="37" t="n">
        <v>0.4651162790697674</v>
      </c>
      <c r="AC526" s="36" t="n">
        <v>44</v>
      </c>
      <c r="AD526" s="37" t="n">
        <v>0.4230769230769231</v>
      </c>
      <c r="AE526" s="36" t="n">
        <v>49</v>
      </c>
      <c r="AF526" s="37" t="n">
        <v>0.494949494949495</v>
      </c>
      <c r="AG526" s="36" t="n">
        <v>25</v>
      </c>
      <c r="AH526" s="37" t="n">
        <v>0.5681818181818182</v>
      </c>
    </row>
    <row r="527">
      <c r="A527" s="53" t="n">
        <v>45824</v>
      </c>
      <c r="B527" t="inlineStr">
        <is>
          <t>R02_Sumbagsel</t>
        </is>
      </c>
      <c r="C527" t="inlineStr">
        <is>
          <t>NOP PALEMBANG</t>
        </is>
      </c>
      <c r="D527" s="38" t="n">
        <v>0.61</v>
      </c>
      <c r="E527" s="38" t="n">
        <v>1.976</v>
      </c>
      <c r="F527" s="36" t="n">
        <v>3.675000000000001</v>
      </c>
      <c r="G527" s="36" t="n">
        <v>4.156000000000001</v>
      </c>
      <c r="H527" s="36" t="n">
        <v>46</v>
      </c>
      <c r="I527" s="37" t="n">
        <v>0.2875</v>
      </c>
      <c r="J527" s="36" t="n">
        <v>6</v>
      </c>
      <c r="K527" s="37" t="n">
        <v>0.3157894736842105</v>
      </c>
      <c r="L527" s="36" t="n">
        <v>40</v>
      </c>
      <c r="M527" s="37" t="n">
        <v>0.2836879432624114</v>
      </c>
      <c r="N527" s="36" t="n">
        <v>3</v>
      </c>
      <c r="O527" s="37" t="n">
        <v>0.5</v>
      </c>
      <c r="P527" s="36" t="n">
        <v>3</v>
      </c>
      <c r="Q527" s="37" t="n">
        <v>0.5</v>
      </c>
      <c r="R527" s="36" t="n">
        <v>121</v>
      </c>
      <c r="S527" s="37" t="n">
        <v>0.75625</v>
      </c>
      <c r="T527" s="36" t="n">
        <v>7</v>
      </c>
      <c r="U527" s="37" t="n">
        <v>0.04375</v>
      </c>
      <c r="V527" s="38" t="n">
        <v>0</v>
      </c>
      <c r="W527" s="38" t="n">
        <v>3.61</v>
      </c>
      <c r="X527" s="38" t="n">
        <v>3.82</v>
      </c>
      <c r="Y527" s="38" t="n">
        <v>0.8230000000000011</v>
      </c>
      <c r="Z527" s="38" t="n">
        <v>0</v>
      </c>
      <c r="AA527" s="36" t="n">
        <v>24</v>
      </c>
      <c r="AB527" s="37" t="n">
        <v>0.1420118343195266</v>
      </c>
      <c r="AC527" s="36" t="n">
        <v>14</v>
      </c>
      <c r="AD527" s="37" t="n">
        <v>0.1386138613861386</v>
      </c>
      <c r="AE527" s="36" t="n">
        <v>10</v>
      </c>
      <c r="AF527" s="37" t="n">
        <v>0.1587301587301587</v>
      </c>
      <c r="AG527" s="36" t="n">
        <v>6</v>
      </c>
      <c r="AH527" s="37" t="n">
        <v>0.4285714285714285</v>
      </c>
    </row>
    <row r="528">
      <c r="A528" s="53" t="n">
        <v>45824</v>
      </c>
      <c r="B528" t="inlineStr">
        <is>
          <t>R02_Sumbagsel</t>
        </is>
      </c>
      <c r="C528" t="inlineStr">
        <is>
          <t>NOP PANGKAL PINANG</t>
        </is>
      </c>
      <c r="D528" s="38" t="n">
        <v>0</v>
      </c>
      <c r="E528" s="38" t="n">
        <v>0</v>
      </c>
      <c r="F528" s="36" t="n">
        <v>2.186</v>
      </c>
      <c r="G528" s="36" t="n">
        <v>3.646</v>
      </c>
      <c r="H528" s="36" t="n">
        <v>22</v>
      </c>
      <c r="I528" s="37" t="n">
        <v>0.88</v>
      </c>
      <c r="J528" s="36" t="n">
        <v>0</v>
      </c>
      <c r="K528" s="37" t="n">
        <v>0</v>
      </c>
      <c r="L528" s="36" t="n">
        <v>22</v>
      </c>
      <c r="M528" s="37" t="n">
        <v>0.88</v>
      </c>
      <c r="N528" s="36" t="n">
        <v>0</v>
      </c>
      <c r="O528" s="37" t="n">
        <v>0</v>
      </c>
      <c r="P528" s="36" t="n">
        <v>0</v>
      </c>
      <c r="Q528" s="37" t="n">
        <v>0</v>
      </c>
      <c r="R528" s="36" t="n">
        <v>24</v>
      </c>
      <c r="S528" s="37" t="n">
        <v>0.96</v>
      </c>
      <c r="T528" s="36" t="n">
        <v>11</v>
      </c>
      <c r="U528" s="37" t="n">
        <v>0.44</v>
      </c>
      <c r="V528" s="38" t="n">
        <v>0</v>
      </c>
      <c r="W528" s="38" t="n">
        <v>3.63</v>
      </c>
      <c r="X528" s="38" t="n">
        <v>5.06</v>
      </c>
      <c r="Y528" s="38" t="n">
        <v>3.32</v>
      </c>
      <c r="Z528" s="38" t="n">
        <v>0</v>
      </c>
      <c r="AA528" s="36" t="n">
        <v>75</v>
      </c>
      <c r="AB528" s="37" t="n">
        <v>0.8720930232558139</v>
      </c>
      <c r="AC528" s="36" t="n">
        <v>24</v>
      </c>
      <c r="AD528" s="37" t="n">
        <v>0.7741935483870968</v>
      </c>
      <c r="AE528" s="36" t="n">
        <v>49</v>
      </c>
      <c r="AF528" s="37" t="n">
        <v>0.9245283018867925</v>
      </c>
      <c r="AG528" s="36" t="n">
        <v>11</v>
      </c>
      <c r="AH528" s="37" t="n">
        <v>0.4583333333333333</v>
      </c>
    </row>
    <row r="529">
      <c r="A529" s="53" t="n">
        <v>45824</v>
      </c>
      <c r="B529" t="inlineStr">
        <is>
          <t>R05_Jawa Tengah DIY</t>
        </is>
      </c>
      <c r="C529" t="inlineStr">
        <is>
          <t>NOP MAGELANG</t>
        </is>
      </c>
      <c r="D529" s="38" t="n">
        <v>0</v>
      </c>
      <c r="E529" s="38" t="n">
        <v>0</v>
      </c>
      <c r="F529" s="36" t="n">
        <v>2.76</v>
      </c>
      <c r="G529" s="36" t="n">
        <v>2.534</v>
      </c>
      <c r="H529" s="36" t="n">
        <v>14</v>
      </c>
      <c r="I529" s="37" t="n">
        <v>1</v>
      </c>
      <c r="J529" s="36" t="n">
        <v>0</v>
      </c>
      <c r="K529" s="37" t="n">
        <v>0</v>
      </c>
      <c r="L529" s="36" t="n">
        <v>14</v>
      </c>
      <c r="M529" s="37" t="n">
        <v>1</v>
      </c>
      <c r="N529" s="36" t="n">
        <v>0</v>
      </c>
      <c r="O529" s="37" t="n">
        <v>0</v>
      </c>
      <c r="P529" s="36" t="n">
        <v>0</v>
      </c>
      <c r="Q529" s="37" t="n">
        <v>0</v>
      </c>
      <c r="R529" s="36" t="n">
        <v>14</v>
      </c>
      <c r="S529" s="37" t="n">
        <v>1</v>
      </c>
      <c r="T529" s="36" t="n">
        <v>10</v>
      </c>
      <c r="U529" s="37" t="n">
        <v>0.7142857142857143</v>
      </c>
      <c r="V529" s="38" t="n">
        <v>0</v>
      </c>
      <c r="W529" s="38" t="n">
        <v>1.588</v>
      </c>
      <c r="X529" s="38" t="n">
        <v>5.117</v>
      </c>
      <c r="Y529" s="38" t="n">
        <v>8.861000000000001</v>
      </c>
      <c r="Z529" s="38" t="n">
        <v>0</v>
      </c>
      <c r="AA529" s="36" t="n">
        <v>51</v>
      </c>
      <c r="AB529" s="37" t="n">
        <v>0.9807692307692307</v>
      </c>
      <c r="AC529" s="36" t="n">
        <v>7</v>
      </c>
      <c r="AD529" s="37" t="n">
        <v>0.875</v>
      </c>
      <c r="AE529" s="36" t="n">
        <v>44</v>
      </c>
      <c r="AF529" s="37" t="n">
        <v>1</v>
      </c>
      <c r="AG529" s="36" t="n">
        <v>7</v>
      </c>
      <c r="AH529" s="37" t="n">
        <v>1</v>
      </c>
    </row>
    <row r="530">
      <c r="A530" s="53" t="n">
        <v>45824</v>
      </c>
      <c r="B530" t="inlineStr">
        <is>
          <t>R05_Jawa Tengah DIY</t>
        </is>
      </c>
      <c r="C530" t="inlineStr">
        <is>
          <t>NOP PEKALONGAN</t>
        </is>
      </c>
      <c r="D530" s="38" t="n">
        <v>1.68</v>
      </c>
      <c r="E530" s="38" t="n">
        <v>0</v>
      </c>
      <c r="F530" s="36" t="n">
        <v>4.618999999999999</v>
      </c>
      <c r="G530" s="36" t="n">
        <v>2.890000000000001</v>
      </c>
      <c r="H530" s="36" t="n">
        <v>13</v>
      </c>
      <c r="I530" s="37" t="n">
        <v>0.8125</v>
      </c>
      <c r="J530" s="36" t="n">
        <v>1</v>
      </c>
      <c r="K530" s="37" t="n">
        <v>1</v>
      </c>
      <c r="L530" s="36" t="n">
        <v>12</v>
      </c>
      <c r="M530" s="37" t="n">
        <v>0.8</v>
      </c>
      <c r="N530" s="36" t="n">
        <v>1</v>
      </c>
      <c r="O530" s="37" t="n">
        <v>1</v>
      </c>
      <c r="P530" s="36" t="n">
        <v>1</v>
      </c>
      <c r="Q530" s="37" t="n">
        <v>1</v>
      </c>
      <c r="R530" s="36" t="n">
        <v>15</v>
      </c>
      <c r="S530" s="37" t="n">
        <v>0.9375</v>
      </c>
      <c r="T530" s="36" t="n">
        <v>7</v>
      </c>
      <c r="U530" s="37" t="n">
        <v>0.4375</v>
      </c>
      <c r="V530" s="38" t="n">
        <v>0</v>
      </c>
      <c r="W530" s="38" t="n">
        <v>3.190000000000001</v>
      </c>
      <c r="X530" s="38" t="n">
        <v>3.94</v>
      </c>
      <c r="Y530" s="38" t="n">
        <v>7.092000000000001</v>
      </c>
      <c r="Z530" s="38" t="n">
        <v>0</v>
      </c>
      <c r="AA530" s="36" t="n">
        <v>47</v>
      </c>
      <c r="AB530" s="37" t="n">
        <v>0.8703703703703703</v>
      </c>
      <c r="AC530" s="36" t="n">
        <v>18</v>
      </c>
      <c r="AD530" s="37" t="n">
        <v>0.8181818181818182</v>
      </c>
      <c r="AE530" s="36" t="n">
        <v>29</v>
      </c>
      <c r="AF530" s="37" t="n">
        <v>0.9354838709677419</v>
      </c>
      <c r="AG530" s="36" t="n">
        <v>10</v>
      </c>
      <c r="AH530" s="37" t="n">
        <v>0.5555555555555556</v>
      </c>
    </row>
    <row r="531">
      <c r="A531" s="53" t="n">
        <v>45824</v>
      </c>
      <c r="B531" t="inlineStr">
        <is>
          <t>R05_Jawa Tengah DIY</t>
        </is>
      </c>
      <c r="C531" t="inlineStr">
        <is>
          <t>NOP PURWOKERTO</t>
        </is>
      </c>
      <c r="D531" s="38" t="n">
        <v>2.224</v>
      </c>
      <c r="E531" s="38" t="n">
        <v>0</v>
      </c>
      <c r="F531" s="36" t="n">
        <v>3.05</v>
      </c>
      <c r="G531" s="36" t="n">
        <v>1.63</v>
      </c>
      <c r="H531" s="36" t="n">
        <v>6</v>
      </c>
      <c r="I531" s="37" t="n">
        <v>0.6666666666666666</v>
      </c>
      <c r="J531" s="36" t="n">
        <v>1</v>
      </c>
      <c r="K531" s="37" t="n">
        <v>0.5</v>
      </c>
      <c r="L531" s="36" t="n">
        <v>5</v>
      </c>
      <c r="M531" s="37" t="n">
        <v>0.7142857142857143</v>
      </c>
      <c r="N531" s="36" t="n">
        <v>1</v>
      </c>
      <c r="O531" s="37" t="n">
        <v>1</v>
      </c>
      <c r="P531" s="36" t="n">
        <v>1</v>
      </c>
      <c r="Q531" s="37" t="n">
        <v>1</v>
      </c>
      <c r="R531" s="36" t="n">
        <v>6</v>
      </c>
      <c r="S531" s="37" t="n">
        <v>0.6666666666666666</v>
      </c>
      <c r="T531" s="36" t="n">
        <v>3</v>
      </c>
      <c r="U531" s="37" t="n">
        <v>0.3333333333333333</v>
      </c>
      <c r="V531" s="38" t="n">
        <v>1.51</v>
      </c>
      <c r="W531" s="38" t="n">
        <v>2.728999999999999</v>
      </c>
      <c r="X531" s="38" t="n">
        <v>4.16</v>
      </c>
      <c r="Y531" s="38" t="n">
        <v>6.859999999999999</v>
      </c>
      <c r="Z531" s="38" t="n">
        <v>0</v>
      </c>
      <c r="AA531" s="36" t="n">
        <v>24</v>
      </c>
      <c r="AB531" s="37" t="n">
        <v>0.8571428571428571</v>
      </c>
      <c r="AC531" s="36" t="n">
        <v>11</v>
      </c>
      <c r="AD531" s="37" t="n">
        <v>0.8461538461538461</v>
      </c>
      <c r="AE531" s="36" t="n">
        <v>13</v>
      </c>
      <c r="AF531" s="37" t="n">
        <v>0.8666666666666667</v>
      </c>
      <c r="AG531" s="36" t="n">
        <v>8</v>
      </c>
      <c r="AH531" s="37" t="n">
        <v>0.7272727272727273</v>
      </c>
    </row>
    <row r="532">
      <c r="A532" s="53" t="n">
        <v>45824</v>
      </c>
      <c r="B532" t="inlineStr">
        <is>
          <t>R05_Jawa Tengah DIY</t>
        </is>
      </c>
      <c r="C532" t="inlineStr">
        <is>
          <t>NOP SEMARANG</t>
        </is>
      </c>
      <c r="D532" s="38" t="n">
        <v>1.708</v>
      </c>
      <c r="E532" s="38" t="n">
        <v>0</v>
      </c>
      <c r="F532" s="36" t="n">
        <v>3.6</v>
      </c>
      <c r="G532" s="36" t="n">
        <v>2.562</v>
      </c>
      <c r="H532" s="36" t="n">
        <v>19</v>
      </c>
      <c r="I532" s="37" t="n">
        <v>0.4634146341463415</v>
      </c>
      <c r="J532" s="36" t="n">
        <v>7</v>
      </c>
      <c r="K532" s="37" t="n">
        <v>1</v>
      </c>
      <c r="L532" s="36" t="n">
        <v>12</v>
      </c>
      <c r="M532" s="37" t="n">
        <v>0.3529411764705883</v>
      </c>
      <c r="N532" s="36" t="n">
        <v>5</v>
      </c>
      <c r="O532" s="37" t="n">
        <v>0.7142857142857143</v>
      </c>
      <c r="P532" s="36" t="n">
        <v>5</v>
      </c>
      <c r="Q532" s="37" t="n">
        <v>0.7142857142857143</v>
      </c>
      <c r="R532" s="36" t="n">
        <v>23</v>
      </c>
      <c r="S532" s="37" t="n">
        <v>0.5609756097560976</v>
      </c>
      <c r="T532" s="36" t="n">
        <v>12</v>
      </c>
      <c r="U532" s="37" t="n">
        <v>0.2926829268292683</v>
      </c>
      <c r="V532" s="38" t="n">
        <v>0</v>
      </c>
      <c r="W532" s="38" t="n">
        <v>6.053999999999999</v>
      </c>
      <c r="X532" s="38" t="n">
        <v>4.958000000000001</v>
      </c>
      <c r="Y532" s="38" t="n">
        <v>8.6</v>
      </c>
      <c r="Z532" s="38" t="n">
        <v>0</v>
      </c>
      <c r="AA532" s="36" t="n">
        <v>42</v>
      </c>
      <c r="AB532" s="37" t="n">
        <v>0.875</v>
      </c>
      <c r="AC532" s="36" t="n">
        <v>12</v>
      </c>
      <c r="AD532" s="37" t="n">
        <v>0.8</v>
      </c>
      <c r="AE532" s="36" t="n">
        <v>30</v>
      </c>
      <c r="AF532" s="37" t="n">
        <v>0.9090909090909091</v>
      </c>
      <c r="AG532" s="36" t="n">
        <v>10</v>
      </c>
      <c r="AH532" s="37" t="n">
        <v>0.8333333333333334</v>
      </c>
    </row>
    <row r="533">
      <c r="A533" s="53" t="n">
        <v>45824</v>
      </c>
      <c r="B533" t="inlineStr">
        <is>
          <t>R05_Jawa Tengah DIY</t>
        </is>
      </c>
      <c r="C533" t="inlineStr">
        <is>
          <t>NOP SURAKARTA</t>
        </is>
      </c>
      <c r="D533" s="38" t="n">
        <v>1.468</v>
      </c>
      <c r="E533" s="38" t="n">
        <v>0</v>
      </c>
      <c r="F533" s="36" t="n">
        <v>3.579000000000001</v>
      </c>
      <c r="G533" s="36" t="n">
        <v>3.45</v>
      </c>
      <c r="H533" s="36" t="n">
        <v>24</v>
      </c>
      <c r="I533" s="37" t="n">
        <v>0.8</v>
      </c>
      <c r="J533" s="36" t="n">
        <v>4</v>
      </c>
      <c r="K533" s="37" t="n">
        <v>0.8</v>
      </c>
      <c r="L533" s="36" t="n">
        <v>20</v>
      </c>
      <c r="M533" s="37" t="n">
        <v>0.8</v>
      </c>
      <c r="N533" s="36" t="n">
        <v>4</v>
      </c>
      <c r="O533" s="37" t="n">
        <v>1</v>
      </c>
      <c r="P533" s="36" t="n">
        <v>4</v>
      </c>
      <c r="Q533" s="37" t="n">
        <v>1</v>
      </c>
      <c r="R533" s="36" t="n">
        <v>24</v>
      </c>
      <c r="S533" s="37" t="n">
        <v>0.8</v>
      </c>
      <c r="T533" s="36" t="n">
        <v>20</v>
      </c>
      <c r="U533" s="37" t="n">
        <v>0.6666666666666666</v>
      </c>
      <c r="V533" s="38" t="n">
        <v>0.11</v>
      </c>
      <c r="W533" s="38" t="n">
        <v>8.457999999999997</v>
      </c>
      <c r="X533" s="38" t="n">
        <v>5.046000000000001</v>
      </c>
      <c r="Y533" s="38" t="n">
        <v>15.464</v>
      </c>
      <c r="Z533" s="38" t="n">
        <v>0</v>
      </c>
      <c r="AA533" s="36" t="n">
        <v>44</v>
      </c>
      <c r="AB533" s="37" t="n">
        <v>0.8</v>
      </c>
      <c r="AC533" s="36" t="n">
        <v>5</v>
      </c>
      <c r="AD533" s="37" t="n">
        <v>0.4545454545454545</v>
      </c>
      <c r="AE533" s="36" t="n">
        <v>39</v>
      </c>
      <c r="AF533" s="37" t="n">
        <v>0.8863636363636364</v>
      </c>
      <c r="AG533" s="36" t="n">
        <v>4</v>
      </c>
      <c r="AH533" s="37" t="n">
        <v>0.8</v>
      </c>
    </row>
    <row r="534">
      <c r="A534" s="53" t="n">
        <v>45824</v>
      </c>
      <c r="B534" t="inlineStr">
        <is>
          <t>R05_Jawa Tengah DIY</t>
        </is>
      </c>
      <c r="C534" t="inlineStr">
        <is>
          <t>NOP YOGYAKARTA</t>
        </is>
      </c>
      <c r="D534" s="38" t="n">
        <v>0</v>
      </c>
      <c r="E534" s="38" t="n">
        <v>0</v>
      </c>
      <c r="F534" s="36" t="n">
        <v>0</v>
      </c>
      <c r="G534" s="36" t="n">
        <v>2.311</v>
      </c>
      <c r="H534" s="36" t="n">
        <v>1</v>
      </c>
      <c r="I534" s="37" t="n">
        <v>0.25</v>
      </c>
      <c r="J534" s="36" t="n">
        <v>0</v>
      </c>
      <c r="K534" s="37" t="n">
        <v>0</v>
      </c>
      <c r="L534" s="36" t="n">
        <v>1</v>
      </c>
      <c r="M534" s="37" t="n">
        <v>0.25</v>
      </c>
      <c r="N534" s="36" t="n">
        <v>0</v>
      </c>
      <c r="O534" s="37" t="n">
        <v>0</v>
      </c>
      <c r="P534" s="36" t="n">
        <v>0</v>
      </c>
      <c r="Q534" s="37" t="n">
        <v>0</v>
      </c>
      <c r="R534" s="36" t="n">
        <v>4</v>
      </c>
      <c r="S534" s="37" t="n">
        <v>1</v>
      </c>
      <c r="T534" s="36" t="n">
        <v>1</v>
      </c>
      <c r="U534" s="37" t="n">
        <v>0.25</v>
      </c>
      <c r="V534" s="38" t="n">
        <v>0</v>
      </c>
      <c r="W534" s="38" t="n">
        <v>4.086000000000001</v>
      </c>
      <c r="X534" s="38" t="n">
        <v>5.776</v>
      </c>
      <c r="Y534" s="38" t="n">
        <v>9.113999999999999</v>
      </c>
      <c r="Z534" s="38" t="n">
        <v>0</v>
      </c>
      <c r="AA534" s="36" t="n">
        <v>41</v>
      </c>
      <c r="AB534" s="37" t="n">
        <v>0.8913043478260869</v>
      </c>
      <c r="AC534" s="36" t="n">
        <v>10</v>
      </c>
      <c r="AD534" s="37" t="n">
        <v>0.8333333333333334</v>
      </c>
      <c r="AE534" s="36" t="n">
        <v>31</v>
      </c>
      <c r="AF534" s="37" t="n">
        <v>0.9117647058823529</v>
      </c>
      <c r="AG534" s="36" t="n">
        <v>10</v>
      </c>
      <c r="AH534" s="37" t="n">
        <v>1</v>
      </c>
    </row>
    <row r="535">
      <c r="A535" s="53" t="n">
        <v>45824</v>
      </c>
      <c r="B535" t="inlineStr">
        <is>
          <t>R06_Jawa Timur</t>
        </is>
      </c>
      <c r="C535" t="inlineStr">
        <is>
          <t>NOP JEMBER</t>
        </is>
      </c>
      <c r="D535" s="38" t="n">
        <v>0.6899999999999999</v>
      </c>
      <c r="E535" s="38" t="n">
        <v>0</v>
      </c>
      <c r="F535" s="36" t="n">
        <v>2.142</v>
      </c>
      <c r="G535" s="36" t="n">
        <v>1.15</v>
      </c>
      <c r="H535" s="36" t="n">
        <v>7</v>
      </c>
      <c r="I535" s="37" t="n">
        <v>0.5833333333333334</v>
      </c>
      <c r="J535" s="36" t="n">
        <v>1</v>
      </c>
      <c r="K535" s="37" t="n">
        <v>1</v>
      </c>
      <c r="L535" s="36" t="n">
        <v>6</v>
      </c>
      <c r="M535" s="37" t="n">
        <v>0.5454545454545454</v>
      </c>
      <c r="N535" s="36" t="n">
        <v>0</v>
      </c>
      <c r="O535" s="37" t="n">
        <v>0</v>
      </c>
      <c r="P535" s="36" t="n">
        <v>0</v>
      </c>
      <c r="Q535" s="37" t="n">
        <v>0</v>
      </c>
      <c r="R535" s="36" t="n">
        <v>12</v>
      </c>
      <c r="S535" s="37" t="n">
        <v>1</v>
      </c>
      <c r="T535" s="36" t="n">
        <v>5</v>
      </c>
      <c r="U535" s="37" t="n">
        <v>0.4166666666666667</v>
      </c>
      <c r="V535" s="38" t="n">
        <v>0</v>
      </c>
      <c r="W535" s="38" t="n">
        <v>1.762</v>
      </c>
      <c r="X535" s="38" t="n">
        <v>2.144000000000001</v>
      </c>
      <c r="Y535" s="38" t="n">
        <v>0</v>
      </c>
      <c r="Z535" s="38" t="n">
        <v>0</v>
      </c>
      <c r="AA535" s="36" t="n">
        <v>23</v>
      </c>
      <c r="AB535" s="37" t="n">
        <v>0.7931034482758621</v>
      </c>
      <c r="AC535" s="36" t="n">
        <v>6</v>
      </c>
      <c r="AD535" s="37" t="n">
        <v>0.8571428571428571</v>
      </c>
      <c r="AE535" s="36" t="n">
        <v>17</v>
      </c>
      <c r="AF535" s="37" t="n">
        <v>0.7727272727272727</v>
      </c>
      <c r="AG535" s="36" t="n">
        <v>4</v>
      </c>
      <c r="AH535" s="37" t="n">
        <v>0.6666666666666666</v>
      </c>
    </row>
    <row r="536">
      <c r="A536" s="53" t="n">
        <v>45824</v>
      </c>
      <c r="B536" t="inlineStr">
        <is>
          <t>R06_Jawa Timur</t>
        </is>
      </c>
      <c r="C536" t="inlineStr">
        <is>
          <t>NOP KEDIRI</t>
        </is>
      </c>
      <c r="D536" s="38" t="n">
        <v>0.52</v>
      </c>
      <c r="E536" s="38" t="n">
        <v>0</v>
      </c>
      <c r="F536" s="36" t="n">
        <v>1.87</v>
      </c>
      <c r="G536" s="36" t="n">
        <v>1.345</v>
      </c>
      <c r="H536" s="36" t="n">
        <v>17</v>
      </c>
      <c r="I536" s="37" t="n">
        <v>0.9444444444444444</v>
      </c>
      <c r="J536" s="36" t="n">
        <v>1</v>
      </c>
      <c r="K536" s="37" t="n">
        <v>1</v>
      </c>
      <c r="L536" s="36" t="n">
        <v>16</v>
      </c>
      <c r="M536" s="37" t="n">
        <v>0.9411764705882353</v>
      </c>
      <c r="N536" s="36" t="n">
        <v>1</v>
      </c>
      <c r="O536" s="37" t="n">
        <v>1</v>
      </c>
      <c r="P536" s="36" t="n">
        <v>1</v>
      </c>
      <c r="Q536" s="37" t="n">
        <v>1</v>
      </c>
      <c r="R536" s="36" t="n">
        <v>14</v>
      </c>
      <c r="S536" s="37" t="n">
        <v>0.7777777777777778</v>
      </c>
      <c r="T536" s="36" t="n">
        <v>8</v>
      </c>
      <c r="U536" s="37" t="n">
        <v>0.4444444444444444</v>
      </c>
      <c r="V536" s="38" t="n">
        <v>0</v>
      </c>
      <c r="W536" s="38" t="n">
        <v>0</v>
      </c>
      <c r="X536" s="38" t="n">
        <v>2.562</v>
      </c>
      <c r="Y536" s="38" t="n">
        <v>0</v>
      </c>
      <c r="Z536" s="38" t="n">
        <v>0</v>
      </c>
      <c r="AA536" s="36" t="n">
        <v>15</v>
      </c>
      <c r="AB536" s="37" t="n">
        <v>1</v>
      </c>
      <c r="AC536" s="36" t="n">
        <v>0</v>
      </c>
      <c r="AD536" s="37" t="n">
        <v>0</v>
      </c>
      <c r="AE536" s="36" t="n">
        <v>15</v>
      </c>
      <c r="AF536" s="37" t="n">
        <v>1</v>
      </c>
      <c r="AG536" s="36" t="n">
        <v>0</v>
      </c>
      <c r="AH536" s="37" t="n">
        <v>0</v>
      </c>
    </row>
    <row r="537">
      <c r="A537" s="53" t="n">
        <v>45824</v>
      </c>
      <c r="B537" t="inlineStr">
        <is>
          <t>R06_Jawa Timur</t>
        </is>
      </c>
      <c r="C537" t="inlineStr">
        <is>
          <t>NOP LAMONGAN</t>
        </is>
      </c>
      <c r="D537" s="38" t="n">
        <v>1.547</v>
      </c>
      <c r="E537" s="38" t="n">
        <v>0</v>
      </c>
      <c r="F537" s="36" t="n">
        <v>1.318</v>
      </c>
      <c r="G537" s="36" t="n">
        <v>1.967</v>
      </c>
      <c r="H537" s="36" t="n">
        <v>7</v>
      </c>
      <c r="I537" s="37" t="n">
        <v>1</v>
      </c>
      <c r="J537" s="36" t="n">
        <v>2</v>
      </c>
      <c r="K537" s="37" t="n">
        <v>1</v>
      </c>
      <c r="L537" s="36" t="n">
        <v>5</v>
      </c>
      <c r="M537" s="37" t="n">
        <v>1</v>
      </c>
      <c r="N537" s="36" t="n">
        <v>2</v>
      </c>
      <c r="O537" s="37" t="n">
        <v>1</v>
      </c>
      <c r="P537" s="36" t="n">
        <v>2</v>
      </c>
      <c r="Q537" s="37" t="n">
        <v>1</v>
      </c>
      <c r="R537" s="36" t="n">
        <v>5</v>
      </c>
      <c r="S537" s="37" t="n">
        <v>0.7142857142857143</v>
      </c>
      <c r="T537" s="36" t="n">
        <v>6</v>
      </c>
      <c r="U537" s="37" t="n">
        <v>0.8571428571428571</v>
      </c>
      <c r="V537" s="38" t="n">
        <v>0</v>
      </c>
      <c r="W537" s="38" t="n">
        <v>1.8</v>
      </c>
      <c r="X537" s="38" t="n">
        <v>3.154</v>
      </c>
      <c r="Y537" s="38" t="n">
        <v>0</v>
      </c>
      <c r="Z537" s="38" t="n">
        <v>0</v>
      </c>
      <c r="AA537" s="36" t="n">
        <v>9</v>
      </c>
      <c r="AB537" s="37" t="n">
        <v>0.6923076923076923</v>
      </c>
      <c r="AC537" s="36" t="n">
        <v>3</v>
      </c>
      <c r="AD537" s="37" t="n">
        <v>1</v>
      </c>
      <c r="AE537" s="36" t="n">
        <v>6</v>
      </c>
      <c r="AF537" s="37" t="n">
        <v>0.6</v>
      </c>
      <c r="AG537" s="36" t="n">
        <v>3</v>
      </c>
      <c r="AH537" s="37" t="n">
        <v>1</v>
      </c>
    </row>
    <row r="538">
      <c r="A538" s="53" t="n">
        <v>45824</v>
      </c>
      <c r="B538" t="inlineStr">
        <is>
          <t>R06_Jawa Timur</t>
        </is>
      </c>
      <c r="C538" t="inlineStr">
        <is>
          <t>NOP MADIUN</t>
        </is>
      </c>
      <c r="D538" s="38" t="n">
        <v>0</v>
      </c>
      <c r="E538" s="38" t="n">
        <v>0</v>
      </c>
      <c r="F538" s="36" t="n">
        <v>1.802</v>
      </c>
      <c r="G538" s="36" t="n">
        <v>1.999</v>
      </c>
      <c r="H538" s="36" t="n">
        <v>3</v>
      </c>
      <c r="I538" s="37" t="n">
        <v>0.4285714285714285</v>
      </c>
      <c r="J538" s="36" t="n">
        <v>0</v>
      </c>
      <c r="K538" s="37" t="n">
        <v>0</v>
      </c>
      <c r="L538" s="36" t="n">
        <v>3</v>
      </c>
      <c r="M538" s="37" t="n">
        <v>0.4285714285714285</v>
      </c>
      <c r="N538" s="36" t="n">
        <v>0</v>
      </c>
      <c r="O538" s="37" t="n">
        <v>0</v>
      </c>
      <c r="P538" s="36" t="n">
        <v>0</v>
      </c>
      <c r="Q538" s="37" t="n">
        <v>0</v>
      </c>
      <c r="R538" s="36" t="n">
        <v>6</v>
      </c>
      <c r="S538" s="37" t="n">
        <v>0.8571428571428571</v>
      </c>
      <c r="T538" s="36" t="n">
        <v>1</v>
      </c>
      <c r="U538" s="37" t="n">
        <v>0.1428571428571428</v>
      </c>
      <c r="V538" s="38" t="n">
        <v>0</v>
      </c>
      <c r="W538" s="38" t="n">
        <v>0.75</v>
      </c>
      <c r="X538" s="38" t="n">
        <v>3.27</v>
      </c>
      <c r="Y538" s="38" t="n">
        <v>0.207</v>
      </c>
      <c r="Z538" s="38" t="n">
        <v>0</v>
      </c>
      <c r="AA538" s="36" t="n">
        <v>16</v>
      </c>
      <c r="AB538" s="37" t="n">
        <v>0.7272727272727273</v>
      </c>
      <c r="AC538" s="36" t="n">
        <v>1</v>
      </c>
      <c r="AD538" s="37" t="n">
        <v>0.3333333333333333</v>
      </c>
      <c r="AE538" s="36" t="n">
        <v>15</v>
      </c>
      <c r="AF538" s="37" t="n">
        <v>0.7894736842105263</v>
      </c>
      <c r="AG538" s="36" t="n">
        <v>0</v>
      </c>
      <c r="AH538" s="37" t="n">
        <v>0</v>
      </c>
    </row>
    <row r="539">
      <c r="A539" s="53" t="n">
        <v>45824</v>
      </c>
      <c r="B539" t="inlineStr">
        <is>
          <t>R06_Jawa Timur</t>
        </is>
      </c>
      <c r="C539" t="inlineStr">
        <is>
          <t>NOP MALANG</t>
        </is>
      </c>
      <c r="D539" s="38" t="n">
        <v>0</v>
      </c>
      <c r="E539" s="38" t="n">
        <v>0</v>
      </c>
      <c r="F539" s="36" t="n">
        <v>1.28</v>
      </c>
      <c r="G539" s="36" t="n">
        <v>1.738</v>
      </c>
      <c r="H539" s="36" t="n">
        <v>4</v>
      </c>
      <c r="I539" s="37" t="n">
        <v>1</v>
      </c>
      <c r="J539" s="36" t="n">
        <v>0</v>
      </c>
      <c r="K539" s="37" t="n">
        <v>0</v>
      </c>
      <c r="L539" s="36" t="n">
        <v>4</v>
      </c>
      <c r="M539" s="37" t="n">
        <v>1</v>
      </c>
      <c r="N539" s="36" t="n">
        <v>0</v>
      </c>
      <c r="O539" s="37" t="n">
        <v>0</v>
      </c>
      <c r="P539" s="36" t="n">
        <v>0</v>
      </c>
      <c r="Q539" s="37" t="n">
        <v>0</v>
      </c>
      <c r="R539" s="36" t="n">
        <v>3</v>
      </c>
      <c r="S539" s="37" t="n">
        <v>0.75</v>
      </c>
      <c r="T539" s="36" t="n">
        <v>3</v>
      </c>
      <c r="U539" s="37" t="n">
        <v>0.75</v>
      </c>
      <c r="V539" s="38" t="n">
        <v>0</v>
      </c>
      <c r="W539" s="38" t="n">
        <v>0</v>
      </c>
      <c r="X539" s="38" t="n">
        <v>1.03</v>
      </c>
      <c r="Y539" s="38" t="n">
        <v>9.448</v>
      </c>
      <c r="Z539" s="38" t="n">
        <v>0</v>
      </c>
      <c r="AA539" s="36" t="n">
        <v>4</v>
      </c>
      <c r="AB539" s="37" t="n">
        <v>0.6666666666666666</v>
      </c>
      <c r="AC539" s="36" t="n">
        <v>2</v>
      </c>
      <c r="AD539" s="37" t="n">
        <v>1</v>
      </c>
      <c r="AE539" s="36" t="n">
        <v>2</v>
      </c>
      <c r="AF539" s="37" t="n">
        <v>0.5</v>
      </c>
      <c r="AG539" s="36" t="n">
        <v>0</v>
      </c>
      <c r="AH539" s="37" t="n">
        <v>0</v>
      </c>
    </row>
    <row r="540">
      <c r="A540" s="53" t="n">
        <v>45824</v>
      </c>
      <c r="B540" t="inlineStr">
        <is>
          <t>R06_Jawa Timur</t>
        </is>
      </c>
      <c r="C540" t="inlineStr">
        <is>
          <t>NOP SIDOARJO</t>
        </is>
      </c>
      <c r="D540" s="38" t="n">
        <v>2.31</v>
      </c>
      <c r="E540" s="38" t="n">
        <v>0</v>
      </c>
      <c r="F540" s="36" t="n">
        <v>1.732</v>
      </c>
      <c r="G540" s="36" t="n">
        <v>3.08</v>
      </c>
      <c r="H540" s="36" t="n">
        <v>11</v>
      </c>
      <c r="I540" s="37" t="n">
        <v>0.8461538461538461</v>
      </c>
      <c r="J540" s="36" t="n">
        <v>1</v>
      </c>
      <c r="K540" s="37" t="n">
        <v>1</v>
      </c>
      <c r="L540" s="36" t="n">
        <v>10</v>
      </c>
      <c r="M540" s="37" t="n">
        <v>0.8333333333333334</v>
      </c>
      <c r="N540" s="36" t="n">
        <v>1</v>
      </c>
      <c r="O540" s="37" t="n">
        <v>1</v>
      </c>
      <c r="P540" s="36" t="n">
        <v>1</v>
      </c>
      <c r="Q540" s="37" t="n">
        <v>1</v>
      </c>
      <c r="R540" s="36" t="n">
        <v>2</v>
      </c>
      <c r="S540" s="37" t="n">
        <v>0.1538461538461539</v>
      </c>
      <c r="T540" s="36" t="n">
        <v>2</v>
      </c>
      <c r="U540" s="37" t="n">
        <v>0.1538461538461539</v>
      </c>
      <c r="V540" s="38" t="n">
        <v>0</v>
      </c>
      <c r="W540" s="38" t="n">
        <v>2.2</v>
      </c>
      <c r="X540" s="38" t="n">
        <v>3.231</v>
      </c>
      <c r="Y540" s="38" t="n">
        <v>2.043</v>
      </c>
      <c r="Z540" s="38" t="n">
        <v>0</v>
      </c>
      <c r="AA540" s="36" t="n">
        <v>14</v>
      </c>
      <c r="AB540" s="37" t="n">
        <v>0.9333333333333333</v>
      </c>
      <c r="AC540" s="36" t="n">
        <v>1</v>
      </c>
      <c r="AD540" s="37" t="n">
        <v>1</v>
      </c>
      <c r="AE540" s="36" t="n">
        <v>13</v>
      </c>
      <c r="AF540" s="37" t="n">
        <v>0.9285714285714286</v>
      </c>
      <c r="AG540" s="36" t="n">
        <v>1</v>
      </c>
      <c r="AH540" s="37" t="n">
        <v>1</v>
      </c>
    </row>
    <row r="541">
      <c r="A541" s="53" t="n">
        <v>45824</v>
      </c>
      <c r="B541" t="inlineStr">
        <is>
          <t>R06_Jawa Timur</t>
        </is>
      </c>
      <c r="C541" t="inlineStr">
        <is>
          <t>NOP SURABAYA</t>
        </is>
      </c>
      <c r="D541" s="38" t="n">
        <v>0.8</v>
      </c>
      <c r="E541" s="38" t="n">
        <v>2.269</v>
      </c>
      <c r="F541" s="36" t="n">
        <v>1.305</v>
      </c>
      <c r="G541" s="36" t="n">
        <v>5.804000000000001</v>
      </c>
      <c r="H541" s="36" t="n">
        <v>6</v>
      </c>
      <c r="I541" s="37" t="n">
        <v>0.5</v>
      </c>
      <c r="J541" s="36" t="n">
        <v>1</v>
      </c>
      <c r="K541" s="37" t="n">
        <v>0.3333333333333333</v>
      </c>
      <c r="L541" s="36" t="n">
        <v>5</v>
      </c>
      <c r="M541" s="37" t="n">
        <v>0.5555555555555556</v>
      </c>
      <c r="N541" s="36" t="n">
        <v>1</v>
      </c>
      <c r="O541" s="37" t="n">
        <v>1</v>
      </c>
      <c r="P541" s="36" t="n">
        <v>1</v>
      </c>
      <c r="Q541" s="37" t="n">
        <v>1</v>
      </c>
      <c r="R541" s="36" t="n">
        <v>6</v>
      </c>
      <c r="S541" s="37" t="n">
        <v>0.5</v>
      </c>
      <c r="T541" s="36" t="n">
        <v>4</v>
      </c>
      <c r="U541" s="37" t="n">
        <v>0.3333333333333333</v>
      </c>
      <c r="V541" s="38" t="n">
        <v>0</v>
      </c>
      <c r="W541" s="38" t="n">
        <v>8.220000000000001</v>
      </c>
      <c r="X541" s="38" t="n">
        <v>4.739000000000009</v>
      </c>
      <c r="Y541" s="38" t="n">
        <v>1.026</v>
      </c>
      <c r="Z541" s="38" t="n">
        <v>0</v>
      </c>
      <c r="AA541" s="36" t="n">
        <v>30</v>
      </c>
      <c r="AB541" s="37" t="n">
        <v>0.6818181818181818</v>
      </c>
      <c r="AC541" s="36" t="n">
        <v>0</v>
      </c>
      <c r="AD541" s="37" t="n">
        <v>0</v>
      </c>
      <c r="AE541" s="36" t="n">
        <v>30</v>
      </c>
      <c r="AF541" s="37" t="n">
        <v>0.6976744186046512</v>
      </c>
      <c r="AG541" s="36" t="n">
        <v>0</v>
      </c>
      <c r="AH541" s="37" t="n">
        <v>0</v>
      </c>
    </row>
    <row r="542">
      <c r="A542" s="53" t="n">
        <v>45824</v>
      </c>
      <c r="B542" t="inlineStr">
        <is>
          <t>R07_Bali Nusra</t>
        </is>
      </c>
      <c r="C542" t="inlineStr">
        <is>
          <t>NOP DENPASAR</t>
        </is>
      </c>
      <c r="D542" s="38" t="n">
        <v>1.164</v>
      </c>
      <c r="E542" s="38" t="n">
        <v>0</v>
      </c>
      <c r="F542" s="36" t="n">
        <v>5.46</v>
      </c>
      <c r="G542" s="36" t="n">
        <v>3.585</v>
      </c>
      <c r="H542" s="36" t="n">
        <v>7</v>
      </c>
      <c r="I542" s="37" t="n">
        <v>0.6363636363636364</v>
      </c>
      <c r="J542" s="36" t="n">
        <v>2</v>
      </c>
      <c r="K542" s="37" t="n">
        <v>1</v>
      </c>
      <c r="L542" s="36" t="n">
        <v>5</v>
      </c>
      <c r="M542" s="37" t="n">
        <v>0.5555555555555556</v>
      </c>
      <c r="N542" s="36" t="n">
        <v>2</v>
      </c>
      <c r="O542" s="37" t="n">
        <v>1</v>
      </c>
      <c r="P542" s="36" t="n">
        <v>2</v>
      </c>
      <c r="Q542" s="37" t="n">
        <v>1</v>
      </c>
      <c r="R542" s="36" t="n">
        <v>7</v>
      </c>
      <c r="S542" s="37" t="n">
        <v>0.6363636363636364</v>
      </c>
      <c r="T542" s="36" t="n">
        <v>9</v>
      </c>
      <c r="U542" s="37" t="n">
        <v>0.8181818181818182</v>
      </c>
      <c r="V542" s="38" t="n">
        <v>0</v>
      </c>
      <c r="W542" s="38" t="n">
        <v>1.922</v>
      </c>
      <c r="X542" s="38" t="n">
        <v>4.08</v>
      </c>
      <c r="Y542" s="38" t="n">
        <v>0</v>
      </c>
      <c r="Z542" s="38" t="n">
        <v>0</v>
      </c>
      <c r="AA542" s="36" t="n">
        <v>15</v>
      </c>
      <c r="AB542" s="37" t="n">
        <v>0.9375</v>
      </c>
      <c r="AC542" s="36" t="n">
        <v>5</v>
      </c>
      <c r="AD542" s="37" t="n">
        <v>1</v>
      </c>
      <c r="AE542" s="36" t="n">
        <v>10</v>
      </c>
      <c r="AF542" s="37" t="n">
        <v>0.9090909090909091</v>
      </c>
      <c r="AG542" s="36" t="n">
        <v>2</v>
      </c>
      <c r="AH542" s="37" t="n">
        <v>0.4</v>
      </c>
    </row>
    <row r="543">
      <c r="A543" s="53" t="n">
        <v>45824</v>
      </c>
      <c r="B543" t="inlineStr">
        <is>
          <t>R07_Bali Nusra</t>
        </is>
      </c>
      <c r="C543" t="inlineStr">
        <is>
          <t>NOP FLORES</t>
        </is>
      </c>
      <c r="D543" s="38" t="n">
        <v>0</v>
      </c>
      <c r="E543" s="38" t="n">
        <v>3.092</v>
      </c>
      <c r="F543" s="36" t="n">
        <v>4.48</v>
      </c>
      <c r="G543" s="36" t="n">
        <v>1.63</v>
      </c>
      <c r="H543" s="36" t="n">
        <v>19</v>
      </c>
      <c r="I543" s="37" t="n">
        <v>0.2835820895522388</v>
      </c>
      <c r="J543" s="36" t="n">
        <v>2</v>
      </c>
      <c r="K543" s="37" t="n">
        <v>0.2857142857142857</v>
      </c>
      <c r="L543" s="36" t="n">
        <v>17</v>
      </c>
      <c r="M543" s="37" t="n">
        <v>0.2833333333333333</v>
      </c>
      <c r="N543" s="36" t="n">
        <v>1</v>
      </c>
      <c r="O543" s="37" t="n">
        <v>0.5</v>
      </c>
      <c r="P543" s="36" t="n">
        <v>1</v>
      </c>
      <c r="Q543" s="37" t="n">
        <v>0.5</v>
      </c>
      <c r="R543" s="36" t="n">
        <v>60</v>
      </c>
      <c r="S543" s="37" t="n">
        <v>0.8955223880597015</v>
      </c>
      <c r="T543" s="36" t="n">
        <v>14</v>
      </c>
      <c r="U543" s="37" t="n">
        <v>0.208955223880597</v>
      </c>
      <c r="V543" s="38" t="n">
        <v>0</v>
      </c>
      <c r="W543" s="38" t="n">
        <v>14.138</v>
      </c>
      <c r="X543" s="38" t="n">
        <v>5.356999999999998</v>
      </c>
      <c r="Y543" s="38" t="n">
        <v>0.3120000000000001</v>
      </c>
      <c r="Z543" s="38" t="n">
        <v>0</v>
      </c>
      <c r="AA543" s="36" t="n">
        <v>59</v>
      </c>
      <c r="AB543" s="37" t="n">
        <v>0.5042735042735043</v>
      </c>
      <c r="AC543" s="36" t="n">
        <v>45</v>
      </c>
      <c r="AD543" s="37" t="n">
        <v>0.5</v>
      </c>
      <c r="AE543" s="36" t="n">
        <v>14</v>
      </c>
      <c r="AF543" s="37" t="n">
        <v>0.5185185185185185</v>
      </c>
      <c r="AG543" s="36" t="n">
        <v>43</v>
      </c>
      <c r="AH543" s="37" t="n">
        <v>0.9555555555555556</v>
      </c>
    </row>
    <row r="544">
      <c r="A544" s="53" t="n">
        <v>45824</v>
      </c>
      <c r="B544" t="inlineStr">
        <is>
          <t>R07_Bali Nusra</t>
        </is>
      </c>
      <c r="C544" t="inlineStr">
        <is>
          <t>NOP KUPANG</t>
        </is>
      </c>
      <c r="D544" s="38" t="n">
        <v>0.63</v>
      </c>
      <c r="E544" s="38" t="n">
        <v>4.054</v>
      </c>
      <c r="F544" s="36" t="n">
        <v>4.513999999999999</v>
      </c>
      <c r="G544" s="36" t="n">
        <v>4.439</v>
      </c>
      <c r="H544" s="36" t="n">
        <v>51</v>
      </c>
      <c r="I544" s="37" t="n">
        <v>0.7391304347826086</v>
      </c>
      <c r="J544" s="36" t="n">
        <v>17</v>
      </c>
      <c r="K544" s="37" t="n">
        <v>0.9444444444444444</v>
      </c>
      <c r="L544" s="36" t="n">
        <v>34</v>
      </c>
      <c r="M544" s="37" t="n">
        <v>0.6666666666666666</v>
      </c>
      <c r="N544" s="36" t="n">
        <v>16</v>
      </c>
      <c r="O544" s="37" t="n">
        <v>0.9411764705882353</v>
      </c>
      <c r="P544" s="36" t="n">
        <v>13</v>
      </c>
      <c r="Q544" s="37" t="n">
        <v>0.9285714285714286</v>
      </c>
      <c r="R544" s="36" t="n">
        <v>62</v>
      </c>
      <c r="S544" s="37" t="n">
        <v>0.8985507246376812</v>
      </c>
      <c r="T544" s="36" t="n">
        <v>32</v>
      </c>
      <c r="U544" s="37" t="n">
        <v>0.463768115942029</v>
      </c>
      <c r="V544" s="38" t="n">
        <v>0.242</v>
      </c>
      <c r="W544" s="38" t="n">
        <v>1.723</v>
      </c>
      <c r="X544" s="38" t="n">
        <v>7.948999999999999</v>
      </c>
      <c r="Y544" s="38" t="n">
        <v>2.153999999999999</v>
      </c>
      <c r="Z544" s="38" t="n">
        <v>0</v>
      </c>
      <c r="AA544" s="36" t="n">
        <v>40</v>
      </c>
      <c r="AB544" s="37" t="n">
        <v>0.5714285714285714</v>
      </c>
      <c r="AC544" s="36" t="n">
        <v>21</v>
      </c>
      <c r="AD544" s="37" t="n">
        <v>0.6774193548387096</v>
      </c>
      <c r="AE544" s="36" t="n">
        <v>19</v>
      </c>
      <c r="AF544" s="37" t="n">
        <v>0.4871794871794872</v>
      </c>
      <c r="AG544" s="36" t="n">
        <v>12</v>
      </c>
      <c r="AH544" s="37" t="n">
        <v>0.5714285714285714</v>
      </c>
    </row>
    <row r="545">
      <c r="A545" s="53" t="n">
        <v>45824</v>
      </c>
      <c r="B545" t="inlineStr">
        <is>
          <t>R07_Bali Nusra</t>
        </is>
      </c>
      <c r="C545" t="inlineStr">
        <is>
          <t>NOP MATARAM</t>
        </is>
      </c>
      <c r="D545" s="38" t="n">
        <v>0</v>
      </c>
      <c r="E545" s="38" t="n">
        <v>0.64</v>
      </c>
      <c r="F545" s="36" t="n">
        <v>1.424</v>
      </c>
      <c r="G545" s="36" t="n">
        <v>9.311</v>
      </c>
      <c r="H545" s="36" t="n">
        <v>6</v>
      </c>
      <c r="I545" s="37" t="n">
        <v>0.12</v>
      </c>
      <c r="J545" s="36" t="n">
        <v>1</v>
      </c>
      <c r="K545" s="37" t="n">
        <v>1</v>
      </c>
      <c r="L545" s="36" t="n">
        <v>5</v>
      </c>
      <c r="M545" s="37" t="n">
        <v>0.1020408163265306</v>
      </c>
      <c r="N545" s="36" t="n">
        <v>0</v>
      </c>
      <c r="O545" s="37" t="n">
        <v>0</v>
      </c>
      <c r="P545" s="36" t="n">
        <v>0</v>
      </c>
      <c r="Q545" s="37" t="n">
        <v>0</v>
      </c>
      <c r="R545" s="36" t="n">
        <v>30</v>
      </c>
      <c r="S545" s="37" t="n">
        <v>0.6</v>
      </c>
      <c r="T545" s="36" t="n">
        <v>23</v>
      </c>
      <c r="U545" s="37" t="n">
        <v>0.46</v>
      </c>
      <c r="V545" s="38" t="n">
        <v>0</v>
      </c>
      <c r="W545" s="38" t="n">
        <v>4.529999999999999</v>
      </c>
      <c r="X545" s="38" t="n">
        <v>2.399999999999999</v>
      </c>
      <c r="Y545" s="38" t="n">
        <v>11.016</v>
      </c>
      <c r="Z545" s="38" t="n">
        <v>0</v>
      </c>
      <c r="AA545" s="36" t="n">
        <v>13</v>
      </c>
      <c r="AB545" s="37" t="n">
        <v>0.3333333333333333</v>
      </c>
      <c r="AC545" s="36" t="n">
        <v>7</v>
      </c>
      <c r="AD545" s="37" t="n">
        <v>0.2692307692307692</v>
      </c>
      <c r="AE545" s="36" t="n">
        <v>6</v>
      </c>
      <c r="AF545" s="37" t="n">
        <v>0.4615384615384616</v>
      </c>
      <c r="AG545" s="36" t="n">
        <v>4</v>
      </c>
      <c r="AH545" s="37" t="n">
        <v>0.5714285714285714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6933C"/>
    <outlinePr summaryBelow="1" summaryRight="1"/>
    <pageSetUpPr/>
  </sheetPr>
  <dimension ref="A1:W54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17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0" customWidth="1" min="13" max="13"/>
    <col width="23" customWidth="1" min="14" max="14"/>
    <col width="17" customWidth="1" min="15" max="15"/>
    <col width="14" customWidth="1" min="16" max="16"/>
    <col width="14" customWidth="1" min="17" max="17"/>
    <col width="12" customWidth="1" min="18" max="18"/>
    <col width="17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41" t="inlineStr">
        <is>
          <t>Date</t>
        </is>
      </c>
      <c r="B1" s="41" t="inlineStr">
        <is>
          <t>Regional</t>
        </is>
      </c>
      <c r="C1" s="41" t="inlineStr">
        <is>
          <t>NOP</t>
        </is>
      </c>
      <c r="D1" s="51" t="inlineStr">
        <is>
          <t>IM-Critical-MTD</t>
        </is>
      </c>
      <c r="E1" s="51" t="inlineStr">
        <is>
          <t>IM-Major-MTD</t>
        </is>
      </c>
      <c r="F1" s="51" t="inlineStr">
        <is>
          <t>IM-Minor-MTD</t>
        </is>
      </c>
      <c r="G1" s="51" t="inlineStr">
        <is>
          <t>IM-Low-MTD</t>
        </is>
      </c>
      <c r="H1" s="51" t="inlineStr">
        <is>
          <t>IM-%TO-MTD</t>
        </is>
      </c>
      <c r="I1" s="51" t="inlineStr">
        <is>
          <t>IM-%TO-High-MTD</t>
        </is>
      </c>
      <c r="J1" s="51" t="inlineStr">
        <is>
          <t>IM-%TO-Low-MTD</t>
        </is>
      </c>
      <c r="K1" s="51" t="inlineStr">
        <is>
          <t>IM-%Visit-MTD</t>
        </is>
      </c>
      <c r="L1" s="51" t="inlineStr">
        <is>
          <t>IM-%Top5-MTD</t>
        </is>
      </c>
      <c r="M1" s="51" t="inlineStr">
        <is>
          <t>IM-%Closing-MTD</t>
        </is>
      </c>
      <c r="N1" s="51" t="inlineStr">
        <is>
          <t>IM-%RCAValidation-MTD</t>
        </is>
      </c>
      <c r="O1" s="52" t="inlineStr">
        <is>
          <t>EM-Critical-MTD</t>
        </is>
      </c>
      <c r="P1" s="52" t="inlineStr">
        <is>
          <t>EM-Major-MTD</t>
        </is>
      </c>
      <c r="Q1" s="52" t="inlineStr">
        <is>
          <t>EM-Minor-MTD</t>
        </is>
      </c>
      <c r="R1" s="52" t="inlineStr">
        <is>
          <t>EM-Low-MTD</t>
        </is>
      </c>
      <c r="S1" s="52" t="inlineStr">
        <is>
          <t>EM-Very Low-MTD</t>
        </is>
      </c>
      <c r="T1" s="52" t="inlineStr">
        <is>
          <t>EM-%TO-MTD</t>
        </is>
      </c>
      <c r="U1" s="52" t="inlineStr">
        <is>
          <t>EM-%TO-High-MTD</t>
        </is>
      </c>
      <c r="V1" s="52" t="inlineStr">
        <is>
          <t>EM-%TO-Low-MTD</t>
        </is>
      </c>
      <c r="W1" s="52" t="inlineStr">
        <is>
          <t>EM-%Visit-MTD</t>
        </is>
      </c>
    </row>
    <row r="2">
      <c r="A2" s="53" t="n">
        <v>45809</v>
      </c>
      <c r="B2" t="inlineStr">
        <is>
          <t>R01_Sumbagut</t>
        </is>
      </c>
      <c r="C2" t="inlineStr">
        <is>
          <t>NOP ACEH</t>
        </is>
      </c>
      <c r="D2" s="36" t="n">
        <v>1.34</v>
      </c>
      <c r="E2" s="36" t="n">
        <v>25.5</v>
      </c>
      <c r="F2" s="36" t="n">
        <v>2.33</v>
      </c>
      <c r="G2" s="36" t="n">
        <v>13.31</v>
      </c>
      <c r="H2" s="37" t="n">
        <v>0.8880597014925373</v>
      </c>
      <c r="I2" s="37" t="n">
        <v>0.975609756097561</v>
      </c>
      <c r="J2" s="37" t="n">
        <v>0.8494623655913979</v>
      </c>
      <c r="K2" s="37" t="n">
        <v>0.525</v>
      </c>
      <c r="L2" s="37" t="n">
        <v>0.5483870967741935</v>
      </c>
      <c r="M2" s="37" t="n">
        <v>1</v>
      </c>
      <c r="N2" s="37" t="n">
        <v>0.4701492537313433</v>
      </c>
      <c r="O2" s="36" t="n">
        <v>0.02</v>
      </c>
      <c r="P2" s="36" t="n">
        <v>3.69</v>
      </c>
      <c r="Q2" s="36" t="n">
        <v>61.6</v>
      </c>
      <c r="R2" s="36" t="n">
        <v>99.72</v>
      </c>
      <c r="S2" s="36" t="n">
        <v>0</v>
      </c>
      <c r="T2" s="37" t="n">
        <v>0.8511627906976744</v>
      </c>
      <c r="U2" s="37" t="n">
        <v>0.6323529411764706</v>
      </c>
      <c r="V2" s="37" t="n">
        <v>0.9507042253521126</v>
      </c>
      <c r="W2" s="37" t="n">
        <v>0.186046511627907</v>
      </c>
    </row>
    <row r="3">
      <c r="A3" s="53" t="n">
        <v>45809</v>
      </c>
      <c r="B3" t="inlineStr">
        <is>
          <t>R01_Sumbagut</t>
        </is>
      </c>
      <c r="C3" t="inlineStr">
        <is>
          <t>NOP BINJAI</t>
        </is>
      </c>
      <c r="D3" s="36" t="n">
        <v>3.35</v>
      </c>
      <c r="E3" s="36" t="n">
        <v>5.41</v>
      </c>
      <c r="F3" s="36" t="n">
        <v>5.89</v>
      </c>
      <c r="G3" s="36" t="n">
        <v>7.21</v>
      </c>
      <c r="H3" s="37" t="n">
        <v>0.6</v>
      </c>
      <c r="I3" s="37" t="n">
        <v>0.5945945945945946</v>
      </c>
      <c r="J3" s="37" t="n">
        <v>0.6024096385542169</v>
      </c>
      <c r="K3" s="37" t="n">
        <v>0.4545454545454545</v>
      </c>
      <c r="L3" s="37" t="n">
        <v>0.4545454545454545</v>
      </c>
      <c r="M3" s="37" t="n">
        <v>0.9833333333333333</v>
      </c>
      <c r="N3" s="37" t="n">
        <v>0.3</v>
      </c>
      <c r="O3" s="36" t="n">
        <v>0</v>
      </c>
      <c r="P3" s="36" t="n">
        <v>2.69</v>
      </c>
      <c r="Q3" s="36" t="n">
        <v>57.75</v>
      </c>
      <c r="R3" s="36" t="n">
        <v>136.38</v>
      </c>
      <c r="S3" s="36" t="n">
        <v>0</v>
      </c>
      <c r="T3" s="37" t="n">
        <v>0.6593406593406593</v>
      </c>
      <c r="U3" s="37" t="n">
        <v>0.5</v>
      </c>
      <c r="V3" s="37" t="n">
        <v>0.7872340425531915</v>
      </c>
      <c r="W3" s="37" t="n">
        <v>0.6190476190476191</v>
      </c>
    </row>
    <row r="4">
      <c r="A4" s="53" t="n">
        <v>45809</v>
      </c>
      <c r="B4" t="inlineStr">
        <is>
          <t>R01_Sumbagut</t>
        </is>
      </c>
      <c r="C4" t="inlineStr">
        <is>
          <t>NOP MEDAN</t>
        </is>
      </c>
      <c r="D4" s="36" t="n">
        <v>0</v>
      </c>
      <c r="E4" s="36" t="n">
        <v>2.11</v>
      </c>
      <c r="F4" s="36" t="n">
        <v>2.32</v>
      </c>
      <c r="G4" s="36" t="n">
        <v>12.37</v>
      </c>
      <c r="H4" s="37" t="n">
        <v>0.4651162790697674</v>
      </c>
      <c r="I4" s="37" t="n">
        <v>0.25</v>
      </c>
      <c r="J4" s="37" t="n">
        <v>0.4871794871794872</v>
      </c>
      <c r="K4" s="37" t="n">
        <v>1</v>
      </c>
      <c r="L4" s="37" t="n">
        <v>1</v>
      </c>
      <c r="M4" s="37" t="n">
        <v>1</v>
      </c>
      <c r="N4" s="37" t="n">
        <v>0.1627906976744186</v>
      </c>
      <c r="O4" s="36" t="n">
        <v>0</v>
      </c>
      <c r="P4" s="36" t="n">
        <v>2.12</v>
      </c>
      <c r="Q4" s="36" t="n">
        <v>13.63</v>
      </c>
      <c r="R4" s="36" t="n">
        <v>10.12</v>
      </c>
      <c r="S4" s="36" t="n">
        <v>0</v>
      </c>
      <c r="T4" s="37" t="n">
        <v>0.234375</v>
      </c>
      <c r="U4" s="37" t="n">
        <v>0.1875</v>
      </c>
      <c r="V4" s="37" t="n">
        <v>0.2727272727272727</v>
      </c>
      <c r="W4" s="37" t="n">
        <v>1</v>
      </c>
    </row>
    <row r="5">
      <c r="A5" s="53" t="n">
        <v>45809</v>
      </c>
      <c r="B5" t="inlineStr">
        <is>
          <t>R01_Sumbagut</t>
        </is>
      </c>
      <c r="C5" t="inlineStr">
        <is>
          <t>NOP PADANG SIDEMPUAN</t>
        </is>
      </c>
      <c r="D5" s="36" t="n">
        <v>0</v>
      </c>
      <c r="E5" s="36" t="n">
        <v>1.57</v>
      </c>
      <c r="F5" s="36" t="n">
        <v>1.86</v>
      </c>
      <c r="G5" s="36" t="n">
        <v>4.5</v>
      </c>
      <c r="H5" s="37" t="n">
        <v>0.6190476190476191</v>
      </c>
      <c r="I5" s="37" t="n">
        <v>1</v>
      </c>
      <c r="J5" s="37" t="n">
        <v>0.5897435897435898</v>
      </c>
      <c r="K5" s="37" t="n">
        <v>0.6666666666666666</v>
      </c>
      <c r="L5" s="37" t="n">
        <v>0.6666666666666666</v>
      </c>
      <c r="M5" s="37" t="n">
        <v>1</v>
      </c>
      <c r="N5" s="37" t="n">
        <v>0.2857142857142857</v>
      </c>
      <c r="O5" s="36" t="n">
        <v>0.01</v>
      </c>
      <c r="P5" s="36" t="n">
        <v>2.48</v>
      </c>
      <c r="Q5" s="36" t="n">
        <v>9.65</v>
      </c>
      <c r="R5" s="36" t="n">
        <v>227.93</v>
      </c>
      <c r="S5" s="36" t="n">
        <v>0</v>
      </c>
      <c r="T5" s="37" t="n">
        <v>0.6923076923076923</v>
      </c>
      <c r="U5" s="37" t="n">
        <v>0.7446808510638298</v>
      </c>
      <c r="V5" s="37" t="n">
        <v>0.6764705882352942</v>
      </c>
      <c r="W5" s="37" t="n">
        <v>0.7428571428571429</v>
      </c>
    </row>
    <row r="6">
      <c r="A6" s="53" t="n">
        <v>45809</v>
      </c>
      <c r="B6" t="inlineStr">
        <is>
          <t>R01_Sumbagut</t>
        </is>
      </c>
      <c r="C6" t="inlineStr">
        <is>
          <t>NOP PEMATANG SIANTAR</t>
        </is>
      </c>
      <c r="D6" s="36" t="n">
        <v>0.73</v>
      </c>
      <c r="E6" s="36" t="n">
        <v>2.54</v>
      </c>
      <c r="F6" s="36" t="n">
        <v>3.52</v>
      </c>
      <c r="G6" s="36" t="n">
        <v>5.08</v>
      </c>
      <c r="H6" s="37" t="n">
        <v>0.3425925925925926</v>
      </c>
      <c r="I6" s="37" t="n">
        <v>0.75</v>
      </c>
      <c r="J6" s="37" t="n">
        <v>0.25</v>
      </c>
      <c r="K6" s="37" t="n">
        <v>0.4</v>
      </c>
      <c r="L6" s="37" t="n">
        <v>0.4</v>
      </c>
      <c r="M6" s="37" t="n">
        <v>1</v>
      </c>
      <c r="N6" s="37" t="n">
        <v>0.1574074074074074</v>
      </c>
      <c r="O6" s="36" t="n">
        <v>0.03</v>
      </c>
      <c r="P6" s="36" t="n">
        <v>1.79</v>
      </c>
      <c r="Q6" s="36" t="n">
        <v>51.69</v>
      </c>
      <c r="R6" s="36" t="n">
        <v>68.12</v>
      </c>
      <c r="S6" s="36" t="n">
        <v>0</v>
      </c>
      <c r="T6" s="37" t="n">
        <v>0.5688073394495413</v>
      </c>
      <c r="U6" s="37" t="n">
        <v>0.6326530612244898</v>
      </c>
      <c r="V6" s="37" t="n">
        <v>0.5087719298245614</v>
      </c>
      <c r="W6" s="37" t="n">
        <v>0.6129032258064516</v>
      </c>
    </row>
    <row r="7">
      <c r="A7" s="53" t="n">
        <v>45809</v>
      </c>
      <c r="B7" t="inlineStr">
        <is>
          <t>R01_Sumbagut</t>
        </is>
      </c>
      <c r="C7" t="inlineStr">
        <is>
          <t>NOP RANTAU PRAPAT</t>
        </is>
      </c>
      <c r="D7" s="36" t="n">
        <v>0</v>
      </c>
      <c r="E7" s="36" t="n">
        <v>2.71</v>
      </c>
      <c r="F7" s="36" t="n">
        <v>2.36</v>
      </c>
      <c r="G7" s="36" t="n">
        <v>1.02</v>
      </c>
      <c r="H7" s="37" t="n">
        <v>0.5714285714285714</v>
      </c>
      <c r="I7" s="37" t="n">
        <v>0.3</v>
      </c>
      <c r="J7" s="37" t="n">
        <v>0.6666666666666666</v>
      </c>
      <c r="K7" s="37" t="n">
        <v>1</v>
      </c>
      <c r="L7" s="37" t="n">
        <v>1</v>
      </c>
      <c r="M7" s="37" t="n">
        <v>1</v>
      </c>
      <c r="N7" s="37" t="n">
        <v>0.4285714285714285</v>
      </c>
      <c r="O7" s="36" t="n">
        <v>0</v>
      </c>
      <c r="P7" s="36" t="n">
        <v>3.44</v>
      </c>
      <c r="Q7" s="36" t="n">
        <v>23.03</v>
      </c>
      <c r="R7" s="36" t="n">
        <v>66.02</v>
      </c>
      <c r="S7" s="36" t="n">
        <v>0</v>
      </c>
      <c r="T7" s="37" t="n">
        <v>0.1267605633802817</v>
      </c>
      <c r="U7" s="37" t="n">
        <v>0.1153846153846154</v>
      </c>
      <c r="V7" s="37" t="n">
        <v>0.1327433628318584</v>
      </c>
      <c r="W7" s="37" t="n">
        <v>1</v>
      </c>
    </row>
    <row r="8">
      <c r="A8" s="53" t="n">
        <v>45809</v>
      </c>
      <c r="B8" t="inlineStr">
        <is>
          <t>R10_Sumbagteng</t>
        </is>
      </c>
      <c r="C8" t="inlineStr">
        <is>
          <t>NOP BATAM</t>
        </is>
      </c>
      <c r="D8" s="36" t="n">
        <v>1.58</v>
      </c>
      <c r="E8" s="36" t="n">
        <v>7.61</v>
      </c>
      <c r="F8" s="36" t="n">
        <v>9.6</v>
      </c>
      <c r="G8" s="36" t="n">
        <v>10.28</v>
      </c>
      <c r="H8" s="37" t="n">
        <v>0.3333333333333333</v>
      </c>
      <c r="I8" s="37" t="n">
        <v>0.3636363636363636</v>
      </c>
      <c r="J8" s="37" t="n">
        <v>0.3285714285714286</v>
      </c>
      <c r="K8" s="37" t="n">
        <v>0.5</v>
      </c>
      <c r="L8" s="37" t="n">
        <v>0.5</v>
      </c>
      <c r="M8" s="37" t="n">
        <v>0.9876543209876543</v>
      </c>
      <c r="N8" s="37" t="n">
        <v>0.2839506172839506</v>
      </c>
      <c r="O8" s="36" t="n">
        <v>0</v>
      </c>
      <c r="P8" s="36" t="n">
        <v>15.59</v>
      </c>
      <c r="Q8" s="36" t="n">
        <v>23.18</v>
      </c>
      <c r="R8" s="36" t="n">
        <v>53.38</v>
      </c>
      <c r="S8" s="36" t="n">
        <v>0</v>
      </c>
      <c r="T8" s="37" t="n">
        <v>0.2825112107623318</v>
      </c>
      <c r="U8" s="37" t="n">
        <v>0.5625</v>
      </c>
      <c r="V8" s="37" t="n">
        <v>0.2057142857142857</v>
      </c>
      <c r="W8" s="37" t="n">
        <v>0.8148148148148148</v>
      </c>
    </row>
    <row r="9">
      <c r="A9" s="53" t="n">
        <v>45809</v>
      </c>
      <c r="B9" t="inlineStr">
        <is>
          <t>R10_Sumbagteng</t>
        </is>
      </c>
      <c r="C9" t="inlineStr">
        <is>
          <t>NOP BUKITTINGGI</t>
        </is>
      </c>
      <c r="D9" s="36" t="n">
        <v>2.43</v>
      </c>
      <c r="E9" s="36" t="n">
        <v>4.37</v>
      </c>
      <c r="F9" s="36" t="n">
        <v>4.12</v>
      </c>
      <c r="G9" s="36" t="n">
        <v>1.66</v>
      </c>
      <c r="H9" s="37" t="n">
        <v>0.7659574468085106</v>
      </c>
      <c r="I9" s="37" t="n">
        <v>0.8571428571428571</v>
      </c>
      <c r="J9" s="37" t="n">
        <v>0.7272727272727273</v>
      </c>
      <c r="K9" s="37" t="n">
        <v>0.4166666666666667</v>
      </c>
      <c r="L9" s="37" t="n">
        <v>0.4166666666666667</v>
      </c>
      <c r="M9" s="37" t="n">
        <v>0.9574468085106383</v>
      </c>
      <c r="N9" s="37" t="n">
        <v>0.4468085106382979</v>
      </c>
      <c r="O9" s="36" t="n">
        <v>0</v>
      </c>
      <c r="P9" s="36" t="n">
        <v>4.45</v>
      </c>
      <c r="Q9" s="36" t="n">
        <v>91.37</v>
      </c>
      <c r="R9" s="36" t="n">
        <v>157.4</v>
      </c>
      <c r="S9" s="36" t="n">
        <v>0</v>
      </c>
      <c r="T9" s="37" t="n">
        <v>0.6756756756756757</v>
      </c>
      <c r="U9" s="37" t="n">
        <v>0.7333333333333333</v>
      </c>
      <c r="V9" s="37" t="n">
        <v>0.6724137931034483</v>
      </c>
      <c r="W9" s="37" t="n">
        <v>0.5454545454545454</v>
      </c>
    </row>
    <row r="10">
      <c r="A10" s="53" t="n">
        <v>45809</v>
      </c>
      <c r="B10" t="inlineStr">
        <is>
          <t>R10_Sumbagteng</t>
        </is>
      </c>
      <c r="C10" t="inlineStr">
        <is>
          <t>NOP DUMAI</t>
        </is>
      </c>
      <c r="D10" s="36" t="n">
        <v>1.27</v>
      </c>
      <c r="E10" s="36" t="n">
        <v>3.94</v>
      </c>
      <c r="F10" s="36" t="n">
        <v>3.28</v>
      </c>
      <c r="G10" s="36" t="n">
        <v>6.35</v>
      </c>
      <c r="H10" s="37" t="n">
        <v>0.4593301435406699</v>
      </c>
      <c r="I10" s="37" t="n">
        <v>0.6615384615384615</v>
      </c>
      <c r="J10" s="37" t="n">
        <v>0.3680555555555556</v>
      </c>
      <c r="K10" s="37" t="n">
        <v>0.6046511627906976</v>
      </c>
      <c r="L10" s="37" t="n">
        <v>0.65</v>
      </c>
      <c r="M10" s="37" t="n">
        <v>0.9952153110047847</v>
      </c>
      <c r="N10" s="37" t="n">
        <v>0.3014354066985646</v>
      </c>
      <c r="O10" s="36" t="n">
        <v>0.01</v>
      </c>
      <c r="P10" s="36" t="n">
        <v>7.42</v>
      </c>
      <c r="Q10" s="36" t="n">
        <v>50.3</v>
      </c>
      <c r="R10" s="36" t="n">
        <v>95.16</v>
      </c>
      <c r="S10" s="36" t="n">
        <v>0</v>
      </c>
      <c r="T10" s="37" t="n">
        <v>0.2128205128205128</v>
      </c>
      <c r="U10" s="37" t="n">
        <v>0.3333333333333333</v>
      </c>
      <c r="V10" s="37" t="n">
        <v>0.1774744027303754</v>
      </c>
      <c r="W10" s="37" t="n">
        <v>0.9354838709677419</v>
      </c>
    </row>
    <row r="11">
      <c r="A11" s="53" t="n">
        <v>45809</v>
      </c>
      <c r="B11" t="inlineStr">
        <is>
          <t>R10_Sumbagteng</t>
        </is>
      </c>
      <c r="C11" t="inlineStr">
        <is>
          <t>NOP PADANG</t>
        </is>
      </c>
      <c r="D11" s="36" t="n">
        <v>0</v>
      </c>
      <c r="E11" s="36" t="n">
        <v>1.06</v>
      </c>
      <c r="F11" s="36" t="n">
        <v>5.39</v>
      </c>
      <c r="G11" s="36" t="n">
        <v>5.22</v>
      </c>
      <c r="H11" s="37" t="n">
        <v>0.6888888888888889</v>
      </c>
      <c r="I11" s="37" t="n">
        <v>0</v>
      </c>
      <c r="J11" s="37" t="n">
        <v>0.7380952380952381</v>
      </c>
      <c r="K11" s="37" t="n">
        <v>0</v>
      </c>
      <c r="L11" s="37" t="n">
        <v>0</v>
      </c>
      <c r="M11" s="37" t="n">
        <v>0.9777777777777777</v>
      </c>
      <c r="N11" s="37" t="n">
        <v>0.2</v>
      </c>
      <c r="O11" s="36" t="n">
        <v>0</v>
      </c>
      <c r="P11" s="36" t="n">
        <v>3.89</v>
      </c>
      <c r="Q11" s="36" t="n">
        <v>48.96</v>
      </c>
      <c r="R11" s="36" t="n">
        <v>139.94</v>
      </c>
      <c r="S11" s="36" t="n">
        <v>0</v>
      </c>
      <c r="T11" s="37" t="n">
        <v>0.75</v>
      </c>
      <c r="U11" s="37" t="n">
        <v>0.5833333333333334</v>
      </c>
      <c r="V11" s="37" t="n">
        <v>0.7833333333333333</v>
      </c>
      <c r="W11" s="37" t="n">
        <v>0.5714285714285714</v>
      </c>
    </row>
    <row r="12">
      <c r="A12" s="53" t="n">
        <v>45809</v>
      </c>
      <c r="B12" t="inlineStr">
        <is>
          <t>R10_Sumbagteng</t>
        </is>
      </c>
      <c r="C12" t="inlineStr">
        <is>
          <t>NOP PEKANBARU</t>
        </is>
      </c>
      <c r="D12" s="36" t="n">
        <v>0</v>
      </c>
      <c r="E12" s="36" t="n">
        <v>3.89</v>
      </c>
      <c r="F12" s="36" t="n">
        <v>3.79</v>
      </c>
      <c r="G12" s="36" t="n">
        <v>6.88</v>
      </c>
      <c r="H12" s="37" t="n">
        <v>0.4380952380952381</v>
      </c>
      <c r="I12" s="37" t="n">
        <v>0.375</v>
      </c>
      <c r="J12" s="37" t="n">
        <v>0.449438202247191</v>
      </c>
      <c r="K12" s="37" t="n">
        <v>0.8333333333333334</v>
      </c>
      <c r="L12" s="37" t="n">
        <v>0.8333333333333334</v>
      </c>
      <c r="M12" s="37" t="n">
        <v>1</v>
      </c>
      <c r="N12" s="37" t="n">
        <v>0.2380952380952381</v>
      </c>
      <c r="O12" s="36" t="n">
        <v>0</v>
      </c>
      <c r="P12" s="36" t="n">
        <v>3.26</v>
      </c>
      <c r="Q12" s="36" t="n">
        <v>57.75</v>
      </c>
      <c r="R12" s="36" t="n">
        <v>80.38</v>
      </c>
      <c r="S12" s="36" t="n">
        <v>0</v>
      </c>
      <c r="T12" s="37" t="n">
        <v>0.2607003891050584</v>
      </c>
      <c r="U12" s="37" t="n">
        <v>0.3026315789473684</v>
      </c>
      <c r="V12" s="37" t="n">
        <v>0.2429378531073446</v>
      </c>
      <c r="W12" s="37" t="n">
        <v>0.9565217391304348</v>
      </c>
    </row>
    <row r="13">
      <c r="A13" s="53" t="n">
        <v>45809</v>
      </c>
      <c r="B13" t="inlineStr">
        <is>
          <t>R02_Sumbagsel</t>
        </is>
      </c>
      <c r="C13" t="inlineStr">
        <is>
          <t>NOP BENGKULU</t>
        </is>
      </c>
      <c r="D13" s="36" t="n">
        <v>0</v>
      </c>
      <c r="E13" s="36" t="n">
        <v>3.23</v>
      </c>
      <c r="F13" s="36" t="n">
        <v>3.87</v>
      </c>
      <c r="G13" s="36" t="n">
        <v>6.35</v>
      </c>
      <c r="H13" s="37" t="n">
        <v>0.6071428571428571</v>
      </c>
      <c r="I13" s="37" t="n">
        <v>0.8333333333333334</v>
      </c>
      <c r="J13" s="37" t="n">
        <v>0.5454545454545454</v>
      </c>
      <c r="K13" s="37" t="n">
        <v>0.8</v>
      </c>
      <c r="L13" s="37" t="n">
        <v>0.8</v>
      </c>
      <c r="M13" s="37" t="n">
        <v>1</v>
      </c>
      <c r="N13" s="37" t="n">
        <v>0.5357142857142857</v>
      </c>
      <c r="O13" s="36" t="n">
        <v>0</v>
      </c>
      <c r="P13" s="36" t="n">
        <v>8.51</v>
      </c>
      <c r="Q13" s="36" t="n">
        <v>3.82</v>
      </c>
      <c r="R13" s="36" t="n">
        <v>5</v>
      </c>
      <c r="S13" s="36" t="n">
        <v>0</v>
      </c>
      <c r="T13" s="37" t="n">
        <v>0.5</v>
      </c>
      <c r="U13" s="37" t="n">
        <v>0.4181818181818182</v>
      </c>
      <c r="V13" s="37" t="n">
        <v>0.6410256410256411</v>
      </c>
      <c r="W13" s="37" t="n">
        <v>0.8260869565217391</v>
      </c>
    </row>
    <row r="14">
      <c r="A14" s="53" t="n">
        <v>45809</v>
      </c>
      <c r="B14" t="inlineStr">
        <is>
          <t>R02_Sumbagsel</t>
        </is>
      </c>
      <c r="C14" t="inlineStr">
        <is>
          <t>NOP JAMBI</t>
        </is>
      </c>
      <c r="D14" s="36" t="n">
        <v>0.43</v>
      </c>
      <c r="E14" s="36" t="n">
        <v>2.79</v>
      </c>
      <c r="F14" s="36" t="n">
        <v>3.01</v>
      </c>
      <c r="G14" s="36" t="n">
        <v>5.1</v>
      </c>
      <c r="H14" s="37" t="n">
        <v>0.40625</v>
      </c>
      <c r="I14" s="37" t="n">
        <v>0.4137931034482759</v>
      </c>
      <c r="J14" s="37" t="n">
        <v>0.404040404040404</v>
      </c>
      <c r="K14" s="37" t="n">
        <v>0.75</v>
      </c>
      <c r="L14" s="37" t="n">
        <v>0.75</v>
      </c>
      <c r="M14" s="37" t="n">
        <v>1</v>
      </c>
      <c r="N14" s="37" t="n">
        <v>0.15625</v>
      </c>
      <c r="O14" s="36" t="n">
        <v>0</v>
      </c>
      <c r="P14" s="36" t="n">
        <v>6.06</v>
      </c>
      <c r="Q14" s="36" t="n">
        <v>12.62</v>
      </c>
      <c r="R14" s="36" t="n">
        <v>18.98</v>
      </c>
      <c r="S14" s="36" t="n">
        <v>0</v>
      </c>
      <c r="T14" s="37" t="n">
        <v>0.1648936170212766</v>
      </c>
      <c r="U14" s="37" t="n">
        <v>0.1910112359550562</v>
      </c>
      <c r="V14" s="37" t="n">
        <v>0.175</v>
      </c>
      <c r="W14" s="37" t="n">
        <v>0.6470588235294118</v>
      </c>
    </row>
    <row r="15">
      <c r="A15" s="53" t="n">
        <v>45809</v>
      </c>
      <c r="B15" t="inlineStr">
        <is>
          <t>R02_Sumbagsel</t>
        </is>
      </c>
      <c r="C15" t="inlineStr">
        <is>
          <t>NOP LAMPUNG</t>
        </is>
      </c>
      <c r="D15" s="36" t="n">
        <v>0</v>
      </c>
      <c r="E15" s="36" t="n">
        <v>1.46</v>
      </c>
      <c r="F15" s="36" t="n">
        <v>1.47</v>
      </c>
      <c r="G15" s="36" t="n">
        <v>4.19</v>
      </c>
      <c r="H15" s="37" t="n">
        <v>0.6923076923076923</v>
      </c>
      <c r="I15" s="37" t="n">
        <v>0.75</v>
      </c>
      <c r="J15" s="37" t="n">
        <v>0.6666666666666666</v>
      </c>
      <c r="K15" s="37" t="n">
        <v>0.6666666666666666</v>
      </c>
      <c r="L15" s="37" t="n">
        <v>0.6666666666666666</v>
      </c>
      <c r="M15" s="37" t="n">
        <v>1</v>
      </c>
      <c r="N15" s="37" t="n">
        <v>0.6153846153846154</v>
      </c>
      <c r="O15" s="36" t="n">
        <v>0</v>
      </c>
      <c r="P15" s="36" t="n">
        <v>9.75</v>
      </c>
      <c r="Q15" s="36" t="n">
        <v>6.36</v>
      </c>
      <c r="R15" s="36" t="n">
        <v>28.95</v>
      </c>
      <c r="S15" s="36" t="n">
        <v>0</v>
      </c>
      <c r="T15" s="37" t="n">
        <v>0.782051282051282</v>
      </c>
      <c r="U15" s="37" t="n">
        <v>0.875</v>
      </c>
      <c r="V15" s="37" t="n">
        <v>0.7580645161290323</v>
      </c>
      <c r="W15" s="37" t="n">
        <v>0.9285714285714286</v>
      </c>
    </row>
    <row r="16">
      <c r="A16" s="53" t="n">
        <v>45809</v>
      </c>
      <c r="B16" t="inlineStr">
        <is>
          <t>R02_Sumbagsel</t>
        </is>
      </c>
      <c r="C16" t="inlineStr">
        <is>
          <t>NOP MUARA ENIM</t>
        </is>
      </c>
      <c r="D16" s="36" t="n">
        <v>1.29</v>
      </c>
      <c r="E16" s="36" t="n">
        <v>3.88</v>
      </c>
      <c r="F16" s="36" t="n">
        <v>4.19</v>
      </c>
      <c r="G16" s="36" t="n">
        <v>5.37</v>
      </c>
      <c r="H16" s="37" t="n">
        <v>0.3627450980392157</v>
      </c>
      <c r="I16" s="37" t="n">
        <v>0.5</v>
      </c>
      <c r="J16" s="37" t="n">
        <v>0.3292682926829268</v>
      </c>
      <c r="K16" s="37" t="n">
        <v>1</v>
      </c>
      <c r="L16" s="37" t="n">
        <v>1</v>
      </c>
      <c r="M16" s="37" t="n">
        <v>0.9803921568627451</v>
      </c>
      <c r="N16" s="37" t="n">
        <v>0.2647058823529412</v>
      </c>
      <c r="O16" s="36" t="n">
        <v>0</v>
      </c>
      <c r="P16" s="36" t="n">
        <v>15.04</v>
      </c>
      <c r="Q16" s="36" t="n">
        <v>5.26</v>
      </c>
      <c r="R16" s="36" t="n">
        <v>6.22</v>
      </c>
      <c r="S16" s="36" t="n">
        <v>0</v>
      </c>
      <c r="T16" s="37" t="n">
        <v>0.4674556213017751</v>
      </c>
      <c r="U16" s="37" t="n">
        <v>0.4095238095238095</v>
      </c>
      <c r="V16" s="37" t="n">
        <v>0.6071428571428571</v>
      </c>
      <c r="W16" s="37" t="n">
        <v>0.7674418604651163</v>
      </c>
    </row>
    <row r="17">
      <c r="A17" s="53" t="n">
        <v>45809</v>
      </c>
      <c r="B17" t="inlineStr">
        <is>
          <t>R02_Sumbagsel</t>
        </is>
      </c>
      <c r="C17" t="inlineStr">
        <is>
          <t>NOP PALEMBANG</t>
        </is>
      </c>
      <c r="D17" s="36" t="n">
        <v>0.61</v>
      </c>
      <c r="E17" s="36" t="n">
        <v>7.99</v>
      </c>
      <c r="F17" s="36" t="n">
        <v>6.05</v>
      </c>
      <c r="G17" s="36" t="n">
        <v>8.26</v>
      </c>
      <c r="H17" s="37" t="n">
        <v>0.291044776119403</v>
      </c>
      <c r="I17" s="37" t="n">
        <v>0.25</v>
      </c>
      <c r="J17" s="37" t="n">
        <v>0.2950819672131147</v>
      </c>
      <c r="K17" s="37" t="n">
        <v>1</v>
      </c>
      <c r="L17" s="37" t="n">
        <v>1</v>
      </c>
      <c r="M17" s="37" t="n">
        <v>1</v>
      </c>
      <c r="N17" s="37" t="n">
        <v>0.1343283582089552</v>
      </c>
      <c r="O17" s="36" t="n">
        <v>0</v>
      </c>
      <c r="P17" s="36" t="n">
        <v>3.1</v>
      </c>
      <c r="Q17" s="36" t="n">
        <v>9.83</v>
      </c>
      <c r="R17" s="36" t="n">
        <v>9.199999999999999</v>
      </c>
      <c r="S17" s="36" t="n">
        <v>0</v>
      </c>
      <c r="T17" s="37" t="n">
        <v>0.1077844311377246</v>
      </c>
      <c r="U17" s="37" t="n">
        <v>0.06593406593406594</v>
      </c>
      <c r="V17" s="37" t="n">
        <v>0.2105263157894737</v>
      </c>
      <c r="W17" s="37" t="n">
        <v>0.6666666666666666</v>
      </c>
    </row>
    <row r="18">
      <c r="A18" s="53" t="n">
        <v>45809</v>
      </c>
      <c r="B18" t="inlineStr">
        <is>
          <t>R02_Sumbagsel</t>
        </is>
      </c>
      <c r="C18" t="inlineStr">
        <is>
          <t>NOP PANGKAL PINANG</t>
        </is>
      </c>
      <c r="D18" s="36" t="n">
        <v>0</v>
      </c>
      <c r="E18" s="36" t="n">
        <v>3.47</v>
      </c>
      <c r="F18" s="36" t="n">
        <v>7.89</v>
      </c>
      <c r="G18" s="36" t="n">
        <v>2</v>
      </c>
      <c r="H18" s="37" t="n">
        <v>0.7</v>
      </c>
      <c r="I18" s="37" t="n">
        <v>0.6666666666666666</v>
      </c>
      <c r="J18" s="37" t="n">
        <v>0.7058823529411765</v>
      </c>
      <c r="K18" s="37" t="n">
        <v>0.5</v>
      </c>
      <c r="L18" s="37" t="n">
        <v>0.5</v>
      </c>
      <c r="M18" s="37" t="n">
        <v>1</v>
      </c>
      <c r="N18" s="37" t="n">
        <v>0.4</v>
      </c>
      <c r="O18" s="36" t="n">
        <v>0</v>
      </c>
      <c r="P18" s="36" t="n">
        <v>4.39</v>
      </c>
      <c r="Q18" s="36" t="n">
        <v>5.88</v>
      </c>
      <c r="R18" s="36" t="n">
        <v>3.66</v>
      </c>
      <c r="S18" s="36" t="n">
        <v>0</v>
      </c>
      <c r="T18" s="37" t="n">
        <v>0.9264705882352942</v>
      </c>
      <c r="U18" s="37" t="n">
        <v>0.9642857142857143</v>
      </c>
      <c r="V18" s="37" t="n">
        <v>0.9</v>
      </c>
      <c r="W18" s="37" t="n">
        <v>0.7407407407407407</v>
      </c>
    </row>
    <row r="19">
      <c r="A19" s="53" t="n">
        <v>45809</v>
      </c>
      <c r="B19" t="inlineStr">
        <is>
          <t>R05_Jawa Tengah DIY</t>
        </is>
      </c>
      <c r="C19" t="inlineStr">
        <is>
          <t>NOP MAGELANG</t>
        </is>
      </c>
      <c r="D19" s="36" t="n">
        <v>0</v>
      </c>
      <c r="E19" s="36" t="n">
        <v>0</v>
      </c>
      <c r="F19" s="36" t="n">
        <v>2.6</v>
      </c>
      <c r="G19" s="36" t="n">
        <v>1.19</v>
      </c>
      <c r="H19" s="37" t="n">
        <v>0.8571428571428571</v>
      </c>
      <c r="I19" s="37" t="n">
        <v>0</v>
      </c>
      <c r="J19" s="37" t="n">
        <v>0.8571428571428571</v>
      </c>
      <c r="K19" s="37" t="n">
        <v>0</v>
      </c>
      <c r="L19" s="37" t="n">
        <v>0</v>
      </c>
      <c r="M19" s="37" t="n">
        <v>1</v>
      </c>
      <c r="N19" s="37" t="n">
        <v>0.8571428571428571</v>
      </c>
      <c r="O19" s="36" t="n">
        <v>0</v>
      </c>
      <c r="P19" s="36" t="n">
        <v>1.93</v>
      </c>
      <c r="Q19" s="36" t="n">
        <v>5.27</v>
      </c>
      <c r="R19" s="36" t="n">
        <v>7.56</v>
      </c>
      <c r="S19" s="36" t="n">
        <v>0</v>
      </c>
      <c r="T19" s="37" t="n">
        <v>0.9655172413793104</v>
      </c>
      <c r="U19" s="37" t="n">
        <v>1</v>
      </c>
      <c r="V19" s="37" t="n">
        <v>0.9642857142857143</v>
      </c>
      <c r="W19" s="37" t="n">
        <v>1</v>
      </c>
    </row>
    <row r="20">
      <c r="A20" s="53" t="n">
        <v>45809</v>
      </c>
      <c r="B20" t="inlineStr">
        <is>
          <t>R05_Jawa Tengah DIY</t>
        </is>
      </c>
      <c r="C20" t="inlineStr">
        <is>
          <t>NOP PEKALONGAN</t>
        </is>
      </c>
      <c r="D20" s="36" t="n">
        <v>0</v>
      </c>
      <c r="E20" s="36" t="n">
        <v>0</v>
      </c>
      <c r="F20" s="36" t="n">
        <v>1.68</v>
      </c>
      <c r="G20" s="36" t="n">
        <v>28.01</v>
      </c>
      <c r="H20" s="37" t="n">
        <v>0.8461538461538461</v>
      </c>
      <c r="I20" s="37" t="n">
        <v>0</v>
      </c>
      <c r="J20" s="37" t="n">
        <v>0.8461538461538461</v>
      </c>
      <c r="K20" s="37" t="n">
        <v>0</v>
      </c>
      <c r="L20" s="37" t="n">
        <v>0</v>
      </c>
      <c r="M20" s="37" t="n">
        <v>1</v>
      </c>
      <c r="N20" s="37" t="n">
        <v>0.5384615384615384</v>
      </c>
      <c r="O20" s="36" t="n">
        <v>0</v>
      </c>
      <c r="P20" s="36" t="n">
        <v>1.78</v>
      </c>
      <c r="Q20" s="36" t="n">
        <v>10.26</v>
      </c>
      <c r="R20" s="36" t="n">
        <v>98.55</v>
      </c>
      <c r="S20" s="36" t="n">
        <v>0</v>
      </c>
      <c r="T20" s="37" t="n">
        <v>0.8888888888888888</v>
      </c>
      <c r="U20" s="37" t="n">
        <v>0.6</v>
      </c>
      <c r="V20" s="37" t="n">
        <v>0.9545454545454546</v>
      </c>
      <c r="W20" s="37" t="n">
        <v>0.6666666666666666</v>
      </c>
    </row>
    <row r="21">
      <c r="A21" s="53" t="n">
        <v>45809</v>
      </c>
      <c r="B21" t="inlineStr">
        <is>
          <t>R05_Jawa Tengah DIY</t>
        </is>
      </c>
      <c r="C21" t="inlineStr">
        <is>
          <t>NOP PURWOKERTO</t>
        </is>
      </c>
      <c r="D21" s="36" t="n">
        <v>0.58</v>
      </c>
      <c r="E21" s="36" t="n">
        <v>0</v>
      </c>
      <c r="F21" s="36" t="n">
        <v>1.91</v>
      </c>
      <c r="G21" s="36" t="n">
        <v>0.46</v>
      </c>
      <c r="H21" s="37" t="n">
        <v>0.5555555555555556</v>
      </c>
      <c r="I21" s="37" t="n">
        <v>0</v>
      </c>
      <c r="J21" s="37" t="n">
        <v>0.5882352941176471</v>
      </c>
      <c r="K21" s="37" t="n">
        <v>0</v>
      </c>
      <c r="L21" s="37" t="n">
        <v>0</v>
      </c>
      <c r="M21" s="37" t="n">
        <v>0.9444444444444444</v>
      </c>
      <c r="N21" s="37" t="n">
        <v>0.2777777777777778</v>
      </c>
      <c r="O21" s="36" t="n">
        <v>0</v>
      </c>
      <c r="P21" s="36" t="n">
        <v>1.67</v>
      </c>
      <c r="Q21" s="36" t="n">
        <v>11.34</v>
      </c>
      <c r="R21" s="36" t="n">
        <v>67.78</v>
      </c>
      <c r="S21" s="36" t="n">
        <v>0</v>
      </c>
      <c r="T21" s="37" t="n">
        <v>0.8181818181818182</v>
      </c>
      <c r="U21" s="37" t="n">
        <v>0.8333333333333334</v>
      </c>
      <c r="V21" s="37" t="n">
        <v>0.8125</v>
      </c>
      <c r="W21" s="37" t="n">
        <v>0.6</v>
      </c>
    </row>
    <row r="22">
      <c r="A22" s="53" t="n">
        <v>45809</v>
      </c>
      <c r="B22" t="inlineStr">
        <is>
          <t>R05_Jawa Tengah DIY</t>
        </is>
      </c>
      <c r="C22" t="inlineStr">
        <is>
          <t>NOP SEMARANG</t>
        </is>
      </c>
      <c r="D22" s="36" t="n">
        <v>1.72</v>
      </c>
      <c r="E22" s="36" t="n">
        <v>0</v>
      </c>
      <c r="F22" s="36" t="n">
        <v>3.62</v>
      </c>
      <c r="G22" s="36" t="n">
        <v>4.8</v>
      </c>
      <c r="H22" s="37" t="n">
        <v>0.7058823529411765</v>
      </c>
      <c r="I22" s="37" t="n">
        <v>0.5</v>
      </c>
      <c r="J22" s="37" t="n">
        <v>0.71875</v>
      </c>
      <c r="K22" s="37" t="n">
        <v>1</v>
      </c>
      <c r="L22" s="37" t="n">
        <v>1</v>
      </c>
      <c r="M22" s="37" t="n">
        <v>0.9411764705882353</v>
      </c>
      <c r="N22" s="37" t="n">
        <v>0.5</v>
      </c>
      <c r="O22" s="36" t="n">
        <v>0</v>
      </c>
      <c r="P22" s="36" t="n">
        <v>8</v>
      </c>
      <c r="Q22" s="36" t="n">
        <v>9.33</v>
      </c>
      <c r="R22" s="36" t="n">
        <v>9.42</v>
      </c>
      <c r="S22" s="36" t="n">
        <v>0</v>
      </c>
      <c r="T22" s="37" t="n">
        <v>0.8695652173913043</v>
      </c>
      <c r="U22" s="37" t="n">
        <v>0.75</v>
      </c>
      <c r="V22" s="37" t="n">
        <v>0.9615384615384616</v>
      </c>
      <c r="W22" s="37" t="n">
        <v>0.8666666666666667</v>
      </c>
    </row>
    <row r="23">
      <c r="A23" s="53" t="n">
        <v>45809</v>
      </c>
      <c r="B23" t="inlineStr">
        <is>
          <t>R05_Jawa Tengah DIY</t>
        </is>
      </c>
      <c r="C23" t="inlineStr">
        <is>
          <t>NOP SURAKARTA</t>
        </is>
      </c>
      <c r="D23" s="36" t="n">
        <v>1.24</v>
      </c>
      <c r="E23" s="36" t="n">
        <v>2.04</v>
      </c>
      <c r="F23" s="36" t="n">
        <v>1.32</v>
      </c>
      <c r="G23" s="36" t="n">
        <v>2.3</v>
      </c>
      <c r="H23" s="37" t="n">
        <v>0.6764705882352942</v>
      </c>
      <c r="I23" s="37" t="n">
        <v>1</v>
      </c>
      <c r="J23" s="37" t="n">
        <v>0.6451612903225806</v>
      </c>
      <c r="K23" s="37" t="n">
        <v>0.3333333333333333</v>
      </c>
      <c r="L23" s="37" t="n">
        <v>0.3333333333333333</v>
      </c>
      <c r="M23" s="37" t="n">
        <v>1</v>
      </c>
      <c r="N23" s="37" t="n">
        <v>0.2941176470588235</v>
      </c>
      <c r="O23" s="36" t="n">
        <v>0</v>
      </c>
      <c r="P23" s="36" t="n">
        <v>1.65</v>
      </c>
      <c r="Q23" s="36" t="n">
        <v>31.35</v>
      </c>
      <c r="R23" s="36" t="n">
        <v>39.28</v>
      </c>
      <c r="S23" s="36" t="n">
        <v>0</v>
      </c>
      <c r="T23" s="37" t="n">
        <v>0.6875</v>
      </c>
      <c r="U23" s="37" t="n">
        <v>0</v>
      </c>
      <c r="V23" s="37" t="n">
        <v>0.8461538461538461</v>
      </c>
      <c r="W23" s="37" t="n">
        <v>0</v>
      </c>
    </row>
    <row r="24">
      <c r="A24" s="53" t="n">
        <v>45809</v>
      </c>
      <c r="B24" t="inlineStr">
        <is>
          <t>R05_Jawa Tengah DIY</t>
        </is>
      </c>
      <c r="C24" t="inlineStr">
        <is>
          <t>NOP YOGYAKARTA</t>
        </is>
      </c>
      <c r="D24" s="36" t="n">
        <v>2.62</v>
      </c>
      <c r="E24" s="36" t="n">
        <v>0</v>
      </c>
      <c r="F24" s="36" t="n">
        <v>2.48</v>
      </c>
      <c r="G24" s="36" t="n">
        <v>3.71</v>
      </c>
      <c r="H24" s="37" t="n">
        <v>0.5454545454545454</v>
      </c>
      <c r="I24" s="37" t="n">
        <v>1</v>
      </c>
      <c r="J24" s="37" t="n">
        <v>0.5</v>
      </c>
      <c r="K24" s="37" t="n">
        <v>1</v>
      </c>
      <c r="L24" s="37" t="n">
        <v>1</v>
      </c>
      <c r="M24" s="37" t="n">
        <v>1</v>
      </c>
      <c r="N24" s="37" t="n">
        <v>0.5454545454545454</v>
      </c>
      <c r="O24" s="36" t="n">
        <v>0</v>
      </c>
      <c r="P24" s="36" t="n">
        <v>0.58</v>
      </c>
      <c r="Q24" s="36" t="n">
        <v>6.54</v>
      </c>
      <c r="R24" s="36" t="n">
        <v>25.87</v>
      </c>
      <c r="S24" s="36" t="n">
        <v>0</v>
      </c>
      <c r="T24" s="37" t="n">
        <v>0.9210526315789473</v>
      </c>
      <c r="U24" s="37" t="n">
        <v>0.75</v>
      </c>
      <c r="V24" s="37" t="n">
        <v>0.9411764705882353</v>
      </c>
      <c r="W24" s="37" t="n">
        <v>1</v>
      </c>
    </row>
    <row r="25">
      <c r="A25" s="53" t="n">
        <v>45809</v>
      </c>
      <c r="B25" t="inlineStr">
        <is>
          <t>R06_Jawa Timur</t>
        </is>
      </c>
      <c r="C25" t="inlineStr">
        <is>
          <t>NOP JEMBER</t>
        </is>
      </c>
      <c r="D25" s="36" t="n">
        <v>0</v>
      </c>
      <c r="E25" s="36" t="n">
        <v>0</v>
      </c>
      <c r="F25" s="36" t="n">
        <v>0.66</v>
      </c>
      <c r="G25" s="36" t="n">
        <v>2.66</v>
      </c>
      <c r="H25" s="37" t="n">
        <v>1</v>
      </c>
      <c r="I25" s="37" t="n">
        <v>0</v>
      </c>
      <c r="J25" s="37" t="n">
        <v>1</v>
      </c>
      <c r="K25" s="37" t="n">
        <v>0</v>
      </c>
      <c r="L25" s="37" t="n">
        <v>0</v>
      </c>
      <c r="M25" s="37" t="n">
        <v>1</v>
      </c>
      <c r="N25" s="37" t="n">
        <v>1</v>
      </c>
      <c r="O25" s="36" t="n">
        <v>0</v>
      </c>
      <c r="P25" s="36" t="n">
        <v>1.02</v>
      </c>
      <c r="Q25" s="36" t="n">
        <v>3.79</v>
      </c>
      <c r="R25" s="36" t="n">
        <v>0</v>
      </c>
      <c r="S25" s="36" t="n">
        <v>0</v>
      </c>
      <c r="T25" s="37" t="n">
        <v>0.8181818181818182</v>
      </c>
      <c r="U25" s="37" t="n">
        <v>1</v>
      </c>
      <c r="V25" s="37" t="n">
        <v>0.7777777777777778</v>
      </c>
      <c r="W25" s="37" t="n">
        <v>1</v>
      </c>
    </row>
    <row r="26">
      <c r="A26" s="53" t="n">
        <v>45809</v>
      </c>
      <c r="B26" t="inlineStr">
        <is>
          <t>R06_Jawa Timur</t>
        </is>
      </c>
      <c r="C26" t="inlineStr">
        <is>
          <t>NOP KEDIRI</t>
        </is>
      </c>
      <c r="D26" s="36" t="n">
        <v>1.64</v>
      </c>
      <c r="E26" s="36" t="n">
        <v>0</v>
      </c>
      <c r="F26" s="36" t="n">
        <v>0</v>
      </c>
      <c r="G26" s="36" t="n">
        <v>1.27</v>
      </c>
      <c r="H26" s="37" t="n">
        <v>1</v>
      </c>
      <c r="I26" s="37" t="n">
        <v>1</v>
      </c>
      <c r="J26" s="37" t="n">
        <v>1</v>
      </c>
      <c r="K26" s="37" t="n">
        <v>1</v>
      </c>
      <c r="L26" s="37" t="n">
        <v>1</v>
      </c>
      <c r="M26" s="37" t="n">
        <v>1</v>
      </c>
      <c r="N26" s="37" t="n">
        <v>1</v>
      </c>
      <c r="O26" s="36" t="n">
        <v>0</v>
      </c>
      <c r="P26" s="36" t="n">
        <v>0</v>
      </c>
      <c r="Q26" s="36" t="n">
        <v>1.74</v>
      </c>
      <c r="R26" s="36" t="n">
        <v>0</v>
      </c>
      <c r="S26" s="36" t="n">
        <v>0</v>
      </c>
      <c r="T26" s="37" t="n">
        <v>1</v>
      </c>
      <c r="U26" s="37" t="n">
        <v>0</v>
      </c>
      <c r="V26" s="37" t="n">
        <v>1</v>
      </c>
      <c r="W26" s="37" t="n">
        <v>0</v>
      </c>
    </row>
    <row r="27">
      <c r="A27" s="53" t="n">
        <v>45809</v>
      </c>
      <c r="B27" t="inlineStr">
        <is>
          <t>R06_Jawa Timur</t>
        </is>
      </c>
      <c r="C27" t="inlineStr">
        <is>
          <t>NOP LAMONGAN</t>
        </is>
      </c>
      <c r="D27" s="36" t="n">
        <v>0</v>
      </c>
      <c r="E27" s="36" t="n">
        <v>0</v>
      </c>
      <c r="F27" s="36" t="n">
        <v>1.46</v>
      </c>
      <c r="G27" s="36" t="n">
        <v>2.66</v>
      </c>
      <c r="H27" s="37" t="n">
        <v>1</v>
      </c>
      <c r="I27" s="37" t="n">
        <v>0</v>
      </c>
      <c r="J27" s="37" t="n">
        <v>1</v>
      </c>
      <c r="K27" s="37" t="n">
        <v>0</v>
      </c>
      <c r="L27" s="37" t="n">
        <v>0</v>
      </c>
      <c r="M27" s="37" t="n">
        <v>1</v>
      </c>
      <c r="N27" s="37" t="n">
        <v>1</v>
      </c>
      <c r="O27" s="36" t="n">
        <v>0</v>
      </c>
      <c r="P27" s="36" t="n">
        <v>0.82</v>
      </c>
      <c r="Q27" s="36" t="n">
        <v>4.64</v>
      </c>
      <c r="R27" s="36" t="n">
        <v>0</v>
      </c>
      <c r="S27" s="36" t="n">
        <v>0</v>
      </c>
      <c r="T27" s="37" t="n">
        <v>0.8333333333333334</v>
      </c>
      <c r="U27" s="37" t="n">
        <v>1</v>
      </c>
      <c r="V27" s="37" t="n">
        <v>0.8</v>
      </c>
      <c r="W27" s="37" t="n">
        <v>1</v>
      </c>
    </row>
    <row r="28">
      <c r="A28" s="53" t="n">
        <v>45809</v>
      </c>
      <c r="B28" t="inlineStr">
        <is>
          <t>R06_Jawa Timur</t>
        </is>
      </c>
      <c r="C28" t="inlineStr">
        <is>
          <t>NOP MADIUN</t>
        </is>
      </c>
      <c r="D28" s="36" t="n">
        <v>0</v>
      </c>
      <c r="E28" s="36" t="n">
        <v>0</v>
      </c>
      <c r="F28" s="36" t="n">
        <v>1.23</v>
      </c>
      <c r="G28" s="36" t="n">
        <v>2.75</v>
      </c>
      <c r="H28" s="37" t="n">
        <v>0.8571428571428571</v>
      </c>
      <c r="I28" s="37" t="n">
        <v>0</v>
      </c>
      <c r="J28" s="37" t="n">
        <v>0.8571428571428571</v>
      </c>
      <c r="K28" s="37" t="n">
        <v>0</v>
      </c>
      <c r="L28" s="37" t="n">
        <v>0</v>
      </c>
      <c r="M28" s="37" t="n">
        <v>0.8571428571428571</v>
      </c>
      <c r="N28" s="37" t="n">
        <v>0.4285714285714285</v>
      </c>
      <c r="O28" s="36" t="n">
        <v>0</v>
      </c>
      <c r="P28" s="36" t="n">
        <v>13.12</v>
      </c>
      <c r="Q28" s="36" t="n">
        <v>2.46</v>
      </c>
      <c r="R28" s="36" t="n">
        <v>8.57</v>
      </c>
      <c r="S28" s="36" t="n">
        <v>0</v>
      </c>
      <c r="T28" s="37" t="n">
        <v>0.8666666666666667</v>
      </c>
      <c r="U28" s="37" t="n">
        <v>0.8571428571428571</v>
      </c>
      <c r="V28" s="37" t="n">
        <v>0.875</v>
      </c>
      <c r="W28" s="37" t="n">
        <v>0.5</v>
      </c>
    </row>
    <row r="29">
      <c r="A29" s="53" t="n">
        <v>45809</v>
      </c>
      <c r="B29" t="inlineStr">
        <is>
          <t>R06_Jawa Timur</t>
        </is>
      </c>
      <c r="C29" t="inlineStr">
        <is>
          <t>NOP MALANG</t>
        </is>
      </c>
      <c r="D29" s="36" t="n">
        <v>0</v>
      </c>
      <c r="E29" s="36" t="n">
        <v>0</v>
      </c>
      <c r="F29" s="36" t="n">
        <v>0.84</v>
      </c>
      <c r="G29" s="36" t="n">
        <v>0</v>
      </c>
      <c r="H29" s="37" t="n">
        <v>1</v>
      </c>
      <c r="I29" s="37" t="n">
        <v>0</v>
      </c>
      <c r="J29" s="37" t="n">
        <v>1</v>
      </c>
      <c r="K29" s="37" t="n">
        <v>0</v>
      </c>
      <c r="L29" s="37" t="n">
        <v>0</v>
      </c>
      <c r="M29" s="37" t="n">
        <v>1</v>
      </c>
      <c r="N29" s="37" t="n">
        <v>1</v>
      </c>
      <c r="O29" s="36" t="n">
        <v>0</v>
      </c>
      <c r="P29" s="36" t="n">
        <v>0.78</v>
      </c>
      <c r="Q29" s="36" t="n">
        <v>0.93</v>
      </c>
      <c r="R29" s="36" t="n">
        <v>60.7</v>
      </c>
      <c r="S29" s="36" t="n">
        <v>0</v>
      </c>
      <c r="T29" s="37" t="n">
        <v>0.5</v>
      </c>
      <c r="U29" s="37" t="n">
        <v>0.3333333333333333</v>
      </c>
      <c r="V29" s="37" t="n">
        <v>0.6666666666666666</v>
      </c>
      <c r="W29" s="37" t="n">
        <v>1</v>
      </c>
    </row>
    <row r="30">
      <c r="A30" s="53" t="n">
        <v>45809</v>
      </c>
      <c r="B30" t="inlineStr">
        <is>
          <t>R06_Jawa Timur</t>
        </is>
      </c>
      <c r="C30" t="inlineStr">
        <is>
          <t>NOP SIDOARJO</t>
        </is>
      </c>
      <c r="D30" s="36" t="n">
        <v>0</v>
      </c>
      <c r="E30" s="36" t="n">
        <v>0</v>
      </c>
      <c r="F30" s="36" t="n">
        <v>1.84</v>
      </c>
      <c r="G30" s="36" t="n">
        <v>1.12</v>
      </c>
      <c r="H30" s="37" t="n">
        <v>1</v>
      </c>
      <c r="I30" s="37" t="n">
        <v>0</v>
      </c>
      <c r="J30" s="37" t="n">
        <v>1</v>
      </c>
      <c r="K30" s="37" t="n">
        <v>0</v>
      </c>
      <c r="L30" s="37" t="n">
        <v>0</v>
      </c>
      <c r="M30" s="37" t="n">
        <v>1</v>
      </c>
      <c r="N30" s="37" t="n">
        <v>1</v>
      </c>
      <c r="O30" s="36" t="n">
        <v>0.01</v>
      </c>
      <c r="P30" s="36" t="n">
        <v>0.77</v>
      </c>
      <c r="Q30" s="36" t="n">
        <v>12.27</v>
      </c>
      <c r="R30" s="36" t="n">
        <v>0</v>
      </c>
      <c r="S30" s="36" t="n">
        <v>0</v>
      </c>
      <c r="T30" s="37" t="n">
        <v>0.75</v>
      </c>
      <c r="U30" s="37" t="n">
        <v>0.5</v>
      </c>
      <c r="V30" s="37" t="n">
        <v>1</v>
      </c>
      <c r="W30" s="37" t="n">
        <v>0.5</v>
      </c>
    </row>
    <row r="31">
      <c r="A31" s="53" t="n">
        <v>45809</v>
      </c>
      <c r="B31" t="inlineStr">
        <is>
          <t>R06_Jawa Timur</t>
        </is>
      </c>
      <c r="C31" t="inlineStr">
        <is>
          <t>NOP SURABAYA</t>
        </is>
      </c>
      <c r="D31" s="36" t="n">
        <v>0</v>
      </c>
      <c r="E31" s="36" t="n">
        <v>0</v>
      </c>
      <c r="F31" s="36" t="n">
        <v>1.91</v>
      </c>
      <c r="G31" s="36" t="n">
        <v>5.6</v>
      </c>
      <c r="H31" s="37" t="n">
        <v>0.6470588235294118</v>
      </c>
      <c r="I31" s="37" t="n">
        <v>0</v>
      </c>
      <c r="J31" s="37" t="n">
        <v>0.6470588235294118</v>
      </c>
      <c r="K31" s="37" t="n">
        <v>0</v>
      </c>
      <c r="L31" s="37" t="n">
        <v>0</v>
      </c>
      <c r="M31" s="37" t="n">
        <v>1</v>
      </c>
      <c r="N31" s="37" t="n">
        <v>0.2941176470588235</v>
      </c>
      <c r="O31" s="36" t="n">
        <v>0</v>
      </c>
      <c r="P31" s="36" t="n">
        <v>5.42</v>
      </c>
      <c r="Q31" s="36" t="n">
        <v>7.54</v>
      </c>
      <c r="R31" s="36" t="n">
        <v>1.24</v>
      </c>
      <c r="S31" s="36" t="n">
        <v>0</v>
      </c>
      <c r="T31" s="37" t="n">
        <v>0.65625</v>
      </c>
      <c r="U31" s="37" t="n">
        <v>0.25</v>
      </c>
      <c r="V31" s="37" t="n">
        <v>0.7142857142857143</v>
      </c>
      <c r="W31" s="37" t="n">
        <v>1</v>
      </c>
    </row>
    <row r="32">
      <c r="A32" s="53" t="n">
        <v>45809</v>
      </c>
      <c r="B32" t="inlineStr">
        <is>
          <t>R07_Bali Nusra</t>
        </is>
      </c>
      <c r="C32" t="inlineStr">
        <is>
          <t>NOP DENPASAR</t>
        </is>
      </c>
      <c r="D32" s="36" t="n">
        <v>0</v>
      </c>
      <c r="E32" s="36" t="n">
        <v>0</v>
      </c>
      <c r="F32" s="36" t="n">
        <v>0.85</v>
      </c>
      <c r="G32" s="36" t="n">
        <v>2.17</v>
      </c>
      <c r="H32" s="37" t="n">
        <v>1</v>
      </c>
      <c r="I32" s="37" t="n">
        <v>0</v>
      </c>
      <c r="J32" s="37" t="n">
        <v>1</v>
      </c>
      <c r="K32" s="37" t="n">
        <v>0</v>
      </c>
      <c r="L32" s="37" t="n">
        <v>0</v>
      </c>
      <c r="M32" s="37" t="n">
        <v>1</v>
      </c>
      <c r="N32" s="37" t="n">
        <v>1</v>
      </c>
      <c r="O32" s="36" t="n">
        <v>0</v>
      </c>
      <c r="P32" s="36" t="n">
        <v>8.6</v>
      </c>
      <c r="Q32" s="36" t="n">
        <v>16.47</v>
      </c>
      <c r="R32" s="36" t="n">
        <v>7.82</v>
      </c>
      <c r="S32" s="36" t="n">
        <v>0</v>
      </c>
      <c r="T32" s="37" t="n">
        <v>0.6428571428571429</v>
      </c>
      <c r="U32" s="37" t="n">
        <v>0.6666666666666666</v>
      </c>
      <c r="V32" s="37" t="n">
        <v>0.6363636363636364</v>
      </c>
      <c r="W32" s="37" t="n">
        <v>0</v>
      </c>
    </row>
    <row r="33">
      <c r="A33" s="53" t="n">
        <v>45809</v>
      </c>
      <c r="B33" t="inlineStr">
        <is>
          <t>R07_Bali Nusra</t>
        </is>
      </c>
      <c r="C33" t="inlineStr">
        <is>
          <t>NOP FLORES</t>
        </is>
      </c>
      <c r="D33" s="36" t="n">
        <v>7.36</v>
      </c>
      <c r="E33" s="36" t="n">
        <v>9.34</v>
      </c>
      <c r="F33" s="36" t="n">
        <v>8.02</v>
      </c>
      <c r="G33" s="36" t="n">
        <v>13.11</v>
      </c>
      <c r="H33" s="37" t="n">
        <v>0.4210526315789473</v>
      </c>
      <c r="I33" s="37" t="n">
        <v>0.8571428571428571</v>
      </c>
      <c r="J33" s="37" t="n">
        <v>0.2790697674418605</v>
      </c>
      <c r="K33" s="37" t="n">
        <v>0.6666666666666666</v>
      </c>
      <c r="L33" s="37" t="n">
        <v>0.6666666666666666</v>
      </c>
      <c r="M33" s="37" t="n">
        <v>1</v>
      </c>
      <c r="N33" s="37" t="n">
        <v>0.2456140350877193</v>
      </c>
      <c r="O33" s="36" t="n">
        <v>0</v>
      </c>
      <c r="P33" s="36" t="n">
        <v>8.57</v>
      </c>
      <c r="Q33" s="36" t="n">
        <v>13.4</v>
      </c>
      <c r="R33" s="36" t="n">
        <v>0</v>
      </c>
      <c r="S33" s="36" t="n">
        <v>0</v>
      </c>
      <c r="T33" s="37" t="n">
        <v>0.5657894736842105</v>
      </c>
      <c r="U33" s="37" t="n">
        <v>0.5490196078431373</v>
      </c>
      <c r="V33" s="37" t="n">
        <v>0.6</v>
      </c>
      <c r="W33" s="37" t="n">
        <v>0.75</v>
      </c>
    </row>
    <row r="34">
      <c r="A34" s="53" t="n">
        <v>45809</v>
      </c>
      <c r="B34" t="inlineStr">
        <is>
          <t>R07_Bali Nusra</t>
        </is>
      </c>
      <c r="C34" t="inlineStr">
        <is>
          <t>NOP KUPANG</t>
        </is>
      </c>
      <c r="D34" s="36" t="n">
        <v>0</v>
      </c>
      <c r="E34" s="36" t="n">
        <v>2.32</v>
      </c>
      <c r="F34" s="36" t="n">
        <v>10.03</v>
      </c>
      <c r="G34" s="36" t="n">
        <v>12.18</v>
      </c>
      <c r="H34" s="37" t="n">
        <v>0.75</v>
      </c>
      <c r="I34" s="37" t="n">
        <v>1</v>
      </c>
      <c r="J34" s="37" t="n">
        <v>0.6666666666666666</v>
      </c>
      <c r="K34" s="37" t="n">
        <v>1</v>
      </c>
      <c r="L34" s="37" t="n">
        <v>1</v>
      </c>
      <c r="M34" s="37" t="n">
        <v>1</v>
      </c>
      <c r="N34" s="37" t="n">
        <v>0.75</v>
      </c>
      <c r="O34" s="36" t="n">
        <v>0</v>
      </c>
      <c r="P34" s="36" t="n">
        <v>30.09</v>
      </c>
      <c r="Q34" s="36" t="n">
        <v>24.92</v>
      </c>
      <c r="R34" s="36" t="n">
        <v>41</v>
      </c>
      <c r="S34" s="36" t="n">
        <v>0</v>
      </c>
      <c r="T34" s="37" t="n">
        <v>0.3333333333333333</v>
      </c>
      <c r="U34" s="37" t="n">
        <v>0.4166666666666667</v>
      </c>
      <c r="V34" s="37" t="n">
        <v>0.3055555555555556</v>
      </c>
      <c r="W34" s="37" t="n">
        <v>1</v>
      </c>
    </row>
    <row r="35">
      <c r="A35" s="53" t="n">
        <v>45809</v>
      </c>
      <c r="B35" t="inlineStr">
        <is>
          <t>R07_Bali Nusra</t>
        </is>
      </c>
      <c r="C35" t="inlineStr">
        <is>
          <t>NOP MATARAM</t>
        </is>
      </c>
      <c r="D35" s="36" t="n">
        <v>0</v>
      </c>
      <c r="E35" s="36" t="n">
        <v>0</v>
      </c>
      <c r="F35" s="36" t="n">
        <v>5.17</v>
      </c>
      <c r="G35" s="36" t="n">
        <v>3.01</v>
      </c>
      <c r="H35" s="37" t="n">
        <v>0.6</v>
      </c>
      <c r="I35" s="37" t="n">
        <v>0</v>
      </c>
      <c r="J35" s="37" t="n">
        <v>0.6</v>
      </c>
      <c r="K35" s="37" t="n">
        <v>0</v>
      </c>
      <c r="L35" s="37" t="n">
        <v>0</v>
      </c>
      <c r="M35" s="37" t="n">
        <v>1</v>
      </c>
      <c r="N35" s="37" t="n">
        <v>0.4</v>
      </c>
      <c r="O35" s="36" t="n">
        <v>0</v>
      </c>
      <c r="P35" s="36" t="n">
        <v>12.71</v>
      </c>
      <c r="Q35" s="36" t="n">
        <v>88.91</v>
      </c>
      <c r="R35" s="36" t="n">
        <v>47.29</v>
      </c>
      <c r="S35" s="36" t="n">
        <v>0</v>
      </c>
      <c r="T35" s="37" t="n">
        <v>0.5769230769230769</v>
      </c>
      <c r="U35" s="37" t="n">
        <v>0.4705882352941176</v>
      </c>
      <c r="V35" s="37" t="n">
        <v>0.7777777777777778</v>
      </c>
      <c r="W35" s="37" t="n">
        <v>0.625</v>
      </c>
    </row>
    <row r="36">
      <c r="A36" s="53" t="n">
        <v>45810</v>
      </c>
      <c r="B36" t="inlineStr">
        <is>
          <t>R01_Sumbagut</t>
        </is>
      </c>
      <c r="C36" t="inlineStr">
        <is>
          <t>NOP ACEH</t>
        </is>
      </c>
      <c r="D36" s="36" t="n">
        <v>1.48</v>
      </c>
      <c r="E36" s="36" t="n">
        <v>21.39</v>
      </c>
      <c r="F36" s="36" t="n">
        <v>2.59</v>
      </c>
      <c r="G36" s="36" t="n">
        <v>9.83</v>
      </c>
      <c r="H36" s="37" t="n">
        <v>0.8780487804878049</v>
      </c>
      <c r="I36" s="37" t="n">
        <v>0.9787234042553191</v>
      </c>
      <c r="J36" s="37" t="n">
        <v>0.8481012658227848</v>
      </c>
      <c r="K36" s="37" t="n">
        <v>0.5217391304347826</v>
      </c>
      <c r="L36" s="37" t="n">
        <v>0.5405405405405406</v>
      </c>
      <c r="M36" s="37" t="n">
        <v>1</v>
      </c>
      <c r="N36" s="37" t="n">
        <v>0.4</v>
      </c>
      <c r="O36" s="36" t="n">
        <v>0.02</v>
      </c>
      <c r="P36" s="36" t="n">
        <v>3.51</v>
      </c>
      <c r="Q36" s="36" t="n">
        <v>61.57</v>
      </c>
      <c r="R36" s="36" t="n">
        <v>141</v>
      </c>
      <c r="S36" s="36" t="n">
        <v>0</v>
      </c>
      <c r="T36" s="37" t="n">
        <v>0.8670520231213873</v>
      </c>
      <c r="U36" s="37" t="n">
        <v>0.673469387755102</v>
      </c>
      <c r="V36" s="37" t="n">
        <v>0.941908713692946</v>
      </c>
      <c r="W36" s="37" t="n">
        <v>0.2121212121212121</v>
      </c>
    </row>
    <row r="37">
      <c r="A37" s="53" t="n">
        <v>45810</v>
      </c>
      <c r="B37" t="inlineStr">
        <is>
          <t>R01_Sumbagut</t>
        </is>
      </c>
      <c r="C37" t="inlineStr">
        <is>
          <t>NOP BINJAI</t>
        </is>
      </c>
      <c r="D37" s="36" t="n">
        <v>3.35</v>
      </c>
      <c r="E37" s="36" t="n">
        <v>5.41</v>
      </c>
      <c r="F37" s="36" t="n">
        <v>7.14</v>
      </c>
      <c r="G37" s="36" t="n">
        <v>7.66</v>
      </c>
      <c r="H37" s="37" t="n">
        <v>0.6179775280898876</v>
      </c>
      <c r="I37" s="37" t="n">
        <v>0.6101694915254238</v>
      </c>
      <c r="J37" s="37" t="n">
        <v>0.6218487394957983</v>
      </c>
      <c r="K37" s="37" t="n">
        <v>0.3333333333333333</v>
      </c>
      <c r="L37" s="37" t="n">
        <v>0.3333333333333333</v>
      </c>
      <c r="M37" s="37" t="n">
        <v>0.9887640449438202</v>
      </c>
      <c r="N37" s="37" t="n">
        <v>0.3370786516853932</v>
      </c>
      <c r="O37" s="36" t="n">
        <v>0</v>
      </c>
      <c r="P37" s="36" t="n">
        <v>3.62</v>
      </c>
      <c r="Q37" s="36" t="n">
        <v>65.48</v>
      </c>
      <c r="R37" s="36" t="n">
        <v>76.13</v>
      </c>
      <c r="S37" s="36" t="n">
        <v>0</v>
      </c>
      <c r="T37" s="37" t="n">
        <v>0.6529411764705882</v>
      </c>
      <c r="U37" s="37" t="n">
        <v>0.4852941176470588</v>
      </c>
      <c r="V37" s="37" t="n">
        <v>0.7676767676767676</v>
      </c>
      <c r="W37" s="37" t="n">
        <v>0.6060606060606061</v>
      </c>
    </row>
    <row r="38">
      <c r="A38" s="53" t="n">
        <v>45810</v>
      </c>
      <c r="B38" t="inlineStr">
        <is>
          <t>R01_Sumbagut</t>
        </is>
      </c>
      <c r="C38" t="inlineStr">
        <is>
          <t>NOP MEDAN</t>
        </is>
      </c>
      <c r="D38" s="36" t="n">
        <v>1.41</v>
      </c>
      <c r="E38" s="36" t="n">
        <v>3.01</v>
      </c>
      <c r="F38" s="36" t="n">
        <v>6.44</v>
      </c>
      <c r="G38" s="36" t="n">
        <v>9.34</v>
      </c>
      <c r="H38" s="37" t="n">
        <v>0.4462809917355372</v>
      </c>
      <c r="I38" s="37" t="n">
        <v>0.4615384615384616</v>
      </c>
      <c r="J38" s="37" t="n">
        <v>0.4390243902439024</v>
      </c>
      <c r="K38" s="37" t="n">
        <v>0.7777777777777778</v>
      </c>
      <c r="L38" s="37" t="n">
        <v>0.8125</v>
      </c>
      <c r="M38" s="37" t="n">
        <v>1</v>
      </c>
      <c r="N38" s="37" t="n">
        <v>0.2231404958677686</v>
      </c>
      <c r="O38" s="36" t="n">
        <v>0</v>
      </c>
      <c r="P38" s="36" t="n">
        <v>2.3</v>
      </c>
      <c r="Q38" s="36" t="n">
        <v>13.89</v>
      </c>
      <c r="R38" s="36" t="n">
        <v>6.51</v>
      </c>
      <c r="S38" s="36" t="n">
        <v>0</v>
      </c>
      <c r="T38" s="37" t="n">
        <v>0.3129770992366412</v>
      </c>
      <c r="U38" s="37" t="n">
        <v>0.1621621621621622</v>
      </c>
      <c r="V38" s="37" t="n">
        <v>0.375</v>
      </c>
      <c r="W38" s="37" t="n">
        <v>0.8333333333333334</v>
      </c>
    </row>
    <row r="39">
      <c r="A39" s="53" t="n">
        <v>45810</v>
      </c>
      <c r="B39" t="inlineStr">
        <is>
          <t>R01_Sumbagut</t>
        </is>
      </c>
      <c r="C39" t="inlineStr">
        <is>
          <t>NOP PADANG SIDEMPUAN</t>
        </is>
      </c>
      <c r="D39" s="36" t="n">
        <v>0</v>
      </c>
      <c r="E39" s="36" t="n">
        <v>2.41</v>
      </c>
      <c r="F39" s="36" t="n">
        <v>3.69</v>
      </c>
      <c r="G39" s="36" t="n">
        <v>4.42</v>
      </c>
      <c r="H39" s="37" t="n">
        <v>0.5164835164835165</v>
      </c>
      <c r="I39" s="37" t="n">
        <v>0.8571428571428571</v>
      </c>
      <c r="J39" s="37" t="n">
        <v>0.4545454545454545</v>
      </c>
      <c r="K39" s="37" t="n">
        <v>0.4166666666666667</v>
      </c>
      <c r="L39" s="37" t="n">
        <v>0.4166666666666667</v>
      </c>
      <c r="M39" s="37" t="n">
        <v>1</v>
      </c>
      <c r="N39" s="37" t="n">
        <v>0.2087912087912088</v>
      </c>
      <c r="O39" s="36" t="n">
        <v>0.01</v>
      </c>
      <c r="P39" s="36" t="n">
        <v>3.28</v>
      </c>
      <c r="Q39" s="36" t="n">
        <v>8.710000000000001</v>
      </c>
      <c r="R39" s="36" t="n">
        <v>183.65</v>
      </c>
      <c r="S39" s="36" t="n">
        <v>0</v>
      </c>
      <c r="T39" s="37" t="n">
        <v>0.7402135231316725</v>
      </c>
      <c r="U39" s="37" t="n">
        <v>0.7265625</v>
      </c>
      <c r="V39" s="37" t="n">
        <v>0.76</v>
      </c>
      <c r="W39" s="37" t="n">
        <v>0.6129032258064516</v>
      </c>
    </row>
    <row r="40">
      <c r="A40" s="53" t="n">
        <v>45810</v>
      </c>
      <c r="B40" t="inlineStr">
        <is>
          <t>R01_Sumbagut</t>
        </is>
      </c>
      <c r="C40" t="inlineStr">
        <is>
          <t>NOP PEMATANG SIANTAR</t>
        </is>
      </c>
      <c r="D40" s="36" t="n">
        <v>1.04</v>
      </c>
      <c r="E40" s="36" t="n">
        <v>2.66</v>
      </c>
      <c r="F40" s="36" t="n">
        <v>2.7</v>
      </c>
      <c r="G40" s="36" t="n">
        <v>3.97</v>
      </c>
      <c r="H40" s="37" t="n">
        <v>0.3584905660377358</v>
      </c>
      <c r="I40" s="37" t="n">
        <v>0.7647058823529411</v>
      </c>
      <c r="J40" s="37" t="n">
        <v>0.2298136645962733</v>
      </c>
      <c r="K40" s="37" t="n">
        <v>0.3333333333333333</v>
      </c>
      <c r="L40" s="37" t="n">
        <v>0.3333333333333333</v>
      </c>
      <c r="M40" s="37" t="n">
        <v>1</v>
      </c>
      <c r="N40" s="37" t="n">
        <v>0.1981132075471698</v>
      </c>
      <c r="O40" s="36" t="n">
        <v>0.03</v>
      </c>
      <c r="P40" s="36" t="n">
        <v>2.27</v>
      </c>
      <c r="Q40" s="36" t="n">
        <v>44.59</v>
      </c>
      <c r="R40" s="36" t="n">
        <v>105.02</v>
      </c>
      <c r="S40" s="36" t="n">
        <v>0</v>
      </c>
      <c r="T40" s="37" t="n">
        <v>0.578544061302682</v>
      </c>
      <c r="U40" s="37" t="n">
        <v>0.6320754716981132</v>
      </c>
      <c r="V40" s="37" t="n">
        <v>0.5333333333333333</v>
      </c>
      <c r="W40" s="37" t="n">
        <v>0.582089552238806</v>
      </c>
    </row>
    <row r="41">
      <c r="A41" s="53" t="n">
        <v>45810</v>
      </c>
      <c r="B41" t="inlineStr">
        <is>
          <t>R01_Sumbagut</t>
        </is>
      </c>
      <c r="C41" t="inlineStr">
        <is>
          <t>NOP RANTAU PRAPAT</t>
        </is>
      </c>
      <c r="D41" s="36" t="n">
        <v>4.02</v>
      </c>
      <c r="E41" s="36" t="n">
        <v>2.95</v>
      </c>
      <c r="F41" s="36" t="n">
        <v>3.92</v>
      </c>
      <c r="G41" s="36" t="n">
        <v>2.8</v>
      </c>
      <c r="H41" s="37" t="n">
        <v>0.3718411552346571</v>
      </c>
      <c r="I41" s="37" t="n">
        <v>0.1694915254237288</v>
      </c>
      <c r="J41" s="37" t="n">
        <v>0.426605504587156</v>
      </c>
      <c r="K41" s="37" t="n">
        <v>0.9</v>
      </c>
      <c r="L41" s="37" t="n">
        <v>0.9</v>
      </c>
      <c r="M41" s="37" t="n">
        <v>0.9891696750902527</v>
      </c>
      <c r="N41" s="37" t="n">
        <v>0.2454873646209386</v>
      </c>
      <c r="O41" s="36" t="n">
        <v>0</v>
      </c>
      <c r="P41" s="36" t="n">
        <v>3.94</v>
      </c>
      <c r="Q41" s="36" t="n">
        <v>25.82</v>
      </c>
      <c r="R41" s="36" t="n">
        <v>124.36</v>
      </c>
      <c r="S41" s="36" t="n">
        <v>0</v>
      </c>
      <c r="T41" s="37" t="n">
        <v>0.1857142857142857</v>
      </c>
      <c r="U41" s="37" t="n">
        <v>0.2025316455696203</v>
      </c>
      <c r="V41" s="37" t="n">
        <v>0.1776061776061776</v>
      </c>
      <c r="W41" s="37" t="n">
        <v>0.875</v>
      </c>
    </row>
    <row r="42">
      <c r="A42" s="53" t="n">
        <v>45810</v>
      </c>
      <c r="B42" t="inlineStr">
        <is>
          <t>R10_Sumbagteng</t>
        </is>
      </c>
      <c r="C42" t="inlineStr">
        <is>
          <t>NOP BATAM</t>
        </is>
      </c>
      <c r="D42" s="36" t="n">
        <v>6.3</v>
      </c>
      <c r="E42" s="36" t="n">
        <v>11.78</v>
      </c>
      <c r="F42" s="36" t="n">
        <v>9.07</v>
      </c>
      <c r="G42" s="36" t="n">
        <v>7.14</v>
      </c>
      <c r="H42" s="37" t="n">
        <v>0.4934497816593886</v>
      </c>
      <c r="I42" s="37" t="n">
        <v>0.7659574468085106</v>
      </c>
      <c r="J42" s="37" t="n">
        <v>0.4230769230769231</v>
      </c>
      <c r="K42" s="37" t="n">
        <v>0.75</v>
      </c>
      <c r="L42" s="37" t="n">
        <v>0.7647058823529411</v>
      </c>
      <c r="M42" s="37" t="n">
        <v>0.9956331877729258</v>
      </c>
      <c r="N42" s="37" t="n">
        <v>0.3624454148471616</v>
      </c>
      <c r="O42" s="36" t="n">
        <v>0</v>
      </c>
      <c r="P42" s="36" t="n">
        <v>17.97</v>
      </c>
      <c r="Q42" s="36" t="n">
        <v>63.47</v>
      </c>
      <c r="R42" s="36" t="n">
        <v>143.16</v>
      </c>
      <c r="S42" s="36" t="n">
        <v>0</v>
      </c>
      <c r="T42" s="37" t="n">
        <v>0.3405088062622309</v>
      </c>
      <c r="U42" s="37" t="n">
        <v>0.6346153846153846</v>
      </c>
      <c r="V42" s="37" t="n">
        <v>0.2617283950617284</v>
      </c>
      <c r="W42" s="37" t="n">
        <v>0.8181818181818182</v>
      </c>
    </row>
    <row r="43">
      <c r="A43" s="53" t="n">
        <v>45810</v>
      </c>
      <c r="B43" t="inlineStr">
        <is>
          <t>R10_Sumbagteng</t>
        </is>
      </c>
      <c r="C43" t="inlineStr">
        <is>
          <t>NOP BUKITTINGGI</t>
        </is>
      </c>
      <c r="D43" s="36" t="n">
        <v>2.35</v>
      </c>
      <c r="E43" s="36" t="n">
        <v>4.29</v>
      </c>
      <c r="F43" s="36" t="n">
        <v>3.14</v>
      </c>
      <c r="G43" s="36" t="n">
        <v>3.34</v>
      </c>
      <c r="H43" s="37" t="n">
        <v>0.7582417582417582</v>
      </c>
      <c r="I43" s="37" t="n">
        <v>0.8421052631578947</v>
      </c>
      <c r="J43" s="37" t="n">
        <v>0.7361111111111112</v>
      </c>
      <c r="K43" s="37" t="n">
        <v>0.5625</v>
      </c>
      <c r="L43" s="37" t="n">
        <v>0.5625</v>
      </c>
      <c r="M43" s="37" t="n">
        <v>0.9230769230769231</v>
      </c>
      <c r="N43" s="37" t="n">
        <v>0.4285714285714285</v>
      </c>
      <c r="O43" s="36" t="n">
        <v>0.01</v>
      </c>
      <c r="P43" s="36" t="n">
        <v>4.3</v>
      </c>
      <c r="Q43" s="36" t="n">
        <v>92.54000000000001</v>
      </c>
      <c r="R43" s="36" t="n">
        <v>97.94</v>
      </c>
      <c r="S43" s="36" t="n">
        <v>0</v>
      </c>
      <c r="T43" s="37" t="n">
        <v>0.5575757575757576</v>
      </c>
      <c r="U43" s="37" t="n">
        <v>0.6551724137931034</v>
      </c>
      <c r="V43" s="37" t="n">
        <v>0.5413533834586466</v>
      </c>
      <c r="W43" s="37" t="n">
        <v>0.5263157894736842</v>
      </c>
    </row>
    <row r="44">
      <c r="A44" s="53" t="n">
        <v>45810</v>
      </c>
      <c r="B44" t="inlineStr">
        <is>
          <t>R10_Sumbagteng</t>
        </is>
      </c>
      <c r="C44" t="inlineStr">
        <is>
          <t>NOP DUMAI</t>
        </is>
      </c>
      <c r="D44" s="36" t="n">
        <v>1.74</v>
      </c>
      <c r="E44" s="36" t="n">
        <v>3.88</v>
      </c>
      <c r="F44" s="36" t="n">
        <v>4.87</v>
      </c>
      <c r="G44" s="36" t="n">
        <v>6.1</v>
      </c>
      <c r="H44" s="37" t="n">
        <v>0.4987212276214834</v>
      </c>
      <c r="I44" s="37" t="n">
        <v>0.6213592233009708</v>
      </c>
      <c r="J44" s="37" t="n">
        <v>0.4548611111111111</v>
      </c>
      <c r="K44" s="37" t="n">
        <v>0.640625</v>
      </c>
      <c r="L44" s="37" t="n">
        <v>0.6721311475409836</v>
      </c>
      <c r="M44" s="37" t="n">
        <v>0.9872122762148338</v>
      </c>
      <c r="N44" s="37" t="n">
        <v>0.3069053708439898</v>
      </c>
      <c r="O44" s="36" t="n">
        <v>0.01</v>
      </c>
      <c r="P44" s="36" t="n">
        <v>9.81</v>
      </c>
      <c r="Q44" s="36" t="n">
        <v>62.45</v>
      </c>
      <c r="R44" s="36" t="n">
        <v>125.16</v>
      </c>
      <c r="S44" s="36" t="n">
        <v>0</v>
      </c>
      <c r="T44" s="37" t="n">
        <v>0.2405405405405406</v>
      </c>
      <c r="U44" s="37" t="n">
        <v>0.3556701030927835</v>
      </c>
      <c r="V44" s="37" t="n">
        <v>0.2014787430683919</v>
      </c>
      <c r="W44" s="37" t="n">
        <v>0.927536231884058</v>
      </c>
    </row>
    <row r="45">
      <c r="A45" s="53" t="n">
        <v>45810</v>
      </c>
      <c r="B45" t="inlineStr">
        <is>
          <t>R10_Sumbagteng</t>
        </is>
      </c>
      <c r="C45" t="inlineStr">
        <is>
          <t>NOP PADANG</t>
        </is>
      </c>
      <c r="D45" s="36" t="n">
        <v>0</v>
      </c>
      <c r="E45" s="36" t="n">
        <v>2.43</v>
      </c>
      <c r="F45" s="36" t="n">
        <v>5.64</v>
      </c>
      <c r="G45" s="36" t="n">
        <v>6.2</v>
      </c>
      <c r="H45" s="37" t="n">
        <v>0.7669902912621359</v>
      </c>
      <c r="I45" s="37" t="n">
        <v>0.5</v>
      </c>
      <c r="J45" s="37" t="n">
        <v>0.8021978021978022</v>
      </c>
      <c r="K45" s="37" t="n">
        <v>0.8333333333333334</v>
      </c>
      <c r="L45" s="37" t="n">
        <v>0.8333333333333334</v>
      </c>
      <c r="M45" s="37" t="n">
        <v>0.9902912621359223</v>
      </c>
      <c r="N45" s="37" t="n">
        <v>0.3009708737864077</v>
      </c>
      <c r="O45" s="36" t="n">
        <v>0</v>
      </c>
      <c r="P45" s="36" t="n">
        <v>4.31</v>
      </c>
      <c r="Q45" s="36" t="n">
        <v>54.29</v>
      </c>
      <c r="R45" s="36" t="n">
        <v>199.25</v>
      </c>
      <c r="S45" s="36" t="n">
        <v>0</v>
      </c>
      <c r="T45" s="37" t="n">
        <v>0.78</v>
      </c>
      <c r="U45" s="37" t="n">
        <v>0.5681818181818182</v>
      </c>
      <c r="V45" s="37" t="n">
        <v>0.8653846153846154</v>
      </c>
      <c r="W45" s="37" t="n">
        <v>0.76</v>
      </c>
    </row>
    <row r="46">
      <c r="A46" s="53" t="n">
        <v>45810</v>
      </c>
      <c r="B46" t="inlineStr">
        <is>
          <t>R10_Sumbagteng</t>
        </is>
      </c>
      <c r="C46" t="inlineStr">
        <is>
          <t>NOP PEKANBARU</t>
        </is>
      </c>
      <c r="D46" s="36" t="n">
        <v>2.4</v>
      </c>
      <c r="E46" s="36" t="n">
        <v>3.91</v>
      </c>
      <c r="F46" s="36" t="n">
        <v>3.72</v>
      </c>
      <c r="G46" s="36" t="n">
        <v>7.46</v>
      </c>
      <c r="H46" s="37" t="n">
        <v>0.5168067226890757</v>
      </c>
      <c r="I46" s="37" t="n">
        <v>0.4594594594594595</v>
      </c>
      <c r="J46" s="37" t="n">
        <v>0.527363184079602</v>
      </c>
      <c r="K46" s="37" t="n">
        <v>0.5882352941176471</v>
      </c>
      <c r="L46" s="37" t="n">
        <v>0.5882352941176471</v>
      </c>
      <c r="M46" s="37" t="n">
        <v>0.9915966386554622</v>
      </c>
      <c r="N46" s="37" t="n">
        <v>0.2899159663865546</v>
      </c>
      <c r="O46" s="36" t="n">
        <v>0.02</v>
      </c>
      <c r="P46" s="36" t="n">
        <v>4.59</v>
      </c>
      <c r="Q46" s="36" t="n">
        <v>46.09</v>
      </c>
      <c r="R46" s="36" t="n">
        <v>80.5</v>
      </c>
      <c r="S46" s="36" t="n">
        <v>0</v>
      </c>
      <c r="T46" s="37" t="n">
        <v>0.3061630218687873</v>
      </c>
      <c r="U46" s="37" t="n">
        <v>0.3356643356643357</v>
      </c>
      <c r="V46" s="37" t="n">
        <v>0.2946175637393768</v>
      </c>
      <c r="W46" s="37" t="n">
        <v>0.8125</v>
      </c>
    </row>
    <row r="47">
      <c r="A47" s="53" t="n">
        <v>45810</v>
      </c>
      <c r="B47" t="inlineStr">
        <is>
          <t>R02_Sumbagsel</t>
        </is>
      </c>
      <c r="C47" t="inlineStr">
        <is>
          <t>NOP BENGKULU</t>
        </is>
      </c>
      <c r="D47" s="36" t="n">
        <v>0</v>
      </c>
      <c r="E47" s="36" t="n">
        <v>4.75</v>
      </c>
      <c r="F47" s="36" t="n">
        <v>4.26</v>
      </c>
      <c r="G47" s="36" t="n">
        <v>3.84</v>
      </c>
      <c r="H47" s="37" t="n">
        <v>0.6161616161616161</v>
      </c>
      <c r="I47" s="37" t="n">
        <v>0.6842105263157895</v>
      </c>
      <c r="J47" s="37" t="n">
        <v>0.6</v>
      </c>
      <c r="K47" s="37" t="n">
        <v>0.7692307692307693</v>
      </c>
      <c r="L47" s="37" t="n">
        <v>0.7692307692307693</v>
      </c>
      <c r="M47" s="37" t="n">
        <v>1</v>
      </c>
      <c r="N47" s="37" t="n">
        <v>0.4545454545454545</v>
      </c>
      <c r="O47" s="36" t="n">
        <v>0</v>
      </c>
      <c r="P47" s="36" t="n">
        <v>6.17</v>
      </c>
      <c r="Q47" s="36" t="n">
        <v>6.27</v>
      </c>
      <c r="R47" s="36" t="n">
        <v>5</v>
      </c>
      <c r="S47" s="36" t="n">
        <v>0</v>
      </c>
      <c r="T47" s="37" t="n">
        <v>0.5803921568627451</v>
      </c>
      <c r="U47" s="37" t="n">
        <v>0.4769230769230769</v>
      </c>
      <c r="V47" s="37" t="n">
        <v>0.6698113207547169</v>
      </c>
      <c r="W47" s="37" t="n">
        <v>0.8709677419354839</v>
      </c>
    </row>
    <row r="48">
      <c r="A48" s="53" t="n">
        <v>45810</v>
      </c>
      <c r="B48" t="inlineStr">
        <is>
          <t>R02_Sumbagsel</t>
        </is>
      </c>
      <c r="C48" t="inlineStr">
        <is>
          <t>NOP JAMBI</t>
        </is>
      </c>
      <c r="D48" s="36" t="n">
        <v>0.91</v>
      </c>
      <c r="E48" s="36" t="n">
        <v>2.73</v>
      </c>
      <c r="F48" s="36" t="n">
        <v>3.31</v>
      </c>
      <c r="G48" s="36" t="n">
        <v>5.12</v>
      </c>
      <c r="H48" s="37" t="n">
        <v>0.3504273504273504</v>
      </c>
      <c r="I48" s="37" t="n">
        <v>0.3802816901408451</v>
      </c>
      <c r="J48" s="37" t="n">
        <v>0.3374233128834356</v>
      </c>
      <c r="K48" s="37" t="n">
        <v>0.7407407407407407</v>
      </c>
      <c r="L48" s="37" t="n">
        <v>0.7407407407407407</v>
      </c>
      <c r="M48" s="37" t="n">
        <v>1</v>
      </c>
      <c r="N48" s="37" t="n">
        <v>0.1666666666666667</v>
      </c>
      <c r="O48" s="36" t="n">
        <v>0</v>
      </c>
      <c r="P48" s="36" t="n">
        <v>3.57</v>
      </c>
      <c r="Q48" s="36" t="n">
        <v>17.17</v>
      </c>
      <c r="R48" s="36" t="n">
        <v>18.98</v>
      </c>
      <c r="S48" s="36" t="n">
        <v>0</v>
      </c>
      <c r="T48" s="37" t="n">
        <v>0.1745562130177515</v>
      </c>
      <c r="U48" s="37" t="n">
        <v>0.1581920903954802</v>
      </c>
      <c r="V48" s="37" t="n">
        <v>0.234375</v>
      </c>
      <c r="W48" s="37" t="n">
        <v>0.7142857142857143</v>
      </c>
    </row>
    <row r="49">
      <c r="A49" s="53" t="n">
        <v>45810</v>
      </c>
      <c r="B49" t="inlineStr">
        <is>
          <t>R02_Sumbagsel</t>
        </is>
      </c>
      <c r="C49" t="inlineStr">
        <is>
          <t>NOP LAMPUNG</t>
        </is>
      </c>
      <c r="D49" s="36" t="n">
        <v>0</v>
      </c>
      <c r="E49" s="36" t="n">
        <v>4.33</v>
      </c>
      <c r="F49" s="36" t="n">
        <v>6.96</v>
      </c>
      <c r="G49" s="36" t="n">
        <v>5.12</v>
      </c>
      <c r="H49" s="37" t="n">
        <v>0.6458333333333334</v>
      </c>
      <c r="I49" s="37" t="n">
        <v>0.8461538461538461</v>
      </c>
      <c r="J49" s="37" t="n">
        <v>0.5714285714285714</v>
      </c>
      <c r="K49" s="37" t="n">
        <v>0.8181818181818182</v>
      </c>
      <c r="L49" s="37" t="n">
        <v>0.8181818181818182</v>
      </c>
      <c r="M49" s="37" t="n">
        <v>1</v>
      </c>
      <c r="N49" s="37" t="n">
        <v>0.5416666666666666</v>
      </c>
      <c r="O49" s="36" t="n">
        <v>0</v>
      </c>
      <c r="P49" s="36" t="n">
        <v>9.23</v>
      </c>
      <c r="Q49" s="36" t="n">
        <v>6.36</v>
      </c>
      <c r="R49" s="36" t="n">
        <v>31.74</v>
      </c>
      <c r="S49" s="36" t="n">
        <v>0</v>
      </c>
      <c r="T49" s="37" t="n">
        <v>0.8923766816143498</v>
      </c>
      <c r="U49" s="37" t="n">
        <v>0.918918918918919</v>
      </c>
      <c r="V49" s="37" t="n">
        <v>0.8932584269662921</v>
      </c>
      <c r="W49" s="37" t="n">
        <v>0.9411764705882353</v>
      </c>
    </row>
    <row r="50">
      <c r="A50" s="53" t="n">
        <v>45810</v>
      </c>
      <c r="B50" t="inlineStr">
        <is>
          <t>R02_Sumbagsel</t>
        </is>
      </c>
      <c r="C50" t="inlineStr">
        <is>
          <t>NOP MUARA ENIM</t>
        </is>
      </c>
      <c r="D50" s="36" t="n">
        <v>1.21</v>
      </c>
      <c r="E50" s="36" t="n">
        <v>4.02</v>
      </c>
      <c r="F50" s="36" t="n">
        <v>4.84</v>
      </c>
      <c r="G50" s="36" t="n">
        <v>6.76</v>
      </c>
      <c r="H50" s="37" t="n">
        <v>0.2727272727272727</v>
      </c>
      <c r="I50" s="37" t="n">
        <v>0.4411764705882353</v>
      </c>
      <c r="J50" s="37" t="n">
        <v>0.2465753424657534</v>
      </c>
      <c r="K50" s="37" t="n">
        <v>1</v>
      </c>
      <c r="L50" s="37" t="n">
        <v>1</v>
      </c>
      <c r="M50" s="37" t="n">
        <v>0.9841897233201581</v>
      </c>
      <c r="N50" s="37" t="n">
        <v>0.1857707509881423</v>
      </c>
      <c r="O50" s="36" t="n">
        <v>0</v>
      </c>
      <c r="P50" s="36" t="n">
        <v>18.3</v>
      </c>
      <c r="Q50" s="36" t="n">
        <v>6.7</v>
      </c>
      <c r="R50" s="36" t="n">
        <v>5.01</v>
      </c>
      <c r="S50" s="36" t="n">
        <v>0</v>
      </c>
      <c r="T50" s="37" t="n">
        <v>0.5229885057471264</v>
      </c>
      <c r="U50" s="37" t="n">
        <v>0.4869109947643979</v>
      </c>
      <c r="V50" s="37" t="n">
        <v>0.5971223021582733</v>
      </c>
      <c r="W50" s="37" t="n">
        <v>0.7741935483870968</v>
      </c>
    </row>
    <row r="51">
      <c r="A51" s="53" t="n">
        <v>45810</v>
      </c>
      <c r="B51" t="inlineStr">
        <is>
          <t>R02_Sumbagsel</t>
        </is>
      </c>
      <c r="C51" t="inlineStr">
        <is>
          <t>NOP PALEMBANG</t>
        </is>
      </c>
      <c r="D51" s="36" t="n">
        <v>1.99</v>
      </c>
      <c r="E51" s="36" t="n">
        <v>6.44</v>
      </c>
      <c r="F51" s="36" t="n">
        <v>4.26</v>
      </c>
      <c r="G51" s="36" t="n">
        <v>7.92</v>
      </c>
      <c r="H51" s="37" t="n">
        <v>0.3943661971830986</v>
      </c>
      <c r="I51" s="37" t="n">
        <v>0.358974358974359</v>
      </c>
      <c r="J51" s="37" t="n">
        <v>0.4</v>
      </c>
      <c r="K51" s="37" t="n">
        <v>0.5714285714285714</v>
      </c>
      <c r="L51" s="37" t="n">
        <v>0.5714285714285714</v>
      </c>
      <c r="M51" s="37" t="n">
        <v>1</v>
      </c>
      <c r="N51" s="37" t="n">
        <v>0.1619718309859155</v>
      </c>
      <c r="O51" s="36" t="n">
        <v>0</v>
      </c>
      <c r="P51" s="36" t="n">
        <v>3.01</v>
      </c>
      <c r="Q51" s="36" t="n">
        <v>9.9</v>
      </c>
      <c r="R51" s="36" t="n">
        <v>10.9</v>
      </c>
      <c r="S51" s="36" t="n">
        <v>0</v>
      </c>
      <c r="T51" s="37" t="n">
        <v>0.08274231678486997</v>
      </c>
      <c r="U51" s="37" t="n">
        <v>0.0539568345323741</v>
      </c>
      <c r="V51" s="37" t="n">
        <v>0.196078431372549</v>
      </c>
      <c r="W51" s="37" t="n">
        <v>0.6</v>
      </c>
    </row>
    <row r="52">
      <c r="A52" s="53" t="n">
        <v>45810</v>
      </c>
      <c r="B52" t="inlineStr">
        <is>
          <t>R02_Sumbagsel</t>
        </is>
      </c>
      <c r="C52" t="inlineStr">
        <is>
          <t>NOP PANGKAL PINANG</t>
        </is>
      </c>
      <c r="D52" s="36" t="n">
        <v>0</v>
      </c>
      <c r="E52" s="36" t="n">
        <v>3.47</v>
      </c>
      <c r="F52" s="36" t="n">
        <v>5.96</v>
      </c>
      <c r="G52" s="36" t="n">
        <v>2.06</v>
      </c>
      <c r="H52" s="37" t="n">
        <v>0.6590909090909091</v>
      </c>
      <c r="I52" s="37" t="n">
        <v>0.6666666666666666</v>
      </c>
      <c r="J52" s="37" t="n">
        <v>0.6585365853658537</v>
      </c>
      <c r="K52" s="37" t="n">
        <v>0.5</v>
      </c>
      <c r="L52" s="37" t="n">
        <v>0.5</v>
      </c>
      <c r="M52" s="37" t="n">
        <v>1</v>
      </c>
      <c r="N52" s="37" t="n">
        <v>0.3409090909090909</v>
      </c>
      <c r="O52" s="36" t="n">
        <v>0</v>
      </c>
      <c r="P52" s="36" t="n">
        <v>4.1</v>
      </c>
      <c r="Q52" s="36" t="n">
        <v>5.92</v>
      </c>
      <c r="R52" s="36" t="n">
        <v>9.92</v>
      </c>
      <c r="S52" s="36" t="n">
        <v>0</v>
      </c>
      <c r="T52" s="37" t="n">
        <v>0.9523809523809523</v>
      </c>
      <c r="U52" s="37" t="n">
        <v>0.9508196721311475</v>
      </c>
      <c r="V52" s="37" t="n">
        <v>0.9622641509433962</v>
      </c>
      <c r="W52" s="37" t="n">
        <v>0.8620689655172413</v>
      </c>
    </row>
    <row r="53">
      <c r="A53" s="53" t="n">
        <v>45810</v>
      </c>
      <c r="B53" t="inlineStr">
        <is>
          <t>R05_Jawa Tengah DIY</t>
        </is>
      </c>
      <c r="C53" t="inlineStr">
        <is>
          <t>NOP MAGELANG</t>
        </is>
      </c>
      <c r="D53" s="36" t="n">
        <v>0</v>
      </c>
      <c r="E53" s="36" t="n">
        <v>0</v>
      </c>
      <c r="F53" s="36" t="n">
        <v>2.6</v>
      </c>
      <c r="G53" s="36" t="n">
        <v>1.87</v>
      </c>
      <c r="H53" s="37" t="n">
        <v>0.8181818181818182</v>
      </c>
      <c r="I53" s="37" t="n">
        <v>0</v>
      </c>
      <c r="J53" s="37" t="n">
        <v>0.8181818181818182</v>
      </c>
      <c r="K53" s="37" t="n">
        <v>0</v>
      </c>
      <c r="L53" s="37" t="n">
        <v>0</v>
      </c>
      <c r="M53" s="37" t="n">
        <v>1</v>
      </c>
      <c r="N53" s="37" t="n">
        <v>0.8181818181818182</v>
      </c>
      <c r="O53" s="36" t="n">
        <v>0</v>
      </c>
      <c r="P53" s="36" t="n">
        <v>1.92</v>
      </c>
      <c r="Q53" s="36" t="n">
        <v>6.5</v>
      </c>
      <c r="R53" s="36" t="n">
        <v>7.93</v>
      </c>
      <c r="S53" s="36" t="n">
        <v>0</v>
      </c>
      <c r="T53" s="37" t="n">
        <v>0.9519230769230769</v>
      </c>
      <c r="U53" s="37" t="n">
        <v>0.75</v>
      </c>
      <c r="V53" s="37" t="n">
        <v>0.96</v>
      </c>
      <c r="W53" s="37" t="n">
        <v>1</v>
      </c>
    </row>
    <row r="54">
      <c r="A54" s="53" t="n">
        <v>45810</v>
      </c>
      <c r="B54" t="inlineStr">
        <is>
          <t>R05_Jawa Tengah DIY</t>
        </is>
      </c>
      <c r="C54" t="inlineStr">
        <is>
          <t>NOP PEKALONGAN</t>
        </is>
      </c>
      <c r="D54" s="36" t="n">
        <v>0.37</v>
      </c>
      <c r="E54" s="36" t="n">
        <v>0</v>
      </c>
      <c r="F54" s="36" t="n">
        <v>1.66</v>
      </c>
      <c r="G54" s="36" t="n">
        <v>26.44</v>
      </c>
      <c r="H54" s="37" t="n">
        <v>0.7058823529411765</v>
      </c>
      <c r="I54" s="37" t="n">
        <v>0</v>
      </c>
      <c r="J54" s="37" t="n">
        <v>0.75</v>
      </c>
      <c r="K54" s="37" t="n">
        <v>0</v>
      </c>
      <c r="L54" s="37" t="n">
        <v>0</v>
      </c>
      <c r="M54" s="37" t="n">
        <v>0.9411764705882353</v>
      </c>
      <c r="N54" s="37" t="n">
        <v>0.4117647058823529</v>
      </c>
      <c r="O54" s="36" t="n">
        <v>0</v>
      </c>
      <c r="P54" s="36" t="n">
        <v>2.24</v>
      </c>
      <c r="Q54" s="36" t="n">
        <v>12.57</v>
      </c>
      <c r="R54" s="36" t="n">
        <v>93.23999999999999</v>
      </c>
      <c r="S54" s="36" t="n">
        <v>0</v>
      </c>
      <c r="T54" s="37" t="n">
        <v>0.8936170212765957</v>
      </c>
      <c r="U54" s="37" t="n">
        <v>0.7</v>
      </c>
      <c r="V54" s="37" t="n">
        <v>0.9459459459459459</v>
      </c>
      <c r="W54" s="37" t="n">
        <v>0.7142857142857143</v>
      </c>
    </row>
    <row r="55">
      <c r="A55" s="53" t="n">
        <v>45810</v>
      </c>
      <c r="B55" t="inlineStr">
        <is>
          <t>R05_Jawa Tengah DIY</t>
        </is>
      </c>
      <c r="C55" t="inlineStr">
        <is>
          <t>NOP PURWOKERTO</t>
        </is>
      </c>
      <c r="D55" s="36" t="n">
        <v>1.81</v>
      </c>
      <c r="E55" s="36" t="n">
        <v>0</v>
      </c>
      <c r="F55" s="36" t="n">
        <v>1.96</v>
      </c>
      <c r="G55" s="36" t="n">
        <v>1.82</v>
      </c>
      <c r="H55" s="37" t="n">
        <v>0.625</v>
      </c>
      <c r="I55" s="37" t="n">
        <v>0.6666666666666666</v>
      </c>
      <c r="J55" s="37" t="n">
        <v>0.6206896551724138</v>
      </c>
      <c r="K55" s="37" t="n">
        <v>1</v>
      </c>
      <c r="L55" s="37" t="n">
        <v>1</v>
      </c>
      <c r="M55" s="37" t="n">
        <v>0.96875</v>
      </c>
      <c r="N55" s="37" t="n">
        <v>0.34375</v>
      </c>
      <c r="O55" s="36" t="n">
        <v>0</v>
      </c>
      <c r="P55" s="36" t="n">
        <v>3.53</v>
      </c>
      <c r="Q55" s="36" t="n">
        <v>9.08</v>
      </c>
      <c r="R55" s="36" t="n">
        <v>66.90000000000001</v>
      </c>
      <c r="S55" s="36" t="n">
        <v>0</v>
      </c>
      <c r="T55" s="37" t="n">
        <v>0.7954545454545454</v>
      </c>
      <c r="U55" s="37" t="n">
        <v>0.6428571428571429</v>
      </c>
      <c r="V55" s="37" t="n">
        <v>0.8666666666666667</v>
      </c>
      <c r="W55" s="37" t="n">
        <v>0.4444444444444444</v>
      </c>
    </row>
    <row r="56">
      <c r="A56" s="53" t="n">
        <v>45810</v>
      </c>
      <c r="B56" t="inlineStr">
        <is>
          <t>R05_Jawa Tengah DIY</t>
        </is>
      </c>
      <c r="C56" t="inlineStr">
        <is>
          <t>NOP SEMARANG</t>
        </is>
      </c>
      <c r="D56" s="36" t="n">
        <v>1.65</v>
      </c>
      <c r="E56" s="36" t="n">
        <v>0</v>
      </c>
      <c r="F56" s="36" t="n">
        <v>3.33</v>
      </c>
      <c r="G56" s="36" t="n">
        <v>4.74</v>
      </c>
      <c r="H56" s="37" t="n">
        <v>0.6666666666666666</v>
      </c>
      <c r="I56" s="37" t="n">
        <v>0.6666666666666666</v>
      </c>
      <c r="J56" s="37" t="n">
        <v>0.6666666666666666</v>
      </c>
      <c r="K56" s="37" t="n">
        <v>0.5</v>
      </c>
      <c r="L56" s="37" t="n">
        <v>0.5</v>
      </c>
      <c r="M56" s="37" t="n">
        <v>0.9555555555555556</v>
      </c>
      <c r="N56" s="37" t="n">
        <v>0.4666666666666667</v>
      </c>
      <c r="O56" s="36" t="n">
        <v>0.01</v>
      </c>
      <c r="P56" s="36" t="n">
        <v>8.91</v>
      </c>
      <c r="Q56" s="36" t="n">
        <v>9.27</v>
      </c>
      <c r="R56" s="36" t="n">
        <v>55.15</v>
      </c>
      <c r="S56" s="36" t="n">
        <v>0</v>
      </c>
      <c r="T56" s="37" t="n">
        <v>0.8266666666666667</v>
      </c>
      <c r="U56" s="37" t="n">
        <v>0.7</v>
      </c>
      <c r="V56" s="37" t="n">
        <v>0.9111111111111111</v>
      </c>
      <c r="W56" s="37" t="n">
        <v>0.9047619047619048</v>
      </c>
    </row>
    <row r="57">
      <c r="A57" s="53" t="n">
        <v>45810</v>
      </c>
      <c r="B57" t="inlineStr">
        <is>
          <t>R05_Jawa Tengah DIY</t>
        </is>
      </c>
      <c r="C57" t="inlineStr">
        <is>
          <t>NOP SURAKARTA</t>
        </is>
      </c>
      <c r="D57" s="36" t="n">
        <v>3.05</v>
      </c>
      <c r="E57" s="36" t="n">
        <v>2.04</v>
      </c>
      <c r="F57" s="36" t="n">
        <v>1.32</v>
      </c>
      <c r="G57" s="36" t="n">
        <v>1.54</v>
      </c>
      <c r="H57" s="37" t="n">
        <v>0.6888888888888889</v>
      </c>
      <c r="I57" s="37" t="n">
        <v>0.8333333333333334</v>
      </c>
      <c r="J57" s="37" t="n">
        <v>0.6666666666666666</v>
      </c>
      <c r="K57" s="37" t="n">
        <v>0.6</v>
      </c>
      <c r="L57" s="37" t="n">
        <v>0.6</v>
      </c>
      <c r="M57" s="37" t="n">
        <v>0.9777777777777777</v>
      </c>
      <c r="N57" s="37" t="n">
        <v>0.3555555555555556</v>
      </c>
      <c r="O57" s="36" t="n">
        <v>0</v>
      </c>
      <c r="P57" s="36" t="n">
        <v>2.44</v>
      </c>
      <c r="Q57" s="36" t="n">
        <v>27.58</v>
      </c>
      <c r="R57" s="36" t="n">
        <v>29.91</v>
      </c>
      <c r="S57" s="36" t="n">
        <v>0</v>
      </c>
      <c r="T57" s="37" t="n">
        <v>0.7575757575757576</v>
      </c>
      <c r="U57" s="37" t="n">
        <v>0.4666666666666667</v>
      </c>
      <c r="V57" s="37" t="n">
        <v>0.8431372549019608</v>
      </c>
      <c r="W57" s="37" t="n">
        <v>0.7142857142857143</v>
      </c>
    </row>
    <row r="58">
      <c r="A58" s="53" t="n">
        <v>45810</v>
      </c>
      <c r="B58" t="inlineStr">
        <is>
          <t>R05_Jawa Tengah DIY</t>
        </is>
      </c>
      <c r="C58" t="inlineStr">
        <is>
          <t>NOP YOGYAKARTA</t>
        </is>
      </c>
      <c r="D58" s="36" t="n">
        <v>2.62</v>
      </c>
      <c r="E58" s="36" t="n">
        <v>0</v>
      </c>
      <c r="F58" s="36" t="n">
        <v>2.91</v>
      </c>
      <c r="G58" s="36" t="n">
        <v>3.08</v>
      </c>
      <c r="H58" s="37" t="n">
        <v>0.6666666666666666</v>
      </c>
      <c r="I58" s="37" t="n">
        <v>1</v>
      </c>
      <c r="J58" s="37" t="n">
        <v>0.6521739130434783</v>
      </c>
      <c r="K58" s="37" t="n">
        <v>1</v>
      </c>
      <c r="L58" s="37" t="n">
        <v>1</v>
      </c>
      <c r="M58" s="37" t="n">
        <v>1</v>
      </c>
      <c r="N58" s="37" t="n">
        <v>0.5</v>
      </c>
      <c r="O58" s="36" t="n">
        <v>0</v>
      </c>
      <c r="P58" s="36" t="n">
        <v>3.44</v>
      </c>
      <c r="Q58" s="36" t="n">
        <v>8.869999999999999</v>
      </c>
      <c r="R58" s="36" t="n">
        <v>22.43</v>
      </c>
      <c r="S58" s="36" t="n">
        <v>0</v>
      </c>
      <c r="T58" s="37" t="n">
        <v>0.9315068493150684</v>
      </c>
      <c r="U58" s="37" t="n">
        <v>0.8666666666666667</v>
      </c>
      <c r="V58" s="37" t="n">
        <v>0.9482758620689655</v>
      </c>
      <c r="W58" s="37" t="n">
        <v>1</v>
      </c>
    </row>
    <row r="59">
      <c r="A59" s="53" t="n">
        <v>45810</v>
      </c>
      <c r="B59" t="inlineStr">
        <is>
          <t>R06_Jawa Timur</t>
        </is>
      </c>
      <c r="C59" t="inlineStr">
        <is>
          <t>NOP JEMBER</t>
        </is>
      </c>
      <c r="D59" s="36" t="n">
        <v>20.17</v>
      </c>
      <c r="E59" s="36" t="n">
        <v>0</v>
      </c>
      <c r="F59" s="36" t="n">
        <v>2.52</v>
      </c>
      <c r="G59" s="36" t="n">
        <v>3.27</v>
      </c>
      <c r="H59" s="37" t="n">
        <v>0.8518518518518519</v>
      </c>
      <c r="I59" s="37" t="n">
        <v>1</v>
      </c>
      <c r="J59" s="37" t="n">
        <v>0.8333333333333334</v>
      </c>
      <c r="K59" s="37" t="n">
        <v>1</v>
      </c>
      <c r="L59" s="37" t="n">
        <v>1</v>
      </c>
      <c r="M59" s="37" t="n">
        <v>1</v>
      </c>
      <c r="N59" s="37" t="n">
        <v>0.5555555555555556</v>
      </c>
      <c r="O59" s="36" t="n">
        <v>0</v>
      </c>
      <c r="P59" s="36" t="n">
        <v>1.71</v>
      </c>
      <c r="Q59" s="36" t="n">
        <v>3.68</v>
      </c>
      <c r="R59" s="36" t="n">
        <v>181.21</v>
      </c>
      <c r="S59" s="36" t="n">
        <v>0</v>
      </c>
      <c r="T59" s="37" t="n">
        <v>0.675</v>
      </c>
      <c r="U59" s="37" t="n">
        <v>0.5</v>
      </c>
      <c r="V59" s="37" t="n">
        <v>0.7916666666666666</v>
      </c>
      <c r="W59" s="37" t="n">
        <v>1</v>
      </c>
    </row>
    <row r="60">
      <c r="A60" s="53" t="n">
        <v>45810</v>
      </c>
      <c r="B60" t="inlineStr">
        <is>
          <t>R06_Jawa Timur</t>
        </is>
      </c>
      <c r="C60" t="inlineStr">
        <is>
          <t>NOP KEDIRI</t>
        </is>
      </c>
      <c r="D60" s="36" t="n">
        <v>1.55</v>
      </c>
      <c r="E60" s="36" t="n">
        <v>0</v>
      </c>
      <c r="F60" s="36" t="n">
        <v>0.6899999999999999</v>
      </c>
      <c r="G60" s="36" t="n">
        <v>1.65</v>
      </c>
      <c r="H60" s="37" t="n">
        <v>0.8947368421052632</v>
      </c>
      <c r="I60" s="37" t="n">
        <v>1</v>
      </c>
      <c r="J60" s="37" t="n">
        <v>0.8823529411764706</v>
      </c>
      <c r="K60" s="37" t="n">
        <v>0.5</v>
      </c>
      <c r="L60" s="37" t="n">
        <v>0.5</v>
      </c>
      <c r="M60" s="37" t="n">
        <v>1</v>
      </c>
      <c r="N60" s="37" t="n">
        <v>0.5263157894736842</v>
      </c>
      <c r="O60" s="36" t="n">
        <v>0</v>
      </c>
      <c r="P60" s="36" t="n">
        <v>1.75</v>
      </c>
      <c r="Q60" s="36" t="n">
        <v>3.09</v>
      </c>
      <c r="R60" s="36" t="n">
        <v>18.52</v>
      </c>
      <c r="S60" s="36" t="n">
        <v>0</v>
      </c>
      <c r="T60" s="37" t="n">
        <v>0.92</v>
      </c>
      <c r="U60" s="37" t="n">
        <v>0.9</v>
      </c>
      <c r="V60" s="37" t="n">
        <v>0.9333333333333333</v>
      </c>
      <c r="W60" s="37" t="n">
        <v>0.7777777777777778</v>
      </c>
    </row>
    <row r="61">
      <c r="A61" s="53" t="n">
        <v>45810</v>
      </c>
      <c r="B61" t="inlineStr">
        <is>
          <t>R06_Jawa Timur</t>
        </is>
      </c>
      <c r="C61" t="inlineStr">
        <is>
          <t>NOP LAMONGAN</t>
        </is>
      </c>
      <c r="D61" s="36" t="n">
        <v>1.57</v>
      </c>
      <c r="E61" s="36" t="n">
        <v>0</v>
      </c>
      <c r="F61" s="36" t="n">
        <v>1.24</v>
      </c>
      <c r="G61" s="36" t="n">
        <v>2.65</v>
      </c>
      <c r="H61" s="37" t="n">
        <v>1</v>
      </c>
      <c r="I61" s="37" t="n">
        <v>1</v>
      </c>
      <c r="J61" s="37" t="n">
        <v>1</v>
      </c>
      <c r="K61" s="37" t="n">
        <v>1</v>
      </c>
      <c r="L61" s="37" t="n">
        <v>1</v>
      </c>
      <c r="M61" s="37" t="n">
        <v>1</v>
      </c>
      <c r="N61" s="37" t="n">
        <v>0.7692307692307693</v>
      </c>
      <c r="O61" s="36" t="n">
        <v>0</v>
      </c>
      <c r="P61" s="36" t="n">
        <v>2.21</v>
      </c>
      <c r="Q61" s="36" t="n">
        <v>4.58</v>
      </c>
      <c r="R61" s="36" t="n">
        <v>0</v>
      </c>
      <c r="S61" s="36" t="n">
        <v>0</v>
      </c>
      <c r="T61" s="37" t="n">
        <v>0.7857142857142857</v>
      </c>
      <c r="U61" s="37" t="n">
        <v>0.7142857142857143</v>
      </c>
      <c r="V61" s="37" t="n">
        <v>0.8571428571428571</v>
      </c>
      <c r="W61" s="37" t="n">
        <v>0.8</v>
      </c>
    </row>
    <row r="62">
      <c r="A62" s="53" t="n">
        <v>45810</v>
      </c>
      <c r="B62" t="inlineStr">
        <is>
          <t>R06_Jawa Timur</t>
        </is>
      </c>
      <c r="C62" t="inlineStr">
        <is>
          <t>NOP MADIUN</t>
        </is>
      </c>
      <c r="D62" s="36" t="n">
        <v>0</v>
      </c>
      <c r="E62" s="36" t="n">
        <v>0</v>
      </c>
      <c r="F62" s="36" t="n">
        <v>2.42</v>
      </c>
      <c r="G62" s="36" t="n">
        <v>3.23</v>
      </c>
      <c r="H62" s="37" t="n">
        <v>0.7272727272727273</v>
      </c>
      <c r="I62" s="37" t="n">
        <v>0</v>
      </c>
      <c r="J62" s="37" t="n">
        <v>0.7272727272727273</v>
      </c>
      <c r="K62" s="37" t="n">
        <v>0</v>
      </c>
      <c r="L62" s="37" t="n">
        <v>0</v>
      </c>
      <c r="M62" s="37" t="n">
        <v>0.9090909090909091</v>
      </c>
      <c r="N62" s="37" t="n">
        <v>0.4090909090909091</v>
      </c>
      <c r="O62" s="36" t="n">
        <v>0</v>
      </c>
      <c r="P62" s="36" t="n">
        <v>9</v>
      </c>
      <c r="Q62" s="36" t="n">
        <v>2.72</v>
      </c>
      <c r="R62" s="36" t="n">
        <v>9.81</v>
      </c>
      <c r="S62" s="36" t="n">
        <v>0</v>
      </c>
      <c r="T62" s="37" t="n">
        <v>0.7307692307692307</v>
      </c>
      <c r="U62" s="37" t="n">
        <v>0.6</v>
      </c>
      <c r="V62" s="37" t="n">
        <v>0.8125</v>
      </c>
      <c r="W62" s="37" t="n">
        <v>0.5</v>
      </c>
    </row>
    <row r="63">
      <c r="A63" s="53" t="n">
        <v>45810</v>
      </c>
      <c r="B63" t="inlineStr">
        <is>
          <t>R06_Jawa Timur</t>
        </is>
      </c>
      <c r="C63" t="inlineStr">
        <is>
          <t>NOP MALANG</t>
        </is>
      </c>
      <c r="D63" s="36" t="n">
        <v>0</v>
      </c>
      <c r="E63" s="36" t="n">
        <v>0</v>
      </c>
      <c r="F63" s="36" t="n">
        <v>0.92</v>
      </c>
      <c r="G63" s="36" t="n">
        <v>2</v>
      </c>
      <c r="H63" s="37" t="n">
        <v>0.875</v>
      </c>
      <c r="I63" s="37" t="n">
        <v>0</v>
      </c>
      <c r="J63" s="37" t="n">
        <v>0.875</v>
      </c>
      <c r="K63" s="37" t="n">
        <v>0</v>
      </c>
      <c r="L63" s="37" t="n">
        <v>0</v>
      </c>
      <c r="M63" s="37" t="n">
        <v>1</v>
      </c>
      <c r="N63" s="37" t="n">
        <v>1</v>
      </c>
      <c r="O63" s="36" t="n">
        <v>0</v>
      </c>
      <c r="P63" s="36" t="n">
        <v>0.8</v>
      </c>
      <c r="Q63" s="36" t="n">
        <v>2.15</v>
      </c>
      <c r="R63" s="36" t="n">
        <v>60.7</v>
      </c>
      <c r="S63" s="36" t="n">
        <v>0</v>
      </c>
      <c r="T63" s="37" t="n">
        <v>0.5555555555555556</v>
      </c>
      <c r="U63" s="37" t="n">
        <v>0.4</v>
      </c>
      <c r="V63" s="37" t="n">
        <v>0.75</v>
      </c>
      <c r="W63" s="37" t="n">
        <v>1</v>
      </c>
    </row>
    <row r="64">
      <c r="A64" s="53" t="n">
        <v>45810</v>
      </c>
      <c r="B64" t="inlineStr">
        <is>
          <t>R06_Jawa Timur</t>
        </is>
      </c>
      <c r="C64" t="inlineStr">
        <is>
          <t>NOP SIDOARJO</t>
        </is>
      </c>
      <c r="D64" s="36" t="n">
        <v>0</v>
      </c>
      <c r="E64" s="36" t="n">
        <v>0</v>
      </c>
      <c r="F64" s="36" t="n">
        <v>4.46</v>
      </c>
      <c r="G64" s="36" t="n">
        <v>5.66</v>
      </c>
      <c r="H64" s="37" t="n">
        <v>0.8333333333333334</v>
      </c>
      <c r="I64" s="37" t="n">
        <v>0</v>
      </c>
      <c r="J64" s="37" t="n">
        <v>0.8333333333333334</v>
      </c>
      <c r="K64" s="37" t="n">
        <v>0</v>
      </c>
      <c r="L64" s="37" t="n">
        <v>0</v>
      </c>
      <c r="M64" s="37" t="n">
        <v>1</v>
      </c>
      <c r="N64" s="37" t="n">
        <v>0.6666666666666666</v>
      </c>
      <c r="O64" s="36" t="n">
        <v>0.01</v>
      </c>
      <c r="P64" s="36" t="n">
        <v>1.92</v>
      </c>
      <c r="Q64" s="36" t="n">
        <v>12.42</v>
      </c>
      <c r="R64" s="36" t="n">
        <v>0</v>
      </c>
      <c r="S64" s="36" t="n">
        <v>0</v>
      </c>
      <c r="T64" s="37" t="n">
        <v>0.8125</v>
      </c>
      <c r="U64" s="37" t="n">
        <v>0.6</v>
      </c>
      <c r="V64" s="37" t="n">
        <v>0.9090909090909091</v>
      </c>
      <c r="W64" s="37" t="n">
        <v>0.6666666666666666</v>
      </c>
    </row>
    <row r="65">
      <c r="A65" s="53" t="n">
        <v>45810</v>
      </c>
      <c r="B65" t="inlineStr">
        <is>
          <t>R06_Jawa Timur</t>
        </is>
      </c>
      <c r="C65" t="inlineStr">
        <is>
          <t>NOP SURABAYA</t>
        </is>
      </c>
      <c r="D65" s="36" t="n">
        <v>1.92</v>
      </c>
      <c r="E65" s="36" t="n">
        <v>0</v>
      </c>
      <c r="F65" s="36" t="n">
        <v>1.55</v>
      </c>
      <c r="G65" s="36" t="n">
        <v>4.96</v>
      </c>
      <c r="H65" s="37" t="n">
        <v>0.6060606060606061</v>
      </c>
      <c r="I65" s="37" t="n">
        <v>0.5</v>
      </c>
      <c r="J65" s="37" t="n">
        <v>0.6129032258064516</v>
      </c>
      <c r="K65" s="37" t="n">
        <v>1</v>
      </c>
      <c r="L65" s="37" t="n">
        <v>1</v>
      </c>
      <c r="M65" s="37" t="n">
        <v>0.9393939393939394</v>
      </c>
      <c r="N65" s="37" t="n">
        <v>0.4242424242424243</v>
      </c>
      <c r="O65" s="36" t="n">
        <v>0</v>
      </c>
      <c r="P65" s="36" t="n">
        <v>3.68</v>
      </c>
      <c r="Q65" s="36" t="n">
        <v>7.12</v>
      </c>
      <c r="R65" s="36" t="n">
        <v>25.32</v>
      </c>
      <c r="S65" s="36" t="n">
        <v>0</v>
      </c>
      <c r="T65" s="37" t="n">
        <v>0.6</v>
      </c>
      <c r="U65" s="37" t="n">
        <v>0.2857142857142857</v>
      </c>
      <c r="V65" s="37" t="n">
        <v>0.6323529411764706</v>
      </c>
      <c r="W65" s="37" t="n">
        <v>1</v>
      </c>
    </row>
    <row r="66">
      <c r="A66" s="53" t="n">
        <v>45810</v>
      </c>
      <c r="B66" t="inlineStr">
        <is>
          <t>R07_Bali Nusra</t>
        </is>
      </c>
      <c r="C66" t="inlineStr">
        <is>
          <t>NOP DENPASAR</t>
        </is>
      </c>
      <c r="D66" s="36" t="n">
        <v>4.12</v>
      </c>
      <c r="E66" s="36" t="n">
        <v>0</v>
      </c>
      <c r="F66" s="36" t="n">
        <v>8.32</v>
      </c>
      <c r="G66" s="36" t="n">
        <v>3.23</v>
      </c>
      <c r="H66" s="37" t="n">
        <v>0.9333333333333333</v>
      </c>
      <c r="I66" s="37" t="n">
        <v>1</v>
      </c>
      <c r="J66" s="37" t="n">
        <v>0.9230769230769231</v>
      </c>
      <c r="K66" s="37" t="n">
        <v>1</v>
      </c>
      <c r="L66" s="37" t="n">
        <v>1</v>
      </c>
      <c r="M66" s="37" t="n">
        <v>1</v>
      </c>
      <c r="N66" s="37" t="n">
        <v>1</v>
      </c>
      <c r="O66" s="36" t="n">
        <v>0</v>
      </c>
      <c r="P66" s="36" t="n">
        <v>5.76</v>
      </c>
      <c r="Q66" s="36" t="n">
        <v>6.45</v>
      </c>
      <c r="R66" s="36" t="n">
        <v>8.16</v>
      </c>
      <c r="S66" s="36" t="n">
        <v>0</v>
      </c>
      <c r="T66" s="37" t="n">
        <v>0.7419354838709677</v>
      </c>
      <c r="U66" s="37" t="n">
        <v>0.9</v>
      </c>
      <c r="V66" s="37" t="n">
        <v>0.6666666666666666</v>
      </c>
      <c r="W66" s="37" t="n">
        <v>0.4444444444444444</v>
      </c>
    </row>
    <row r="67">
      <c r="A67" s="53" t="n">
        <v>45810</v>
      </c>
      <c r="B67" t="inlineStr">
        <is>
          <t>R07_Bali Nusra</t>
        </is>
      </c>
      <c r="C67" t="inlineStr">
        <is>
          <t>NOP FLORES</t>
        </is>
      </c>
      <c r="D67" s="36" t="n">
        <v>2.09</v>
      </c>
      <c r="E67" s="36" t="n">
        <v>7.54</v>
      </c>
      <c r="F67" s="36" t="n">
        <v>7.02</v>
      </c>
      <c r="G67" s="36" t="n">
        <v>14.76</v>
      </c>
      <c r="H67" s="37" t="n">
        <v>0.411214953271028</v>
      </c>
      <c r="I67" s="37" t="n">
        <v>0.72</v>
      </c>
      <c r="J67" s="37" t="n">
        <v>0.3170731707317073</v>
      </c>
      <c r="K67" s="37" t="n">
        <v>0.7222222222222222</v>
      </c>
      <c r="L67" s="37" t="n">
        <v>0.7222222222222222</v>
      </c>
      <c r="M67" s="37" t="n">
        <v>0.9906542056074766</v>
      </c>
      <c r="N67" s="37" t="n">
        <v>0.2523364485981308</v>
      </c>
      <c r="O67" s="36" t="n">
        <v>0.01</v>
      </c>
      <c r="P67" s="36" t="n">
        <v>8.550000000000001</v>
      </c>
      <c r="Q67" s="36" t="n">
        <v>14.4</v>
      </c>
      <c r="R67" s="36" t="n">
        <v>83.09999999999999</v>
      </c>
      <c r="S67" s="36" t="n">
        <v>0</v>
      </c>
      <c r="T67" s="37" t="n">
        <v>0.593939393939394</v>
      </c>
      <c r="U67" s="37" t="n">
        <v>0.5818181818181818</v>
      </c>
      <c r="V67" s="37" t="n">
        <v>0.6181818181818182</v>
      </c>
      <c r="W67" s="37" t="n">
        <v>0.828125</v>
      </c>
    </row>
    <row r="68">
      <c r="A68" s="53" t="n">
        <v>45810</v>
      </c>
      <c r="B68" t="inlineStr">
        <is>
          <t>R07_Bali Nusra</t>
        </is>
      </c>
      <c r="C68" t="inlineStr">
        <is>
          <t>NOP KUPANG</t>
        </is>
      </c>
      <c r="D68" s="36" t="n">
        <v>0</v>
      </c>
      <c r="E68" s="36" t="n">
        <v>3.41</v>
      </c>
      <c r="F68" s="36" t="n">
        <v>4.77</v>
      </c>
      <c r="G68" s="36" t="n">
        <v>9.369999999999999</v>
      </c>
      <c r="H68" s="37" t="n">
        <v>0.2954545454545455</v>
      </c>
      <c r="I68" s="37" t="n">
        <v>1</v>
      </c>
      <c r="J68" s="37" t="n">
        <v>0.225</v>
      </c>
      <c r="K68" s="37" t="n">
        <v>1</v>
      </c>
      <c r="L68" s="37" t="n">
        <v>1</v>
      </c>
      <c r="M68" s="37" t="n">
        <v>1</v>
      </c>
      <c r="N68" s="37" t="n">
        <v>0.25</v>
      </c>
      <c r="O68" s="36" t="n">
        <v>0</v>
      </c>
      <c r="P68" s="36" t="n">
        <v>5.28</v>
      </c>
      <c r="Q68" s="36" t="n">
        <v>17.85</v>
      </c>
      <c r="R68" s="36" t="n">
        <v>10.4</v>
      </c>
      <c r="S68" s="36" t="n">
        <v>0</v>
      </c>
      <c r="T68" s="37" t="n">
        <v>0.3298969072164948</v>
      </c>
      <c r="U68" s="37" t="n">
        <v>0.3870967741935484</v>
      </c>
      <c r="V68" s="37" t="n">
        <v>0.303030303030303</v>
      </c>
      <c r="W68" s="37" t="n">
        <v>0.8333333333333334</v>
      </c>
    </row>
    <row r="69">
      <c r="A69" s="53" t="n">
        <v>45810</v>
      </c>
      <c r="B69" t="inlineStr">
        <is>
          <t>R07_Bali Nusra</t>
        </is>
      </c>
      <c r="C69" t="inlineStr">
        <is>
          <t>NOP MATARAM</t>
        </is>
      </c>
      <c r="D69" s="36" t="n">
        <v>0.92</v>
      </c>
      <c r="E69" s="36" t="n">
        <v>3.35</v>
      </c>
      <c r="F69" s="36" t="n">
        <v>3.07</v>
      </c>
      <c r="G69" s="36" t="n">
        <v>5.44</v>
      </c>
      <c r="H69" s="37" t="n">
        <v>0.7777777777777778</v>
      </c>
      <c r="I69" s="37" t="n">
        <v>1</v>
      </c>
      <c r="J69" s="37" t="n">
        <v>0.7142857142857143</v>
      </c>
      <c r="K69" s="37" t="n">
        <v>0.5</v>
      </c>
      <c r="L69" s="37" t="n">
        <v>0.5</v>
      </c>
      <c r="M69" s="37" t="n">
        <v>1</v>
      </c>
      <c r="N69" s="37" t="n">
        <v>0.4444444444444444</v>
      </c>
      <c r="O69" s="36" t="n">
        <v>0</v>
      </c>
      <c r="P69" s="36" t="n">
        <v>14.66</v>
      </c>
      <c r="Q69" s="36" t="n">
        <v>27.45</v>
      </c>
      <c r="R69" s="36" t="n">
        <v>47.24</v>
      </c>
      <c r="S69" s="36" t="n">
        <v>0</v>
      </c>
      <c r="T69" s="37" t="n">
        <v>0.5573770491803278</v>
      </c>
      <c r="U69" s="37" t="n">
        <v>0.5813953488372093</v>
      </c>
      <c r="V69" s="37" t="n">
        <v>0.5</v>
      </c>
      <c r="W69" s="37" t="n">
        <v>0.36</v>
      </c>
    </row>
    <row r="70">
      <c r="A70" s="53" t="n">
        <v>45811</v>
      </c>
      <c r="B70" t="inlineStr">
        <is>
          <t>R01_Sumbagut</t>
        </is>
      </c>
      <c r="C70" t="inlineStr">
        <is>
          <t>NOP ACEH</t>
        </is>
      </c>
      <c r="D70" s="36" t="n">
        <v>2.26</v>
      </c>
      <c r="E70" s="36" t="n">
        <v>8.18</v>
      </c>
      <c r="F70" s="36" t="n">
        <v>5.16</v>
      </c>
      <c r="G70" s="36" t="n">
        <v>7.91</v>
      </c>
      <c r="H70" s="37" t="n">
        <v>0.8856304985337243</v>
      </c>
      <c r="I70" s="37" t="n">
        <v>0.9402985074626866</v>
      </c>
      <c r="J70" s="37" t="n">
        <v>0.8722627737226277</v>
      </c>
      <c r="K70" s="37" t="n">
        <v>0.5555555555555556</v>
      </c>
      <c r="L70" s="37" t="n">
        <v>0.5740740740740741</v>
      </c>
      <c r="M70" s="37" t="n">
        <v>1</v>
      </c>
      <c r="N70" s="37" t="n">
        <v>0.4340175953079179</v>
      </c>
      <c r="O70" s="36" t="n">
        <v>0.02</v>
      </c>
      <c r="P70" s="36" t="n">
        <v>3.58</v>
      </c>
      <c r="Q70" s="36" t="n">
        <v>59.91</v>
      </c>
      <c r="R70" s="36" t="n">
        <v>132.55</v>
      </c>
      <c r="S70" s="36" t="n">
        <v>0</v>
      </c>
      <c r="T70" s="37" t="n">
        <v>0.8579654510556622</v>
      </c>
      <c r="U70" s="37" t="n">
        <v>0.6369426751592356</v>
      </c>
      <c r="V70" s="37" t="n">
        <v>0.9518413597733711</v>
      </c>
      <c r="W70" s="37" t="n">
        <v>0.19</v>
      </c>
    </row>
    <row r="71">
      <c r="A71" s="53" t="n">
        <v>45811</v>
      </c>
      <c r="B71" t="inlineStr">
        <is>
          <t>R01_Sumbagut</t>
        </is>
      </c>
      <c r="C71" t="inlineStr">
        <is>
          <t>NOP BINJAI</t>
        </is>
      </c>
      <c r="D71" s="36" t="n">
        <v>3.35</v>
      </c>
      <c r="E71" s="36" t="n">
        <v>5.55</v>
      </c>
      <c r="F71" s="36" t="n">
        <v>7.48</v>
      </c>
      <c r="G71" s="36" t="n">
        <v>7.28</v>
      </c>
      <c r="H71" s="37" t="n">
        <v>0.6592920353982301</v>
      </c>
      <c r="I71" s="37" t="n">
        <v>0.6666666666666666</v>
      </c>
      <c r="J71" s="37" t="n">
        <v>0.6560509554140127</v>
      </c>
      <c r="K71" s="37" t="n">
        <v>0.391304347826087</v>
      </c>
      <c r="L71" s="37" t="n">
        <v>0.391304347826087</v>
      </c>
      <c r="M71" s="37" t="n">
        <v>0.9867256637168141</v>
      </c>
      <c r="N71" s="37" t="n">
        <v>0.3539823008849557</v>
      </c>
      <c r="O71" s="36" t="n">
        <v>0</v>
      </c>
      <c r="P71" s="36" t="n">
        <v>4.27</v>
      </c>
      <c r="Q71" s="36" t="n">
        <v>59.39</v>
      </c>
      <c r="R71" s="36" t="n">
        <v>77.45999999999999</v>
      </c>
      <c r="S71" s="36" t="n">
        <v>0</v>
      </c>
      <c r="T71" s="37" t="n">
        <v>0.7084870848708487</v>
      </c>
      <c r="U71" s="37" t="n">
        <v>0.5054945054945055</v>
      </c>
      <c r="V71" s="37" t="n">
        <v>0.8255813953488372</v>
      </c>
      <c r="W71" s="37" t="n">
        <v>0.5434782608695652</v>
      </c>
    </row>
    <row r="72">
      <c r="A72" s="53" t="n">
        <v>45811</v>
      </c>
      <c r="B72" t="inlineStr">
        <is>
          <t>R01_Sumbagut</t>
        </is>
      </c>
      <c r="C72" t="inlineStr">
        <is>
          <t>NOP MEDAN</t>
        </is>
      </c>
      <c r="D72" s="36" t="n">
        <v>2.2</v>
      </c>
      <c r="E72" s="36" t="n">
        <v>5.39</v>
      </c>
      <c r="F72" s="36" t="n">
        <v>5.68</v>
      </c>
      <c r="G72" s="36" t="n">
        <v>9.24</v>
      </c>
      <c r="H72" s="37" t="n">
        <v>0.410958904109589</v>
      </c>
      <c r="I72" s="37" t="n">
        <v>0.4324324324324325</v>
      </c>
      <c r="J72" s="37" t="n">
        <v>0.4</v>
      </c>
      <c r="K72" s="37" t="n">
        <v>0.6875</v>
      </c>
      <c r="L72" s="37" t="n">
        <v>0.7</v>
      </c>
      <c r="M72" s="37" t="n">
        <v>1</v>
      </c>
      <c r="N72" s="37" t="n">
        <v>0.2191780821917808</v>
      </c>
      <c r="O72" s="36" t="n">
        <v>0</v>
      </c>
      <c r="P72" s="36" t="n">
        <v>3.67</v>
      </c>
      <c r="Q72" s="36" t="n">
        <v>13.98</v>
      </c>
      <c r="R72" s="36" t="n">
        <v>6.28</v>
      </c>
      <c r="S72" s="36" t="n">
        <v>0</v>
      </c>
      <c r="T72" s="37" t="n">
        <v>0.3333333333333333</v>
      </c>
      <c r="U72" s="37" t="n">
        <v>0.1641791044776119</v>
      </c>
      <c r="V72" s="37" t="n">
        <v>0.4306569343065693</v>
      </c>
      <c r="W72" s="37" t="n">
        <v>0.8181818181818182</v>
      </c>
    </row>
    <row r="73">
      <c r="A73" s="53" t="n">
        <v>45811</v>
      </c>
      <c r="B73" t="inlineStr">
        <is>
          <t>R01_Sumbagut</t>
        </is>
      </c>
      <c r="C73" t="inlineStr">
        <is>
          <t>NOP PADANG SIDEMPUAN</t>
        </is>
      </c>
      <c r="D73" s="36" t="n">
        <v>0</v>
      </c>
      <c r="E73" s="36" t="n">
        <v>2.38</v>
      </c>
      <c r="F73" s="36" t="n">
        <v>4.14</v>
      </c>
      <c r="G73" s="36" t="n">
        <v>5.7</v>
      </c>
      <c r="H73" s="37" t="n">
        <v>0.4558823529411765</v>
      </c>
      <c r="I73" s="37" t="n">
        <v>0.8235294117647058</v>
      </c>
      <c r="J73" s="37" t="n">
        <v>0.4033613445378151</v>
      </c>
      <c r="K73" s="37" t="n">
        <v>0.4285714285714285</v>
      </c>
      <c r="L73" s="37" t="n">
        <v>0.4285714285714285</v>
      </c>
      <c r="M73" s="37" t="n">
        <v>1</v>
      </c>
      <c r="N73" s="37" t="n">
        <v>0.1838235294117647</v>
      </c>
      <c r="O73" s="36" t="n">
        <v>0.01</v>
      </c>
      <c r="P73" s="36" t="n">
        <v>3.28</v>
      </c>
      <c r="Q73" s="36" t="n">
        <v>8.26</v>
      </c>
      <c r="R73" s="36" t="n">
        <v>134.96</v>
      </c>
      <c r="S73" s="36" t="n">
        <v>0</v>
      </c>
      <c r="T73" s="37" t="n">
        <v>0.7633410672853829</v>
      </c>
      <c r="U73" s="37" t="n">
        <v>0.7655502392344498</v>
      </c>
      <c r="V73" s="37" t="n">
        <v>0.7660550458715596</v>
      </c>
      <c r="W73" s="37" t="n">
        <v>0.56875</v>
      </c>
    </row>
    <row r="74">
      <c r="A74" s="53" t="n">
        <v>45811</v>
      </c>
      <c r="B74" t="inlineStr">
        <is>
          <t>R01_Sumbagut</t>
        </is>
      </c>
      <c r="C74" t="inlineStr">
        <is>
          <t>NOP PEMATANG SIANTAR</t>
        </is>
      </c>
      <c r="D74" s="36" t="n">
        <v>1.03</v>
      </c>
      <c r="E74" s="36" t="n">
        <v>4.49</v>
      </c>
      <c r="F74" s="36" t="n">
        <v>3.05</v>
      </c>
      <c r="G74" s="36" t="n">
        <v>3.72</v>
      </c>
      <c r="H74" s="37" t="n">
        <v>0.372168284789644</v>
      </c>
      <c r="I74" s="37" t="n">
        <v>0.7323943661971831</v>
      </c>
      <c r="J74" s="37" t="n">
        <v>0.2647058823529412</v>
      </c>
      <c r="K74" s="37" t="n">
        <v>0.3846153846153846</v>
      </c>
      <c r="L74" s="37" t="n">
        <v>0.391304347826087</v>
      </c>
      <c r="M74" s="37" t="n">
        <v>1</v>
      </c>
      <c r="N74" s="37" t="n">
        <v>0.2103559870550162</v>
      </c>
      <c r="O74" s="36" t="n">
        <v>0.03</v>
      </c>
      <c r="P74" s="36" t="n">
        <v>3.88</v>
      </c>
      <c r="Q74" s="36" t="n">
        <v>41.5</v>
      </c>
      <c r="R74" s="36" t="n">
        <v>73.78</v>
      </c>
      <c r="S74" s="36" t="n">
        <v>0</v>
      </c>
      <c r="T74" s="37" t="n">
        <v>0.5641711229946524</v>
      </c>
      <c r="U74" s="37" t="n">
        <v>0.6209150326797386</v>
      </c>
      <c r="V74" s="37" t="n">
        <v>0.5368421052631579</v>
      </c>
      <c r="W74" s="37" t="n">
        <v>0.5684210526315789</v>
      </c>
    </row>
    <row r="75">
      <c r="A75" s="53" t="n">
        <v>45811</v>
      </c>
      <c r="B75" t="inlineStr">
        <is>
          <t>R01_Sumbagut</t>
        </is>
      </c>
      <c r="C75" t="inlineStr">
        <is>
          <t>NOP RANTAU PRAPAT</t>
        </is>
      </c>
      <c r="D75" s="36" t="n">
        <v>3.72</v>
      </c>
      <c r="E75" s="36" t="n">
        <v>2.88</v>
      </c>
      <c r="F75" s="36" t="n">
        <v>3.23</v>
      </c>
      <c r="G75" s="36" t="n">
        <v>2.77</v>
      </c>
      <c r="H75" s="37" t="n">
        <v>0.3723150357995227</v>
      </c>
      <c r="I75" s="37" t="n">
        <v>0.1714285714285714</v>
      </c>
      <c r="J75" s="37" t="n">
        <v>0.4126074498567335</v>
      </c>
      <c r="K75" s="37" t="n">
        <v>0.9166666666666666</v>
      </c>
      <c r="L75" s="37" t="n">
        <v>0.9166666666666666</v>
      </c>
      <c r="M75" s="37" t="n">
        <v>0.9880668257756563</v>
      </c>
      <c r="N75" s="37" t="n">
        <v>0.2291169451073986</v>
      </c>
      <c r="O75" s="36" t="n">
        <v>0</v>
      </c>
      <c r="P75" s="36" t="n">
        <v>3.82</v>
      </c>
      <c r="Q75" s="36" t="n">
        <v>33.52</v>
      </c>
      <c r="R75" s="36" t="n">
        <v>91.44</v>
      </c>
      <c r="S75" s="36" t="n">
        <v>0</v>
      </c>
      <c r="T75" s="37" t="n">
        <v>0.1943396226415094</v>
      </c>
      <c r="U75" s="37" t="n">
        <v>0.2153846153846154</v>
      </c>
      <c r="V75" s="37" t="n">
        <v>0.1798941798941799</v>
      </c>
      <c r="W75" s="37" t="n">
        <v>0.8214285714285714</v>
      </c>
    </row>
    <row r="76">
      <c r="A76" s="53" t="n">
        <v>45811</v>
      </c>
      <c r="B76" t="inlineStr">
        <is>
          <t>R10_Sumbagteng</t>
        </is>
      </c>
      <c r="C76" t="inlineStr">
        <is>
          <t>NOP BATAM</t>
        </is>
      </c>
      <c r="D76" s="36" t="n">
        <v>4.73</v>
      </c>
      <c r="E76" s="36" t="n">
        <v>11</v>
      </c>
      <c r="F76" s="36" t="n">
        <v>7.5</v>
      </c>
      <c r="G76" s="36" t="n">
        <v>8.33</v>
      </c>
      <c r="H76" s="37" t="n">
        <v>0.5461956521739131</v>
      </c>
      <c r="I76" s="37" t="n">
        <v>0.8243243243243243</v>
      </c>
      <c r="J76" s="37" t="n">
        <v>0.4761904761904762</v>
      </c>
      <c r="K76" s="37" t="n">
        <v>0.7868852459016393</v>
      </c>
      <c r="L76" s="37" t="n">
        <v>0.7966101694915254</v>
      </c>
      <c r="M76" s="37" t="n">
        <v>0.9972826086956522</v>
      </c>
      <c r="N76" s="37" t="n">
        <v>0.4076086956521739</v>
      </c>
      <c r="O76" s="36" t="n">
        <v>2.75</v>
      </c>
      <c r="P76" s="36" t="n">
        <v>9.98</v>
      </c>
      <c r="Q76" s="36" t="n">
        <v>58.22</v>
      </c>
      <c r="R76" s="36" t="n">
        <v>192.88</v>
      </c>
      <c r="S76" s="36" t="n">
        <v>0</v>
      </c>
      <c r="T76" s="37" t="n">
        <v>0.3475682087781732</v>
      </c>
      <c r="U76" s="37" t="n">
        <v>0.58</v>
      </c>
      <c r="V76" s="37" t="n">
        <v>0.2734375</v>
      </c>
      <c r="W76" s="37" t="n">
        <v>0.8103448275862069</v>
      </c>
    </row>
    <row r="77">
      <c r="A77" s="53" t="n">
        <v>45811</v>
      </c>
      <c r="B77" t="inlineStr">
        <is>
          <t>R10_Sumbagteng</t>
        </is>
      </c>
      <c r="C77" t="inlineStr">
        <is>
          <t>NOP BUKITTINGGI</t>
        </is>
      </c>
      <c r="D77" s="36" t="n">
        <v>2.16</v>
      </c>
      <c r="E77" s="36" t="n">
        <v>3.4</v>
      </c>
      <c r="F77" s="36" t="n">
        <v>3.2</v>
      </c>
      <c r="G77" s="36" t="n">
        <v>3.08</v>
      </c>
      <c r="H77" s="37" t="n">
        <v>0.7659574468085106</v>
      </c>
      <c r="I77" s="37" t="n">
        <v>0.8</v>
      </c>
      <c r="J77" s="37" t="n">
        <v>0.7552447552447552</v>
      </c>
      <c r="K77" s="37" t="n">
        <v>0.4166666666666667</v>
      </c>
      <c r="L77" s="37" t="n">
        <v>0.4411764705882353</v>
      </c>
      <c r="M77" s="37" t="n">
        <v>0.9361702127659575</v>
      </c>
      <c r="N77" s="37" t="n">
        <v>0.3936170212765958</v>
      </c>
      <c r="O77" s="36" t="n">
        <v>1.81</v>
      </c>
      <c r="P77" s="36" t="n">
        <v>4.14</v>
      </c>
      <c r="Q77" s="36" t="n">
        <v>89.52</v>
      </c>
      <c r="R77" s="36" t="n">
        <v>133.47</v>
      </c>
      <c r="S77" s="36" t="n">
        <v>0</v>
      </c>
      <c r="T77" s="37" t="n">
        <v>0.5669291338582677</v>
      </c>
      <c r="U77" s="37" t="n">
        <v>0.6491228070175439</v>
      </c>
      <c r="V77" s="37" t="n">
        <v>0.546875</v>
      </c>
      <c r="W77" s="37" t="n">
        <v>0.5675675675675675</v>
      </c>
    </row>
    <row r="78">
      <c r="A78" s="53" t="n">
        <v>45811</v>
      </c>
      <c r="B78" t="inlineStr">
        <is>
          <t>R10_Sumbagteng</t>
        </is>
      </c>
      <c r="C78" t="inlineStr">
        <is>
          <t>NOP DUMAI</t>
        </is>
      </c>
      <c r="D78" s="36" t="n">
        <v>1.74</v>
      </c>
      <c r="E78" s="36" t="n">
        <v>3.66</v>
      </c>
      <c r="F78" s="36" t="n">
        <v>4.73</v>
      </c>
      <c r="G78" s="36" t="n">
        <v>5.64</v>
      </c>
      <c r="H78" s="37" t="n">
        <v>0.4838709677419355</v>
      </c>
      <c r="I78" s="37" t="n">
        <v>0.6046511627906976</v>
      </c>
      <c r="J78" s="37" t="n">
        <v>0.4447236180904522</v>
      </c>
      <c r="K78" s="37" t="n">
        <v>0.6153846153846154</v>
      </c>
      <c r="L78" s="37" t="n">
        <v>0.64</v>
      </c>
      <c r="M78" s="37" t="n">
        <v>0.9886148007590133</v>
      </c>
      <c r="N78" s="37" t="n">
        <v>0.269449715370019</v>
      </c>
      <c r="O78" s="36" t="n">
        <v>0.01</v>
      </c>
      <c r="P78" s="36" t="n">
        <v>8.640000000000001</v>
      </c>
      <c r="Q78" s="36" t="n">
        <v>52.85</v>
      </c>
      <c r="R78" s="36" t="n">
        <v>127.29</v>
      </c>
      <c r="S78" s="36" t="n">
        <v>0</v>
      </c>
      <c r="T78" s="37" t="n">
        <v>0.2346938775510204</v>
      </c>
      <c r="U78" s="37" t="n">
        <v>0.3537906137184115</v>
      </c>
      <c r="V78" s="37" t="n">
        <v>0.1939546599496222</v>
      </c>
      <c r="W78" s="37" t="n">
        <v>0.9285714285714286</v>
      </c>
    </row>
    <row r="79">
      <c r="A79" s="53" t="n">
        <v>45811</v>
      </c>
      <c r="B79" t="inlineStr">
        <is>
          <t>R10_Sumbagteng</t>
        </is>
      </c>
      <c r="C79" t="inlineStr">
        <is>
          <t>NOP PADANG</t>
        </is>
      </c>
      <c r="D79" s="36" t="n">
        <v>0</v>
      </c>
      <c r="E79" s="36" t="n">
        <v>2.6</v>
      </c>
      <c r="F79" s="36" t="n">
        <v>5.15</v>
      </c>
      <c r="G79" s="36" t="n">
        <v>10.82</v>
      </c>
      <c r="H79" s="37" t="n">
        <v>0.7853403141361257</v>
      </c>
      <c r="I79" s="37" t="n">
        <v>0.5555555555555556</v>
      </c>
      <c r="J79" s="37" t="n">
        <v>0.8092485549132948</v>
      </c>
      <c r="K79" s="37" t="n">
        <v>0.6</v>
      </c>
      <c r="L79" s="37" t="n">
        <v>0.6</v>
      </c>
      <c r="M79" s="37" t="n">
        <v>0.9842931937172775</v>
      </c>
      <c r="N79" s="37" t="n">
        <v>0.2774869109947644</v>
      </c>
      <c r="O79" s="36" t="n">
        <v>0.03</v>
      </c>
      <c r="P79" s="36" t="n">
        <v>4.52</v>
      </c>
      <c r="Q79" s="36" t="n">
        <v>69.81999999999999</v>
      </c>
      <c r="R79" s="36" t="n">
        <v>199.1</v>
      </c>
      <c r="S79" s="36" t="n">
        <v>0</v>
      </c>
      <c r="T79" s="37" t="n">
        <v>0.8117647058823529</v>
      </c>
      <c r="U79" s="37" t="n">
        <v>0.5833333333333334</v>
      </c>
      <c r="V79" s="37" t="n">
        <v>0.8994413407821229</v>
      </c>
      <c r="W79" s="37" t="n">
        <v>0.8333333333333334</v>
      </c>
    </row>
    <row r="80">
      <c r="A80" s="53" t="n">
        <v>45811</v>
      </c>
      <c r="B80" t="inlineStr">
        <is>
          <t>R10_Sumbagteng</t>
        </is>
      </c>
      <c r="C80" t="inlineStr">
        <is>
          <t>NOP PEKANBARU</t>
        </is>
      </c>
      <c r="D80" s="36" t="n">
        <v>2.31</v>
      </c>
      <c r="E80" s="36" t="n">
        <v>5.45</v>
      </c>
      <c r="F80" s="36" t="n">
        <v>4.08</v>
      </c>
      <c r="G80" s="36" t="n">
        <v>6.36</v>
      </c>
      <c r="H80" s="37" t="n">
        <v>0.4526854219948849</v>
      </c>
      <c r="I80" s="37" t="n">
        <v>0.4576271186440678</v>
      </c>
      <c r="J80" s="37" t="n">
        <v>0.4518072289156627</v>
      </c>
      <c r="K80" s="37" t="n">
        <v>0.6296296296296297</v>
      </c>
      <c r="L80" s="37" t="n">
        <v>0.6296296296296297</v>
      </c>
      <c r="M80" s="37" t="n">
        <v>0.9923273657289002</v>
      </c>
      <c r="N80" s="37" t="n">
        <v>0.2736572890025575</v>
      </c>
      <c r="O80" s="36" t="n">
        <v>0.83</v>
      </c>
      <c r="P80" s="36" t="n">
        <v>4.86</v>
      </c>
      <c r="Q80" s="36" t="n">
        <v>41.47</v>
      </c>
      <c r="R80" s="36" t="n">
        <v>83.13</v>
      </c>
      <c r="S80" s="36" t="n">
        <v>0</v>
      </c>
      <c r="T80" s="37" t="n">
        <v>0.3006622516556292</v>
      </c>
      <c r="U80" s="37" t="n">
        <v>0.3287037037037037</v>
      </c>
      <c r="V80" s="37" t="n">
        <v>0.2854442344045369</v>
      </c>
      <c r="W80" s="37" t="n">
        <v>0.8169014084507042</v>
      </c>
    </row>
    <row r="81">
      <c r="A81" s="53" t="n">
        <v>45811</v>
      </c>
      <c r="B81" t="inlineStr">
        <is>
          <t>R02_Sumbagsel</t>
        </is>
      </c>
      <c r="C81" t="inlineStr">
        <is>
          <t>NOP BENGKULU</t>
        </is>
      </c>
      <c r="D81" s="36" t="n">
        <v>0.98</v>
      </c>
      <c r="E81" s="36" t="n">
        <v>5.61</v>
      </c>
      <c r="F81" s="36" t="n">
        <v>4.15</v>
      </c>
      <c r="G81" s="36" t="n">
        <v>6.33</v>
      </c>
      <c r="H81" s="37" t="n">
        <v>0.5532786885245902</v>
      </c>
      <c r="I81" s="37" t="n">
        <v>0.7076923076923077</v>
      </c>
      <c r="J81" s="37" t="n">
        <v>0.4972067039106145</v>
      </c>
      <c r="K81" s="37" t="n">
        <v>0.6956521739130435</v>
      </c>
      <c r="L81" s="37" t="n">
        <v>0.6956521739130435</v>
      </c>
      <c r="M81" s="37" t="n">
        <v>1</v>
      </c>
      <c r="N81" s="37" t="n">
        <v>0.3483606557377049</v>
      </c>
      <c r="O81" s="36" t="n">
        <v>0</v>
      </c>
      <c r="P81" s="36" t="n">
        <v>5.2</v>
      </c>
      <c r="Q81" s="36" t="n">
        <v>7.54</v>
      </c>
      <c r="R81" s="36" t="n">
        <v>5</v>
      </c>
      <c r="S81" s="36" t="n">
        <v>0</v>
      </c>
      <c r="T81" s="37" t="n">
        <v>0.5239852398523985</v>
      </c>
      <c r="U81" s="37" t="n">
        <v>0.4498381877022654</v>
      </c>
      <c r="V81" s="37" t="n">
        <v>0.5967741935483871</v>
      </c>
      <c r="W81" s="37" t="n">
        <v>0.8776978417266187</v>
      </c>
    </row>
    <row r="82">
      <c r="A82" s="53" t="n">
        <v>45811</v>
      </c>
      <c r="B82" t="inlineStr">
        <is>
          <t>R02_Sumbagsel</t>
        </is>
      </c>
      <c r="C82" t="inlineStr">
        <is>
          <t>NOP JAMBI</t>
        </is>
      </c>
      <c r="D82" s="36" t="n">
        <v>1.02</v>
      </c>
      <c r="E82" s="36" t="n">
        <v>2.72</v>
      </c>
      <c r="F82" s="36" t="n">
        <v>3.3</v>
      </c>
      <c r="G82" s="36" t="n">
        <v>5.12</v>
      </c>
      <c r="H82" s="37" t="n">
        <v>0.3466257668711656</v>
      </c>
      <c r="I82" s="37" t="n">
        <v>0.3394495412844037</v>
      </c>
      <c r="J82" s="37" t="n">
        <v>0.3502304147465438</v>
      </c>
      <c r="K82" s="37" t="n">
        <v>0.7027027027027027</v>
      </c>
      <c r="L82" s="37" t="n">
        <v>0.7027027027027027</v>
      </c>
      <c r="M82" s="37" t="n">
        <v>1</v>
      </c>
      <c r="N82" s="37" t="n">
        <v>0.1901840490797546</v>
      </c>
      <c r="O82" s="36" t="n">
        <v>0</v>
      </c>
      <c r="P82" s="36" t="n">
        <v>3.93</v>
      </c>
      <c r="Q82" s="36" t="n">
        <v>15.81</v>
      </c>
      <c r="R82" s="36" t="n">
        <v>18.98</v>
      </c>
      <c r="S82" s="36" t="n">
        <v>0</v>
      </c>
      <c r="T82" s="37" t="n">
        <v>0.1755102040816326</v>
      </c>
      <c r="U82" s="37" t="n">
        <v>0.166023166023166</v>
      </c>
      <c r="V82" s="37" t="n">
        <v>0.2222222222222222</v>
      </c>
      <c r="W82" s="37" t="n">
        <v>0.6976744186046512</v>
      </c>
    </row>
    <row r="83">
      <c r="A83" s="53" t="n">
        <v>45811</v>
      </c>
      <c r="B83" t="inlineStr">
        <is>
          <t>R02_Sumbagsel</t>
        </is>
      </c>
      <c r="C83" t="inlineStr">
        <is>
          <t>NOP LAMPUNG</t>
        </is>
      </c>
      <c r="D83" s="36" t="n">
        <v>0</v>
      </c>
      <c r="E83" s="36" t="n">
        <v>4.97</v>
      </c>
      <c r="F83" s="36" t="n">
        <v>5.46</v>
      </c>
      <c r="G83" s="36" t="n">
        <v>5.2</v>
      </c>
      <c r="H83" s="37" t="n">
        <v>0.6333333333333333</v>
      </c>
      <c r="I83" s="37" t="n">
        <v>0.8846153846153846</v>
      </c>
      <c r="J83" s="37" t="n">
        <v>0.53125</v>
      </c>
      <c r="K83" s="37" t="n">
        <v>0.7391304347826086</v>
      </c>
      <c r="L83" s="37" t="n">
        <v>0.7391304347826086</v>
      </c>
      <c r="M83" s="37" t="n">
        <v>1</v>
      </c>
      <c r="N83" s="37" t="n">
        <v>0.5111111111111111</v>
      </c>
      <c r="O83" s="36" t="n">
        <v>0</v>
      </c>
      <c r="P83" s="36" t="n">
        <v>9.75</v>
      </c>
      <c r="Q83" s="36" t="n">
        <v>6.35</v>
      </c>
      <c r="R83" s="36" t="n">
        <v>31.79</v>
      </c>
      <c r="S83" s="36" t="n">
        <v>0</v>
      </c>
      <c r="T83" s="37" t="n">
        <v>0.9189944134078212</v>
      </c>
      <c r="U83" s="37" t="n">
        <v>0.9090909090909091</v>
      </c>
      <c r="V83" s="37" t="n">
        <v>0.9304029304029304</v>
      </c>
      <c r="W83" s="37" t="n">
        <v>0.9166666666666666</v>
      </c>
    </row>
    <row r="84">
      <c r="A84" s="53" t="n">
        <v>45811</v>
      </c>
      <c r="B84" t="inlineStr">
        <is>
          <t>R02_Sumbagsel</t>
        </is>
      </c>
      <c r="C84" t="inlineStr">
        <is>
          <t>NOP MUARA ENIM</t>
        </is>
      </c>
      <c r="D84" s="36" t="n">
        <v>2.07</v>
      </c>
      <c r="E84" s="36" t="n">
        <v>3.75</v>
      </c>
      <c r="F84" s="36" t="n">
        <v>4.2</v>
      </c>
      <c r="G84" s="36" t="n">
        <v>6.63</v>
      </c>
      <c r="H84" s="37" t="n">
        <v>0.2894117647058824</v>
      </c>
      <c r="I84" s="37" t="n">
        <v>0.359375</v>
      </c>
      <c r="J84" s="37" t="n">
        <v>0.2770083102493075</v>
      </c>
      <c r="K84" s="37" t="n">
        <v>0.9130434782608695</v>
      </c>
      <c r="L84" s="37" t="n">
        <v>0.9130434782608695</v>
      </c>
      <c r="M84" s="37" t="n">
        <v>0.971764705882353</v>
      </c>
      <c r="N84" s="37" t="n">
        <v>0.16</v>
      </c>
      <c r="O84" s="36" t="n">
        <v>0</v>
      </c>
      <c r="P84" s="36" t="n">
        <v>17.13</v>
      </c>
      <c r="Q84" s="36" t="n">
        <v>6.3</v>
      </c>
      <c r="R84" s="36" t="n">
        <v>4.63</v>
      </c>
      <c r="S84" s="36" t="n">
        <v>0</v>
      </c>
      <c r="T84" s="37" t="n">
        <v>0.5202702702702703</v>
      </c>
      <c r="U84" s="37" t="n">
        <v>0.487012987012987</v>
      </c>
      <c r="V84" s="37" t="n">
        <v>0.5983606557377049</v>
      </c>
      <c r="W84" s="37" t="n">
        <v>0.78</v>
      </c>
    </row>
    <row r="85">
      <c r="A85" s="53" t="n">
        <v>45811</v>
      </c>
      <c r="B85" t="inlineStr">
        <is>
          <t>R02_Sumbagsel</t>
        </is>
      </c>
      <c r="C85" t="inlineStr">
        <is>
          <t>NOP PALEMBANG</t>
        </is>
      </c>
      <c r="D85" s="36" t="n">
        <v>3.75</v>
      </c>
      <c r="E85" s="36" t="n">
        <v>5.3</v>
      </c>
      <c r="F85" s="36" t="n">
        <v>6.41</v>
      </c>
      <c r="G85" s="36" t="n">
        <v>7.38</v>
      </c>
      <c r="H85" s="37" t="n">
        <v>0.2935606060606061</v>
      </c>
      <c r="I85" s="37" t="n">
        <v>0.3108108108108108</v>
      </c>
      <c r="J85" s="37" t="n">
        <v>0.2907488986784141</v>
      </c>
      <c r="K85" s="37" t="n">
        <v>0.4347826086956522</v>
      </c>
      <c r="L85" s="37" t="n">
        <v>0.4347826086956522</v>
      </c>
      <c r="M85" s="37" t="n">
        <v>1</v>
      </c>
      <c r="N85" s="37" t="n">
        <v>0.1136363636363636</v>
      </c>
      <c r="O85" s="36" t="n">
        <v>0</v>
      </c>
      <c r="P85" s="36" t="n">
        <v>3.02</v>
      </c>
      <c r="Q85" s="36" t="n">
        <v>9.34</v>
      </c>
      <c r="R85" s="36" t="n">
        <v>117</v>
      </c>
      <c r="S85" s="36" t="n">
        <v>0</v>
      </c>
      <c r="T85" s="37" t="n">
        <v>0.1153238546603476</v>
      </c>
      <c r="U85" s="37" t="n">
        <v>0.09245742092457421</v>
      </c>
      <c r="V85" s="37" t="n">
        <v>0.21875</v>
      </c>
      <c r="W85" s="37" t="n">
        <v>0.6842105263157895</v>
      </c>
    </row>
    <row r="86">
      <c r="A86" s="53" t="n">
        <v>45811</v>
      </c>
      <c r="B86" t="inlineStr">
        <is>
          <t>R02_Sumbagsel</t>
        </is>
      </c>
      <c r="C86" t="inlineStr">
        <is>
          <t>NOP PANGKAL PINANG</t>
        </is>
      </c>
      <c r="D86" s="36" t="n">
        <v>0</v>
      </c>
      <c r="E86" s="36" t="n">
        <v>3.33</v>
      </c>
      <c r="F86" s="36" t="n">
        <v>5.96</v>
      </c>
      <c r="G86" s="36" t="n">
        <v>2.22</v>
      </c>
      <c r="H86" s="37" t="n">
        <v>0.6721311475409836</v>
      </c>
      <c r="I86" s="37" t="n">
        <v>0.4</v>
      </c>
      <c r="J86" s="37" t="n">
        <v>0.6964285714285714</v>
      </c>
      <c r="K86" s="37" t="n">
        <v>0.5</v>
      </c>
      <c r="L86" s="37" t="n">
        <v>0.5</v>
      </c>
      <c r="M86" s="37" t="n">
        <v>1</v>
      </c>
      <c r="N86" s="37" t="n">
        <v>0.3934426229508197</v>
      </c>
      <c r="O86" s="36" t="n">
        <v>0</v>
      </c>
      <c r="P86" s="36" t="n">
        <v>4.4</v>
      </c>
      <c r="Q86" s="36" t="n">
        <v>5.82</v>
      </c>
      <c r="R86" s="36" t="n">
        <v>9.890000000000001</v>
      </c>
      <c r="S86" s="36" t="n">
        <v>0</v>
      </c>
      <c r="T86" s="37" t="n">
        <v>0.935361216730038</v>
      </c>
      <c r="U86" s="37" t="n">
        <v>0.9278350515463918</v>
      </c>
      <c r="V86" s="37" t="n">
        <v>0.9454545454545454</v>
      </c>
      <c r="W86" s="37" t="n">
        <v>0.9</v>
      </c>
    </row>
    <row r="87">
      <c r="A87" s="53" t="n">
        <v>45811</v>
      </c>
      <c r="B87" t="inlineStr">
        <is>
          <t>R05_Jawa Tengah DIY</t>
        </is>
      </c>
      <c r="C87" t="inlineStr">
        <is>
          <t>NOP MAGELANG</t>
        </is>
      </c>
      <c r="D87" s="36" t="n">
        <v>0</v>
      </c>
      <c r="E87" s="36" t="n">
        <v>0</v>
      </c>
      <c r="F87" s="36" t="n">
        <v>1.98</v>
      </c>
      <c r="G87" s="36" t="n">
        <v>2.31</v>
      </c>
      <c r="H87" s="37" t="n">
        <v>0.7659574468085106</v>
      </c>
      <c r="I87" s="37" t="n">
        <v>0</v>
      </c>
      <c r="J87" s="37" t="n">
        <v>0.7659574468085106</v>
      </c>
      <c r="K87" s="37" t="n">
        <v>0</v>
      </c>
      <c r="L87" s="37" t="n">
        <v>0</v>
      </c>
      <c r="M87" s="37" t="n">
        <v>1</v>
      </c>
      <c r="N87" s="37" t="n">
        <v>0.6382978723404256</v>
      </c>
      <c r="O87" s="36" t="n">
        <v>0</v>
      </c>
      <c r="P87" s="36" t="n">
        <v>2.63</v>
      </c>
      <c r="Q87" s="36" t="n">
        <v>6.38</v>
      </c>
      <c r="R87" s="36" t="n">
        <v>10.27</v>
      </c>
      <c r="S87" s="36" t="n">
        <v>0</v>
      </c>
      <c r="T87" s="37" t="n">
        <v>0.9588235294117647</v>
      </c>
      <c r="U87" s="37" t="n">
        <v>0.8461538461538461</v>
      </c>
      <c r="V87" s="37" t="n">
        <v>0.9681528662420382</v>
      </c>
      <c r="W87" s="37" t="n">
        <v>1</v>
      </c>
    </row>
    <row r="88">
      <c r="A88" s="53" t="n">
        <v>45811</v>
      </c>
      <c r="B88" t="inlineStr">
        <is>
          <t>R05_Jawa Tengah DIY</t>
        </is>
      </c>
      <c r="C88" t="inlineStr">
        <is>
          <t>NOP PEKALONGAN</t>
        </is>
      </c>
      <c r="D88" s="36" t="n">
        <v>0.37</v>
      </c>
      <c r="E88" s="36" t="n">
        <v>0</v>
      </c>
      <c r="F88" s="36" t="n">
        <v>2.48</v>
      </c>
      <c r="G88" s="36" t="n">
        <v>16.46</v>
      </c>
      <c r="H88" s="37" t="n">
        <v>0.6666666666666666</v>
      </c>
      <c r="I88" s="37" t="n">
        <v>0</v>
      </c>
      <c r="J88" s="37" t="n">
        <v>0.6875</v>
      </c>
      <c r="K88" s="37" t="n">
        <v>0</v>
      </c>
      <c r="L88" s="37" t="n">
        <v>0</v>
      </c>
      <c r="M88" s="37" t="n">
        <v>0.9696969696969697</v>
      </c>
      <c r="N88" s="37" t="n">
        <v>0.3636363636363636</v>
      </c>
      <c r="O88" s="36" t="n">
        <v>0</v>
      </c>
      <c r="P88" s="36" t="n">
        <v>2.5</v>
      </c>
      <c r="Q88" s="36" t="n">
        <v>12.04</v>
      </c>
      <c r="R88" s="36" t="n">
        <v>86.59999999999999</v>
      </c>
      <c r="S88" s="36" t="n">
        <v>0</v>
      </c>
      <c r="T88" s="37" t="n">
        <v>0.8378378378378378</v>
      </c>
      <c r="U88" s="37" t="n">
        <v>0.6875</v>
      </c>
      <c r="V88" s="37" t="n">
        <v>0.8793103448275862</v>
      </c>
      <c r="W88" s="37" t="n">
        <v>0.6363636363636364</v>
      </c>
    </row>
    <row r="89">
      <c r="A89" s="53" t="n">
        <v>45811</v>
      </c>
      <c r="B89" t="inlineStr">
        <is>
          <t>R05_Jawa Tengah DIY</t>
        </is>
      </c>
      <c r="C89" t="inlineStr">
        <is>
          <t>NOP PURWOKERTO</t>
        </is>
      </c>
      <c r="D89" s="36" t="n">
        <v>1.81</v>
      </c>
      <c r="E89" s="36" t="n">
        <v>0</v>
      </c>
      <c r="F89" s="36" t="n">
        <v>2.32</v>
      </c>
      <c r="G89" s="36" t="n">
        <v>3.16</v>
      </c>
      <c r="H89" s="37" t="n">
        <v>0.5238095238095238</v>
      </c>
      <c r="I89" s="37" t="n">
        <v>0.6666666666666666</v>
      </c>
      <c r="J89" s="37" t="n">
        <v>0.5128205128205128</v>
      </c>
      <c r="K89" s="37" t="n">
        <v>1</v>
      </c>
      <c r="L89" s="37" t="n">
        <v>1</v>
      </c>
      <c r="M89" s="37" t="n">
        <v>0.9761904761904762</v>
      </c>
      <c r="N89" s="37" t="n">
        <v>0.2857142857142857</v>
      </c>
      <c r="O89" s="36" t="n">
        <v>0</v>
      </c>
      <c r="P89" s="36" t="n">
        <v>4.45</v>
      </c>
      <c r="Q89" s="36" t="n">
        <v>8.859999999999999</v>
      </c>
      <c r="R89" s="36" t="n">
        <v>63.14</v>
      </c>
      <c r="S89" s="36" t="n">
        <v>0</v>
      </c>
      <c r="T89" s="37" t="n">
        <v>0.8333333333333334</v>
      </c>
      <c r="U89" s="37" t="n">
        <v>0.7272727272727273</v>
      </c>
      <c r="V89" s="37" t="n">
        <v>0.8863636363636364</v>
      </c>
      <c r="W89" s="37" t="n">
        <v>0.5625</v>
      </c>
    </row>
    <row r="90">
      <c r="A90" s="53" t="n">
        <v>45811</v>
      </c>
      <c r="B90" t="inlineStr">
        <is>
          <t>R05_Jawa Tengah DIY</t>
        </is>
      </c>
      <c r="C90" t="inlineStr">
        <is>
          <t>NOP SEMARANG</t>
        </is>
      </c>
      <c r="D90" s="36" t="n">
        <v>4.51</v>
      </c>
      <c r="E90" s="36" t="n">
        <v>2.57</v>
      </c>
      <c r="F90" s="36" t="n">
        <v>3.05</v>
      </c>
      <c r="G90" s="36" t="n">
        <v>4.01</v>
      </c>
      <c r="H90" s="37" t="n">
        <v>0.7261904761904762</v>
      </c>
      <c r="I90" s="37" t="n">
        <v>0.8888888888888888</v>
      </c>
      <c r="J90" s="37" t="n">
        <v>0.7066666666666667</v>
      </c>
      <c r="K90" s="37" t="n">
        <v>0.875</v>
      </c>
      <c r="L90" s="37" t="n">
        <v>0.875</v>
      </c>
      <c r="M90" s="37" t="n">
        <v>0.9642857142857143</v>
      </c>
      <c r="N90" s="37" t="n">
        <v>0.5476190476190477</v>
      </c>
      <c r="O90" s="36" t="n">
        <v>0.01</v>
      </c>
      <c r="P90" s="36" t="n">
        <v>7.98</v>
      </c>
      <c r="Q90" s="36" t="n">
        <v>8.140000000000001</v>
      </c>
      <c r="R90" s="36" t="n">
        <v>48.82</v>
      </c>
      <c r="S90" s="36" t="n">
        <v>0</v>
      </c>
      <c r="T90" s="37" t="n">
        <v>0.8512396694214877</v>
      </c>
      <c r="U90" s="37" t="n">
        <v>0.7547169811320755</v>
      </c>
      <c r="V90" s="37" t="n">
        <v>0.9264705882352942</v>
      </c>
      <c r="W90" s="37" t="n">
        <v>0.875</v>
      </c>
    </row>
    <row r="91">
      <c r="A91" s="53" t="n">
        <v>45811</v>
      </c>
      <c r="B91" t="inlineStr">
        <is>
          <t>R05_Jawa Tengah DIY</t>
        </is>
      </c>
      <c r="C91" t="inlineStr">
        <is>
          <t>NOP SURAKARTA</t>
        </is>
      </c>
      <c r="D91" s="36" t="n">
        <v>2.12</v>
      </c>
      <c r="E91" s="36" t="n">
        <v>2.04</v>
      </c>
      <c r="F91" s="36" t="n">
        <v>2.35</v>
      </c>
      <c r="G91" s="36" t="n">
        <v>1.75</v>
      </c>
      <c r="H91" s="37" t="n">
        <v>0.7608695652173914</v>
      </c>
      <c r="I91" s="37" t="n">
        <v>0.8181818181818182</v>
      </c>
      <c r="J91" s="37" t="n">
        <v>0.7530864197530864</v>
      </c>
      <c r="K91" s="37" t="n">
        <v>0.6666666666666666</v>
      </c>
      <c r="L91" s="37" t="n">
        <v>0.6666666666666666</v>
      </c>
      <c r="M91" s="37" t="n">
        <v>0.9673913043478261</v>
      </c>
      <c r="N91" s="37" t="n">
        <v>0.4782608695652174</v>
      </c>
      <c r="O91" s="36" t="n">
        <v>0</v>
      </c>
      <c r="P91" s="36" t="n">
        <v>8.619999999999999</v>
      </c>
      <c r="Q91" s="36" t="n">
        <v>17.97</v>
      </c>
      <c r="R91" s="36" t="n">
        <v>40.09</v>
      </c>
      <c r="S91" s="36" t="n">
        <v>0</v>
      </c>
      <c r="T91" s="37" t="n">
        <v>0.7722772277227723</v>
      </c>
      <c r="U91" s="37" t="n">
        <v>0.6333333333333333</v>
      </c>
      <c r="V91" s="37" t="n">
        <v>0.8309859154929577</v>
      </c>
      <c r="W91" s="37" t="n">
        <v>0.8421052631578947</v>
      </c>
    </row>
    <row r="92">
      <c r="A92" s="53" t="n">
        <v>45811</v>
      </c>
      <c r="B92" t="inlineStr">
        <is>
          <t>R05_Jawa Tengah DIY</t>
        </is>
      </c>
      <c r="C92" t="inlineStr">
        <is>
          <t>NOP YOGYAKARTA</t>
        </is>
      </c>
      <c r="D92" s="36" t="n">
        <v>2.53</v>
      </c>
      <c r="E92" s="36" t="n">
        <v>0</v>
      </c>
      <c r="F92" s="36" t="n">
        <v>2.62</v>
      </c>
      <c r="G92" s="36" t="n">
        <v>2.79</v>
      </c>
      <c r="H92" s="37" t="n">
        <v>0.7272727272727273</v>
      </c>
      <c r="I92" s="37" t="n">
        <v>1</v>
      </c>
      <c r="J92" s="37" t="n">
        <v>0.7142857142857143</v>
      </c>
      <c r="K92" s="37" t="n">
        <v>0.5</v>
      </c>
      <c r="L92" s="37" t="n">
        <v>0.5</v>
      </c>
      <c r="M92" s="37" t="n">
        <v>1</v>
      </c>
      <c r="N92" s="37" t="n">
        <v>0.5454545454545454</v>
      </c>
      <c r="O92" s="36" t="n">
        <v>0</v>
      </c>
      <c r="P92" s="36" t="n">
        <v>3.09</v>
      </c>
      <c r="Q92" s="36" t="n">
        <v>10.4</v>
      </c>
      <c r="R92" s="36" t="n">
        <v>22.37</v>
      </c>
      <c r="S92" s="36" t="n">
        <v>0</v>
      </c>
      <c r="T92" s="37" t="n">
        <v>0.9134615384615384</v>
      </c>
      <c r="U92" s="37" t="n">
        <v>0.8260869565217391</v>
      </c>
      <c r="V92" s="37" t="n">
        <v>0.9382716049382716</v>
      </c>
      <c r="W92" s="37" t="n">
        <v>1</v>
      </c>
    </row>
    <row r="93">
      <c r="A93" s="53" t="n">
        <v>45811</v>
      </c>
      <c r="B93" t="inlineStr">
        <is>
          <t>R06_Jawa Timur</t>
        </is>
      </c>
      <c r="C93" t="inlineStr">
        <is>
          <t>NOP JEMBER</t>
        </is>
      </c>
      <c r="D93" s="36" t="n">
        <v>17.82</v>
      </c>
      <c r="E93" s="36" t="n">
        <v>0</v>
      </c>
      <c r="F93" s="36" t="n">
        <v>2.17</v>
      </c>
      <c r="G93" s="36" t="n">
        <v>2.67</v>
      </c>
      <c r="H93" s="37" t="n">
        <v>0.7878787878787878</v>
      </c>
      <c r="I93" s="37" t="n">
        <v>1</v>
      </c>
      <c r="J93" s="37" t="n">
        <v>0.7586206896551724</v>
      </c>
      <c r="K93" s="37" t="n">
        <v>0.75</v>
      </c>
      <c r="L93" s="37" t="n">
        <v>0.75</v>
      </c>
      <c r="M93" s="37" t="n">
        <v>1</v>
      </c>
      <c r="N93" s="37" t="n">
        <v>0.5454545454545454</v>
      </c>
      <c r="O93" s="36" t="n">
        <v>0</v>
      </c>
      <c r="P93" s="36" t="n">
        <v>1.3</v>
      </c>
      <c r="Q93" s="36" t="n">
        <v>3.58</v>
      </c>
      <c r="R93" s="36" t="n">
        <v>209.73</v>
      </c>
      <c r="S93" s="36" t="n">
        <v>0</v>
      </c>
      <c r="T93" s="37" t="n">
        <v>0.6607142857142857</v>
      </c>
      <c r="U93" s="37" t="n">
        <v>0.5454545454545454</v>
      </c>
      <c r="V93" s="37" t="n">
        <v>0.7352941176470589</v>
      </c>
      <c r="W93" s="37" t="n">
        <v>0.8333333333333334</v>
      </c>
    </row>
    <row r="94">
      <c r="A94" s="53" t="n">
        <v>45811</v>
      </c>
      <c r="B94" t="inlineStr">
        <is>
          <t>R06_Jawa Timur</t>
        </is>
      </c>
      <c r="C94" t="inlineStr">
        <is>
          <t>NOP KEDIRI</t>
        </is>
      </c>
      <c r="D94" s="36" t="n">
        <v>1.46</v>
      </c>
      <c r="E94" s="36" t="n">
        <v>0</v>
      </c>
      <c r="F94" s="36" t="n">
        <v>1.37</v>
      </c>
      <c r="G94" s="36" t="n">
        <v>1.58</v>
      </c>
      <c r="H94" s="37" t="n">
        <v>0.8333333333333334</v>
      </c>
      <c r="I94" s="37" t="n">
        <v>1</v>
      </c>
      <c r="J94" s="37" t="n">
        <v>0.8095238095238095</v>
      </c>
      <c r="K94" s="37" t="n">
        <v>0.6666666666666666</v>
      </c>
      <c r="L94" s="37" t="n">
        <v>0.6666666666666666</v>
      </c>
      <c r="M94" s="37" t="n">
        <v>1</v>
      </c>
      <c r="N94" s="37" t="n">
        <v>0.5833333333333334</v>
      </c>
      <c r="O94" s="36" t="n">
        <v>0</v>
      </c>
      <c r="P94" s="36" t="n">
        <v>2.59</v>
      </c>
      <c r="Q94" s="36" t="n">
        <v>5.21</v>
      </c>
      <c r="R94" s="36" t="n">
        <v>18.52</v>
      </c>
      <c r="S94" s="36" t="n">
        <v>0</v>
      </c>
      <c r="T94" s="37" t="n">
        <v>0.9444444444444444</v>
      </c>
      <c r="U94" s="37" t="n">
        <v>0.9166666666666666</v>
      </c>
      <c r="V94" s="37" t="n">
        <v>0.9583333333333334</v>
      </c>
      <c r="W94" s="37" t="n">
        <v>0.8181818181818182</v>
      </c>
    </row>
    <row r="95">
      <c r="A95" s="53" t="n">
        <v>45811</v>
      </c>
      <c r="B95" t="inlineStr">
        <is>
          <t>R06_Jawa Timur</t>
        </is>
      </c>
      <c r="C95" t="inlineStr">
        <is>
          <t>NOP LAMONGAN</t>
        </is>
      </c>
      <c r="D95" s="36" t="n">
        <v>1.57</v>
      </c>
      <c r="E95" s="36" t="n">
        <v>0</v>
      </c>
      <c r="F95" s="36" t="n">
        <v>1.24</v>
      </c>
      <c r="G95" s="36" t="n">
        <v>2.64</v>
      </c>
      <c r="H95" s="37" t="n">
        <v>1</v>
      </c>
      <c r="I95" s="37" t="n">
        <v>1</v>
      </c>
      <c r="J95" s="37" t="n">
        <v>1</v>
      </c>
      <c r="K95" s="37" t="n">
        <v>1</v>
      </c>
      <c r="L95" s="37" t="n">
        <v>1</v>
      </c>
      <c r="M95" s="37" t="n">
        <v>1</v>
      </c>
      <c r="N95" s="37" t="n">
        <v>0.7857142857142857</v>
      </c>
      <c r="O95" s="36" t="n">
        <v>0</v>
      </c>
      <c r="P95" s="36" t="n">
        <v>1.96</v>
      </c>
      <c r="Q95" s="36" t="n">
        <v>5.41</v>
      </c>
      <c r="R95" s="36" t="n">
        <v>27.69</v>
      </c>
      <c r="S95" s="36" t="n">
        <v>0</v>
      </c>
      <c r="T95" s="37" t="n">
        <v>0.7894736842105263</v>
      </c>
      <c r="U95" s="37" t="n">
        <v>0.625</v>
      </c>
      <c r="V95" s="37" t="n">
        <v>0.9090909090909091</v>
      </c>
      <c r="W95" s="37" t="n">
        <v>0.8</v>
      </c>
    </row>
    <row r="96">
      <c r="A96" s="53" t="n">
        <v>45811</v>
      </c>
      <c r="B96" t="inlineStr">
        <is>
          <t>R06_Jawa Timur</t>
        </is>
      </c>
      <c r="C96" t="inlineStr">
        <is>
          <t>NOP MADIUN</t>
        </is>
      </c>
      <c r="D96" s="36" t="n">
        <v>0.7</v>
      </c>
      <c r="E96" s="36" t="n">
        <v>0</v>
      </c>
      <c r="F96" s="36" t="n">
        <v>2.33</v>
      </c>
      <c r="G96" s="36" t="n">
        <v>2.28</v>
      </c>
      <c r="H96" s="37" t="n">
        <v>0.75</v>
      </c>
      <c r="I96" s="37" t="n">
        <v>1</v>
      </c>
      <c r="J96" s="37" t="n">
        <v>0.7368421052631579</v>
      </c>
      <c r="K96" s="37" t="n">
        <v>1</v>
      </c>
      <c r="L96" s="37" t="n">
        <v>1</v>
      </c>
      <c r="M96" s="37" t="n">
        <v>0.9</v>
      </c>
      <c r="N96" s="37" t="n">
        <v>0.45</v>
      </c>
      <c r="O96" s="36" t="n">
        <v>0</v>
      </c>
      <c r="P96" s="36" t="n">
        <v>5.14</v>
      </c>
      <c r="Q96" s="36" t="n">
        <v>2.99</v>
      </c>
      <c r="R96" s="36" t="n">
        <v>13.83</v>
      </c>
      <c r="S96" s="36" t="n">
        <v>0</v>
      </c>
      <c r="T96" s="37" t="n">
        <v>0.6956521739130435</v>
      </c>
      <c r="U96" s="37" t="n">
        <v>0.5789473684210527</v>
      </c>
      <c r="V96" s="37" t="n">
        <v>0.7777777777777778</v>
      </c>
      <c r="W96" s="37" t="n">
        <v>0.5454545454545454</v>
      </c>
    </row>
    <row r="97">
      <c r="A97" s="53" t="n">
        <v>45811</v>
      </c>
      <c r="B97" t="inlineStr">
        <is>
          <t>R06_Jawa Timur</t>
        </is>
      </c>
      <c r="C97" t="inlineStr">
        <is>
          <t>NOP MALANG</t>
        </is>
      </c>
      <c r="D97" s="36" t="n">
        <v>0</v>
      </c>
      <c r="E97" s="36" t="n">
        <v>0</v>
      </c>
      <c r="F97" s="36" t="n">
        <v>0.95</v>
      </c>
      <c r="G97" s="36" t="n">
        <v>1.7</v>
      </c>
      <c r="H97" s="37" t="n">
        <v>0.9333333333333333</v>
      </c>
      <c r="I97" s="37" t="n">
        <v>0</v>
      </c>
      <c r="J97" s="37" t="n">
        <v>0.9333333333333333</v>
      </c>
      <c r="K97" s="37" t="n">
        <v>0</v>
      </c>
      <c r="L97" s="37" t="n">
        <v>0</v>
      </c>
      <c r="M97" s="37" t="n">
        <v>1</v>
      </c>
      <c r="N97" s="37" t="n">
        <v>1</v>
      </c>
      <c r="O97" s="36" t="n">
        <v>0</v>
      </c>
      <c r="P97" s="36" t="n">
        <v>1.85</v>
      </c>
      <c r="Q97" s="36" t="n">
        <v>2.24</v>
      </c>
      <c r="R97" s="36" t="n">
        <v>41.8</v>
      </c>
      <c r="S97" s="36" t="n">
        <v>0</v>
      </c>
      <c r="T97" s="37" t="n">
        <v>0.7741935483870968</v>
      </c>
      <c r="U97" s="37" t="n">
        <v>0.5</v>
      </c>
      <c r="V97" s="37" t="n">
        <v>0.9047619047619048</v>
      </c>
      <c r="W97" s="37" t="n">
        <v>1</v>
      </c>
    </row>
    <row r="98">
      <c r="A98" s="53" t="n">
        <v>45811</v>
      </c>
      <c r="B98" t="inlineStr">
        <is>
          <t>R06_Jawa Timur</t>
        </is>
      </c>
      <c r="C98" t="inlineStr">
        <is>
          <t>NOP SIDOARJO</t>
        </is>
      </c>
      <c r="D98" s="36" t="n">
        <v>0</v>
      </c>
      <c r="E98" s="36" t="n">
        <v>0</v>
      </c>
      <c r="F98" s="36" t="n">
        <v>4.75</v>
      </c>
      <c r="G98" s="36" t="n">
        <v>4.19</v>
      </c>
      <c r="H98" s="37" t="n">
        <v>0.8333333333333334</v>
      </c>
      <c r="I98" s="37" t="n">
        <v>0</v>
      </c>
      <c r="J98" s="37" t="n">
        <v>0.8333333333333334</v>
      </c>
      <c r="K98" s="37" t="n">
        <v>0</v>
      </c>
      <c r="L98" s="37" t="n">
        <v>0</v>
      </c>
      <c r="M98" s="37" t="n">
        <v>1</v>
      </c>
      <c r="N98" s="37" t="n">
        <v>0.6666666666666666</v>
      </c>
      <c r="O98" s="36" t="n">
        <v>0.01</v>
      </c>
      <c r="P98" s="36" t="n">
        <v>1.92</v>
      </c>
      <c r="Q98" s="36" t="n">
        <v>12.81</v>
      </c>
      <c r="R98" s="36" t="n">
        <v>0</v>
      </c>
      <c r="S98" s="36" t="n">
        <v>0</v>
      </c>
      <c r="T98" s="37" t="n">
        <v>0.8148148148148148</v>
      </c>
      <c r="U98" s="37" t="n">
        <v>0.6666666666666666</v>
      </c>
      <c r="V98" s="37" t="n">
        <v>0.8571428571428571</v>
      </c>
      <c r="W98" s="37" t="n">
        <v>0.75</v>
      </c>
    </row>
    <row r="99">
      <c r="A99" s="53" t="n">
        <v>45811</v>
      </c>
      <c r="B99" t="inlineStr">
        <is>
          <t>R06_Jawa Timur</t>
        </is>
      </c>
      <c r="C99" t="inlineStr">
        <is>
          <t>NOP SURABAYA</t>
        </is>
      </c>
      <c r="D99" s="36" t="n">
        <v>1.92</v>
      </c>
      <c r="E99" s="36" t="n">
        <v>0</v>
      </c>
      <c r="F99" s="36" t="n">
        <v>1.58</v>
      </c>
      <c r="G99" s="36" t="n">
        <v>4.83</v>
      </c>
      <c r="H99" s="37" t="n">
        <v>0.6666666666666666</v>
      </c>
      <c r="I99" s="37" t="n">
        <v>0.5</v>
      </c>
      <c r="J99" s="37" t="n">
        <v>0.675</v>
      </c>
      <c r="K99" s="37" t="n">
        <v>1</v>
      </c>
      <c r="L99" s="37" t="n">
        <v>1</v>
      </c>
      <c r="M99" s="37" t="n">
        <v>0.9523809523809523</v>
      </c>
      <c r="N99" s="37" t="n">
        <v>0.4761904761904762</v>
      </c>
      <c r="O99" s="36" t="n">
        <v>0</v>
      </c>
      <c r="P99" s="36" t="n">
        <v>3.04</v>
      </c>
      <c r="Q99" s="36" t="n">
        <v>7.38</v>
      </c>
      <c r="R99" s="36" t="n">
        <v>23.98</v>
      </c>
      <c r="S99" s="36" t="n">
        <v>0</v>
      </c>
      <c r="T99" s="37" t="n">
        <v>0.6428571428571429</v>
      </c>
      <c r="U99" s="37" t="n">
        <v>0.25</v>
      </c>
      <c r="V99" s="37" t="n">
        <v>0.6777777777777778</v>
      </c>
      <c r="W99" s="37" t="n">
        <v>1</v>
      </c>
    </row>
    <row r="100">
      <c r="A100" s="53" t="n">
        <v>45811</v>
      </c>
      <c r="B100" t="inlineStr">
        <is>
          <t>R07_Bali Nusra</t>
        </is>
      </c>
      <c r="C100" t="inlineStr">
        <is>
          <t>NOP DENPASAR</t>
        </is>
      </c>
      <c r="D100" s="36" t="n">
        <v>4.12</v>
      </c>
      <c r="E100" s="36" t="n">
        <v>0</v>
      </c>
      <c r="F100" s="36" t="n">
        <v>4.76</v>
      </c>
      <c r="G100" s="36" t="n">
        <v>2.36</v>
      </c>
      <c r="H100" s="37" t="n">
        <v>0.9545454545454546</v>
      </c>
      <c r="I100" s="37" t="n">
        <v>1</v>
      </c>
      <c r="J100" s="37" t="n">
        <v>0.95</v>
      </c>
      <c r="K100" s="37" t="n">
        <v>1</v>
      </c>
      <c r="L100" s="37" t="n">
        <v>1</v>
      </c>
      <c r="M100" s="37" t="n">
        <v>1</v>
      </c>
      <c r="N100" s="37" t="n">
        <v>0.9545454545454546</v>
      </c>
      <c r="O100" s="36" t="n">
        <v>0</v>
      </c>
      <c r="P100" s="36" t="n">
        <v>3.75</v>
      </c>
      <c r="Q100" s="36" t="n">
        <v>6.3</v>
      </c>
      <c r="R100" s="36" t="n">
        <v>15.45</v>
      </c>
      <c r="S100" s="36" t="n">
        <v>0</v>
      </c>
      <c r="T100" s="37" t="n">
        <v>0.72</v>
      </c>
      <c r="U100" s="37" t="n">
        <v>0.9411764705882353</v>
      </c>
      <c r="V100" s="37" t="n">
        <v>0.6060606060606061</v>
      </c>
      <c r="W100" s="37" t="n">
        <v>0.375</v>
      </c>
    </row>
    <row r="101">
      <c r="A101" s="53" t="n">
        <v>45811</v>
      </c>
      <c r="B101" t="inlineStr">
        <is>
          <t>R07_Bali Nusra</t>
        </is>
      </c>
      <c r="C101" t="inlineStr">
        <is>
          <t>NOP FLORES</t>
        </is>
      </c>
      <c r="D101" s="36" t="n">
        <v>2.04</v>
      </c>
      <c r="E101" s="36" t="n">
        <v>4.59</v>
      </c>
      <c r="F101" s="36" t="n">
        <v>7.06</v>
      </c>
      <c r="G101" s="36" t="n">
        <v>14.76</v>
      </c>
      <c r="H101" s="37" t="n">
        <v>0.38</v>
      </c>
      <c r="I101" s="37" t="n">
        <v>0.6774193548387096</v>
      </c>
      <c r="J101" s="37" t="n">
        <v>0.3025210084033613</v>
      </c>
      <c r="K101" s="37" t="n">
        <v>0.7619047619047619</v>
      </c>
      <c r="L101" s="37" t="n">
        <v>0.7619047619047619</v>
      </c>
      <c r="M101" s="37" t="n">
        <v>0.9933333333333333</v>
      </c>
      <c r="N101" s="37" t="n">
        <v>0.26</v>
      </c>
      <c r="O101" s="36" t="n">
        <v>0.23</v>
      </c>
      <c r="P101" s="36" t="n">
        <v>8.58</v>
      </c>
      <c r="Q101" s="36" t="n">
        <v>13.4</v>
      </c>
      <c r="R101" s="36" t="n">
        <v>71.88</v>
      </c>
      <c r="S101" s="36" t="n">
        <v>0</v>
      </c>
      <c r="T101" s="37" t="n">
        <v>0.559322033898305</v>
      </c>
      <c r="U101" s="37" t="n">
        <v>0.5641025641025641</v>
      </c>
      <c r="V101" s="37" t="n">
        <v>0.55</v>
      </c>
      <c r="W101" s="37" t="n">
        <v>0.8181818181818182</v>
      </c>
    </row>
    <row r="102">
      <c r="A102" s="53" t="n">
        <v>45811</v>
      </c>
      <c r="B102" t="inlineStr">
        <is>
          <t>R07_Bali Nusra</t>
        </is>
      </c>
      <c r="C102" t="inlineStr">
        <is>
          <t>NOP KUPANG</t>
        </is>
      </c>
      <c r="D102" s="36" t="n">
        <v>0</v>
      </c>
      <c r="E102" s="36" t="n">
        <v>8.19</v>
      </c>
      <c r="F102" s="36" t="n">
        <v>7.68</v>
      </c>
      <c r="G102" s="36" t="n">
        <v>8.48</v>
      </c>
      <c r="H102" s="37" t="n">
        <v>0.3846153846153846</v>
      </c>
      <c r="I102" s="37" t="n">
        <v>0.9</v>
      </c>
      <c r="J102" s="37" t="n">
        <v>0.3088235294117647</v>
      </c>
      <c r="K102" s="37" t="n">
        <v>0.7777777777777778</v>
      </c>
      <c r="L102" s="37" t="n">
        <v>0.7777777777777778</v>
      </c>
      <c r="M102" s="37" t="n">
        <v>1</v>
      </c>
      <c r="N102" s="37" t="n">
        <v>0.282051282051282</v>
      </c>
      <c r="O102" s="36" t="n">
        <v>0</v>
      </c>
      <c r="P102" s="36" t="n">
        <v>5.1</v>
      </c>
      <c r="Q102" s="36" t="n">
        <v>16.14</v>
      </c>
      <c r="R102" s="36" t="n">
        <v>9.869999999999999</v>
      </c>
      <c r="S102" s="36" t="n">
        <v>0</v>
      </c>
      <c r="T102" s="37" t="n">
        <v>0.3630573248407643</v>
      </c>
      <c r="U102" s="37" t="n">
        <v>0.4363636363636363</v>
      </c>
      <c r="V102" s="37" t="n">
        <v>0.3235294117647059</v>
      </c>
      <c r="W102" s="37" t="n">
        <v>0.7916666666666666</v>
      </c>
    </row>
    <row r="103">
      <c r="A103" s="53" t="n">
        <v>45811</v>
      </c>
      <c r="B103" t="inlineStr">
        <is>
          <t>R07_Bali Nusra</t>
        </is>
      </c>
      <c r="C103" t="inlineStr">
        <is>
          <t>NOP MATARAM</t>
        </is>
      </c>
      <c r="D103" s="36" t="n">
        <v>0.92</v>
      </c>
      <c r="E103" s="36" t="n">
        <v>3</v>
      </c>
      <c r="F103" s="36" t="n">
        <v>4.53</v>
      </c>
      <c r="G103" s="36" t="n">
        <v>3.32</v>
      </c>
      <c r="H103" s="37" t="n">
        <v>0.7352941176470589</v>
      </c>
      <c r="I103" s="37" t="n">
        <v>0.8571428571428571</v>
      </c>
      <c r="J103" s="37" t="n">
        <v>0.7037037037037037</v>
      </c>
      <c r="K103" s="37" t="n">
        <v>0.3333333333333333</v>
      </c>
      <c r="L103" s="37" t="n">
        <v>0.3333333333333333</v>
      </c>
      <c r="M103" s="37" t="n">
        <v>1</v>
      </c>
      <c r="N103" s="37" t="n">
        <v>0.3529411764705883</v>
      </c>
      <c r="O103" s="36" t="n">
        <v>0</v>
      </c>
      <c r="P103" s="36" t="n">
        <v>18.95</v>
      </c>
      <c r="Q103" s="36" t="n">
        <v>11.32</v>
      </c>
      <c r="R103" s="36" t="n">
        <v>47.29</v>
      </c>
      <c r="S103" s="36" t="n">
        <v>0</v>
      </c>
      <c r="T103" s="37" t="n">
        <v>0.6020408163265306</v>
      </c>
      <c r="U103" s="37" t="n">
        <v>0.6197183098591549</v>
      </c>
      <c r="V103" s="37" t="n">
        <v>0.5555555555555556</v>
      </c>
      <c r="W103" s="37" t="n">
        <v>0.3409090909090909</v>
      </c>
    </row>
    <row r="104">
      <c r="A104" s="53" t="n">
        <v>45812</v>
      </c>
      <c r="B104" t="inlineStr">
        <is>
          <t>R01_Sumbagut</t>
        </is>
      </c>
      <c r="C104" t="inlineStr">
        <is>
          <t>NOP ACEH</t>
        </is>
      </c>
      <c r="D104" s="36" t="n">
        <v>1.91</v>
      </c>
      <c r="E104" s="36" t="n">
        <v>5.17</v>
      </c>
      <c r="F104" s="36" t="n">
        <v>5.16</v>
      </c>
      <c r="G104" s="36" t="n">
        <v>7.75</v>
      </c>
      <c r="H104" s="37" t="n">
        <v>0.8846153846153846</v>
      </c>
      <c r="I104" s="37" t="n">
        <v>0.8695652173913043</v>
      </c>
      <c r="J104" s="37" t="n">
        <v>0.8888888888888888</v>
      </c>
      <c r="K104" s="37" t="n">
        <v>0.51</v>
      </c>
      <c r="L104" s="37" t="n">
        <v>0.5164835164835165</v>
      </c>
      <c r="M104" s="37" t="n">
        <v>1</v>
      </c>
      <c r="N104" s="37" t="n">
        <v>0.4134615384615384</v>
      </c>
      <c r="O104" s="36" t="n">
        <v>0.02</v>
      </c>
      <c r="P104" s="36" t="n">
        <v>3.61</v>
      </c>
      <c r="Q104" s="36" t="n">
        <v>78.44</v>
      </c>
      <c r="R104" s="36" t="n">
        <v>173.83</v>
      </c>
      <c r="S104" s="36" t="n">
        <v>0</v>
      </c>
      <c r="T104" s="37" t="n">
        <v>0.8753117206982544</v>
      </c>
      <c r="U104" s="37" t="n">
        <v>0.6768558951965066</v>
      </c>
      <c r="V104" s="37" t="n">
        <v>0.954954954954955</v>
      </c>
      <c r="W104" s="37" t="n">
        <v>0.2967741935483871</v>
      </c>
    </row>
    <row r="105">
      <c r="A105" s="53" t="n">
        <v>45812</v>
      </c>
      <c r="B105" t="inlineStr">
        <is>
          <t>R01_Sumbagut</t>
        </is>
      </c>
      <c r="C105" t="inlineStr">
        <is>
          <t>NOP BINJAI</t>
        </is>
      </c>
      <c r="D105" s="36" t="n">
        <v>3.35</v>
      </c>
      <c r="E105" s="36" t="n">
        <v>6.11</v>
      </c>
      <c r="F105" s="36" t="n">
        <v>7.48</v>
      </c>
      <c r="G105" s="36" t="n">
        <v>5.87</v>
      </c>
      <c r="H105" s="37" t="n">
        <v>0.6213235294117647</v>
      </c>
      <c r="I105" s="37" t="n">
        <v>0.6875</v>
      </c>
      <c r="J105" s="37" t="n">
        <v>0.59375</v>
      </c>
      <c r="K105" s="37" t="n">
        <v>0.4545454545454545</v>
      </c>
      <c r="L105" s="37" t="n">
        <v>0.4545454545454545</v>
      </c>
      <c r="M105" s="37" t="n">
        <v>0.9852941176470589</v>
      </c>
      <c r="N105" s="37" t="n">
        <v>0.3419117647058824</v>
      </c>
      <c r="O105" s="36" t="n">
        <v>0</v>
      </c>
      <c r="P105" s="36" t="n">
        <v>3.99</v>
      </c>
      <c r="Q105" s="36" t="n">
        <v>103.2</v>
      </c>
      <c r="R105" s="36" t="n">
        <v>137.04</v>
      </c>
      <c r="S105" s="36" t="n">
        <v>0</v>
      </c>
      <c r="T105" s="37" t="n">
        <v>0.7127371273712737</v>
      </c>
      <c r="U105" s="37" t="n">
        <v>0.5126050420168067</v>
      </c>
      <c r="V105" s="37" t="n">
        <v>0.8174273858921162</v>
      </c>
      <c r="W105" s="37" t="n">
        <v>0.5573770491803278</v>
      </c>
    </row>
    <row r="106">
      <c r="A106" s="53" t="n">
        <v>45812</v>
      </c>
      <c r="B106" t="inlineStr">
        <is>
          <t>R01_Sumbagut</t>
        </is>
      </c>
      <c r="C106" t="inlineStr">
        <is>
          <t>NOP MEDAN</t>
        </is>
      </c>
      <c r="D106" s="36" t="n">
        <v>2.2</v>
      </c>
      <c r="E106" s="36" t="n">
        <v>5.38</v>
      </c>
      <c r="F106" s="36" t="n">
        <v>4.56</v>
      </c>
      <c r="G106" s="36" t="n">
        <v>8.19</v>
      </c>
      <c r="H106" s="37" t="n">
        <v>0.4215686274509804</v>
      </c>
      <c r="I106" s="37" t="n">
        <v>0.4444444444444444</v>
      </c>
      <c r="J106" s="37" t="n">
        <v>0.4106280193236715</v>
      </c>
      <c r="K106" s="37" t="n">
        <v>0.7272727272727273</v>
      </c>
      <c r="L106" s="37" t="n">
        <v>0.7380952380952381</v>
      </c>
      <c r="M106" s="37" t="n">
        <v>1</v>
      </c>
      <c r="N106" s="37" t="n">
        <v>0.2320261437908497</v>
      </c>
      <c r="O106" s="36" t="n">
        <v>0</v>
      </c>
      <c r="P106" s="36" t="n">
        <v>5.46</v>
      </c>
      <c r="Q106" s="36" t="n">
        <v>14.21</v>
      </c>
      <c r="R106" s="36" t="n">
        <v>3.1</v>
      </c>
      <c r="S106" s="36" t="n">
        <v>0</v>
      </c>
      <c r="T106" s="37" t="n">
        <v>0.3466666666666667</v>
      </c>
      <c r="U106" s="37" t="n">
        <v>0.1728395061728395</v>
      </c>
      <c r="V106" s="37" t="n">
        <v>0.450261780104712</v>
      </c>
      <c r="W106" s="37" t="n">
        <v>0.7857142857142857</v>
      </c>
    </row>
    <row r="107">
      <c r="A107" s="53" t="n">
        <v>45812</v>
      </c>
      <c r="B107" t="inlineStr">
        <is>
          <t>R01_Sumbagut</t>
        </is>
      </c>
      <c r="C107" t="inlineStr">
        <is>
          <t>NOP PADANG SIDEMPUAN</t>
        </is>
      </c>
      <c r="D107" s="36" t="n">
        <v>0</v>
      </c>
      <c r="E107" s="36" t="n">
        <v>2.63</v>
      </c>
      <c r="F107" s="36" t="n">
        <v>4.14</v>
      </c>
      <c r="G107" s="36" t="n">
        <v>6.73</v>
      </c>
      <c r="H107" s="37" t="n">
        <v>0.3846153846153846</v>
      </c>
      <c r="I107" s="37" t="n">
        <v>0.85</v>
      </c>
      <c r="J107" s="37" t="n">
        <v>0.3314285714285714</v>
      </c>
      <c r="K107" s="37" t="n">
        <v>0.4705882352941176</v>
      </c>
      <c r="L107" s="37" t="n">
        <v>0.4705882352941176</v>
      </c>
      <c r="M107" s="37" t="n">
        <v>1</v>
      </c>
      <c r="N107" s="37" t="n">
        <v>0.1641025641025641</v>
      </c>
      <c r="O107" s="36" t="n">
        <v>0.01</v>
      </c>
      <c r="P107" s="36" t="n">
        <v>3.08</v>
      </c>
      <c r="Q107" s="36" t="n">
        <v>8.16</v>
      </c>
      <c r="R107" s="36" t="n">
        <v>170.06</v>
      </c>
      <c r="S107" s="36" t="n">
        <v>0</v>
      </c>
      <c r="T107" s="37" t="n">
        <v>0.7261146496815286</v>
      </c>
      <c r="U107" s="37" t="n">
        <v>0.7147766323024055</v>
      </c>
      <c r="V107" s="37" t="n">
        <v>0.7355623100303952</v>
      </c>
      <c r="W107" s="37" t="n">
        <v>0.5384615384615384</v>
      </c>
    </row>
    <row r="108">
      <c r="A108" s="53" t="n">
        <v>45812</v>
      </c>
      <c r="B108" t="inlineStr">
        <is>
          <t>R01_Sumbagut</t>
        </is>
      </c>
      <c r="C108" t="inlineStr">
        <is>
          <t>NOP PEMATANG SIANTAR</t>
        </is>
      </c>
      <c r="D108" s="36" t="n">
        <v>1.09</v>
      </c>
      <c r="E108" s="36" t="n">
        <v>3.61</v>
      </c>
      <c r="F108" s="36" t="n">
        <v>3.39</v>
      </c>
      <c r="G108" s="36" t="n">
        <v>4.07</v>
      </c>
      <c r="H108" s="37" t="n">
        <v>0.4031890660592255</v>
      </c>
      <c r="I108" s="37" t="n">
        <v>0.6818181818181818</v>
      </c>
      <c r="J108" s="37" t="n">
        <v>0.3100303951367781</v>
      </c>
      <c r="K108" s="37" t="n">
        <v>0.3466666666666667</v>
      </c>
      <c r="L108" s="37" t="n">
        <v>0.3478260869565217</v>
      </c>
      <c r="M108" s="37" t="n">
        <v>1</v>
      </c>
      <c r="N108" s="37" t="n">
        <v>0.214123006833713</v>
      </c>
      <c r="O108" s="36" t="n">
        <v>0.03</v>
      </c>
      <c r="P108" s="36" t="n">
        <v>3.94</v>
      </c>
      <c r="Q108" s="36" t="n">
        <v>54.06</v>
      </c>
      <c r="R108" s="36" t="n">
        <v>132.72</v>
      </c>
      <c r="S108" s="36" t="n">
        <v>0</v>
      </c>
      <c r="T108" s="37" t="n">
        <v>0.5975820379965457</v>
      </c>
      <c r="U108" s="37" t="n">
        <v>0.6536796536796536</v>
      </c>
      <c r="V108" s="37" t="n">
        <v>0.5668789808917197</v>
      </c>
      <c r="W108" s="37" t="n">
        <v>0.5099337748344371</v>
      </c>
    </row>
    <row r="109">
      <c r="A109" s="53" t="n">
        <v>45812</v>
      </c>
      <c r="B109" t="inlineStr">
        <is>
          <t>R01_Sumbagut</t>
        </is>
      </c>
      <c r="C109" t="inlineStr">
        <is>
          <t>NOP RANTAU PRAPAT</t>
        </is>
      </c>
      <c r="D109" s="36" t="n">
        <v>3.49</v>
      </c>
      <c r="E109" s="36" t="n">
        <v>2.96</v>
      </c>
      <c r="F109" s="36" t="n">
        <v>3.25</v>
      </c>
      <c r="G109" s="36" t="n">
        <v>2.76</v>
      </c>
      <c r="H109" s="37" t="n">
        <v>0.3791887125220458</v>
      </c>
      <c r="I109" s="37" t="n">
        <v>0.2884615384615384</v>
      </c>
      <c r="J109" s="37" t="n">
        <v>0.3995680345572354</v>
      </c>
      <c r="K109" s="37" t="n">
        <v>0.8</v>
      </c>
      <c r="L109" s="37" t="n">
        <v>0.8</v>
      </c>
      <c r="M109" s="37" t="n">
        <v>0.9858906525573192</v>
      </c>
      <c r="N109" s="37" t="n">
        <v>0.2275132275132275</v>
      </c>
      <c r="O109" s="36" t="n">
        <v>0</v>
      </c>
      <c r="P109" s="36" t="n">
        <v>3.57</v>
      </c>
      <c r="Q109" s="36" t="n">
        <v>32.66</v>
      </c>
      <c r="R109" s="36" t="n">
        <v>127.25</v>
      </c>
      <c r="S109" s="36" t="n">
        <v>0</v>
      </c>
      <c r="T109" s="37" t="n">
        <v>0.208955223880597</v>
      </c>
      <c r="U109" s="37" t="n">
        <v>0.2768361581920904</v>
      </c>
      <c r="V109" s="37" t="n">
        <v>0.186046511627907</v>
      </c>
      <c r="W109" s="37" t="n">
        <v>0.673469387755102</v>
      </c>
    </row>
    <row r="110">
      <c r="A110" s="53" t="n">
        <v>45812</v>
      </c>
      <c r="B110" t="inlineStr">
        <is>
          <t>R10_Sumbagteng</t>
        </is>
      </c>
      <c r="C110" t="inlineStr">
        <is>
          <t>NOP BATAM</t>
        </is>
      </c>
      <c r="D110" s="36" t="n">
        <v>4.21</v>
      </c>
      <c r="E110" s="36" t="n">
        <v>7.42</v>
      </c>
      <c r="F110" s="36" t="n">
        <v>6.38</v>
      </c>
      <c r="G110" s="36" t="n">
        <v>8</v>
      </c>
      <c r="H110" s="37" t="n">
        <v>0.5602536997885835</v>
      </c>
      <c r="I110" s="37" t="n">
        <v>0.797979797979798</v>
      </c>
      <c r="J110" s="37" t="n">
        <v>0.4973262032085561</v>
      </c>
      <c r="K110" s="37" t="n">
        <v>0.759493670886076</v>
      </c>
      <c r="L110" s="37" t="n">
        <v>0.7662337662337663</v>
      </c>
      <c r="M110" s="37" t="n">
        <v>0.9978858350951374</v>
      </c>
      <c r="N110" s="37" t="n">
        <v>0.4228329809725159</v>
      </c>
      <c r="O110" s="36" t="n">
        <v>1.39</v>
      </c>
      <c r="P110" s="36" t="n">
        <v>9.960000000000001</v>
      </c>
      <c r="Q110" s="36" t="n">
        <v>66.06999999999999</v>
      </c>
      <c r="R110" s="36" t="n">
        <v>181.82</v>
      </c>
      <c r="S110" s="36" t="n">
        <v>0</v>
      </c>
      <c r="T110" s="37" t="n">
        <v>0.3502722323049002</v>
      </c>
      <c r="U110" s="37" t="n">
        <v>0.572992700729927</v>
      </c>
      <c r="V110" s="37" t="n">
        <v>0.2733900364520049</v>
      </c>
      <c r="W110" s="37" t="n">
        <v>0.8216560509554141</v>
      </c>
    </row>
    <row r="111">
      <c r="A111" s="53" t="n">
        <v>45812</v>
      </c>
      <c r="B111" t="inlineStr">
        <is>
          <t>R10_Sumbagteng</t>
        </is>
      </c>
      <c r="C111" t="inlineStr">
        <is>
          <t>NOP BUKITTINGGI</t>
        </is>
      </c>
      <c r="D111" s="36" t="n">
        <v>2.06</v>
      </c>
      <c r="E111" s="36" t="n">
        <v>3.82</v>
      </c>
      <c r="F111" s="36" t="n">
        <v>3.14</v>
      </c>
      <c r="G111" s="36" t="n">
        <v>2.82</v>
      </c>
      <c r="H111" s="37" t="n">
        <v>0.7360594795539034</v>
      </c>
      <c r="I111" s="37" t="n">
        <v>0.8</v>
      </c>
      <c r="J111" s="37" t="n">
        <v>0.7177033492822966</v>
      </c>
      <c r="K111" s="37" t="n">
        <v>0.4583333333333333</v>
      </c>
      <c r="L111" s="37" t="n">
        <v>0.4782608695652174</v>
      </c>
      <c r="M111" s="37" t="n">
        <v>0.9553903345724907</v>
      </c>
      <c r="N111" s="37" t="n">
        <v>0.3643122676579926</v>
      </c>
      <c r="O111" s="36" t="n">
        <v>1.81</v>
      </c>
      <c r="P111" s="36" t="n">
        <v>4.55</v>
      </c>
      <c r="Q111" s="36" t="n">
        <v>90.28</v>
      </c>
      <c r="R111" s="36" t="n">
        <v>151.44</v>
      </c>
      <c r="S111" s="36" t="n">
        <v>0</v>
      </c>
      <c r="T111" s="37" t="n">
        <v>0.5987654320987654</v>
      </c>
      <c r="U111" s="37" t="n">
        <v>0.7058823529411765</v>
      </c>
      <c r="V111" s="37" t="n">
        <v>0.570281124497992</v>
      </c>
      <c r="W111" s="37" t="n">
        <v>0.6041666666666666</v>
      </c>
    </row>
    <row r="112">
      <c r="A112" s="53" t="n">
        <v>45812</v>
      </c>
      <c r="B112" t="inlineStr">
        <is>
          <t>R10_Sumbagteng</t>
        </is>
      </c>
      <c r="C112" t="inlineStr">
        <is>
          <t>NOP DUMAI</t>
        </is>
      </c>
      <c r="D112" s="36" t="n">
        <v>3.25</v>
      </c>
      <c r="E112" s="36" t="n">
        <v>4.8</v>
      </c>
      <c r="F112" s="36" t="n">
        <v>4.75</v>
      </c>
      <c r="G112" s="36" t="n">
        <v>5.87</v>
      </c>
      <c r="H112" s="37" t="n">
        <v>0.4906743185078909</v>
      </c>
      <c r="I112" s="37" t="n">
        <v>0.6141304347826086</v>
      </c>
      <c r="J112" s="37" t="n">
        <v>0.4463937621832358</v>
      </c>
      <c r="K112" s="37" t="n">
        <v>0.6548672566371682</v>
      </c>
      <c r="L112" s="37" t="n">
        <v>0.6697247706422018</v>
      </c>
      <c r="M112" s="37" t="n">
        <v>0.9885222381635581</v>
      </c>
      <c r="N112" s="37" t="n">
        <v>0.2941176470588235</v>
      </c>
      <c r="O112" s="36" t="n">
        <v>0.01</v>
      </c>
      <c r="P112" s="36" t="n">
        <v>8.529999999999999</v>
      </c>
      <c r="Q112" s="36" t="n">
        <v>51.74</v>
      </c>
      <c r="R112" s="36" t="n">
        <v>170.43</v>
      </c>
      <c r="S112" s="36" t="n">
        <v>0</v>
      </c>
      <c r="T112" s="37" t="n">
        <v>0.2230113636363636</v>
      </c>
      <c r="U112" s="37" t="n">
        <v>0.3561253561253561</v>
      </c>
      <c r="V112" s="37" t="n">
        <v>0.1795606494746896</v>
      </c>
      <c r="W112" s="37" t="n">
        <v>0.944</v>
      </c>
    </row>
    <row r="113">
      <c r="A113" s="53" t="n">
        <v>45812</v>
      </c>
      <c r="B113" t="inlineStr">
        <is>
          <t>R10_Sumbagteng</t>
        </is>
      </c>
      <c r="C113" t="inlineStr">
        <is>
          <t>NOP PADANG</t>
        </is>
      </c>
      <c r="D113" s="36" t="n">
        <v>0</v>
      </c>
      <c r="E113" s="36" t="n">
        <v>2.84</v>
      </c>
      <c r="F113" s="36" t="n">
        <v>4.8</v>
      </c>
      <c r="G113" s="36" t="n">
        <v>7.16</v>
      </c>
      <c r="H113" s="37" t="n">
        <v>0.7404580152671756</v>
      </c>
      <c r="I113" s="37" t="n">
        <v>0.6</v>
      </c>
      <c r="J113" s="37" t="n">
        <v>0.7520661157024794</v>
      </c>
      <c r="K113" s="37" t="n">
        <v>0.6666666666666666</v>
      </c>
      <c r="L113" s="37" t="n">
        <v>0.6666666666666666</v>
      </c>
      <c r="M113" s="37" t="n">
        <v>0.9618320610687023</v>
      </c>
      <c r="N113" s="37" t="n">
        <v>0.2862595419847328</v>
      </c>
      <c r="O113" s="36" t="n">
        <v>0.03</v>
      </c>
      <c r="P113" s="36" t="n">
        <v>4.58</v>
      </c>
      <c r="Q113" s="36" t="n">
        <v>66.08</v>
      </c>
      <c r="R113" s="36" t="n">
        <v>198.9</v>
      </c>
      <c r="S113" s="36" t="n">
        <v>0</v>
      </c>
      <c r="T113" s="37" t="n">
        <v>0.829971181556196</v>
      </c>
      <c r="U113" s="37" t="n">
        <v>0.6605504587155964</v>
      </c>
      <c r="V113" s="37" t="n">
        <v>0.9055793991416309</v>
      </c>
      <c r="W113" s="37" t="n">
        <v>0.7916666666666666</v>
      </c>
    </row>
    <row r="114">
      <c r="A114" s="53" t="n">
        <v>45812</v>
      </c>
      <c r="B114" t="inlineStr">
        <is>
          <t>R10_Sumbagteng</t>
        </is>
      </c>
      <c r="C114" t="inlineStr">
        <is>
          <t>NOP PEKANBARU</t>
        </is>
      </c>
      <c r="D114" s="36" t="n">
        <v>3.14</v>
      </c>
      <c r="E114" s="36" t="n">
        <v>5.85</v>
      </c>
      <c r="F114" s="36" t="n">
        <v>4.4</v>
      </c>
      <c r="G114" s="36" t="n">
        <v>8.800000000000001</v>
      </c>
      <c r="H114" s="37" t="n">
        <v>0.472663139329806</v>
      </c>
      <c r="I114" s="37" t="n">
        <v>0.3870967741935484</v>
      </c>
      <c r="J114" s="37" t="n">
        <v>0.489451476793249</v>
      </c>
      <c r="K114" s="37" t="n">
        <v>0.6944444444444444</v>
      </c>
      <c r="L114" s="37" t="n">
        <v>0.6944444444444444</v>
      </c>
      <c r="M114" s="37" t="n">
        <v>0.9911816578483245</v>
      </c>
      <c r="N114" s="37" t="n">
        <v>0.2698412698412698</v>
      </c>
      <c r="O114" s="36" t="n">
        <v>0.83</v>
      </c>
      <c r="P114" s="36" t="n">
        <v>5.66</v>
      </c>
      <c r="Q114" s="36" t="n">
        <v>48.72</v>
      </c>
      <c r="R114" s="36" t="n">
        <v>80.18000000000001</v>
      </c>
      <c r="S114" s="36" t="n">
        <v>0</v>
      </c>
      <c r="T114" s="37" t="n">
        <v>0.2975206611570248</v>
      </c>
      <c r="U114" s="37" t="n">
        <v>0.3372093023255814</v>
      </c>
      <c r="V114" s="37" t="n">
        <v>0.276566757493188</v>
      </c>
      <c r="W114" s="37" t="n">
        <v>0.8103448275862069</v>
      </c>
    </row>
    <row r="115">
      <c r="A115" s="53" t="n">
        <v>45812</v>
      </c>
      <c r="B115" t="inlineStr">
        <is>
          <t>R02_Sumbagsel</t>
        </is>
      </c>
      <c r="C115" t="inlineStr">
        <is>
          <t>NOP BENGKULU</t>
        </is>
      </c>
      <c r="D115" s="36" t="n">
        <v>0.98</v>
      </c>
      <c r="E115" s="36" t="n">
        <v>5.28</v>
      </c>
      <c r="F115" s="36" t="n">
        <v>4.14</v>
      </c>
      <c r="G115" s="36" t="n">
        <v>6.04</v>
      </c>
      <c r="H115" s="37" t="n">
        <v>0.5537459283387622</v>
      </c>
      <c r="I115" s="37" t="n">
        <v>0.6707317073170732</v>
      </c>
      <c r="J115" s="37" t="n">
        <v>0.5111111111111111</v>
      </c>
      <c r="K115" s="37" t="n">
        <v>0.6909090909090909</v>
      </c>
      <c r="L115" s="37" t="n">
        <v>0.6909090909090909</v>
      </c>
      <c r="M115" s="37" t="n">
        <v>1</v>
      </c>
      <c r="N115" s="37" t="n">
        <v>0.3322475570032573</v>
      </c>
      <c r="O115" s="36" t="n">
        <v>0</v>
      </c>
      <c r="P115" s="36" t="n">
        <v>5.05</v>
      </c>
      <c r="Q115" s="36" t="n">
        <v>5.93</v>
      </c>
      <c r="R115" s="36" t="n">
        <v>5</v>
      </c>
      <c r="S115" s="36" t="n">
        <v>0</v>
      </c>
      <c r="T115" s="37" t="n">
        <v>0.5117241379310344</v>
      </c>
      <c r="U115" s="37" t="n">
        <v>0.4410377358490566</v>
      </c>
      <c r="V115" s="37" t="n">
        <v>0.6040816326530613</v>
      </c>
      <c r="W115" s="37" t="n">
        <v>0.8716577540106952</v>
      </c>
    </row>
    <row r="116">
      <c r="A116" s="53" t="n">
        <v>45812</v>
      </c>
      <c r="B116" t="inlineStr">
        <is>
          <t>R02_Sumbagsel</t>
        </is>
      </c>
      <c r="C116" t="inlineStr">
        <is>
          <t>NOP JAMBI</t>
        </is>
      </c>
      <c r="D116" s="36" t="n">
        <v>1.02</v>
      </c>
      <c r="E116" s="36" t="n">
        <v>3</v>
      </c>
      <c r="F116" s="36" t="n">
        <v>3.54</v>
      </c>
      <c r="G116" s="36" t="n">
        <v>5.79</v>
      </c>
      <c r="H116" s="37" t="n">
        <v>0.3753026634382566</v>
      </c>
      <c r="I116" s="37" t="n">
        <v>0.3577235772357724</v>
      </c>
      <c r="J116" s="37" t="n">
        <v>0.3827586206896552</v>
      </c>
      <c r="K116" s="37" t="n">
        <v>0.7045454545454546</v>
      </c>
      <c r="L116" s="37" t="n">
        <v>0.7045454545454546</v>
      </c>
      <c r="M116" s="37" t="n">
        <v>1</v>
      </c>
      <c r="N116" s="37" t="n">
        <v>0.1864406779661017</v>
      </c>
      <c r="O116" s="36" t="n">
        <v>0</v>
      </c>
      <c r="P116" s="36" t="n">
        <v>3.91</v>
      </c>
      <c r="Q116" s="36" t="n">
        <v>10.93</v>
      </c>
      <c r="R116" s="36" t="n">
        <v>18.98</v>
      </c>
      <c r="S116" s="36" t="n">
        <v>0</v>
      </c>
      <c r="T116" s="37" t="n">
        <v>0.1883211678832117</v>
      </c>
      <c r="U116" s="37" t="n">
        <v>0.1783625730994152</v>
      </c>
      <c r="V116" s="37" t="n">
        <v>0.2355212355212355</v>
      </c>
      <c r="W116" s="37" t="n">
        <v>0.6885245901639344</v>
      </c>
    </row>
    <row r="117">
      <c r="A117" s="53" t="n">
        <v>45812</v>
      </c>
      <c r="B117" t="inlineStr">
        <is>
          <t>R02_Sumbagsel</t>
        </is>
      </c>
      <c r="C117" t="inlineStr">
        <is>
          <t>NOP LAMPUNG</t>
        </is>
      </c>
      <c r="D117" s="36" t="n">
        <v>0</v>
      </c>
      <c r="E117" s="36" t="n">
        <v>4.32</v>
      </c>
      <c r="F117" s="36" t="n">
        <v>5.44</v>
      </c>
      <c r="G117" s="36" t="n">
        <v>4.96</v>
      </c>
      <c r="H117" s="37" t="n">
        <v>0.6260162601626016</v>
      </c>
      <c r="I117" s="37" t="n">
        <v>0.8235294117647058</v>
      </c>
      <c r="J117" s="37" t="n">
        <v>0.550561797752809</v>
      </c>
      <c r="K117" s="37" t="n">
        <v>0.7857142857142857</v>
      </c>
      <c r="L117" s="37" t="n">
        <v>0.7857142857142857</v>
      </c>
      <c r="M117" s="37" t="n">
        <v>0.9918699186991869</v>
      </c>
      <c r="N117" s="37" t="n">
        <v>0.5121951219512195</v>
      </c>
      <c r="O117" s="36" t="n">
        <v>0</v>
      </c>
      <c r="P117" s="36" t="n">
        <v>7.19</v>
      </c>
      <c r="Q117" s="36" t="n">
        <v>6.02</v>
      </c>
      <c r="R117" s="36" t="n">
        <v>31.76</v>
      </c>
      <c r="S117" s="36" t="n">
        <v>0</v>
      </c>
      <c r="T117" s="37" t="n">
        <v>0.9219409282700421</v>
      </c>
      <c r="U117" s="37" t="n">
        <v>0.9146341463414634</v>
      </c>
      <c r="V117" s="37" t="n">
        <v>0.9375</v>
      </c>
      <c r="W117" s="37" t="n">
        <v>0.9333333333333333</v>
      </c>
    </row>
    <row r="118">
      <c r="A118" s="53" t="n">
        <v>45812</v>
      </c>
      <c r="B118" t="inlineStr">
        <is>
          <t>R02_Sumbagsel</t>
        </is>
      </c>
      <c r="C118" t="inlineStr">
        <is>
          <t>NOP MUARA ENIM</t>
        </is>
      </c>
      <c r="D118" s="36" t="n">
        <v>2.3</v>
      </c>
      <c r="E118" s="36" t="n">
        <v>3.73</v>
      </c>
      <c r="F118" s="36" t="n">
        <v>3.87</v>
      </c>
      <c r="G118" s="36" t="n">
        <v>6.5</v>
      </c>
      <c r="H118" s="37" t="n">
        <v>0.289048473967684</v>
      </c>
      <c r="I118" s="37" t="n">
        <v>0.3717948717948718</v>
      </c>
      <c r="J118" s="37" t="n">
        <v>0.2755741127348643</v>
      </c>
      <c r="K118" s="37" t="n">
        <v>0.9310344827586207</v>
      </c>
      <c r="L118" s="37" t="n">
        <v>0.9310344827586207</v>
      </c>
      <c r="M118" s="37" t="n">
        <v>0.9730700179533214</v>
      </c>
      <c r="N118" s="37" t="n">
        <v>0.1561938958707361</v>
      </c>
      <c r="O118" s="36" t="n">
        <v>0</v>
      </c>
      <c r="P118" s="36" t="n">
        <v>16.8</v>
      </c>
      <c r="Q118" s="36" t="n">
        <v>6.98</v>
      </c>
      <c r="R118" s="36" t="n">
        <v>4.79</v>
      </c>
      <c r="S118" s="36" t="n">
        <v>0</v>
      </c>
      <c r="T118" s="37" t="n">
        <v>0.5398230088495575</v>
      </c>
      <c r="U118" s="37" t="n">
        <v>0.4717948717948718</v>
      </c>
      <c r="V118" s="37" t="n">
        <v>0.6408045977011494</v>
      </c>
      <c r="W118" s="37" t="n">
        <v>0.7663043478260869</v>
      </c>
    </row>
    <row r="119">
      <c r="A119" s="53" t="n">
        <v>45812</v>
      </c>
      <c r="B119" t="inlineStr">
        <is>
          <t>R02_Sumbagsel</t>
        </is>
      </c>
      <c r="C119" t="inlineStr">
        <is>
          <t>NOP PALEMBANG</t>
        </is>
      </c>
      <c r="D119" s="36" t="n">
        <v>3.75</v>
      </c>
      <c r="E119" s="36" t="n">
        <v>5.06</v>
      </c>
      <c r="F119" s="36" t="n">
        <v>6.27</v>
      </c>
      <c r="G119" s="36" t="n">
        <v>7.15</v>
      </c>
      <c r="H119" s="37" t="n">
        <v>0.2688</v>
      </c>
      <c r="I119" s="37" t="n">
        <v>0.2976190476190476</v>
      </c>
      <c r="J119" s="37" t="n">
        <v>0.2643253234750462</v>
      </c>
      <c r="K119" s="37" t="n">
        <v>0.44</v>
      </c>
      <c r="L119" s="37" t="n">
        <v>0.44</v>
      </c>
      <c r="M119" s="37" t="n">
        <v>1</v>
      </c>
      <c r="N119" s="37" t="n">
        <v>0.1136</v>
      </c>
      <c r="O119" s="36" t="n">
        <v>0</v>
      </c>
      <c r="P119" s="36" t="n">
        <v>3.02</v>
      </c>
      <c r="Q119" s="36" t="n">
        <v>9.210000000000001</v>
      </c>
      <c r="R119" s="36" t="n">
        <v>91.94</v>
      </c>
      <c r="S119" s="36" t="n">
        <v>0</v>
      </c>
      <c r="T119" s="37" t="n">
        <v>0.1230569948186528</v>
      </c>
      <c r="U119" s="37" t="n">
        <v>0.09297520661157024</v>
      </c>
      <c r="V119" s="37" t="n">
        <v>0.2450980392156863</v>
      </c>
      <c r="W119" s="37" t="n">
        <v>0.6888888888888889</v>
      </c>
    </row>
    <row r="120">
      <c r="A120" s="53" t="n">
        <v>45812</v>
      </c>
      <c r="B120" t="inlineStr">
        <is>
          <t>R02_Sumbagsel</t>
        </is>
      </c>
      <c r="C120" t="inlineStr">
        <is>
          <t>NOP PANGKAL PINANG</t>
        </is>
      </c>
      <c r="D120" s="36" t="n">
        <v>0</v>
      </c>
      <c r="E120" s="36" t="n">
        <v>3.33</v>
      </c>
      <c r="F120" s="36" t="n">
        <v>4.12</v>
      </c>
      <c r="G120" s="36" t="n">
        <v>3.65</v>
      </c>
      <c r="H120" s="37" t="n">
        <v>0.7692307692307693</v>
      </c>
      <c r="I120" s="37" t="n">
        <v>0.4</v>
      </c>
      <c r="J120" s="37" t="n">
        <v>0.7906976744186046</v>
      </c>
      <c r="K120" s="37" t="n">
        <v>0.5</v>
      </c>
      <c r="L120" s="37" t="n">
        <v>0.5</v>
      </c>
      <c r="M120" s="37" t="n">
        <v>1</v>
      </c>
      <c r="N120" s="37" t="n">
        <v>0.4285714285714285</v>
      </c>
      <c r="O120" s="36" t="n">
        <v>0</v>
      </c>
      <c r="P120" s="36" t="n">
        <v>4.75</v>
      </c>
      <c r="Q120" s="36" t="n">
        <v>5.9</v>
      </c>
      <c r="R120" s="36" t="n">
        <v>6.8</v>
      </c>
      <c r="S120" s="36" t="n">
        <v>0</v>
      </c>
      <c r="T120" s="37" t="n">
        <v>0.9402985074626866</v>
      </c>
      <c r="U120" s="37" t="n">
        <v>0.9292035398230089</v>
      </c>
      <c r="V120" s="37" t="n">
        <v>0.9495412844036697</v>
      </c>
      <c r="W120" s="37" t="n">
        <v>0.8761904761904762</v>
      </c>
    </row>
    <row r="121">
      <c r="A121" s="53" t="n">
        <v>45812</v>
      </c>
      <c r="B121" t="inlineStr">
        <is>
          <t>R05_Jawa Tengah DIY</t>
        </is>
      </c>
      <c r="C121" t="inlineStr">
        <is>
          <t>NOP MAGELANG</t>
        </is>
      </c>
      <c r="D121" s="36" t="n">
        <v>0.87</v>
      </c>
      <c r="E121" s="36" t="n">
        <v>0</v>
      </c>
      <c r="F121" s="36" t="n">
        <v>1.98</v>
      </c>
      <c r="G121" s="36" t="n">
        <v>2.34</v>
      </c>
      <c r="H121" s="37" t="n">
        <v>0.7948717948717948</v>
      </c>
      <c r="I121" s="37" t="n">
        <v>0.5</v>
      </c>
      <c r="J121" s="37" t="n">
        <v>0.8026315789473685</v>
      </c>
      <c r="K121" s="37" t="n">
        <v>1</v>
      </c>
      <c r="L121" s="37" t="n">
        <v>1</v>
      </c>
      <c r="M121" s="37" t="n">
        <v>1</v>
      </c>
      <c r="N121" s="37" t="n">
        <v>0.6794871794871795</v>
      </c>
      <c r="O121" s="36" t="n">
        <v>0</v>
      </c>
      <c r="P121" s="36" t="n">
        <v>2.48</v>
      </c>
      <c r="Q121" s="36" t="n">
        <v>5.65</v>
      </c>
      <c r="R121" s="36" t="n">
        <v>11.02</v>
      </c>
      <c r="S121" s="36" t="n">
        <v>0</v>
      </c>
      <c r="T121" s="37" t="n">
        <v>0.9346153846153846</v>
      </c>
      <c r="U121" s="37" t="n">
        <v>0.7567567567567568</v>
      </c>
      <c r="V121" s="37" t="n">
        <v>0.9641255605381166</v>
      </c>
      <c r="W121" s="37" t="n">
        <v>0.8214285714285714</v>
      </c>
    </row>
    <row r="122">
      <c r="A122" s="53" t="n">
        <v>45812</v>
      </c>
      <c r="B122" t="inlineStr">
        <is>
          <t>R05_Jawa Tengah DIY</t>
        </is>
      </c>
      <c r="C122" t="inlineStr">
        <is>
          <t>NOP PEKALONGAN</t>
        </is>
      </c>
      <c r="D122" s="36" t="n">
        <v>0.42</v>
      </c>
      <c r="E122" s="36" t="n">
        <v>0</v>
      </c>
      <c r="F122" s="36" t="n">
        <v>3.56</v>
      </c>
      <c r="G122" s="36" t="n">
        <v>11.64</v>
      </c>
      <c r="H122" s="37" t="n">
        <v>0.75</v>
      </c>
      <c r="I122" s="37" t="n">
        <v>0.5</v>
      </c>
      <c r="J122" s="37" t="n">
        <v>0.7608695652173914</v>
      </c>
      <c r="K122" s="37" t="n">
        <v>1</v>
      </c>
      <c r="L122" s="37" t="n">
        <v>1</v>
      </c>
      <c r="M122" s="37" t="n">
        <v>0.9791666666666666</v>
      </c>
      <c r="N122" s="37" t="n">
        <v>0.5</v>
      </c>
      <c r="O122" s="36" t="n">
        <v>0</v>
      </c>
      <c r="P122" s="36" t="n">
        <v>2.53</v>
      </c>
      <c r="Q122" s="36" t="n">
        <v>11.24</v>
      </c>
      <c r="R122" s="36" t="n">
        <v>85.06999999999999</v>
      </c>
      <c r="S122" s="36" t="n">
        <v>0</v>
      </c>
      <c r="T122" s="37" t="n">
        <v>0.8482142857142857</v>
      </c>
      <c r="U122" s="37" t="n">
        <v>0.75</v>
      </c>
      <c r="V122" s="37" t="n">
        <v>0.875</v>
      </c>
      <c r="W122" s="37" t="n">
        <v>0.6666666666666666</v>
      </c>
    </row>
    <row r="123">
      <c r="A123" s="53" t="n">
        <v>45812</v>
      </c>
      <c r="B123" t="inlineStr">
        <is>
          <t>R05_Jawa Tengah DIY</t>
        </is>
      </c>
      <c r="C123" t="inlineStr">
        <is>
          <t>NOP PURWOKERTO</t>
        </is>
      </c>
      <c r="D123" s="36" t="n">
        <v>2.58</v>
      </c>
      <c r="E123" s="36" t="n">
        <v>0</v>
      </c>
      <c r="F123" s="36" t="n">
        <v>2.74</v>
      </c>
      <c r="G123" s="36" t="n">
        <v>4.46</v>
      </c>
      <c r="H123" s="37" t="n">
        <v>0.6493506493506493</v>
      </c>
      <c r="I123" s="37" t="n">
        <v>0.8</v>
      </c>
      <c r="J123" s="37" t="n">
        <v>0.6388888888888888</v>
      </c>
      <c r="K123" s="37" t="n">
        <v>1</v>
      </c>
      <c r="L123" s="37" t="n">
        <v>1</v>
      </c>
      <c r="M123" s="37" t="n">
        <v>0.987012987012987</v>
      </c>
      <c r="N123" s="37" t="n">
        <v>0.4155844155844156</v>
      </c>
      <c r="O123" s="36" t="n">
        <v>0</v>
      </c>
      <c r="P123" s="36" t="n">
        <v>4.36</v>
      </c>
      <c r="Q123" s="36" t="n">
        <v>8.25</v>
      </c>
      <c r="R123" s="36" t="n">
        <v>40.16</v>
      </c>
      <c r="S123" s="36" t="n">
        <v>0</v>
      </c>
      <c r="T123" s="37" t="n">
        <v>0.8240740740740741</v>
      </c>
      <c r="U123" s="37" t="n">
        <v>0.7692307692307693</v>
      </c>
      <c r="V123" s="37" t="n">
        <v>0.855072463768116</v>
      </c>
      <c r="W123" s="37" t="n">
        <v>0.7</v>
      </c>
    </row>
    <row r="124">
      <c r="A124" s="53" t="n">
        <v>45812</v>
      </c>
      <c r="B124" t="inlineStr">
        <is>
          <t>R05_Jawa Tengah DIY</t>
        </is>
      </c>
      <c r="C124" t="inlineStr">
        <is>
          <t>NOP SEMARANG</t>
        </is>
      </c>
      <c r="D124" s="36" t="n">
        <v>3.22</v>
      </c>
      <c r="E124" s="36" t="n">
        <v>2.57</v>
      </c>
      <c r="F124" s="36" t="n">
        <v>2.6</v>
      </c>
      <c r="G124" s="36" t="n">
        <v>3.18</v>
      </c>
      <c r="H124" s="37" t="n">
        <v>0.6612903225806451</v>
      </c>
      <c r="I124" s="37" t="n">
        <v>0.9090909090909091</v>
      </c>
      <c r="J124" s="37" t="n">
        <v>0.6371681415929203</v>
      </c>
      <c r="K124" s="37" t="n">
        <v>0.9</v>
      </c>
      <c r="L124" s="37" t="n">
        <v>0.9</v>
      </c>
      <c r="M124" s="37" t="n">
        <v>0.9516129032258065</v>
      </c>
      <c r="N124" s="37" t="n">
        <v>0.5161290322580645</v>
      </c>
      <c r="O124" s="36" t="n">
        <v>0.01</v>
      </c>
      <c r="P124" s="36" t="n">
        <v>7.96</v>
      </c>
      <c r="Q124" s="36" t="n">
        <v>7.75</v>
      </c>
      <c r="R124" s="36" t="n">
        <v>54.42</v>
      </c>
      <c r="S124" s="36" t="n">
        <v>0</v>
      </c>
      <c r="T124" s="37" t="n">
        <v>0.8647058823529412</v>
      </c>
      <c r="U124" s="37" t="n">
        <v>0.7631578947368421</v>
      </c>
      <c r="V124" s="37" t="n">
        <v>0.9468085106382979</v>
      </c>
      <c r="W124" s="37" t="n">
        <v>0.8275862068965517</v>
      </c>
    </row>
    <row r="125">
      <c r="A125" s="53" t="n">
        <v>45812</v>
      </c>
      <c r="B125" t="inlineStr">
        <is>
          <t>R05_Jawa Tengah DIY</t>
        </is>
      </c>
      <c r="C125" t="inlineStr">
        <is>
          <t>NOP SURAKARTA</t>
        </is>
      </c>
      <c r="D125" s="36" t="n">
        <v>1.67</v>
      </c>
      <c r="E125" s="36" t="n">
        <v>2.04</v>
      </c>
      <c r="F125" s="36" t="n">
        <v>3.19</v>
      </c>
      <c r="G125" s="36" t="n">
        <v>2.48</v>
      </c>
      <c r="H125" s="37" t="n">
        <v>0.8246753246753247</v>
      </c>
      <c r="I125" s="37" t="n">
        <v>0.875</v>
      </c>
      <c r="J125" s="37" t="n">
        <v>0.8188405797101449</v>
      </c>
      <c r="K125" s="37" t="n">
        <v>0.7857142857142857</v>
      </c>
      <c r="L125" s="37" t="n">
        <v>0.7857142857142857</v>
      </c>
      <c r="M125" s="37" t="n">
        <v>0.9805194805194806</v>
      </c>
      <c r="N125" s="37" t="n">
        <v>0.525974025974026</v>
      </c>
      <c r="O125" s="36" t="n">
        <v>0</v>
      </c>
      <c r="P125" s="36" t="n">
        <v>7.51</v>
      </c>
      <c r="Q125" s="36" t="n">
        <v>7.68</v>
      </c>
      <c r="R125" s="36" t="n">
        <v>47.94</v>
      </c>
      <c r="S125" s="36" t="n">
        <v>0</v>
      </c>
      <c r="T125" s="37" t="n">
        <v>0.8092105263157895</v>
      </c>
      <c r="U125" s="37" t="n">
        <v>0.6808510638297872</v>
      </c>
      <c r="V125" s="37" t="n">
        <v>0.8666666666666667</v>
      </c>
      <c r="W125" s="37" t="n">
        <v>0.84375</v>
      </c>
    </row>
    <row r="126">
      <c r="A126" s="53" t="n">
        <v>45812</v>
      </c>
      <c r="B126" t="inlineStr">
        <is>
          <t>R05_Jawa Tengah DIY</t>
        </is>
      </c>
      <c r="C126" t="inlineStr">
        <is>
          <t>NOP YOGYAKARTA</t>
        </is>
      </c>
      <c r="D126" s="36" t="n">
        <v>2.85</v>
      </c>
      <c r="E126" s="36" t="n">
        <v>0</v>
      </c>
      <c r="F126" s="36" t="n">
        <v>2.48</v>
      </c>
      <c r="G126" s="36" t="n">
        <v>2.83</v>
      </c>
      <c r="H126" s="37" t="n">
        <v>0.725</v>
      </c>
      <c r="I126" s="37" t="n">
        <v>1</v>
      </c>
      <c r="J126" s="37" t="n">
        <v>0.7066666666666667</v>
      </c>
      <c r="K126" s="37" t="n">
        <v>0.8</v>
      </c>
      <c r="L126" s="37" t="n">
        <v>0.8</v>
      </c>
      <c r="M126" s="37" t="n">
        <v>1</v>
      </c>
      <c r="N126" s="37" t="n">
        <v>0.5125</v>
      </c>
      <c r="O126" s="36" t="n">
        <v>0</v>
      </c>
      <c r="P126" s="36" t="n">
        <v>3.72</v>
      </c>
      <c r="Q126" s="36" t="n">
        <v>9.630000000000001</v>
      </c>
      <c r="R126" s="36" t="n">
        <v>36.14</v>
      </c>
      <c r="S126" s="36" t="n">
        <v>0</v>
      </c>
      <c r="T126" s="37" t="n">
        <v>0.9333333333333333</v>
      </c>
      <c r="U126" s="37" t="n">
        <v>0.8717948717948718</v>
      </c>
      <c r="V126" s="37" t="n">
        <v>0.954954954954955</v>
      </c>
      <c r="W126" s="37" t="n">
        <v>1</v>
      </c>
    </row>
    <row r="127">
      <c r="A127" s="53" t="n">
        <v>45812</v>
      </c>
      <c r="B127" t="inlineStr">
        <is>
          <t>R06_Jawa Timur</t>
        </is>
      </c>
      <c r="C127" t="inlineStr">
        <is>
          <t>NOP JEMBER</t>
        </is>
      </c>
      <c r="D127" s="36" t="n">
        <v>15.47</v>
      </c>
      <c r="E127" s="36" t="n">
        <v>0</v>
      </c>
      <c r="F127" s="36" t="n">
        <v>2.51</v>
      </c>
      <c r="G127" s="36" t="n">
        <v>2</v>
      </c>
      <c r="H127" s="37" t="n">
        <v>0.7735849056603774</v>
      </c>
      <c r="I127" s="37" t="n">
        <v>1</v>
      </c>
      <c r="J127" s="37" t="n">
        <v>0.75</v>
      </c>
      <c r="K127" s="37" t="n">
        <v>0.8</v>
      </c>
      <c r="L127" s="37" t="n">
        <v>0.8</v>
      </c>
      <c r="M127" s="37" t="n">
        <v>1</v>
      </c>
      <c r="N127" s="37" t="n">
        <v>0.5660377358490566</v>
      </c>
      <c r="O127" s="36" t="n">
        <v>0</v>
      </c>
      <c r="P127" s="36" t="n">
        <v>1.67</v>
      </c>
      <c r="Q127" s="36" t="n">
        <v>4.08</v>
      </c>
      <c r="R127" s="36" t="n">
        <v>200.28</v>
      </c>
      <c r="S127" s="36" t="n">
        <v>0</v>
      </c>
      <c r="T127" s="37" t="n">
        <v>0.7613636363636364</v>
      </c>
      <c r="U127" s="37" t="n">
        <v>0.5714285714285714</v>
      </c>
      <c r="V127" s="37" t="n">
        <v>0.85</v>
      </c>
      <c r="W127" s="37" t="n">
        <v>0.875</v>
      </c>
    </row>
    <row r="128">
      <c r="A128" s="53" t="n">
        <v>45812</v>
      </c>
      <c r="B128" t="inlineStr">
        <is>
          <t>R06_Jawa Timur</t>
        </is>
      </c>
      <c r="C128" t="inlineStr">
        <is>
          <t>NOP KEDIRI</t>
        </is>
      </c>
      <c r="D128" s="36" t="n">
        <v>1.46</v>
      </c>
      <c r="E128" s="36" t="n">
        <v>0</v>
      </c>
      <c r="F128" s="36" t="n">
        <v>1.59</v>
      </c>
      <c r="G128" s="36" t="n">
        <v>1.52</v>
      </c>
      <c r="H128" s="37" t="n">
        <v>0.8780487804878049</v>
      </c>
      <c r="I128" s="37" t="n">
        <v>1</v>
      </c>
      <c r="J128" s="37" t="n">
        <v>0.868421052631579</v>
      </c>
      <c r="K128" s="37" t="n">
        <v>0.6666666666666666</v>
      </c>
      <c r="L128" s="37" t="n">
        <v>0.6666666666666666</v>
      </c>
      <c r="M128" s="37" t="n">
        <v>1</v>
      </c>
      <c r="N128" s="37" t="n">
        <v>0.5853658536585366</v>
      </c>
      <c r="O128" s="36" t="n">
        <v>0</v>
      </c>
      <c r="P128" s="36" t="n">
        <v>2.13</v>
      </c>
      <c r="Q128" s="36" t="n">
        <v>3.7</v>
      </c>
      <c r="R128" s="36" t="n">
        <v>18.52</v>
      </c>
      <c r="S128" s="36" t="n">
        <v>0</v>
      </c>
      <c r="T128" s="37" t="n">
        <v>0.9272727272727272</v>
      </c>
      <c r="U128" s="37" t="n">
        <v>0.875</v>
      </c>
      <c r="V128" s="37" t="n">
        <v>0.9487179487179487</v>
      </c>
      <c r="W128" s="37" t="n">
        <v>0.7857142857142857</v>
      </c>
    </row>
    <row r="129">
      <c r="A129" s="53" t="n">
        <v>45812</v>
      </c>
      <c r="B129" t="inlineStr">
        <is>
          <t>R06_Jawa Timur</t>
        </is>
      </c>
      <c r="C129" t="inlineStr">
        <is>
          <t>NOP LAMONGAN</t>
        </is>
      </c>
      <c r="D129" s="36" t="n">
        <v>1.36</v>
      </c>
      <c r="E129" s="36" t="n">
        <v>0</v>
      </c>
      <c r="F129" s="36" t="n">
        <v>4.44</v>
      </c>
      <c r="G129" s="36" t="n">
        <v>2.6</v>
      </c>
      <c r="H129" s="37" t="n">
        <v>0.9655172413793104</v>
      </c>
      <c r="I129" s="37" t="n">
        <v>1</v>
      </c>
      <c r="J129" s="37" t="n">
        <v>0.96</v>
      </c>
      <c r="K129" s="37" t="n">
        <v>1</v>
      </c>
      <c r="L129" s="37" t="n">
        <v>1</v>
      </c>
      <c r="M129" s="37" t="n">
        <v>1</v>
      </c>
      <c r="N129" s="37" t="n">
        <v>0.8275862068965517</v>
      </c>
      <c r="O129" s="36" t="n">
        <v>0</v>
      </c>
      <c r="P129" s="36" t="n">
        <v>2.86</v>
      </c>
      <c r="Q129" s="36" t="n">
        <v>4.82</v>
      </c>
      <c r="R129" s="36" t="n">
        <v>27.15</v>
      </c>
      <c r="S129" s="36" t="n">
        <v>0</v>
      </c>
      <c r="T129" s="37" t="n">
        <v>0.8571428571428571</v>
      </c>
      <c r="U129" s="37" t="n">
        <v>0.7647058823529411</v>
      </c>
      <c r="V129" s="37" t="n">
        <v>0.9444444444444444</v>
      </c>
      <c r="W129" s="37" t="n">
        <v>0.6923076923076923</v>
      </c>
    </row>
    <row r="130">
      <c r="A130" s="53" t="n">
        <v>45812</v>
      </c>
      <c r="B130" t="inlineStr">
        <is>
          <t>R06_Jawa Timur</t>
        </is>
      </c>
      <c r="C130" t="inlineStr">
        <is>
          <t>NOP MADIUN</t>
        </is>
      </c>
      <c r="D130" s="36" t="n">
        <v>0.7</v>
      </c>
      <c r="E130" s="36" t="n">
        <v>0</v>
      </c>
      <c r="F130" s="36" t="n">
        <v>2.27</v>
      </c>
      <c r="G130" s="36" t="n">
        <v>1.82</v>
      </c>
      <c r="H130" s="37" t="n">
        <v>0.6333333333333333</v>
      </c>
      <c r="I130" s="37" t="n">
        <v>1</v>
      </c>
      <c r="J130" s="37" t="n">
        <v>0.6206896551724138</v>
      </c>
      <c r="K130" s="37" t="n">
        <v>1</v>
      </c>
      <c r="L130" s="37" t="n">
        <v>1</v>
      </c>
      <c r="M130" s="37" t="n">
        <v>0.8666666666666667</v>
      </c>
      <c r="N130" s="37" t="n">
        <v>0.3666666666666666</v>
      </c>
      <c r="O130" s="36" t="n">
        <v>0</v>
      </c>
      <c r="P130" s="36" t="n">
        <v>5.14</v>
      </c>
      <c r="Q130" s="36" t="n">
        <v>7.15</v>
      </c>
      <c r="R130" s="36" t="n">
        <v>10.63</v>
      </c>
      <c r="S130" s="36" t="n">
        <v>0</v>
      </c>
      <c r="T130" s="37" t="n">
        <v>0.6933333333333334</v>
      </c>
      <c r="U130" s="37" t="n">
        <v>0.5862068965517241</v>
      </c>
      <c r="V130" s="37" t="n">
        <v>0.7608695652173914</v>
      </c>
      <c r="W130" s="37" t="n">
        <v>0.7058823529411765</v>
      </c>
    </row>
    <row r="131">
      <c r="A131" s="53" t="n">
        <v>45812</v>
      </c>
      <c r="B131" t="inlineStr">
        <is>
          <t>R06_Jawa Timur</t>
        </is>
      </c>
      <c r="C131" t="inlineStr">
        <is>
          <t>NOP MALANG</t>
        </is>
      </c>
      <c r="D131" s="36" t="n">
        <v>0</v>
      </c>
      <c r="E131" s="36" t="n">
        <v>0</v>
      </c>
      <c r="F131" s="36" t="n">
        <v>0.95</v>
      </c>
      <c r="G131" s="36" t="n">
        <v>2.08</v>
      </c>
      <c r="H131" s="37" t="n">
        <v>0.9130434782608695</v>
      </c>
      <c r="I131" s="37" t="n">
        <v>0</v>
      </c>
      <c r="J131" s="37" t="n">
        <v>0.9130434782608695</v>
      </c>
      <c r="K131" s="37" t="n">
        <v>0</v>
      </c>
      <c r="L131" s="37" t="n">
        <v>0</v>
      </c>
      <c r="M131" s="37" t="n">
        <v>1</v>
      </c>
      <c r="N131" s="37" t="n">
        <v>0.9565217391304348</v>
      </c>
      <c r="O131" s="36" t="n">
        <v>0</v>
      </c>
      <c r="P131" s="36" t="n">
        <v>1.61</v>
      </c>
      <c r="Q131" s="36" t="n">
        <v>2.68</v>
      </c>
      <c r="R131" s="36" t="n">
        <v>39.5</v>
      </c>
      <c r="S131" s="36" t="n">
        <v>0</v>
      </c>
      <c r="T131" s="37" t="n">
        <v>0.8085106382978723</v>
      </c>
      <c r="U131" s="37" t="n">
        <v>0.5882352941176471</v>
      </c>
      <c r="V131" s="37" t="n">
        <v>0.9333333333333333</v>
      </c>
      <c r="W131" s="37" t="n">
        <v>1</v>
      </c>
    </row>
    <row r="132">
      <c r="A132" s="53" t="n">
        <v>45812</v>
      </c>
      <c r="B132" t="inlineStr">
        <is>
          <t>R06_Jawa Timur</t>
        </is>
      </c>
      <c r="C132" t="inlineStr">
        <is>
          <t>NOP SIDOARJO</t>
        </is>
      </c>
      <c r="D132" s="36" t="n">
        <v>0</v>
      </c>
      <c r="E132" s="36" t="n">
        <v>0</v>
      </c>
      <c r="F132" s="36" t="n">
        <v>4.75</v>
      </c>
      <c r="G132" s="36" t="n">
        <v>3.42</v>
      </c>
      <c r="H132" s="37" t="n">
        <v>0.75</v>
      </c>
      <c r="I132" s="37" t="n">
        <v>0</v>
      </c>
      <c r="J132" s="37" t="n">
        <v>0.75</v>
      </c>
      <c r="K132" s="37" t="n">
        <v>0</v>
      </c>
      <c r="L132" s="37" t="n">
        <v>0</v>
      </c>
      <c r="M132" s="37" t="n">
        <v>1</v>
      </c>
      <c r="N132" s="37" t="n">
        <v>0.55</v>
      </c>
      <c r="O132" s="36" t="n">
        <v>0.01</v>
      </c>
      <c r="P132" s="36" t="n">
        <v>1.66</v>
      </c>
      <c r="Q132" s="36" t="n">
        <v>12.39</v>
      </c>
      <c r="R132" s="36" t="n">
        <v>0</v>
      </c>
      <c r="S132" s="36" t="n">
        <v>0</v>
      </c>
      <c r="T132" s="37" t="n">
        <v>0.8</v>
      </c>
      <c r="U132" s="37" t="n">
        <v>0.625</v>
      </c>
      <c r="V132" s="37" t="n">
        <v>0.84375</v>
      </c>
      <c r="W132" s="37" t="n">
        <v>0.8</v>
      </c>
    </row>
    <row r="133">
      <c r="A133" s="53" t="n">
        <v>45812</v>
      </c>
      <c r="B133" t="inlineStr">
        <is>
          <t>R06_Jawa Timur</t>
        </is>
      </c>
      <c r="C133" t="inlineStr">
        <is>
          <t>NOP SURABAYA</t>
        </is>
      </c>
      <c r="D133" s="36" t="n">
        <v>1.92</v>
      </c>
      <c r="E133" s="36" t="n">
        <v>0</v>
      </c>
      <c r="F133" s="36" t="n">
        <v>1.56</v>
      </c>
      <c r="G133" s="36" t="n">
        <v>4.56</v>
      </c>
      <c r="H133" s="37" t="n">
        <v>0.5689655172413793</v>
      </c>
      <c r="I133" s="37" t="n">
        <v>0.5</v>
      </c>
      <c r="J133" s="37" t="n">
        <v>0.5714285714285714</v>
      </c>
      <c r="K133" s="37" t="n">
        <v>1</v>
      </c>
      <c r="L133" s="37" t="n">
        <v>1</v>
      </c>
      <c r="M133" s="37" t="n">
        <v>0.9655172413793104</v>
      </c>
      <c r="N133" s="37" t="n">
        <v>0.4137931034482759</v>
      </c>
      <c r="O133" s="36" t="n">
        <v>0.96</v>
      </c>
      <c r="P133" s="36" t="n">
        <v>2.18</v>
      </c>
      <c r="Q133" s="36" t="n">
        <v>7.18</v>
      </c>
      <c r="R133" s="36" t="n">
        <v>25.55</v>
      </c>
      <c r="S133" s="36" t="n">
        <v>0</v>
      </c>
      <c r="T133" s="37" t="n">
        <v>0.6434108527131783</v>
      </c>
      <c r="U133" s="37" t="n">
        <v>0.3888888888888889</v>
      </c>
      <c r="V133" s="37" t="n">
        <v>0.6846846846846847</v>
      </c>
      <c r="W133" s="37" t="n">
        <v>0.5714285714285714</v>
      </c>
    </row>
    <row r="134">
      <c r="A134" s="53" t="n">
        <v>45812</v>
      </c>
      <c r="B134" t="inlineStr">
        <is>
          <t>R07_Bali Nusra</t>
        </is>
      </c>
      <c r="C134" t="inlineStr">
        <is>
          <t>NOP DENPASAR</t>
        </is>
      </c>
      <c r="D134" s="36" t="n">
        <v>3.7</v>
      </c>
      <c r="E134" s="36" t="n">
        <v>0</v>
      </c>
      <c r="F134" s="36" t="n">
        <v>2.56</v>
      </c>
      <c r="G134" s="36" t="n">
        <v>2.24</v>
      </c>
      <c r="H134" s="37" t="n">
        <v>0.90625</v>
      </c>
      <c r="I134" s="37" t="n">
        <v>1</v>
      </c>
      <c r="J134" s="37" t="n">
        <v>0.8928571428571429</v>
      </c>
      <c r="K134" s="37" t="n">
        <v>1</v>
      </c>
      <c r="L134" s="37" t="n">
        <v>1</v>
      </c>
      <c r="M134" s="37" t="n">
        <v>1</v>
      </c>
      <c r="N134" s="37" t="n">
        <v>0.96875</v>
      </c>
      <c r="O134" s="36" t="n">
        <v>0.01</v>
      </c>
      <c r="P134" s="36" t="n">
        <v>5.66</v>
      </c>
      <c r="Q134" s="36" t="n">
        <v>10.13</v>
      </c>
      <c r="R134" s="36" t="n">
        <v>21.83</v>
      </c>
      <c r="S134" s="36" t="n">
        <v>0</v>
      </c>
      <c r="T134" s="37" t="n">
        <v>0.825</v>
      </c>
      <c r="U134" s="37" t="n">
        <v>0.9666666666666667</v>
      </c>
      <c r="V134" s="37" t="n">
        <v>0.74</v>
      </c>
      <c r="W134" s="37" t="n">
        <v>0.5172413793103449</v>
      </c>
    </row>
    <row r="135">
      <c r="A135" s="53" t="n">
        <v>45812</v>
      </c>
      <c r="B135" t="inlineStr">
        <is>
          <t>R07_Bali Nusra</t>
        </is>
      </c>
      <c r="C135" t="inlineStr">
        <is>
          <t>NOP FLORES</t>
        </is>
      </c>
      <c r="D135" s="36" t="n">
        <v>2.86</v>
      </c>
      <c r="E135" s="36" t="n">
        <v>3.66</v>
      </c>
      <c r="F135" s="36" t="n">
        <v>6.75</v>
      </c>
      <c r="G135" s="36" t="n">
        <v>14.37</v>
      </c>
      <c r="H135" s="37" t="n">
        <v>0.3930131004366812</v>
      </c>
      <c r="I135" s="37" t="n">
        <v>0.66</v>
      </c>
      <c r="J135" s="37" t="n">
        <v>0.3184357541899441</v>
      </c>
      <c r="K135" s="37" t="n">
        <v>0.7575757575757576</v>
      </c>
      <c r="L135" s="37" t="n">
        <v>0.7575757575757576</v>
      </c>
      <c r="M135" s="37" t="n">
        <v>0.9956331877729258</v>
      </c>
      <c r="N135" s="37" t="n">
        <v>0.2969432314410481</v>
      </c>
      <c r="O135" s="36" t="n">
        <v>0.23</v>
      </c>
      <c r="P135" s="36" t="n">
        <v>9.42</v>
      </c>
      <c r="Q135" s="36" t="n">
        <v>7.8</v>
      </c>
      <c r="R135" s="36" t="n">
        <v>124.12</v>
      </c>
      <c r="S135" s="36" t="n">
        <v>0</v>
      </c>
      <c r="T135" s="37" t="n">
        <v>0.5085227272727273</v>
      </c>
      <c r="U135" s="37" t="n">
        <v>0.5168067226890757</v>
      </c>
      <c r="V135" s="37" t="n">
        <v>0.4912280701754386</v>
      </c>
      <c r="W135" s="37" t="n">
        <v>0.8455284552845529</v>
      </c>
    </row>
    <row r="136">
      <c r="A136" s="53" t="n">
        <v>45812</v>
      </c>
      <c r="B136" t="inlineStr">
        <is>
          <t>R07_Bali Nusra</t>
        </is>
      </c>
      <c r="C136" t="inlineStr">
        <is>
          <t>NOP KUPANG</t>
        </is>
      </c>
      <c r="D136" s="36" t="n">
        <v>1.42</v>
      </c>
      <c r="E136" s="36" t="n">
        <v>5.55</v>
      </c>
      <c r="F136" s="36" t="n">
        <v>7.68</v>
      </c>
      <c r="G136" s="36" t="n">
        <v>8.609999999999999</v>
      </c>
      <c r="H136" s="37" t="n">
        <v>0.4965034965034965</v>
      </c>
      <c r="I136" s="37" t="n">
        <v>0.68</v>
      </c>
      <c r="J136" s="37" t="n">
        <v>0.4576271186440678</v>
      </c>
      <c r="K136" s="37" t="n">
        <v>0.8235294117647058</v>
      </c>
      <c r="L136" s="37" t="n">
        <v>0.8235294117647058</v>
      </c>
      <c r="M136" s="37" t="n">
        <v>1</v>
      </c>
      <c r="N136" s="37" t="n">
        <v>0.2447552447552448</v>
      </c>
      <c r="O136" s="36" t="n">
        <v>0</v>
      </c>
      <c r="P136" s="36" t="n">
        <v>7.55</v>
      </c>
      <c r="Q136" s="36" t="n">
        <v>10.41</v>
      </c>
      <c r="R136" s="36" t="n">
        <v>66.34</v>
      </c>
      <c r="S136" s="36" t="n">
        <v>0</v>
      </c>
      <c r="T136" s="37" t="n">
        <v>0.4741379310344828</v>
      </c>
      <c r="U136" s="37" t="n">
        <v>0.5531914893617021</v>
      </c>
      <c r="V136" s="37" t="n">
        <v>0.4202898550724637</v>
      </c>
      <c r="W136" s="37" t="n">
        <v>0.7307692307692307</v>
      </c>
    </row>
    <row r="137">
      <c r="A137" s="53" t="n">
        <v>45812</v>
      </c>
      <c r="B137" t="inlineStr">
        <is>
          <t>R07_Bali Nusra</t>
        </is>
      </c>
      <c r="C137" t="inlineStr">
        <is>
          <t>NOP MATARAM</t>
        </is>
      </c>
      <c r="D137" s="36" t="n">
        <v>0.91</v>
      </c>
      <c r="E137" s="36" t="n">
        <v>2.87</v>
      </c>
      <c r="F137" s="36" t="n">
        <v>2.74</v>
      </c>
      <c r="G137" s="36" t="n">
        <v>4.15</v>
      </c>
      <c r="H137" s="37" t="n">
        <v>0.7027027027027027</v>
      </c>
      <c r="I137" s="37" t="n">
        <v>0.8</v>
      </c>
      <c r="J137" s="37" t="n">
        <v>0.6875</v>
      </c>
      <c r="K137" s="37" t="n">
        <v>0.5</v>
      </c>
      <c r="L137" s="37" t="n">
        <v>0.5</v>
      </c>
      <c r="M137" s="37" t="n">
        <v>1</v>
      </c>
      <c r="N137" s="37" t="n">
        <v>0.3648648648648649</v>
      </c>
      <c r="O137" s="36" t="n">
        <v>0</v>
      </c>
      <c r="P137" s="36" t="n">
        <v>14.53</v>
      </c>
      <c r="Q137" s="36" t="n">
        <v>8.81</v>
      </c>
      <c r="R137" s="36" t="n">
        <v>47.23</v>
      </c>
      <c r="S137" s="36" t="n">
        <v>0</v>
      </c>
      <c r="T137" s="37" t="n">
        <v>0.5547945205479452</v>
      </c>
      <c r="U137" s="37" t="n">
        <v>0.5865384615384616</v>
      </c>
      <c r="V137" s="37" t="n">
        <v>0.4761904761904762</v>
      </c>
      <c r="W137" s="37" t="n">
        <v>0.459016393442623</v>
      </c>
    </row>
    <row r="138">
      <c r="A138" s="53" t="n">
        <v>45813</v>
      </c>
      <c r="B138" t="inlineStr">
        <is>
          <t>R01_Sumbagut</t>
        </is>
      </c>
      <c r="C138" t="inlineStr">
        <is>
          <t>NOP ACEH</t>
        </is>
      </c>
      <c r="D138" s="36" t="n">
        <v>1.91</v>
      </c>
      <c r="E138" s="36" t="n">
        <v>5.04</v>
      </c>
      <c r="F138" s="36" t="n">
        <v>4.63</v>
      </c>
      <c r="G138" s="36" t="n">
        <v>7.78</v>
      </c>
      <c r="H138" s="37" t="n">
        <v>0.8814589665653495</v>
      </c>
      <c r="I138" s="37" t="n">
        <v>0.8702290076335878</v>
      </c>
      <c r="J138" s="37" t="n">
        <v>0.8842504743833017</v>
      </c>
      <c r="K138" s="37" t="n">
        <v>0.5</v>
      </c>
      <c r="L138" s="37" t="n">
        <v>0.5047619047619047</v>
      </c>
      <c r="M138" s="37" t="n">
        <v>0.9969604863221885</v>
      </c>
      <c r="N138" s="37" t="n">
        <v>0.3951367781155015</v>
      </c>
      <c r="O138" s="36" t="n">
        <v>0.02</v>
      </c>
      <c r="P138" s="36" t="n">
        <v>3.86</v>
      </c>
      <c r="Q138" s="36" t="n">
        <v>74</v>
      </c>
      <c r="R138" s="36" t="n">
        <v>173.68</v>
      </c>
      <c r="S138" s="36" t="n">
        <v>0</v>
      </c>
      <c r="T138" s="37" t="n">
        <v>0.8795180722891566</v>
      </c>
      <c r="U138" s="37" t="n">
        <v>0.7108843537414966</v>
      </c>
      <c r="V138" s="37" t="n">
        <v>0.9500734214390602</v>
      </c>
      <c r="W138" s="37" t="n">
        <v>0.277511961722488</v>
      </c>
    </row>
    <row r="139">
      <c r="A139" s="53" t="n">
        <v>45813</v>
      </c>
      <c r="B139" t="inlineStr">
        <is>
          <t>R01_Sumbagut</t>
        </is>
      </c>
      <c r="C139" t="inlineStr">
        <is>
          <t>NOP BINJAI</t>
        </is>
      </c>
      <c r="D139" s="36" t="n">
        <v>3.35</v>
      </c>
      <c r="E139" s="36" t="n">
        <v>5.55</v>
      </c>
      <c r="F139" s="36" t="n">
        <v>5.89</v>
      </c>
      <c r="G139" s="36" t="n">
        <v>5.64</v>
      </c>
      <c r="H139" s="37" t="n">
        <v>0.6194029850746269</v>
      </c>
      <c r="I139" s="37" t="n">
        <v>0.7029702970297029</v>
      </c>
      <c r="J139" s="37" t="n">
        <v>0.5913621262458472</v>
      </c>
      <c r="K139" s="37" t="n">
        <v>0.4084507042253521</v>
      </c>
      <c r="L139" s="37" t="n">
        <v>0.4084507042253521</v>
      </c>
      <c r="M139" s="37" t="n">
        <v>0.9875621890547264</v>
      </c>
      <c r="N139" s="37" t="n">
        <v>0.3308457711442786</v>
      </c>
      <c r="O139" s="36" t="n">
        <v>0</v>
      </c>
      <c r="P139" s="36" t="n">
        <v>4.2</v>
      </c>
      <c r="Q139" s="36" t="n">
        <v>81.59999999999999</v>
      </c>
      <c r="R139" s="36" t="n">
        <v>152.55</v>
      </c>
      <c r="S139" s="36" t="n">
        <v>0</v>
      </c>
      <c r="T139" s="37" t="n">
        <v>0.6919999999999999</v>
      </c>
      <c r="U139" s="37" t="n">
        <v>0.5542857142857143</v>
      </c>
      <c r="V139" s="37" t="n">
        <v>0.7692307692307693</v>
      </c>
      <c r="W139" s="37" t="n">
        <v>0.4845360824742268</v>
      </c>
    </row>
    <row r="140">
      <c r="A140" s="53" t="n">
        <v>45813</v>
      </c>
      <c r="B140" t="inlineStr">
        <is>
          <t>R01_Sumbagut</t>
        </is>
      </c>
      <c r="C140" t="inlineStr">
        <is>
          <t>NOP MEDAN</t>
        </is>
      </c>
      <c r="D140" s="36" t="n">
        <v>2.2</v>
      </c>
      <c r="E140" s="36" t="n">
        <v>5.38</v>
      </c>
      <c r="F140" s="36" t="n">
        <v>3.96</v>
      </c>
      <c r="G140" s="36" t="n">
        <v>8.23</v>
      </c>
      <c r="H140" s="37" t="n">
        <v>0.4117647058823529</v>
      </c>
      <c r="I140" s="37" t="n">
        <v>0.4537037037037037</v>
      </c>
      <c r="J140" s="37" t="n">
        <v>0.3922413793103448</v>
      </c>
      <c r="K140" s="37" t="n">
        <v>0.7142857142857143</v>
      </c>
      <c r="L140" s="37" t="n">
        <v>0.723404255319149</v>
      </c>
      <c r="M140" s="37" t="n">
        <v>1</v>
      </c>
      <c r="N140" s="37" t="n">
        <v>0.2323529411764706</v>
      </c>
      <c r="O140" s="36" t="n">
        <v>0</v>
      </c>
      <c r="P140" s="36" t="n">
        <v>5.13</v>
      </c>
      <c r="Q140" s="36" t="n">
        <v>15.6</v>
      </c>
      <c r="R140" s="36" t="n">
        <v>3.15</v>
      </c>
      <c r="S140" s="36" t="n">
        <v>0</v>
      </c>
      <c r="T140" s="37" t="n">
        <v>0.3548387096774194</v>
      </c>
      <c r="U140" s="37" t="n">
        <v>0.1827956989247312</v>
      </c>
      <c r="V140" s="37" t="n">
        <v>0.4608294930875576</v>
      </c>
      <c r="W140" s="37" t="n">
        <v>0.8235294117647058</v>
      </c>
    </row>
    <row r="141">
      <c r="A141" s="53" t="n">
        <v>45813</v>
      </c>
      <c r="B141" t="inlineStr">
        <is>
          <t>R01_Sumbagut</t>
        </is>
      </c>
      <c r="C141" t="inlineStr">
        <is>
          <t>NOP PADANG SIDEMPUAN</t>
        </is>
      </c>
      <c r="D141" s="36" t="n">
        <v>0</v>
      </c>
      <c r="E141" s="36" t="n">
        <v>2.79</v>
      </c>
      <c r="F141" s="36" t="n">
        <v>4.47</v>
      </c>
      <c r="G141" s="36" t="n">
        <v>5.88</v>
      </c>
      <c r="H141" s="37" t="n">
        <v>0.4013840830449827</v>
      </c>
      <c r="I141" s="37" t="n">
        <v>0.84375</v>
      </c>
      <c r="J141" s="37" t="n">
        <v>0.3463035019455253</v>
      </c>
      <c r="K141" s="37" t="n">
        <v>0.5555555555555556</v>
      </c>
      <c r="L141" s="37" t="n">
        <v>0.5555555555555556</v>
      </c>
      <c r="M141" s="37" t="n">
        <v>0.9965397923875432</v>
      </c>
      <c r="N141" s="37" t="n">
        <v>0.1591695501730104</v>
      </c>
      <c r="O141" s="36" t="n">
        <v>0.01</v>
      </c>
      <c r="P141" s="36" t="n">
        <v>3.04</v>
      </c>
      <c r="Q141" s="36" t="n">
        <v>6.76</v>
      </c>
      <c r="R141" s="36" t="n">
        <v>143.55</v>
      </c>
      <c r="S141" s="36" t="n">
        <v>0</v>
      </c>
      <c r="T141" s="37" t="n">
        <v>0.7220902612826603</v>
      </c>
      <c r="U141" s="37" t="n">
        <v>0.7019704433497537</v>
      </c>
      <c r="V141" s="37" t="n">
        <v>0.7406542056074766</v>
      </c>
      <c r="W141" s="37" t="n">
        <v>0.5403508771929825</v>
      </c>
    </row>
    <row r="142">
      <c r="A142" s="53" t="n">
        <v>45813</v>
      </c>
      <c r="B142" t="inlineStr">
        <is>
          <t>R01_Sumbagut</t>
        </is>
      </c>
      <c r="C142" t="inlineStr">
        <is>
          <t>NOP PEMATANG SIANTAR</t>
        </is>
      </c>
      <c r="D142" s="36" t="n">
        <v>1.08</v>
      </c>
      <c r="E142" s="36" t="n">
        <v>3.18</v>
      </c>
      <c r="F142" s="36" t="n">
        <v>3.73</v>
      </c>
      <c r="G142" s="36" t="n">
        <v>5.04</v>
      </c>
      <c r="H142" s="37" t="n">
        <v>0.4019230769230769</v>
      </c>
      <c r="I142" s="37" t="n">
        <v>0.6825396825396826</v>
      </c>
      <c r="J142" s="37" t="n">
        <v>0.3121827411167513</v>
      </c>
      <c r="K142" s="37" t="n">
        <v>0.3488372093023256</v>
      </c>
      <c r="L142" s="37" t="n">
        <v>0.35</v>
      </c>
      <c r="M142" s="37" t="n">
        <v>1</v>
      </c>
      <c r="N142" s="37" t="n">
        <v>0.2230769230769231</v>
      </c>
      <c r="O142" s="36" t="n">
        <v>0.03</v>
      </c>
      <c r="P142" s="36" t="n">
        <v>3.94</v>
      </c>
      <c r="Q142" s="36" t="n">
        <v>67.09999999999999</v>
      </c>
      <c r="R142" s="36" t="n">
        <v>122.09</v>
      </c>
      <c r="S142" s="36" t="n">
        <v>0</v>
      </c>
      <c r="T142" s="37" t="n">
        <v>0.608876560332871</v>
      </c>
      <c r="U142" s="37" t="n">
        <v>0.6689655172413793</v>
      </c>
      <c r="V142" s="37" t="n">
        <v>0.5776081424936387</v>
      </c>
      <c r="W142" s="37" t="n">
        <v>0.520618556701031</v>
      </c>
    </row>
    <row r="143">
      <c r="A143" s="53" t="n">
        <v>45813</v>
      </c>
      <c r="B143" t="inlineStr">
        <is>
          <t>R01_Sumbagut</t>
        </is>
      </c>
      <c r="C143" t="inlineStr">
        <is>
          <t>NOP RANTAU PRAPAT</t>
        </is>
      </c>
      <c r="D143" s="36" t="n">
        <v>3.34</v>
      </c>
      <c r="E143" s="36" t="n">
        <v>2.92</v>
      </c>
      <c r="F143" s="36" t="n">
        <v>3.16</v>
      </c>
      <c r="G143" s="36" t="n">
        <v>2.78</v>
      </c>
      <c r="H143" s="37" t="n">
        <v>0.399135446685879</v>
      </c>
      <c r="I143" s="37" t="n">
        <v>0.3228346456692913</v>
      </c>
      <c r="J143" s="37" t="n">
        <v>0.4162257495590829</v>
      </c>
      <c r="K143" s="37" t="n">
        <v>0.7073170731707317</v>
      </c>
      <c r="L143" s="37" t="n">
        <v>0.7073170731707317</v>
      </c>
      <c r="M143" s="37" t="n">
        <v>0.9884726224783862</v>
      </c>
      <c r="N143" s="37" t="n">
        <v>0.2377521613832853</v>
      </c>
      <c r="O143" s="36" t="n">
        <v>0</v>
      </c>
      <c r="P143" s="36" t="n">
        <v>3.54</v>
      </c>
      <c r="Q143" s="36" t="n">
        <v>32.67</v>
      </c>
      <c r="R143" s="36" t="n">
        <v>122.33</v>
      </c>
      <c r="S143" s="36" t="n">
        <v>0</v>
      </c>
      <c r="T143" s="37" t="n">
        <v>0.2152560083594566</v>
      </c>
      <c r="U143" s="37" t="n">
        <v>0.2957746478873239</v>
      </c>
      <c r="V143" s="37" t="n">
        <v>0.1876750700280112</v>
      </c>
      <c r="W143" s="37" t="n">
        <v>0.6190476190476191</v>
      </c>
    </row>
    <row r="144">
      <c r="A144" s="53" t="n">
        <v>45813</v>
      </c>
      <c r="B144" t="inlineStr">
        <is>
          <t>R10_Sumbagteng</t>
        </is>
      </c>
      <c r="C144" t="inlineStr">
        <is>
          <t>NOP BATAM</t>
        </is>
      </c>
      <c r="D144" s="36" t="n">
        <v>3.8</v>
      </c>
      <c r="E144" s="36" t="n">
        <v>7.49</v>
      </c>
      <c r="F144" s="36" t="n">
        <v>6.35</v>
      </c>
      <c r="G144" s="36" t="n">
        <v>6.71</v>
      </c>
      <c r="H144" s="37" t="n">
        <v>0.5594149908592322</v>
      </c>
      <c r="I144" s="37" t="n">
        <v>0.7916666666666666</v>
      </c>
      <c r="J144" s="37" t="n">
        <v>0.4941451990632318</v>
      </c>
      <c r="K144" s="37" t="n">
        <v>0.7894736842105263</v>
      </c>
      <c r="L144" s="37" t="n">
        <v>0.7956989247311828</v>
      </c>
      <c r="M144" s="37" t="n">
        <v>0.9981718464351006</v>
      </c>
      <c r="N144" s="37" t="n">
        <v>0.4223034734917733</v>
      </c>
      <c r="O144" s="36" t="n">
        <v>1.39</v>
      </c>
      <c r="P144" s="36" t="n">
        <v>9.960000000000001</v>
      </c>
      <c r="Q144" s="36" t="n">
        <v>70.81</v>
      </c>
      <c r="R144" s="36" t="n">
        <v>169.69</v>
      </c>
      <c r="S144" s="36" t="n">
        <v>0</v>
      </c>
      <c r="T144" s="37" t="n">
        <v>0.3554083885209713</v>
      </c>
      <c r="U144" s="37" t="n">
        <v>0.5744047619047619</v>
      </c>
      <c r="V144" s="37" t="n">
        <v>0.2786561264822134</v>
      </c>
      <c r="W144" s="37" t="n">
        <v>0.8290155440414507</v>
      </c>
    </row>
    <row r="145">
      <c r="A145" s="53" t="n">
        <v>45813</v>
      </c>
      <c r="B145" t="inlineStr">
        <is>
          <t>R10_Sumbagteng</t>
        </is>
      </c>
      <c r="C145" t="inlineStr">
        <is>
          <t>NOP BUKITTINGGI</t>
        </is>
      </c>
      <c r="D145" s="36" t="n">
        <v>2.06</v>
      </c>
      <c r="E145" s="36" t="n">
        <v>3.65</v>
      </c>
      <c r="F145" s="36" t="n">
        <v>3.13</v>
      </c>
      <c r="G145" s="36" t="n">
        <v>2.65</v>
      </c>
      <c r="H145" s="37" t="n">
        <v>0.7203389830508474</v>
      </c>
      <c r="I145" s="37" t="n">
        <v>0.8023255813953488</v>
      </c>
      <c r="J145" s="37" t="n">
        <v>0.6940298507462687</v>
      </c>
      <c r="K145" s="37" t="n">
        <v>0.4927536231884058</v>
      </c>
      <c r="L145" s="37" t="n">
        <v>0.5074626865671642</v>
      </c>
      <c r="M145" s="37" t="n">
        <v>0.963276836158192</v>
      </c>
      <c r="N145" s="37" t="n">
        <v>0.3728813559322034</v>
      </c>
      <c r="O145" s="36" t="n">
        <v>1.81</v>
      </c>
      <c r="P145" s="36" t="n">
        <v>4.45</v>
      </c>
      <c r="Q145" s="36" t="n">
        <v>92.31999999999999</v>
      </c>
      <c r="R145" s="36" t="n">
        <v>150.13</v>
      </c>
      <c r="S145" s="36" t="n">
        <v>0</v>
      </c>
      <c r="T145" s="37" t="n">
        <v>0.5885167464114832</v>
      </c>
      <c r="U145" s="37" t="n">
        <v>0.75</v>
      </c>
      <c r="V145" s="37" t="n">
        <v>0.5487804878048781</v>
      </c>
      <c r="W145" s="37" t="n">
        <v>0.6</v>
      </c>
    </row>
    <row r="146">
      <c r="A146" s="53" t="n">
        <v>45813</v>
      </c>
      <c r="B146" t="inlineStr">
        <is>
          <t>R10_Sumbagteng</t>
        </is>
      </c>
      <c r="C146" t="inlineStr">
        <is>
          <t>NOP DUMAI</t>
        </is>
      </c>
      <c r="D146" s="36" t="n">
        <v>2.96</v>
      </c>
      <c r="E146" s="36" t="n">
        <v>4.68</v>
      </c>
      <c r="F146" s="36" t="n">
        <v>4.8</v>
      </c>
      <c r="G146" s="36" t="n">
        <v>6.42</v>
      </c>
      <c r="H146" s="37" t="n">
        <v>0.5054811205846529</v>
      </c>
      <c r="I146" s="37" t="n">
        <v>0.5821596244131455</v>
      </c>
      <c r="J146" s="37" t="n">
        <v>0.4786184210526316</v>
      </c>
      <c r="K146" s="37" t="n">
        <v>0.6774193548387096</v>
      </c>
      <c r="L146" s="37" t="n">
        <v>0.6916666666666667</v>
      </c>
      <c r="M146" s="37" t="n">
        <v>0.9878197320341048</v>
      </c>
      <c r="N146" s="37" t="n">
        <v>0.3081607795371498</v>
      </c>
      <c r="O146" s="36" t="n">
        <v>0.01</v>
      </c>
      <c r="P146" s="36" t="n">
        <v>9.65</v>
      </c>
      <c r="Q146" s="36" t="n">
        <v>52.23</v>
      </c>
      <c r="R146" s="36" t="n">
        <v>132.95</v>
      </c>
      <c r="S146" s="36" t="n">
        <v>0</v>
      </c>
      <c r="T146" s="37" t="n">
        <v>0.2268859897901305</v>
      </c>
      <c r="U146" s="37" t="n">
        <v>0.3621103117505995</v>
      </c>
      <c r="V146" s="37" t="n">
        <v>0.1846846846846847</v>
      </c>
      <c r="W146" s="37" t="n">
        <v>0.9403973509933775</v>
      </c>
    </row>
    <row r="147">
      <c r="A147" s="53" t="n">
        <v>45813</v>
      </c>
      <c r="B147" t="inlineStr">
        <is>
          <t>R10_Sumbagteng</t>
        </is>
      </c>
      <c r="C147" t="inlineStr">
        <is>
          <t>NOP PADANG</t>
        </is>
      </c>
      <c r="D147" s="36" t="n">
        <v>0</v>
      </c>
      <c r="E147" s="36" t="n">
        <v>3.86</v>
      </c>
      <c r="F147" s="36" t="n">
        <v>4.19</v>
      </c>
      <c r="G147" s="36" t="n">
        <v>6.12</v>
      </c>
      <c r="H147" s="37" t="n">
        <v>0.6987577639751553</v>
      </c>
      <c r="I147" s="37" t="n">
        <v>0.64</v>
      </c>
      <c r="J147" s="37" t="n">
        <v>0.7037037037037037</v>
      </c>
      <c r="K147" s="37" t="n">
        <v>0.6875</v>
      </c>
      <c r="L147" s="37" t="n">
        <v>0.6875</v>
      </c>
      <c r="M147" s="37" t="n">
        <v>0.9627329192546584</v>
      </c>
      <c r="N147" s="37" t="n">
        <v>0.3043478260869565</v>
      </c>
      <c r="O147" s="36" t="n">
        <v>0.03</v>
      </c>
      <c r="P147" s="36" t="n">
        <v>5.24</v>
      </c>
      <c r="Q147" s="36" t="n">
        <v>68.09</v>
      </c>
      <c r="R147" s="36" t="n">
        <v>198.26</v>
      </c>
      <c r="S147" s="36" t="n">
        <v>0</v>
      </c>
      <c r="T147" s="37" t="n">
        <v>0.8318777292576419</v>
      </c>
      <c r="U147" s="37" t="n">
        <v>0.6808510638297872</v>
      </c>
      <c r="V147" s="37" t="n">
        <v>0.8971061093247589</v>
      </c>
      <c r="W147" s="37" t="n">
        <v>0.71875</v>
      </c>
    </row>
    <row r="148">
      <c r="A148" s="53" t="n">
        <v>45813</v>
      </c>
      <c r="B148" t="inlineStr">
        <is>
          <t>R10_Sumbagteng</t>
        </is>
      </c>
      <c r="C148" t="inlineStr">
        <is>
          <t>NOP PEKANBARU</t>
        </is>
      </c>
      <c r="D148" s="36" t="n">
        <v>3.14</v>
      </c>
      <c r="E148" s="36" t="n">
        <v>5.76</v>
      </c>
      <c r="F148" s="36" t="n">
        <v>4.33</v>
      </c>
      <c r="G148" s="36" t="n">
        <v>7.66</v>
      </c>
      <c r="H148" s="37" t="n">
        <v>0.4322396576319544</v>
      </c>
      <c r="I148" s="37" t="n">
        <v>0.375</v>
      </c>
      <c r="J148" s="37" t="n">
        <v>0.4431239388794567</v>
      </c>
      <c r="K148" s="37" t="n">
        <v>0.7380952380952381</v>
      </c>
      <c r="L148" s="37" t="n">
        <v>0.7380952380952381</v>
      </c>
      <c r="M148" s="37" t="n">
        <v>0.992867332382311</v>
      </c>
      <c r="N148" s="37" t="n">
        <v>0.2482168330955777</v>
      </c>
      <c r="O148" s="36" t="n">
        <v>0.83</v>
      </c>
      <c r="P148" s="36" t="n">
        <v>5.82</v>
      </c>
      <c r="Q148" s="36" t="n">
        <v>46.27</v>
      </c>
      <c r="R148" s="36" t="n">
        <v>80.37</v>
      </c>
      <c r="S148" s="36" t="n">
        <v>0</v>
      </c>
      <c r="T148" s="37" t="n">
        <v>0.2986627043090639</v>
      </c>
      <c r="U148" s="37" t="n">
        <v>0.3366336633663367</v>
      </c>
      <c r="V148" s="37" t="n">
        <v>0.28125</v>
      </c>
      <c r="W148" s="37" t="n">
        <v>0.8308823529411765</v>
      </c>
    </row>
    <row r="149">
      <c r="A149" s="53" t="n">
        <v>45813</v>
      </c>
      <c r="B149" t="inlineStr">
        <is>
          <t>R02_Sumbagsel</t>
        </is>
      </c>
      <c r="C149" t="inlineStr">
        <is>
          <t>NOP BENGKULU</t>
        </is>
      </c>
      <c r="D149" s="36" t="n">
        <v>0.88</v>
      </c>
      <c r="E149" s="36" t="n">
        <v>5.28</v>
      </c>
      <c r="F149" s="36" t="n">
        <v>3.23</v>
      </c>
      <c r="G149" s="36" t="n">
        <v>6.34</v>
      </c>
      <c r="H149" s="37" t="n">
        <v>0.5394736842105263</v>
      </c>
      <c r="I149" s="37" t="n">
        <v>0.5894736842105263</v>
      </c>
      <c r="J149" s="37" t="n">
        <v>0.5228070175438596</v>
      </c>
      <c r="K149" s="37" t="n">
        <v>0.6964285714285714</v>
      </c>
      <c r="L149" s="37" t="n">
        <v>0.6964285714285714</v>
      </c>
      <c r="M149" s="37" t="n">
        <v>0.9921052631578947</v>
      </c>
      <c r="N149" s="37" t="n">
        <v>0.3131578947368421</v>
      </c>
      <c r="O149" s="36" t="n">
        <v>0</v>
      </c>
      <c r="P149" s="36" t="n">
        <v>5.23</v>
      </c>
      <c r="Q149" s="36" t="n">
        <v>5.86</v>
      </c>
      <c r="R149" s="36" t="n">
        <v>5</v>
      </c>
      <c r="S149" s="36" t="n">
        <v>0</v>
      </c>
      <c r="T149" s="37" t="n">
        <v>0.5077951002227171</v>
      </c>
      <c r="U149" s="37" t="n">
        <v>0.4294003868471953</v>
      </c>
      <c r="V149" s="37" t="n">
        <v>0.5967741935483871</v>
      </c>
      <c r="W149" s="37" t="n">
        <v>0.8693693693693694</v>
      </c>
    </row>
    <row r="150">
      <c r="A150" s="53" t="n">
        <v>45813</v>
      </c>
      <c r="B150" t="inlineStr">
        <is>
          <t>R02_Sumbagsel</t>
        </is>
      </c>
      <c r="C150" t="inlineStr">
        <is>
          <t>NOP JAMBI</t>
        </is>
      </c>
      <c r="D150" s="36" t="n">
        <v>2.17</v>
      </c>
      <c r="E150" s="36" t="n">
        <v>2.87</v>
      </c>
      <c r="F150" s="36" t="n">
        <v>3.48</v>
      </c>
      <c r="G150" s="36" t="n">
        <v>5.86</v>
      </c>
      <c r="H150" s="37" t="n">
        <v>0.3466898954703833</v>
      </c>
      <c r="I150" s="37" t="n">
        <v>0.3662790697674418</v>
      </c>
      <c r="J150" s="37" t="n">
        <v>0.3383084577114428</v>
      </c>
      <c r="K150" s="37" t="n">
        <v>0.6507936507936508</v>
      </c>
      <c r="L150" s="37" t="n">
        <v>0.6507936507936508</v>
      </c>
      <c r="M150" s="37" t="n">
        <v>1</v>
      </c>
      <c r="N150" s="37" t="n">
        <v>0.1742160278745645</v>
      </c>
      <c r="O150" s="36" t="n">
        <v>0</v>
      </c>
      <c r="P150" s="36" t="n">
        <v>3.43</v>
      </c>
      <c r="Q150" s="36" t="n">
        <v>9.17</v>
      </c>
      <c r="R150" s="36" t="n">
        <v>19.42</v>
      </c>
      <c r="S150" s="36" t="n">
        <v>0</v>
      </c>
      <c r="T150" s="37" t="n">
        <v>0.1918542336548767</v>
      </c>
      <c r="U150" s="37" t="n">
        <v>0.1731958762886598</v>
      </c>
      <c r="V150" s="37" t="n">
        <v>0.250728862973761</v>
      </c>
      <c r="W150" s="37" t="n">
        <v>0.6666666666666666</v>
      </c>
    </row>
    <row r="151">
      <c r="A151" s="53" t="n">
        <v>45813</v>
      </c>
      <c r="B151" t="inlineStr">
        <is>
          <t>R02_Sumbagsel</t>
        </is>
      </c>
      <c r="C151" t="inlineStr">
        <is>
          <t>NOP LAMPUNG</t>
        </is>
      </c>
      <c r="D151" s="36" t="n">
        <v>0</v>
      </c>
      <c r="E151" s="36" t="n">
        <v>4.36</v>
      </c>
      <c r="F151" s="36" t="n">
        <v>4.84</v>
      </c>
      <c r="G151" s="36" t="n">
        <v>4.49</v>
      </c>
      <c r="H151" s="37" t="n">
        <v>0.6078431372549019</v>
      </c>
      <c r="I151" s="37" t="n">
        <v>0.7804878048780488</v>
      </c>
      <c r="J151" s="37" t="n">
        <v>0.5446428571428571</v>
      </c>
      <c r="K151" s="37" t="n">
        <v>0.78125</v>
      </c>
      <c r="L151" s="37" t="n">
        <v>0.78125</v>
      </c>
      <c r="M151" s="37" t="n">
        <v>0.9803921568627451</v>
      </c>
      <c r="N151" s="37" t="n">
        <v>0.4901960784313725</v>
      </c>
      <c r="O151" s="36" t="n">
        <v>0</v>
      </c>
      <c r="P151" s="36" t="n">
        <v>9.77</v>
      </c>
      <c r="Q151" s="36" t="n">
        <v>5.6</v>
      </c>
      <c r="R151" s="36" t="n">
        <v>38.78</v>
      </c>
      <c r="S151" s="36" t="n">
        <v>0</v>
      </c>
      <c r="T151" s="37" t="n">
        <v>0.9114139693356048</v>
      </c>
      <c r="U151" s="37" t="n">
        <v>0.8859649122807017</v>
      </c>
      <c r="V151" s="37" t="n">
        <v>0.930648769574944</v>
      </c>
      <c r="W151" s="37" t="n">
        <v>0.8910891089108911</v>
      </c>
    </row>
    <row r="152">
      <c r="A152" s="53" t="n">
        <v>45813</v>
      </c>
      <c r="B152" t="inlineStr">
        <is>
          <t>R02_Sumbagsel</t>
        </is>
      </c>
      <c r="C152" t="inlineStr">
        <is>
          <t>NOP MUARA ENIM</t>
        </is>
      </c>
      <c r="D152" s="36" t="n">
        <v>2.3</v>
      </c>
      <c r="E152" s="36" t="n">
        <v>4.2</v>
      </c>
      <c r="F152" s="36" t="n">
        <v>4.72</v>
      </c>
      <c r="G152" s="36" t="n">
        <v>5.92</v>
      </c>
      <c r="H152" s="37" t="n">
        <v>0.2916666666666667</v>
      </c>
      <c r="I152" s="37" t="n">
        <v>0.3793103448275862</v>
      </c>
      <c r="J152" s="37" t="n">
        <v>0.2780748663101604</v>
      </c>
      <c r="K152" s="37" t="n">
        <v>0.9393939393939394</v>
      </c>
      <c r="L152" s="37" t="n">
        <v>0.9393939393939394</v>
      </c>
      <c r="M152" s="37" t="n">
        <v>0.9768518518518519</v>
      </c>
      <c r="N152" s="37" t="n">
        <v>0.1604938271604938</v>
      </c>
      <c r="O152" s="36" t="n">
        <v>0</v>
      </c>
      <c r="P152" s="36" t="n">
        <v>16.38</v>
      </c>
      <c r="Q152" s="36" t="n">
        <v>8.300000000000001</v>
      </c>
      <c r="R152" s="36" t="n">
        <v>4.95</v>
      </c>
      <c r="S152" s="36" t="n">
        <v>0</v>
      </c>
      <c r="T152" s="37" t="n">
        <v>0.5309644670050762</v>
      </c>
      <c r="U152" s="37" t="n">
        <v>0.4621848739495799</v>
      </c>
      <c r="V152" s="37" t="n">
        <v>0.6241610738255033</v>
      </c>
      <c r="W152" s="37" t="n">
        <v>0.759090909090909</v>
      </c>
    </row>
    <row r="153">
      <c r="A153" s="53" t="n">
        <v>45813</v>
      </c>
      <c r="B153" t="inlineStr">
        <is>
          <t>R02_Sumbagsel</t>
        </is>
      </c>
      <c r="C153" t="inlineStr">
        <is>
          <t>NOP PALEMBANG</t>
        </is>
      </c>
      <c r="D153" s="36" t="n">
        <v>3.72</v>
      </c>
      <c r="E153" s="36" t="n">
        <v>4.25</v>
      </c>
      <c r="F153" s="36" t="n">
        <v>5.91</v>
      </c>
      <c r="G153" s="36" t="n">
        <v>6.8</v>
      </c>
      <c r="H153" s="37" t="n">
        <v>0.274300932090546</v>
      </c>
      <c r="I153" s="37" t="n">
        <v>0.2727272727272727</v>
      </c>
      <c r="J153" s="37" t="n">
        <v>0.2745398773006135</v>
      </c>
      <c r="K153" s="37" t="n">
        <v>0.4444444444444444</v>
      </c>
      <c r="L153" s="37" t="n">
        <v>0.4444444444444444</v>
      </c>
      <c r="M153" s="37" t="n">
        <v>1</v>
      </c>
      <c r="N153" s="37" t="n">
        <v>0.1251664447403462</v>
      </c>
      <c r="O153" s="36" t="n">
        <v>0</v>
      </c>
      <c r="P153" s="36" t="n">
        <v>3.02</v>
      </c>
      <c r="Q153" s="36" t="n">
        <v>9.380000000000001</v>
      </c>
      <c r="R153" s="36" t="n">
        <v>73.03</v>
      </c>
      <c r="S153" s="36" t="n">
        <v>0</v>
      </c>
      <c r="T153" s="37" t="n">
        <v>0.1235230934479055</v>
      </c>
      <c r="U153" s="37" t="n">
        <v>0.09649122807017543</v>
      </c>
      <c r="V153" s="37" t="n">
        <v>0.2325581395348837</v>
      </c>
      <c r="W153" s="37" t="n">
        <v>0.7272727272727273</v>
      </c>
    </row>
    <row r="154">
      <c r="A154" s="53" t="n">
        <v>45813</v>
      </c>
      <c r="B154" t="inlineStr">
        <is>
          <t>R02_Sumbagsel</t>
        </is>
      </c>
      <c r="C154" t="inlineStr">
        <is>
          <t>NOP PANGKAL PINANG</t>
        </is>
      </c>
      <c r="D154" s="36" t="n">
        <v>0</v>
      </c>
      <c r="E154" s="36" t="n">
        <v>3.33</v>
      </c>
      <c r="F154" s="36" t="n">
        <v>3.92</v>
      </c>
      <c r="G154" s="36" t="n">
        <v>3.55</v>
      </c>
      <c r="H154" s="37" t="n">
        <v>0.7352941176470589</v>
      </c>
      <c r="I154" s="37" t="n">
        <v>0.4</v>
      </c>
      <c r="J154" s="37" t="n">
        <v>0.7525773195876289</v>
      </c>
      <c r="K154" s="37" t="n">
        <v>0.5</v>
      </c>
      <c r="L154" s="37" t="n">
        <v>0.5</v>
      </c>
      <c r="M154" s="37" t="n">
        <v>1</v>
      </c>
      <c r="N154" s="37" t="n">
        <v>0.4313725490196079</v>
      </c>
      <c r="O154" s="36" t="n">
        <v>0</v>
      </c>
      <c r="P154" s="36" t="n">
        <v>5.51</v>
      </c>
      <c r="Q154" s="36" t="n">
        <v>5.89</v>
      </c>
      <c r="R154" s="36" t="n">
        <v>5.13</v>
      </c>
      <c r="S154" s="36" t="n">
        <v>0</v>
      </c>
      <c r="T154" s="37" t="n">
        <v>0.9301745635910225</v>
      </c>
      <c r="U154" s="37" t="n">
        <v>0.9291338582677166</v>
      </c>
      <c r="V154" s="37" t="n">
        <v>0.9402985074626866</v>
      </c>
      <c r="W154" s="37" t="n">
        <v>0.8728813559322034</v>
      </c>
    </row>
    <row r="155">
      <c r="A155" s="53" t="n">
        <v>45813</v>
      </c>
      <c r="B155" t="inlineStr">
        <is>
          <t>R05_Jawa Tengah DIY</t>
        </is>
      </c>
      <c r="C155" t="inlineStr">
        <is>
          <t>NOP MAGELANG</t>
        </is>
      </c>
      <c r="D155" s="36" t="n">
        <v>0.87</v>
      </c>
      <c r="E155" s="36" t="n">
        <v>0</v>
      </c>
      <c r="F155" s="36" t="n">
        <v>2.43</v>
      </c>
      <c r="G155" s="36" t="n">
        <v>2.34</v>
      </c>
      <c r="H155" s="37" t="n">
        <v>0.7865168539325843</v>
      </c>
      <c r="I155" s="37" t="n">
        <v>0.5</v>
      </c>
      <c r="J155" s="37" t="n">
        <v>0.7931034482758621</v>
      </c>
      <c r="K155" s="37" t="n">
        <v>1</v>
      </c>
      <c r="L155" s="37" t="n">
        <v>1</v>
      </c>
      <c r="M155" s="37" t="n">
        <v>1</v>
      </c>
      <c r="N155" s="37" t="n">
        <v>0.6741573033707865</v>
      </c>
      <c r="O155" s="36" t="n">
        <v>0</v>
      </c>
      <c r="P155" s="36" t="n">
        <v>2.34</v>
      </c>
      <c r="Q155" s="36" t="n">
        <v>5.65</v>
      </c>
      <c r="R155" s="36" t="n">
        <v>12.01</v>
      </c>
      <c r="S155" s="36" t="n">
        <v>0</v>
      </c>
      <c r="T155" s="37" t="n">
        <v>0.9404388714733543</v>
      </c>
      <c r="U155" s="37" t="n">
        <v>0.7954545454545454</v>
      </c>
      <c r="V155" s="37" t="n">
        <v>0.9636363636363636</v>
      </c>
      <c r="W155" s="37" t="n">
        <v>0.8571428571428571</v>
      </c>
    </row>
    <row r="156">
      <c r="A156" s="53" t="n">
        <v>45813</v>
      </c>
      <c r="B156" t="inlineStr">
        <is>
          <t>R05_Jawa Tengah DIY</t>
        </is>
      </c>
      <c r="C156" t="inlineStr">
        <is>
          <t>NOP PEKALONGAN</t>
        </is>
      </c>
      <c r="D156" s="36" t="n">
        <v>1.04</v>
      </c>
      <c r="E156" s="36" t="n">
        <v>0</v>
      </c>
      <c r="F156" s="36" t="n">
        <v>3.56</v>
      </c>
      <c r="G156" s="36" t="n">
        <v>10.46</v>
      </c>
      <c r="H156" s="37" t="n">
        <v>0.7307692307692307</v>
      </c>
      <c r="I156" s="37" t="n">
        <v>0.6666666666666666</v>
      </c>
      <c r="J156" s="37" t="n">
        <v>0.7346938775510204</v>
      </c>
      <c r="K156" s="37" t="n">
        <v>1</v>
      </c>
      <c r="L156" s="37" t="n">
        <v>1</v>
      </c>
      <c r="M156" s="37" t="n">
        <v>0.9807692307692307</v>
      </c>
      <c r="N156" s="37" t="n">
        <v>0.5</v>
      </c>
      <c r="O156" s="36" t="n">
        <v>0</v>
      </c>
      <c r="P156" s="36" t="n">
        <v>2.69</v>
      </c>
      <c r="Q156" s="36" t="n">
        <v>10.34</v>
      </c>
      <c r="R156" s="36" t="n">
        <v>59.15</v>
      </c>
      <c r="S156" s="36" t="n">
        <v>0</v>
      </c>
      <c r="T156" s="37" t="n">
        <v>0.8163265306122449</v>
      </c>
      <c r="U156" s="37" t="n">
        <v>0.7142857142857143</v>
      </c>
      <c r="V156" s="37" t="n">
        <v>0.8403361344537815</v>
      </c>
      <c r="W156" s="37" t="n">
        <v>0.65</v>
      </c>
    </row>
    <row r="157">
      <c r="A157" s="53" t="n">
        <v>45813</v>
      </c>
      <c r="B157" t="inlineStr">
        <is>
          <t>R05_Jawa Tengah DIY</t>
        </is>
      </c>
      <c r="C157" t="inlineStr">
        <is>
          <t>NOP PURWOKERTO</t>
        </is>
      </c>
      <c r="D157" s="36" t="n">
        <v>2.58</v>
      </c>
      <c r="E157" s="36" t="n">
        <v>0</v>
      </c>
      <c r="F157" s="36" t="n">
        <v>2.85</v>
      </c>
      <c r="G157" s="36" t="n">
        <v>4.28</v>
      </c>
      <c r="H157" s="37" t="n">
        <v>0.6483516483516484</v>
      </c>
      <c r="I157" s="37" t="n">
        <v>0.8</v>
      </c>
      <c r="J157" s="37" t="n">
        <v>0.6395348837209303</v>
      </c>
      <c r="K157" s="37" t="n">
        <v>1</v>
      </c>
      <c r="L157" s="37" t="n">
        <v>1</v>
      </c>
      <c r="M157" s="37" t="n">
        <v>0.978021978021978</v>
      </c>
      <c r="N157" s="37" t="n">
        <v>0.4175824175824176</v>
      </c>
      <c r="O157" s="36" t="n">
        <v>0.5</v>
      </c>
      <c r="P157" s="36" t="n">
        <v>4.27</v>
      </c>
      <c r="Q157" s="36" t="n">
        <v>7.46</v>
      </c>
      <c r="R157" s="36" t="n">
        <v>36.34</v>
      </c>
      <c r="S157" s="36" t="n">
        <v>0</v>
      </c>
      <c r="T157" s="37" t="n">
        <v>0.8360655737704918</v>
      </c>
      <c r="U157" s="37" t="n">
        <v>0.7727272727272727</v>
      </c>
      <c r="V157" s="37" t="n">
        <v>0.8717948717948718</v>
      </c>
      <c r="W157" s="37" t="n">
        <v>0.6764705882352942</v>
      </c>
    </row>
    <row r="158">
      <c r="A158" s="53" t="n">
        <v>45813</v>
      </c>
      <c r="B158" t="inlineStr">
        <is>
          <t>R05_Jawa Tengah DIY</t>
        </is>
      </c>
      <c r="C158" t="inlineStr">
        <is>
          <t>NOP SEMARANG</t>
        </is>
      </c>
      <c r="D158" s="36" t="n">
        <v>2.85</v>
      </c>
      <c r="E158" s="36" t="n">
        <v>2.57</v>
      </c>
      <c r="F158" s="36" t="n">
        <v>2.57</v>
      </c>
      <c r="G158" s="36" t="n">
        <v>3</v>
      </c>
      <c r="H158" s="37" t="n">
        <v>0.6206896551724138</v>
      </c>
      <c r="I158" s="37" t="n">
        <v>0.8461538461538461</v>
      </c>
      <c r="J158" s="37" t="n">
        <v>0.5984848484848485</v>
      </c>
      <c r="K158" s="37" t="n">
        <v>0.9090909090909091</v>
      </c>
      <c r="L158" s="37" t="n">
        <v>0.9090909090909091</v>
      </c>
      <c r="M158" s="37" t="n">
        <v>0.9448275862068966</v>
      </c>
      <c r="N158" s="37" t="n">
        <v>0.4827586206896552</v>
      </c>
      <c r="O158" s="36" t="n">
        <v>0.01</v>
      </c>
      <c r="P158" s="36" t="n">
        <v>7.3</v>
      </c>
      <c r="Q158" s="36" t="n">
        <v>7.66</v>
      </c>
      <c r="R158" s="36" t="n">
        <v>82.5</v>
      </c>
      <c r="S158" s="36" t="n">
        <v>0</v>
      </c>
      <c r="T158" s="37" t="n">
        <v>0.8695652173913043</v>
      </c>
      <c r="U158" s="37" t="n">
        <v>0.7888888888888889</v>
      </c>
      <c r="V158" s="37" t="n">
        <v>0.9316239316239316</v>
      </c>
      <c r="W158" s="37" t="n">
        <v>0.8591549295774648</v>
      </c>
    </row>
    <row r="159">
      <c r="A159" s="53" t="n">
        <v>45813</v>
      </c>
      <c r="B159" t="inlineStr">
        <is>
          <t>R05_Jawa Tengah DIY</t>
        </is>
      </c>
      <c r="C159" t="inlineStr">
        <is>
          <t>NOP SURAKARTA</t>
        </is>
      </c>
      <c r="D159" s="36" t="n">
        <v>1.67</v>
      </c>
      <c r="E159" s="36" t="n">
        <v>2.04</v>
      </c>
      <c r="F159" s="36" t="n">
        <v>3.19</v>
      </c>
      <c r="G159" s="36" t="n">
        <v>3.08</v>
      </c>
      <c r="H159" s="37" t="n">
        <v>0.81875</v>
      </c>
      <c r="I159" s="37" t="n">
        <v>0.875</v>
      </c>
      <c r="J159" s="37" t="n">
        <v>0.8125</v>
      </c>
      <c r="K159" s="37" t="n">
        <v>0.7857142857142857</v>
      </c>
      <c r="L159" s="37" t="n">
        <v>0.7857142857142857</v>
      </c>
      <c r="M159" s="37" t="n">
        <v>0.98125</v>
      </c>
      <c r="N159" s="37" t="n">
        <v>0.51875</v>
      </c>
      <c r="O159" s="36" t="n">
        <v>0</v>
      </c>
      <c r="P159" s="36" t="n">
        <v>8.109999999999999</v>
      </c>
      <c r="Q159" s="36" t="n">
        <v>10.63</v>
      </c>
      <c r="R159" s="36" t="n">
        <v>48.71</v>
      </c>
      <c r="S159" s="36" t="n">
        <v>0</v>
      </c>
      <c r="T159" s="37" t="n">
        <v>0.8208092485549133</v>
      </c>
      <c r="U159" s="37" t="n">
        <v>0.6923076923076923</v>
      </c>
      <c r="V159" s="37" t="n">
        <v>0.8760330578512396</v>
      </c>
      <c r="W159" s="37" t="n">
        <v>0.8333333333333334</v>
      </c>
    </row>
    <row r="160">
      <c r="A160" s="53" t="n">
        <v>45813</v>
      </c>
      <c r="B160" t="inlineStr">
        <is>
          <t>R05_Jawa Tengah DIY</t>
        </is>
      </c>
      <c r="C160" t="inlineStr">
        <is>
          <t>NOP YOGYAKARTA</t>
        </is>
      </c>
      <c r="D160" s="36" t="n">
        <v>2.85</v>
      </c>
      <c r="E160" s="36" t="n">
        <v>0</v>
      </c>
      <c r="F160" s="36" t="n">
        <v>2.42</v>
      </c>
      <c r="G160" s="36" t="n">
        <v>2.68</v>
      </c>
      <c r="H160" s="37" t="n">
        <v>0.7157894736842105</v>
      </c>
      <c r="I160" s="37" t="n">
        <v>1</v>
      </c>
      <c r="J160" s="37" t="n">
        <v>0.7</v>
      </c>
      <c r="K160" s="37" t="n">
        <v>0.8</v>
      </c>
      <c r="L160" s="37" t="n">
        <v>0.8</v>
      </c>
      <c r="M160" s="37" t="n">
        <v>1</v>
      </c>
      <c r="N160" s="37" t="n">
        <v>0.5052631578947369</v>
      </c>
      <c r="O160" s="36" t="n">
        <v>0</v>
      </c>
      <c r="P160" s="36" t="n">
        <v>3.94</v>
      </c>
      <c r="Q160" s="36" t="n">
        <v>9.630000000000001</v>
      </c>
      <c r="R160" s="36" t="n">
        <v>39.13</v>
      </c>
      <c r="S160" s="36" t="n">
        <v>0</v>
      </c>
      <c r="T160" s="37" t="n">
        <v>0.9235294117647059</v>
      </c>
      <c r="U160" s="37" t="n">
        <v>0.8780487804878049</v>
      </c>
      <c r="V160" s="37" t="n">
        <v>0.937984496124031</v>
      </c>
      <c r="W160" s="37" t="n">
        <v>1</v>
      </c>
    </row>
    <row r="161">
      <c r="A161" s="53" t="n">
        <v>45813</v>
      </c>
      <c r="B161" t="inlineStr">
        <is>
          <t>R06_Jawa Timur</t>
        </is>
      </c>
      <c r="C161" t="inlineStr">
        <is>
          <t>NOP JEMBER</t>
        </is>
      </c>
      <c r="D161" s="36" t="n">
        <v>15.47</v>
      </c>
      <c r="E161" s="36" t="n">
        <v>0</v>
      </c>
      <c r="F161" s="36" t="n">
        <v>2.41</v>
      </c>
      <c r="G161" s="36" t="n">
        <v>2.59</v>
      </c>
      <c r="H161" s="37" t="n">
        <v>0.7586206896551724</v>
      </c>
      <c r="I161" s="37" t="n">
        <v>1</v>
      </c>
      <c r="J161" s="37" t="n">
        <v>0.7358490566037735</v>
      </c>
      <c r="K161" s="37" t="n">
        <v>0.8</v>
      </c>
      <c r="L161" s="37" t="n">
        <v>0.8</v>
      </c>
      <c r="M161" s="37" t="n">
        <v>1</v>
      </c>
      <c r="N161" s="37" t="n">
        <v>0.5689655172413793</v>
      </c>
      <c r="O161" s="36" t="n">
        <v>0</v>
      </c>
      <c r="P161" s="36" t="n">
        <v>1.62</v>
      </c>
      <c r="Q161" s="36" t="n">
        <v>4.71</v>
      </c>
      <c r="R161" s="36" t="n">
        <v>195.56</v>
      </c>
      <c r="S161" s="36" t="n">
        <v>0</v>
      </c>
      <c r="T161" s="37" t="n">
        <v>0.7450980392156863</v>
      </c>
      <c r="U161" s="37" t="n">
        <v>0.53125</v>
      </c>
      <c r="V161" s="37" t="n">
        <v>0.8428571428571429</v>
      </c>
      <c r="W161" s="37" t="n">
        <v>0.8823529411764706</v>
      </c>
    </row>
    <row r="162">
      <c r="A162" s="53" t="n">
        <v>45813</v>
      </c>
      <c r="B162" t="inlineStr">
        <is>
          <t>R06_Jawa Timur</t>
        </is>
      </c>
      <c r="C162" t="inlineStr">
        <is>
          <t>NOP KEDIRI</t>
        </is>
      </c>
      <c r="D162" s="36" t="n">
        <v>1.46</v>
      </c>
      <c r="E162" s="36" t="n">
        <v>0</v>
      </c>
      <c r="F162" s="36" t="n">
        <v>1.55</v>
      </c>
      <c r="G162" s="36" t="n">
        <v>1.7</v>
      </c>
      <c r="H162" s="37" t="n">
        <v>0.8627450980392157</v>
      </c>
      <c r="I162" s="37" t="n">
        <v>1</v>
      </c>
      <c r="J162" s="37" t="n">
        <v>0.8541666666666666</v>
      </c>
      <c r="K162" s="37" t="n">
        <v>0.6666666666666666</v>
      </c>
      <c r="L162" s="37" t="n">
        <v>0.6666666666666666</v>
      </c>
      <c r="M162" s="37" t="n">
        <v>1</v>
      </c>
      <c r="N162" s="37" t="n">
        <v>0.6078431372549019</v>
      </c>
      <c r="O162" s="36" t="n">
        <v>0</v>
      </c>
      <c r="P162" s="36" t="n">
        <v>1.67</v>
      </c>
      <c r="Q162" s="36" t="n">
        <v>3.24</v>
      </c>
      <c r="R162" s="36" t="n">
        <v>18.52</v>
      </c>
      <c r="S162" s="36" t="n">
        <v>0</v>
      </c>
      <c r="T162" s="37" t="n">
        <v>0.8955223880597015</v>
      </c>
      <c r="U162" s="37" t="n">
        <v>0.85</v>
      </c>
      <c r="V162" s="37" t="n">
        <v>0.9148936170212766</v>
      </c>
      <c r="W162" s="37" t="n">
        <v>0.8235294117647058</v>
      </c>
    </row>
    <row r="163">
      <c r="A163" s="53" t="n">
        <v>45813</v>
      </c>
      <c r="B163" t="inlineStr">
        <is>
          <t>R06_Jawa Timur</t>
        </is>
      </c>
      <c r="C163" t="inlineStr">
        <is>
          <t>NOP LAMONGAN</t>
        </is>
      </c>
      <c r="D163" s="36" t="n">
        <v>1.36</v>
      </c>
      <c r="E163" s="36" t="n">
        <v>0</v>
      </c>
      <c r="F163" s="36" t="n">
        <v>4.38</v>
      </c>
      <c r="G163" s="36" t="n">
        <v>2.38</v>
      </c>
      <c r="H163" s="37" t="n">
        <v>0.9473684210526315</v>
      </c>
      <c r="I163" s="37" t="n">
        <v>1</v>
      </c>
      <c r="J163" s="37" t="n">
        <v>0.9411764705882353</v>
      </c>
      <c r="K163" s="37" t="n">
        <v>1</v>
      </c>
      <c r="L163" s="37" t="n">
        <v>1</v>
      </c>
      <c r="M163" s="37" t="n">
        <v>1</v>
      </c>
      <c r="N163" s="37" t="n">
        <v>0.7894736842105263</v>
      </c>
      <c r="O163" s="36" t="n">
        <v>0</v>
      </c>
      <c r="P163" s="36" t="n">
        <v>2.85</v>
      </c>
      <c r="Q163" s="36" t="n">
        <v>4.94</v>
      </c>
      <c r="R163" s="36" t="n">
        <v>26.76</v>
      </c>
      <c r="S163" s="36" t="n">
        <v>0</v>
      </c>
      <c r="T163" s="37" t="n">
        <v>0.8863636363636364</v>
      </c>
      <c r="U163" s="37" t="n">
        <v>0.7894736842105263</v>
      </c>
      <c r="V163" s="37" t="n">
        <v>0.96</v>
      </c>
      <c r="W163" s="37" t="n">
        <v>0.7333333333333333</v>
      </c>
    </row>
    <row r="164">
      <c r="A164" s="53" t="n">
        <v>45813</v>
      </c>
      <c r="B164" t="inlineStr">
        <is>
          <t>R06_Jawa Timur</t>
        </is>
      </c>
      <c r="C164" t="inlineStr">
        <is>
          <t>NOP MADIUN</t>
        </is>
      </c>
      <c r="D164" s="36" t="n">
        <v>0.7</v>
      </c>
      <c r="E164" s="36" t="n">
        <v>0</v>
      </c>
      <c r="F164" s="36" t="n">
        <v>2.56</v>
      </c>
      <c r="G164" s="36" t="n">
        <v>3.8</v>
      </c>
      <c r="H164" s="37" t="n">
        <v>0.6388888888888888</v>
      </c>
      <c r="I164" s="37" t="n">
        <v>1</v>
      </c>
      <c r="J164" s="37" t="n">
        <v>0.6285714285714286</v>
      </c>
      <c r="K164" s="37" t="n">
        <v>1</v>
      </c>
      <c r="L164" s="37" t="n">
        <v>1</v>
      </c>
      <c r="M164" s="37" t="n">
        <v>0.875</v>
      </c>
      <c r="N164" s="37" t="n">
        <v>0.375</v>
      </c>
      <c r="O164" s="36" t="n">
        <v>0</v>
      </c>
      <c r="P164" s="36" t="n">
        <v>4.69</v>
      </c>
      <c r="Q164" s="36" t="n">
        <v>7.14</v>
      </c>
      <c r="R164" s="36" t="n">
        <v>17.23</v>
      </c>
      <c r="S164" s="36" t="n">
        <v>0</v>
      </c>
      <c r="T164" s="37" t="n">
        <v>0.7176470588235294</v>
      </c>
      <c r="U164" s="37" t="n">
        <v>0.5806451612903226</v>
      </c>
      <c r="V164" s="37" t="n">
        <v>0.7962962962962963</v>
      </c>
      <c r="W164" s="37" t="n">
        <v>0.7222222222222222</v>
      </c>
    </row>
    <row r="165">
      <c r="A165" s="53" t="n">
        <v>45813</v>
      </c>
      <c r="B165" t="inlineStr">
        <is>
          <t>R06_Jawa Timur</t>
        </is>
      </c>
      <c r="C165" t="inlineStr">
        <is>
          <t>NOP MALANG</t>
        </is>
      </c>
      <c r="D165" s="36" t="n">
        <v>0</v>
      </c>
      <c r="E165" s="36" t="n">
        <v>0</v>
      </c>
      <c r="F165" s="36" t="n">
        <v>1.03</v>
      </c>
      <c r="G165" s="36" t="n">
        <v>1.91</v>
      </c>
      <c r="H165" s="37" t="n">
        <v>0.9032258064516129</v>
      </c>
      <c r="I165" s="37" t="n">
        <v>0</v>
      </c>
      <c r="J165" s="37" t="n">
        <v>0.9032258064516129</v>
      </c>
      <c r="K165" s="37" t="n">
        <v>0</v>
      </c>
      <c r="L165" s="37" t="n">
        <v>0</v>
      </c>
      <c r="M165" s="37" t="n">
        <v>1</v>
      </c>
      <c r="N165" s="37" t="n">
        <v>0.9354838709677419</v>
      </c>
      <c r="O165" s="36" t="n">
        <v>0</v>
      </c>
      <c r="P165" s="36" t="n">
        <v>2.32</v>
      </c>
      <c r="Q165" s="36" t="n">
        <v>2.41</v>
      </c>
      <c r="R165" s="36" t="n">
        <v>34</v>
      </c>
      <c r="S165" s="36" t="n">
        <v>0</v>
      </c>
      <c r="T165" s="37" t="n">
        <v>0.7833333333333333</v>
      </c>
      <c r="U165" s="37" t="n">
        <v>0.625</v>
      </c>
      <c r="V165" s="37" t="n">
        <v>0.8888888888888888</v>
      </c>
      <c r="W165" s="37" t="n">
        <v>1</v>
      </c>
    </row>
    <row r="166">
      <c r="A166" s="53" t="n">
        <v>45813</v>
      </c>
      <c r="B166" t="inlineStr">
        <is>
          <t>R06_Jawa Timur</t>
        </is>
      </c>
      <c r="C166" t="inlineStr">
        <is>
          <t>NOP SIDOARJO</t>
        </is>
      </c>
      <c r="D166" s="36" t="n">
        <v>0</v>
      </c>
      <c r="E166" s="36" t="n">
        <v>0</v>
      </c>
      <c r="F166" s="36" t="n">
        <v>4.65</v>
      </c>
      <c r="G166" s="36" t="n">
        <v>2.01</v>
      </c>
      <c r="H166" s="37" t="n">
        <v>0.8275862068965517</v>
      </c>
      <c r="I166" s="37" t="n">
        <v>0</v>
      </c>
      <c r="J166" s="37" t="n">
        <v>0.8275862068965517</v>
      </c>
      <c r="K166" s="37" t="n">
        <v>0</v>
      </c>
      <c r="L166" s="37" t="n">
        <v>0</v>
      </c>
      <c r="M166" s="37" t="n">
        <v>0.9310344827586207</v>
      </c>
      <c r="N166" s="37" t="n">
        <v>0.6206896551724138</v>
      </c>
      <c r="O166" s="36" t="n">
        <v>0.01</v>
      </c>
      <c r="P166" s="36" t="n">
        <v>1.53</v>
      </c>
      <c r="Q166" s="36" t="n">
        <v>12.97</v>
      </c>
      <c r="R166" s="36" t="n">
        <v>27.86</v>
      </c>
      <c r="S166" s="36" t="n">
        <v>0</v>
      </c>
      <c r="T166" s="37" t="n">
        <v>0.7924528301886793</v>
      </c>
      <c r="U166" s="37" t="n">
        <v>0.6363636363636364</v>
      </c>
      <c r="V166" s="37" t="n">
        <v>0.8333333333333334</v>
      </c>
      <c r="W166" s="37" t="n">
        <v>0.8571428571428571</v>
      </c>
    </row>
    <row r="167">
      <c r="A167" s="53" t="n">
        <v>45813</v>
      </c>
      <c r="B167" t="inlineStr">
        <is>
          <t>R06_Jawa Timur</t>
        </is>
      </c>
      <c r="C167" t="inlineStr">
        <is>
          <t>NOP SURABAYA</t>
        </is>
      </c>
      <c r="D167" s="36" t="n">
        <v>1.92</v>
      </c>
      <c r="E167" s="36" t="n">
        <v>0</v>
      </c>
      <c r="F167" s="36" t="n">
        <v>2.14</v>
      </c>
      <c r="G167" s="36" t="n">
        <v>3.46</v>
      </c>
      <c r="H167" s="37" t="n">
        <v>0.5600000000000001</v>
      </c>
      <c r="I167" s="37" t="n">
        <v>0.5</v>
      </c>
      <c r="J167" s="37" t="n">
        <v>0.5616438356164384</v>
      </c>
      <c r="K167" s="37" t="n">
        <v>1</v>
      </c>
      <c r="L167" s="37" t="n">
        <v>1</v>
      </c>
      <c r="M167" s="37" t="n">
        <v>0.9733333333333334</v>
      </c>
      <c r="N167" s="37" t="n">
        <v>0.3866666666666667</v>
      </c>
      <c r="O167" s="36" t="n">
        <v>0.96</v>
      </c>
      <c r="P167" s="36" t="n">
        <v>2.18</v>
      </c>
      <c r="Q167" s="36" t="n">
        <v>7.11</v>
      </c>
      <c r="R167" s="36" t="n">
        <v>24.29</v>
      </c>
      <c r="S167" s="36" t="n">
        <v>0</v>
      </c>
      <c r="T167" s="37" t="n">
        <v>0.6477987421383647</v>
      </c>
      <c r="U167" s="37" t="n">
        <v>0.45</v>
      </c>
      <c r="V167" s="37" t="n">
        <v>0.6762589928057554</v>
      </c>
      <c r="W167" s="37" t="n">
        <v>0.6666666666666666</v>
      </c>
    </row>
    <row r="168">
      <c r="A168" s="53" t="n">
        <v>45813</v>
      </c>
      <c r="B168" t="inlineStr">
        <is>
          <t>R07_Bali Nusra</t>
        </is>
      </c>
      <c r="C168" t="inlineStr">
        <is>
          <t>NOP DENPASAR</t>
        </is>
      </c>
      <c r="D168" s="36" t="n">
        <v>3.7</v>
      </c>
      <c r="E168" s="36" t="n">
        <v>0</v>
      </c>
      <c r="F168" s="36" t="n">
        <v>2.41</v>
      </c>
      <c r="G168" s="36" t="n">
        <v>2.17</v>
      </c>
      <c r="H168" s="37" t="n">
        <v>0.8918918918918919</v>
      </c>
      <c r="I168" s="37" t="n">
        <v>1</v>
      </c>
      <c r="J168" s="37" t="n">
        <v>0.8787878787878788</v>
      </c>
      <c r="K168" s="37" t="n">
        <v>1</v>
      </c>
      <c r="L168" s="37" t="n">
        <v>1</v>
      </c>
      <c r="M168" s="37" t="n">
        <v>1</v>
      </c>
      <c r="N168" s="37" t="n">
        <v>0.9459459459459459</v>
      </c>
      <c r="O168" s="36" t="n">
        <v>0.01</v>
      </c>
      <c r="P168" s="36" t="n">
        <v>7.31</v>
      </c>
      <c r="Q168" s="36" t="n">
        <v>6.23</v>
      </c>
      <c r="R168" s="36" t="n">
        <v>23.61</v>
      </c>
      <c r="S168" s="36" t="n">
        <v>0</v>
      </c>
      <c r="T168" s="37" t="n">
        <v>0.7727272727272727</v>
      </c>
      <c r="U168" s="37" t="n">
        <v>0.8571428571428571</v>
      </c>
      <c r="V168" s="37" t="n">
        <v>0.7205882352941176</v>
      </c>
      <c r="W168" s="37" t="n">
        <v>0.5555555555555556</v>
      </c>
    </row>
    <row r="169">
      <c r="A169" s="53" t="n">
        <v>45813</v>
      </c>
      <c r="B169" t="inlineStr">
        <is>
          <t>R07_Bali Nusra</t>
        </is>
      </c>
      <c r="C169" t="inlineStr">
        <is>
          <t>NOP FLORES</t>
        </is>
      </c>
      <c r="D169" s="36" t="n">
        <v>2.86</v>
      </c>
      <c r="E169" s="36" t="n">
        <v>5.18</v>
      </c>
      <c r="F169" s="36" t="n">
        <v>6.12</v>
      </c>
      <c r="G169" s="36" t="n">
        <v>13.7</v>
      </c>
      <c r="H169" s="37" t="n">
        <v>0.3887323943661972</v>
      </c>
      <c r="I169" s="37" t="n">
        <v>0.6885245901639344</v>
      </c>
      <c r="J169" s="37" t="n">
        <v>0.3265306122448979</v>
      </c>
      <c r="K169" s="37" t="n">
        <v>0.6904761904761905</v>
      </c>
      <c r="L169" s="37" t="n">
        <v>0.6904761904761905</v>
      </c>
      <c r="M169" s="37" t="n">
        <v>0.9971830985915493</v>
      </c>
      <c r="N169" s="37" t="n">
        <v>0.276056338028169</v>
      </c>
      <c r="O169" s="36" t="n">
        <v>0.23</v>
      </c>
      <c r="P169" s="36" t="n">
        <v>8.619999999999999</v>
      </c>
      <c r="Q169" s="36" t="n">
        <v>11.96</v>
      </c>
      <c r="R169" s="36" t="n">
        <v>116.58</v>
      </c>
      <c r="S169" s="36" t="n">
        <v>0</v>
      </c>
      <c r="T169" s="37" t="n">
        <v>0.5415730337078651</v>
      </c>
      <c r="U169" s="37" t="n">
        <v>0.5551948051948052</v>
      </c>
      <c r="V169" s="37" t="n">
        <v>0.5109489051094891</v>
      </c>
      <c r="W169" s="37" t="n">
        <v>0.8596491228070176</v>
      </c>
    </row>
    <row r="170">
      <c r="A170" s="53" t="n">
        <v>45813</v>
      </c>
      <c r="B170" t="inlineStr">
        <is>
          <t>R07_Bali Nusra</t>
        </is>
      </c>
      <c r="C170" t="inlineStr">
        <is>
          <t>NOP KUPANG</t>
        </is>
      </c>
      <c r="D170" s="36" t="n">
        <v>1.42</v>
      </c>
      <c r="E170" s="36" t="n">
        <v>5.42</v>
      </c>
      <c r="F170" s="36" t="n">
        <v>7.62</v>
      </c>
      <c r="G170" s="36" t="n">
        <v>8.609999999999999</v>
      </c>
      <c r="H170" s="37" t="n">
        <v>0.5325443786982249</v>
      </c>
      <c r="I170" s="37" t="n">
        <v>0.6923076923076923</v>
      </c>
      <c r="J170" s="37" t="n">
        <v>0.5034965034965035</v>
      </c>
      <c r="K170" s="37" t="n">
        <v>0.7777777777777778</v>
      </c>
      <c r="L170" s="37" t="n">
        <v>0.7777777777777778</v>
      </c>
      <c r="M170" s="37" t="n">
        <v>1</v>
      </c>
      <c r="N170" s="37" t="n">
        <v>0.2366863905325444</v>
      </c>
      <c r="O170" s="36" t="n">
        <v>0</v>
      </c>
      <c r="P170" s="36" t="n">
        <v>7.48</v>
      </c>
      <c r="Q170" s="36" t="n">
        <v>14.81</v>
      </c>
      <c r="R170" s="36" t="n">
        <v>23.77</v>
      </c>
      <c r="S170" s="36" t="n">
        <v>0</v>
      </c>
      <c r="T170" s="37" t="n">
        <v>0.4678571428571429</v>
      </c>
      <c r="U170" s="37" t="n">
        <v>0.5486725663716814</v>
      </c>
      <c r="V170" s="37" t="n">
        <v>0.4131736526946108</v>
      </c>
      <c r="W170" s="37" t="n">
        <v>0.6935483870967742</v>
      </c>
    </row>
    <row r="171">
      <c r="A171" s="53" t="n">
        <v>45813</v>
      </c>
      <c r="B171" t="inlineStr">
        <is>
          <t>R07_Bali Nusra</t>
        </is>
      </c>
      <c r="C171" t="inlineStr">
        <is>
          <t>NOP MATARAM</t>
        </is>
      </c>
      <c r="D171" s="36" t="n">
        <v>0.91</v>
      </c>
      <c r="E171" s="36" t="n">
        <v>2.48</v>
      </c>
      <c r="F171" s="36" t="n">
        <v>2.74</v>
      </c>
      <c r="G171" s="36" t="n">
        <v>4.5</v>
      </c>
      <c r="H171" s="37" t="n">
        <v>0.6413043478260869</v>
      </c>
      <c r="I171" s="37" t="n">
        <v>0.5714285714285714</v>
      </c>
      <c r="J171" s="37" t="n">
        <v>0.6538461538461539</v>
      </c>
      <c r="K171" s="37" t="n">
        <v>0.5</v>
      </c>
      <c r="L171" s="37" t="n">
        <v>0.5</v>
      </c>
      <c r="M171" s="37" t="n">
        <v>1</v>
      </c>
      <c r="N171" s="37" t="n">
        <v>0.3478260869565217</v>
      </c>
      <c r="O171" s="36" t="n">
        <v>0.02</v>
      </c>
      <c r="P171" s="36" t="n">
        <v>16.66</v>
      </c>
      <c r="Q171" s="36" t="n">
        <v>23.01</v>
      </c>
      <c r="R171" s="36" t="n">
        <v>47.3</v>
      </c>
      <c r="S171" s="36" t="n">
        <v>0</v>
      </c>
      <c r="T171" s="37" t="n">
        <v>0.5080213903743316</v>
      </c>
      <c r="U171" s="37" t="n">
        <v>0.5144927536231884</v>
      </c>
      <c r="V171" s="37" t="n">
        <v>0.4897959183673469</v>
      </c>
      <c r="W171" s="37" t="n">
        <v>0.4507042253521127</v>
      </c>
    </row>
    <row r="172">
      <c r="A172" s="53" t="n">
        <v>45814</v>
      </c>
      <c r="B172" t="inlineStr">
        <is>
          <t>R01_Sumbagut</t>
        </is>
      </c>
      <c r="C172" t="inlineStr">
        <is>
          <t>NOP ACEH</t>
        </is>
      </c>
      <c r="D172" s="36" t="n">
        <v>1.91</v>
      </c>
      <c r="E172" s="36" t="n">
        <v>4.96</v>
      </c>
      <c r="F172" s="36" t="n">
        <v>4.54</v>
      </c>
      <c r="G172" s="36" t="n">
        <v>8.109999999999999</v>
      </c>
      <c r="H172" s="37" t="n">
        <v>0.866580310880829</v>
      </c>
      <c r="I172" s="37" t="n">
        <v>0.8561151079136691</v>
      </c>
      <c r="J172" s="37" t="n">
        <v>0.8688783570300158</v>
      </c>
      <c r="K172" s="37" t="n">
        <v>0.5042016806722689</v>
      </c>
      <c r="L172" s="37" t="n">
        <v>0.509090909090909</v>
      </c>
      <c r="M172" s="37" t="n">
        <v>0.9974093264248705</v>
      </c>
      <c r="N172" s="37" t="n">
        <v>0.383419689119171</v>
      </c>
      <c r="O172" s="36" t="n">
        <v>2.14</v>
      </c>
      <c r="P172" s="36" t="n">
        <v>3.69</v>
      </c>
      <c r="Q172" s="36" t="n">
        <v>75.03</v>
      </c>
      <c r="R172" s="36" t="n">
        <v>173.63</v>
      </c>
      <c r="S172" s="36" t="n">
        <v>0</v>
      </c>
      <c r="T172" s="37" t="n">
        <v>0.8709122203098106</v>
      </c>
      <c r="U172" s="37" t="n">
        <v>0.6893491124260355</v>
      </c>
      <c r="V172" s="37" t="n">
        <v>0.947565543071161</v>
      </c>
      <c r="W172" s="37" t="n">
        <v>0.2832618025751073</v>
      </c>
    </row>
    <row r="173">
      <c r="A173" s="53" t="n">
        <v>45814</v>
      </c>
      <c r="B173" t="inlineStr">
        <is>
          <t>R01_Sumbagut</t>
        </is>
      </c>
      <c r="C173" t="inlineStr">
        <is>
          <t>NOP BINJAI</t>
        </is>
      </c>
      <c r="D173" s="36" t="n">
        <v>3.35</v>
      </c>
      <c r="E173" s="36" t="n">
        <v>5.49</v>
      </c>
      <c r="F173" s="36" t="n">
        <v>5.87</v>
      </c>
      <c r="G173" s="36" t="n">
        <v>5.29</v>
      </c>
      <c r="H173" s="37" t="n">
        <v>0.6233480176211453</v>
      </c>
      <c r="I173" s="37" t="n">
        <v>0.7017543859649122</v>
      </c>
      <c r="J173" s="37" t="n">
        <v>0.5970588235294118</v>
      </c>
      <c r="K173" s="37" t="n">
        <v>0.4125</v>
      </c>
      <c r="L173" s="37" t="n">
        <v>0.4125</v>
      </c>
      <c r="M173" s="37" t="n">
        <v>0.9845814977973568</v>
      </c>
      <c r="N173" s="37" t="n">
        <v>0.3237885462555066</v>
      </c>
      <c r="O173" s="36" t="n">
        <v>0</v>
      </c>
      <c r="P173" s="36" t="n">
        <v>4.09</v>
      </c>
      <c r="Q173" s="36" t="n">
        <v>78.84</v>
      </c>
      <c r="R173" s="36" t="n">
        <v>147.08</v>
      </c>
      <c r="S173" s="36" t="n">
        <v>0</v>
      </c>
      <c r="T173" s="37" t="n">
        <v>0.6982456140350877</v>
      </c>
      <c r="U173" s="37" t="n">
        <v>0.558974358974359</v>
      </c>
      <c r="V173" s="37" t="n">
        <v>0.7787114845938375</v>
      </c>
      <c r="W173" s="37" t="n">
        <v>0.4954128440366973</v>
      </c>
    </row>
    <row r="174">
      <c r="A174" s="53" t="n">
        <v>45814</v>
      </c>
      <c r="B174" t="inlineStr">
        <is>
          <t>R01_Sumbagut</t>
        </is>
      </c>
      <c r="C174" t="inlineStr">
        <is>
          <t>NOP MEDAN</t>
        </is>
      </c>
      <c r="D174" s="36" t="n">
        <v>2.2</v>
      </c>
      <c r="E174" s="36" t="n">
        <v>5.38</v>
      </c>
      <c r="F174" s="36" t="n">
        <v>2.9</v>
      </c>
      <c r="G174" s="36" t="n">
        <v>8.220000000000001</v>
      </c>
      <c r="H174" s="37" t="n">
        <v>0.4021164021164021</v>
      </c>
      <c r="I174" s="37" t="n">
        <v>0.4396551724137931</v>
      </c>
      <c r="J174" s="37" t="n">
        <v>0.3854961832061068</v>
      </c>
      <c r="K174" s="37" t="n">
        <v>0.7254901960784313</v>
      </c>
      <c r="L174" s="37" t="n">
        <v>0.7346938775510204</v>
      </c>
      <c r="M174" s="37" t="n">
        <v>1</v>
      </c>
      <c r="N174" s="37" t="n">
        <v>0.2195767195767196</v>
      </c>
      <c r="O174" s="36" t="n">
        <v>0</v>
      </c>
      <c r="P174" s="36" t="n">
        <v>3.82</v>
      </c>
      <c r="Q174" s="36" t="n">
        <v>16.69</v>
      </c>
      <c r="R174" s="36" t="n">
        <v>3.37</v>
      </c>
      <c r="S174" s="36" t="n">
        <v>0</v>
      </c>
      <c r="T174" s="37" t="n">
        <v>0.3490813648293963</v>
      </c>
      <c r="U174" s="37" t="n">
        <v>0.1891891891891892</v>
      </c>
      <c r="V174" s="37" t="n">
        <v>0.4556962025316456</v>
      </c>
      <c r="W174" s="37" t="n">
        <v>0.8095238095238095</v>
      </c>
    </row>
    <row r="175">
      <c r="A175" s="53" t="n">
        <v>45814</v>
      </c>
      <c r="B175" t="inlineStr">
        <is>
          <t>R01_Sumbagut</t>
        </is>
      </c>
      <c r="C175" t="inlineStr">
        <is>
          <t>NOP PADANG SIDEMPUAN</t>
        </is>
      </c>
      <c r="D175" s="36" t="n">
        <v>0</v>
      </c>
      <c r="E175" s="36" t="n">
        <v>2.94</v>
      </c>
      <c r="F175" s="36" t="n">
        <v>4.41</v>
      </c>
      <c r="G175" s="36" t="n">
        <v>5.86</v>
      </c>
      <c r="H175" s="37" t="n">
        <v>0.4025157232704403</v>
      </c>
      <c r="I175" s="37" t="n">
        <v>0.8333333333333334</v>
      </c>
      <c r="J175" s="37" t="n">
        <v>0.3475177304964539</v>
      </c>
      <c r="K175" s="37" t="n">
        <v>0.5666666666666667</v>
      </c>
      <c r="L175" s="37" t="n">
        <v>0.5666666666666667</v>
      </c>
      <c r="M175" s="37" t="n">
        <v>0.9968553459119497</v>
      </c>
      <c r="N175" s="37" t="n">
        <v>0.1635220125786163</v>
      </c>
      <c r="O175" s="36" t="n">
        <v>0.01</v>
      </c>
      <c r="P175" s="36" t="n">
        <v>3.02</v>
      </c>
      <c r="Q175" s="36" t="n">
        <v>7.24</v>
      </c>
      <c r="R175" s="36" t="n">
        <v>109.62</v>
      </c>
      <c r="S175" s="36" t="n">
        <v>0</v>
      </c>
      <c r="T175" s="37" t="n">
        <v>0.7112970711297071</v>
      </c>
      <c r="U175" s="37" t="n">
        <v>0.6869369369369369</v>
      </c>
      <c r="V175" s="37" t="n">
        <v>0.7310756972111554</v>
      </c>
      <c r="W175" s="37" t="n">
        <v>0.5475409836065573</v>
      </c>
    </row>
    <row r="176">
      <c r="A176" s="53" t="n">
        <v>45814</v>
      </c>
      <c r="B176" t="inlineStr">
        <is>
          <t>R01_Sumbagut</t>
        </is>
      </c>
      <c r="C176" t="inlineStr">
        <is>
          <t>NOP PEMATANG SIANTAR</t>
        </is>
      </c>
      <c r="D176" s="36" t="n">
        <v>1.08</v>
      </c>
      <c r="E176" s="36" t="n">
        <v>3.16</v>
      </c>
      <c r="F176" s="36" t="n">
        <v>3.75</v>
      </c>
      <c r="G176" s="36" t="n">
        <v>5.08</v>
      </c>
      <c r="H176" s="37" t="n">
        <v>0.4244604316546763</v>
      </c>
      <c r="I176" s="37" t="n">
        <v>0.6946564885496184</v>
      </c>
      <c r="J176" s="37" t="n">
        <v>0.3411764705882353</v>
      </c>
      <c r="K176" s="37" t="n">
        <v>0.3406593406593407</v>
      </c>
      <c r="L176" s="37" t="n">
        <v>0.3411764705882353</v>
      </c>
      <c r="M176" s="37" t="n">
        <v>1</v>
      </c>
      <c r="N176" s="37" t="n">
        <v>0.2356115107913669</v>
      </c>
      <c r="O176" s="36" t="n">
        <v>0.03</v>
      </c>
      <c r="P176" s="36" t="n">
        <v>3.94</v>
      </c>
      <c r="Q176" s="36" t="n">
        <v>75.89</v>
      </c>
      <c r="R176" s="36" t="n">
        <v>120.32</v>
      </c>
      <c r="S176" s="36" t="n">
        <v>0</v>
      </c>
      <c r="T176" s="37" t="n">
        <v>0.6129441624365483</v>
      </c>
      <c r="U176" s="37" t="n">
        <v>0.670926517571885</v>
      </c>
      <c r="V176" s="37" t="n">
        <v>0.5879629629629629</v>
      </c>
      <c r="W176" s="37" t="n">
        <v>0.5095238095238095</v>
      </c>
    </row>
    <row r="177">
      <c r="A177" s="53" t="n">
        <v>45814</v>
      </c>
      <c r="B177" t="inlineStr">
        <is>
          <t>R01_Sumbagut</t>
        </is>
      </c>
      <c r="C177" t="inlineStr">
        <is>
          <t>NOP RANTAU PRAPAT</t>
        </is>
      </c>
      <c r="D177" s="36" t="n">
        <v>3.09</v>
      </c>
      <c r="E177" s="36" t="n">
        <v>2.85</v>
      </c>
      <c r="F177" s="36" t="n">
        <v>3.05</v>
      </c>
      <c r="G177" s="36" t="n">
        <v>2.95</v>
      </c>
      <c r="H177" s="37" t="n">
        <v>0.4038216560509554</v>
      </c>
      <c r="I177" s="37" t="n">
        <v>0.3093525179856115</v>
      </c>
      <c r="J177" s="37" t="n">
        <v>0.4241486068111455</v>
      </c>
      <c r="K177" s="37" t="n">
        <v>0.6744186046511628</v>
      </c>
      <c r="L177" s="37" t="n">
        <v>0.6744186046511628</v>
      </c>
      <c r="M177" s="37" t="n">
        <v>0.9847133757961783</v>
      </c>
      <c r="N177" s="37" t="n">
        <v>0.2420382165605096</v>
      </c>
      <c r="O177" s="36" t="n">
        <v>0.03</v>
      </c>
      <c r="P177" s="36" t="n">
        <v>3.39</v>
      </c>
      <c r="Q177" s="36" t="n">
        <v>31.09</v>
      </c>
      <c r="R177" s="36" t="n">
        <v>127.72</v>
      </c>
      <c r="S177" s="36" t="n">
        <v>0</v>
      </c>
      <c r="T177" s="37" t="n">
        <v>0.2188879082082966</v>
      </c>
      <c r="U177" s="37" t="n">
        <v>0.2885375494071146</v>
      </c>
      <c r="V177" s="37" t="n">
        <v>0.1938534278959811</v>
      </c>
      <c r="W177" s="37" t="n">
        <v>0.5753424657534246</v>
      </c>
    </row>
    <row r="178">
      <c r="A178" s="53" t="n">
        <v>45814</v>
      </c>
      <c r="B178" t="inlineStr">
        <is>
          <t>R10_Sumbagteng</t>
        </is>
      </c>
      <c r="C178" t="inlineStr">
        <is>
          <t>NOP BATAM</t>
        </is>
      </c>
      <c r="D178" s="36" t="n">
        <v>3.8</v>
      </c>
      <c r="E178" s="36" t="n">
        <v>8.26</v>
      </c>
      <c r="F178" s="36" t="n">
        <v>6.52</v>
      </c>
      <c r="G178" s="36" t="n">
        <v>8.23</v>
      </c>
      <c r="H178" s="37" t="n">
        <v>0.521875</v>
      </c>
      <c r="I178" s="37" t="n">
        <v>0.762962962962963</v>
      </c>
      <c r="J178" s="37" t="n">
        <v>0.4574257425742574</v>
      </c>
      <c r="K178" s="37" t="n">
        <v>0.7961165048543689</v>
      </c>
      <c r="L178" s="37" t="n">
        <v>0.801980198019802</v>
      </c>
      <c r="M178" s="37" t="n">
        <v>0.9984375</v>
      </c>
      <c r="N178" s="37" t="n">
        <v>0.3984375</v>
      </c>
      <c r="O178" s="36" t="n">
        <v>0.9399999999999999</v>
      </c>
      <c r="P178" s="36" t="n">
        <v>10.01</v>
      </c>
      <c r="Q178" s="36" t="n">
        <v>70.03</v>
      </c>
      <c r="R178" s="36" t="n">
        <v>155.81</v>
      </c>
      <c r="S178" s="36" t="n">
        <v>0</v>
      </c>
      <c r="T178" s="37" t="n">
        <v>0.3372966207759699</v>
      </c>
      <c r="U178" s="37" t="n">
        <v>0.5473145780051151</v>
      </c>
      <c r="V178" s="37" t="n">
        <v>0.2654941373534339</v>
      </c>
      <c r="W178" s="37" t="n">
        <v>0.8271028037383178</v>
      </c>
    </row>
    <row r="179">
      <c r="A179" s="53" t="n">
        <v>45814</v>
      </c>
      <c r="B179" t="inlineStr">
        <is>
          <t>R10_Sumbagteng</t>
        </is>
      </c>
      <c r="C179" t="inlineStr">
        <is>
          <t>NOP BUKITTINGGI</t>
        </is>
      </c>
      <c r="D179" s="36" t="n">
        <v>2</v>
      </c>
      <c r="E179" s="36" t="n">
        <v>3.71</v>
      </c>
      <c r="F179" s="36" t="n">
        <v>3.13</v>
      </c>
      <c r="G179" s="36" t="n">
        <v>3.08</v>
      </c>
      <c r="H179" s="37" t="n">
        <v>0.7075718015665796</v>
      </c>
      <c r="I179" s="37" t="n">
        <v>0.7916666666666666</v>
      </c>
      <c r="J179" s="37" t="n">
        <v>0.6794425087108014</v>
      </c>
      <c r="K179" s="37" t="n">
        <v>0.5263157894736842</v>
      </c>
      <c r="L179" s="37" t="n">
        <v>0.5405405405405406</v>
      </c>
      <c r="M179" s="37" t="n">
        <v>0.9660574412532638</v>
      </c>
      <c r="N179" s="37" t="n">
        <v>0.3864229765013055</v>
      </c>
      <c r="O179" s="36" t="n">
        <v>1.23</v>
      </c>
      <c r="P179" s="36" t="n">
        <v>5.52</v>
      </c>
      <c r="Q179" s="36" t="n">
        <v>102.65</v>
      </c>
      <c r="R179" s="36" t="n">
        <v>141.03</v>
      </c>
      <c r="S179" s="36" t="n">
        <v>0</v>
      </c>
      <c r="T179" s="37" t="n">
        <v>0.5720081135902637</v>
      </c>
      <c r="U179" s="37" t="n">
        <v>0.7333333333333333</v>
      </c>
      <c r="V179" s="37" t="n">
        <v>0.5343511450381679</v>
      </c>
      <c r="W179" s="37" t="n">
        <v>0.5909090909090909</v>
      </c>
    </row>
    <row r="180">
      <c r="A180" s="53" t="n">
        <v>45814</v>
      </c>
      <c r="B180" t="inlineStr">
        <is>
          <t>R10_Sumbagteng</t>
        </is>
      </c>
      <c r="C180" t="inlineStr">
        <is>
          <t>NOP DUMAI</t>
        </is>
      </c>
      <c r="D180" s="36" t="n">
        <v>2.58</v>
      </c>
      <c r="E180" s="36" t="n">
        <v>4.62</v>
      </c>
      <c r="F180" s="36" t="n">
        <v>4.75</v>
      </c>
      <c r="G180" s="36" t="n">
        <v>6.44</v>
      </c>
      <c r="H180" s="37" t="n">
        <v>0.4967741935483871</v>
      </c>
      <c r="I180" s="37" t="n">
        <v>0.5622489959839357</v>
      </c>
      <c r="J180" s="37" t="n">
        <v>0.4728340675477239</v>
      </c>
      <c r="K180" s="37" t="n">
        <v>0.7</v>
      </c>
      <c r="L180" s="37" t="n">
        <v>0.7132352941176471</v>
      </c>
      <c r="M180" s="37" t="n">
        <v>0.989247311827957</v>
      </c>
      <c r="N180" s="37" t="n">
        <v>0.3021505376344086</v>
      </c>
      <c r="O180" s="36" t="n">
        <v>0.01</v>
      </c>
      <c r="P180" s="36" t="n">
        <v>10.58</v>
      </c>
      <c r="Q180" s="36" t="n">
        <v>56.24</v>
      </c>
      <c r="R180" s="36" t="n">
        <v>127.06</v>
      </c>
      <c r="S180" s="36" t="n">
        <v>0</v>
      </c>
      <c r="T180" s="37" t="n">
        <v>0.2295321637426901</v>
      </c>
      <c r="U180" s="37" t="n">
        <v>0.3468085106382979</v>
      </c>
      <c r="V180" s="37" t="n">
        <v>0.194515306122449</v>
      </c>
      <c r="W180" s="37" t="n">
        <v>0.9447852760736196</v>
      </c>
    </row>
    <row r="181">
      <c r="A181" s="53" t="n">
        <v>45814</v>
      </c>
      <c r="B181" t="inlineStr">
        <is>
          <t>R10_Sumbagteng</t>
        </is>
      </c>
      <c r="C181" t="inlineStr">
        <is>
          <t>NOP PADANG</t>
        </is>
      </c>
      <c r="D181" s="36" t="n">
        <v>0</v>
      </c>
      <c r="E181" s="36" t="n">
        <v>3.8</v>
      </c>
      <c r="F181" s="36" t="n">
        <v>4.18</v>
      </c>
      <c r="G181" s="36" t="n">
        <v>6.33</v>
      </c>
      <c r="H181" s="37" t="n">
        <v>0.6850828729281768</v>
      </c>
      <c r="I181" s="37" t="n">
        <v>0.6666666666666666</v>
      </c>
      <c r="J181" s="37" t="n">
        <v>0.6865671641791045</v>
      </c>
      <c r="K181" s="37" t="n">
        <v>0.6666666666666666</v>
      </c>
      <c r="L181" s="37" t="n">
        <v>0.6666666666666666</v>
      </c>
      <c r="M181" s="37" t="n">
        <v>0.9668508287292817</v>
      </c>
      <c r="N181" s="37" t="n">
        <v>0.2900552486187845</v>
      </c>
      <c r="O181" s="36" t="n">
        <v>10.24</v>
      </c>
      <c r="P181" s="36" t="n">
        <v>5.25</v>
      </c>
      <c r="Q181" s="36" t="n">
        <v>66.83</v>
      </c>
      <c r="R181" s="36" t="n">
        <v>182.9</v>
      </c>
      <c r="S181" s="36" t="n">
        <v>0</v>
      </c>
      <c r="T181" s="37" t="n">
        <v>0.8178571428571428</v>
      </c>
      <c r="U181" s="37" t="n">
        <v>0.6626506024096386</v>
      </c>
      <c r="V181" s="37" t="n">
        <v>0.8811369509043928</v>
      </c>
      <c r="W181" s="37" t="n">
        <v>0.7090909090909091</v>
      </c>
    </row>
    <row r="182">
      <c r="A182" s="53" t="n">
        <v>45814</v>
      </c>
      <c r="B182" t="inlineStr">
        <is>
          <t>R10_Sumbagteng</t>
        </is>
      </c>
      <c r="C182" t="inlineStr">
        <is>
          <t>NOP PEKANBARU</t>
        </is>
      </c>
      <c r="D182" s="36" t="n">
        <v>3.14</v>
      </c>
      <c r="E182" s="36" t="n">
        <v>5.5</v>
      </c>
      <c r="F182" s="36" t="n">
        <v>4.32</v>
      </c>
      <c r="G182" s="36" t="n">
        <v>9.27</v>
      </c>
      <c r="H182" s="37" t="n">
        <v>0.4257555847568988</v>
      </c>
      <c r="I182" s="37" t="n">
        <v>0.3739837398373984</v>
      </c>
      <c r="J182" s="37" t="n">
        <v>0.4357366771159875</v>
      </c>
      <c r="K182" s="37" t="n">
        <v>0.7608695652173914</v>
      </c>
      <c r="L182" s="37" t="n">
        <v>0.7608695652173914</v>
      </c>
      <c r="M182" s="37" t="n">
        <v>0.9934296977660972</v>
      </c>
      <c r="N182" s="37" t="n">
        <v>0.2536136662286465</v>
      </c>
      <c r="O182" s="36" t="n">
        <v>0.79</v>
      </c>
      <c r="P182" s="36" t="n">
        <v>5.49</v>
      </c>
      <c r="Q182" s="36" t="n">
        <v>45.19</v>
      </c>
      <c r="R182" s="36" t="n">
        <v>81.86</v>
      </c>
      <c r="S182" s="36" t="n">
        <v>0</v>
      </c>
      <c r="T182" s="37" t="n">
        <v>0.2861655085281112</v>
      </c>
      <c r="U182" s="37" t="n">
        <v>0.310126582278481</v>
      </c>
      <c r="V182" s="37" t="n">
        <v>0.2736455463728191</v>
      </c>
      <c r="W182" s="37" t="n">
        <v>0.8299319727891157</v>
      </c>
    </row>
    <row r="183">
      <c r="A183" s="53" t="n">
        <v>45814</v>
      </c>
      <c r="B183" t="inlineStr">
        <is>
          <t>R02_Sumbagsel</t>
        </is>
      </c>
      <c r="C183" t="inlineStr">
        <is>
          <t>NOP BENGKULU</t>
        </is>
      </c>
      <c r="D183" s="36" t="n">
        <v>0.88</v>
      </c>
      <c r="E183" s="36" t="n">
        <v>5.19</v>
      </c>
      <c r="F183" s="36" t="n">
        <v>3.28</v>
      </c>
      <c r="G183" s="36" t="n">
        <v>6.33</v>
      </c>
      <c r="H183" s="37" t="n">
        <v>0.5241379310344828</v>
      </c>
      <c r="I183" s="37" t="n">
        <v>0.5818181818181818</v>
      </c>
      <c r="J183" s="37" t="n">
        <v>0.5046153846153846</v>
      </c>
      <c r="K183" s="37" t="n">
        <v>0.671875</v>
      </c>
      <c r="L183" s="37" t="n">
        <v>0.671875</v>
      </c>
      <c r="M183" s="37" t="n">
        <v>0.9931034482758621</v>
      </c>
      <c r="N183" s="37" t="n">
        <v>0.303448275862069</v>
      </c>
      <c r="O183" s="36" t="n">
        <v>0</v>
      </c>
      <c r="P183" s="36" t="n">
        <v>5.15</v>
      </c>
      <c r="Q183" s="36" t="n">
        <v>5.96</v>
      </c>
      <c r="R183" s="36" t="n">
        <v>5</v>
      </c>
      <c r="S183" s="36" t="n">
        <v>0</v>
      </c>
      <c r="T183" s="37" t="n">
        <v>0.4957426679280984</v>
      </c>
      <c r="U183" s="37" t="n">
        <v>0.4184168012924071</v>
      </c>
      <c r="V183" s="37" t="n">
        <v>0.589041095890411</v>
      </c>
      <c r="W183" s="37" t="n">
        <v>0.8725868725868726</v>
      </c>
    </row>
    <row r="184">
      <c r="A184" s="53" t="n">
        <v>45814</v>
      </c>
      <c r="B184" t="inlineStr">
        <is>
          <t>R02_Sumbagsel</t>
        </is>
      </c>
      <c r="C184" t="inlineStr">
        <is>
          <t>NOP JAMBI</t>
        </is>
      </c>
      <c r="D184" s="36" t="n">
        <v>3.52</v>
      </c>
      <c r="E184" s="36" t="n">
        <v>3.43</v>
      </c>
      <c r="F184" s="36" t="n">
        <v>3.46</v>
      </c>
      <c r="G184" s="36" t="n">
        <v>6.77</v>
      </c>
      <c r="H184" s="37" t="n">
        <v>0.3028263795423957</v>
      </c>
      <c r="I184" s="37" t="n">
        <v>0.2926829268292683</v>
      </c>
      <c r="J184" s="37" t="n">
        <v>0.3078470824949698</v>
      </c>
      <c r="K184" s="37" t="n">
        <v>0.625</v>
      </c>
      <c r="L184" s="37" t="n">
        <v>0.625</v>
      </c>
      <c r="M184" s="37" t="n">
        <v>0.9865410497981157</v>
      </c>
      <c r="N184" s="37" t="n">
        <v>0.1574697173620458</v>
      </c>
      <c r="O184" s="36" t="n">
        <v>0</v>
      </c>
      <c r="P184" s="36" t="n">
        <v>3.53</v>
      </c>
      <c r="Q184" s="36" t="n">
        <v>9.85</v>
      </c>
      <c r="R184" s="36" t="n">
        <v>19.42</v>
      </c>
      <c r="S184" s="36" t="n">
        <v>0</v>
      </c>
      <c r="T184" s="37" t="n">
        <v>0.1808510638297872</v>
      </c>
      <c r="U184" s="37" t="n">
        <v>0.1532125205930807</v>
      </c>
      <c r="V184" s="37" t="n">
        <v>0.2425742574257426</v>
      </c>
      <c r="W184" s="37" t="n">
        <v>0.6774193548387096</v>
      </c>
    </row>
    <row r="185">
      <c r="A185" s="53" t="n">
        <v>45814</v>
      </c>
      <c r="B185" t="inlineStr">
        <is>
          <t>R02_Sumbagsel</t>
        </is>
      </c>
      <c r="C185" t="inlineStr">
        <is>
          <t>NOP LAMPUNG</t>
        </is>
      </c>
      <c r="D185" s="36" t="n">
        <v>0</v>
      </c>
      <c r="E185" s="36" t="n">
        <v>4.26</v>
      </c>
      <c r="F185" s="36" t="n">
        <v>5.37</v>
      </c>
      <c r="G185" s="36" t="n">
        <v>4.56</v>
      </c>
      <c r="H185" s="37" t="n">
        <v>0.5657142857142857</v>
      </c>
      <c r="I185" s="37" t="n">
        <v>0.7291666666666666</v>
      </c>
      <c r="J185" s="37" t="n">
        <v>0.5039370078740157</v>
      </c>
      <c r="K185" s="37" t="n">
        <v>0.8</v>
      </c>
      <c r="L185" s="37" t="n">
        <v>0.8</v>
      </c>
      <c r="M185" s="37" t="n">
        <v>0.9714285714285714</v>
      </c>
      <c r="N185" s="37" t="n">
        <v>0.4571428571428571</v>
      </c>
      <c r="O185" s="36" t="n">
        <v>0</v>
      </c>
      <c r="P185" s="36" t="n">
        <v>12.71</v>
      </c>
      <c r="Q185" s="36" t="n">
        <v>5.08</v>
      </c>
      <c r="R185" s="36" t="n">
        <v>38.77</v>
      </c>
      <c r="S185" s="36" t="n">
        <v>0</v>
      </c>
      <c r="T185" s="37" t="n">
        <v>0.9060509554140127</v>
      </c>
      <c r="U185" s="37" t="n">
        <v>0.8615384615384616</v>
      </c>
      <c r="V185" s="37" t="n">
        <v>0.9316239316239316</v>
      </c>
      <c r="W185" s="37" t="n">
        <v>0.8660714285714286</v>
      </c>
    </row>
    <row r="186">
      <c r="A186" s="53" t="n">
        <v>45814</v>
      </c>
      <c r="B186" t="inlineStr">
        <is>
          <t>R02_Sumbagsel</t>
        </is>
      </c>
      <c r="C186" t="inlineStr">
        <is>
          <t>NOP MUARA ENIM</t>
        </is>
      </c>
      <c r="D186" s="36" t="n">
        <v>2.28</v>
      </c>
      <c r="E186" s="36" t="n">
        <v>4.06</v>
      </c>
      <c r="F186" s="36" t="n">
        <v>4.74</v>
      </c>
      <c r="G186" s="36" t="n">
        <v>5.41</v>
      </c>
      <c r="H186" s="37" t="n">
        <v>0.2841379310344828</v>
      </c>
      <c r="I186" s="37" t="n">
        <v>0.3592233009708738</v>
      </c>
      <c r="J186" s="37" t="n">
        <v>0.2717041800643087</v>
      </c>
      <c r="K186" s="37" t="n">
        <v>0.8918918918918919</v>
      </c>
      <c r="L186" s="37" t="n">
        <v>0.8918918918918919</v>
      </c>
      <c r="M186" s="37" t="n">
        <v>0.976551724137931</v>
      </c>
      <c r="N186" s="37" t="n">
        <v>0.1544827586206897</v>
      </c>
      <c r="O186" s="36" t="n">
        <v>0</v>
      </c>
      <c r="P186" s="36" t="n">
        <v>19.93</v>
      </c>
      <c r="Q186" s="36" t="n">
        <v>10.18</v>
      </c>
      <c r="R186" s="36" t="n">
        <v>5.98</v>
      </c>
      <c r="S186" s="36" t="n">
        <v>0</v>
      </c>
      <c r="T186" s="37" t="n">
        <v>0.5188848920863309</v>
      </c>
      <c r="U186" s="37" t="n">
        <v>0.4606946983546618</v>
      </c>
      <c r="V186" s="37" t="n">
        <v>0.6</v>
      </c>
      <c r="W186" s="37" t="n">
        <v>0.7738095238095238</v>
      </c>
    </row>
    <row r="187">
      <c r="A187" s="53" t="n">
        <v>45814</v>
      </c>
      <c r="B187" t="inlineStr">
        <is>
          <t>R02_Sumbagsel</t>
        </is>
      </c>
      <c r="C187" t="inlineStr">
        <is>
          <t>NOP PALEMBANG</t>
        </is>
      </c>
      <c r="D187" s="36" t="n">
        <v>2.62</v>
      </c>
      <c r="E187" s="36" t="n">
        <v>4.25</v>
      </c>
      <c r="F187" s="36" t="n">
        <v>5.6</v>
      </c>
      <c r="G187" s="36" t="n">
        <v>6.85</v>
      </c>
      <c r="H187" s="37" t="n">
        <v>0.2685393258426966</v>
      </c>
      <c r="I187" s="37" t="n">
        <v>0.2413793103448276</v>
      </c>
      <c r="J187" s="37" t="n">
        <v>0.2726098191214471</v>
      </c>
      <c r="K187" s="37" t="n">
        <v>0.4642857142857143</v>
      </c>
      <c r="L187" s="37" t="n">
        <v>0.4642857142857143</v>
      </c>
      <c r="M187" s="37" t="n">
        <v>1</v>
      </c>
      <c r="N187" s="37" t="n">
        <v>0.1191011235955056</v>
      </c>
      <c r="O187" s="36" t="n">
        <v>0</v>
      </c>
      <c r="P187" s="36" t="n">
        <v>3.03</v>
      </c>
      <c r="Q187" s="36" t="n">
        <v>9.42</v>
      </c>
      <c r="R187" s="36" t="n">
        <v>37.72</v>
      </c>
      <c r="S187" s="36" t="n">
        <v>0</v>
      </c>
      <c r="T187" s="37" t="n">
        <v>0.1310724106324473</v>
      </c>
      <c r="U187" s="37" t="n">
        <v>0.1074766355140187</v>
      </c>
      <c r="V187" s="37" t="n">
        <v>0.2222222222222222</v>
      </c>
      <c r="W187" s="37" t="n">
        <v>0.6956521739130435</v>
      </c>
    </row>
    <row r="188">
      <c r="A188" s="53" t="n">
        <v>45814</v>
      </c>
      <c r="B188" t="inlineStr">
        <is>
          <t>R02_Sumbagsel</t>
        </is>
      </c>
      <c r="C188" t="inlineStr">
        <is>
          <t>NOP PANGKAL PINANG</t>
        </is>
      </c>
      <c r="D188" s="36" t="n">
        <v>0</v>
      </c>
      <c r="E188" s="36" t="n">
        <v>5.92</v>
      </c>
      <c r="F188" s="36" t="n">
        <v>4.7</v>
      </c>
      <c r="G188" s="36" t="n">
        <v>4.83</v>
      </c>
      <c r="H188" s="37" t="n">
        <v>0.7478991596638656</v>
      </c>
      <c r="I188" s="37" t="n">
        <v>0.5</v>
      </c>
      <c r="J188" s="37" t="n">
        <v>0.7610619469026548</v>
      </c>
      <c r="K188" s="37" t="n">
        <v>0.3333333333333333</v>
      </c>
      <c r="L188" s="37" t="n">
        <v>0.3333333333333333</v>
      </c>
      <c r="M188" s="37" t="n">
        <v>1</v>
      </c>
      <c r="N188" s="37" t="n">
        <v>0.4369747899159664</v>
      </c>
      <c r="O188" s="36" t="n">
        <v>0</v>
      </c>
      <c r="P188" s="36" t="n">
        <v>5.12</v>
      </c>
      <c r="Q188" s="36" t="n">
        <v>6.41</v>
      </c>
      <c r="R188" s="36" t="n">
        <v>5.01</v>
      </c>
      <c r="S188" s="36" t="n">
        <v>0</v>
      </c>
      <c r="T188" s="37" t="n">
        <v>0.9175946547884187</v>
      </c>
      <c r="U188" s="37" t="n">
        <v>0.9328358208955224</v>
      </c>
      <c r="V188" s="37" t="n">
        <v>0.9215686274509803</v>
      </c>
      <c r="W188" s="37" t="n">
        <v>0.872</v>
      </c>
    </row>
    <row r="189">
      <c r="A189" s="53" t="n">
        <v>45814</v>
      </c>
      <c r="B189" t="inlineStr">
        <is>
          <t>R05_Jawa Tengah DIY</t>
        </is>
      </c>
      <c r="C189" t="inlineStr">
        <is>
          <t>NOP MAGELANG</t>
        </is>
      </c>
      <c r="D189" s="36" t="n">
        <v>3.27</v>
      </c>
      <c r="E189" s="36" t="n">
        <v>0</v>
      </c>
      <c r="F189" s="36" t="n">
        <v>2.43</v>
      </c>
      <c r="G189" s="36" t="n">
        <v>2.61</v>
      </c>
      <c r="H189" s="37" t="n">
        <v>0.7849462365591398</v>
      </c>
      <c r="I189" s="37" t="n">
        <v>0.75</v>
      </c>
      <c r="J189" s="37" t="n">
        <v>0.7865168539325843</v>
      </c>
      <c r="K189" s="37" t="n">
        <v>1</v>
      </c>
      <c r="L189" s="37" t="n">
        <v>1</v>
      </c>
      <c r="M189" s="37" t="n">
        <v>1</v>
      </c>
      <c r="N189" s="37" t="n">
        <v>0.6774193548387096</v>
      </c>
      <c r="O189" s="36" t="n">
        <v>0</v>
      </c>
      <c r="P189" s="36" t="n">
        <v>2.34</v>
      </c>
      <c r="Q189" s="36" t="n">
        <v>5.47</v>
      </c>
      <c r="R189" s="36" t="n">
        <v>14.14</v>
      </c>
      <c r="S189" s="36" t="n">
        <v>0</v>
      </c>
      <c r="T189" s="37" t="n">
        <v>0.9388888888888889</v>
      </c>
      <c r="U189" s="37" t="n">
        <v>0.7954545454545454</v>
      </c>
      <c r="V189" s="37" t="n">
        <v>0.9588607594936709</v>
      </c>
      <c r="W189" s="37" t="n">
        <v>0.8571428571428571</v>
      </c>
    </row>
    <row r="190">
      <c r="A190" s="53" t="n">
        <v>45814</v>
      </c>
      <c r="B190" t="inlineStr">
        <is>
          <t>R05_Jawa Tengah DIY</t>
        </is>
      </c>
      <c r="C190" t="inlineStr">
        <is>
          <t>NOP PEKALONGAN</t>
        </is>
      </c>
      <c r="D190" s="36" t="n">
        <v>3.14</v>
      </c>
      <c r="E190" s="36" t="n">
        <v>0</v>
      </c>
      <c r="F190" s="36" t="n">
        <v>3.56</v>
      </c>
      <c r="G190" s="36" t="n">
        <v>10.46</v>
      </c>
      <c r="H190" s="37" t="n">
        <v>0.7272727272727273</v>
      </c>
      <c r="I190" s="37" t="n">
        <v>0.6666666666666666</v>
      </c>
      <c r="J190" s="37" t="n">
        <v>0.7346938775510204</v>
      </c>
      <c r="K190" s="37" t="n">
        <v>1</v>
      </c>
      <c r="L190" s="37" t="n">
        <v>1</v>
      </c>
      <c r="M190" s="37" t="n">
        <v>0.9636363636363636</v>
      </c>
      <c r="N190" s="37" t="n">
        <v>0.5272727272727272</v>
      </c>
      <c r="O190" s="36" t="n">
        <v>0</v>
      </c>
      <c r="P190" s="36" t="n">
        <v>2.69</v>
      </c>
      <c r="Q190" s="36" t="n">
        <v>10.3</v>
      </c>
      <c r="R190" s="36" t="n">
        <v>58.42</v>
      </c>
      <c r="S190" s="36" t="n">
        <v>0</v>
      </c>
      <c r="T190" s="37" t="n">
        <v>0.8152866242038217</v>
      </c>
      <c r="U190" s="37" t="n">
        <v>0.7142857142857143</v>
      </c>
      <c r="V190" s="37" t="n">
        <v>0.8372093023255814</v>
      </c>
      <c r="W190" s="37" t="n">
        <v>0.65</v>
      </c>
    </row>
    <row r="191">
      <c r="A191" s="53" t="n">
        <v>45814</v>
      </c>
      <c r="B191" t="inlineStr">
        <is>
          <t>R05_Jawa Tengah DIY</t>
        </is>
      </c>
      <c r="C191" t="inlineStr">
        <is>
          <t>NOP PURWOKERTO</t>
        </is>
      </c>
      <c r="D191" s="36" t="n">
        <v>2.58</v>
      </c>
      <c r="E191" s="36" t="n">
        <v>0</v>
      </c>
      <c r="F191" s="36" t="n">
        <v>2.71</v>
      </c>
      <c r="G191" s="36" t="n">
        <v>4.17</v>
      </c>
      <c r="H191" s="37" t="n">
        <v>0.6336633663366337</v>
      </c>
      <c r="I191" s="37" t="n">
        <v>0.8</v>
      </c>
      <c r="J191" s="37" t="n">
        <v>0.625</v>
      </c>
      <c r="K191" s="37" t="n">
        <v>1</v>
      </c>
      <c r="L191" s="37" t="n">
        <v>1</v>
      </c>
      <c r="M191" s="37" t="n">
        <v>0.9801980198019802</v>
      </c>
      <c r="N191" s="37" t="n">
        <v>0.405940594059406</v>
      </c>
      <c r="O191" s="36" t="n">
        <v>0.5</v>
      </c>
      <c r="P191" s="36" t="n">
        <v>4.18</v>
      </c>
      <c r="Q191" s="36" t="n">
        <v>6.84</v>
      </c>
      <c r="R191" s="36" t="n">
        <v>57.39</v>
      </c>
      <c r="S191" s="36" t="n">
        <v>0</v>
      </c>
      <c r="T191" s="37" t="n">
        <v>0.8257575757575758</v>
      </c>
      <c r="U191" s="37" t="n">
        <v>0.7826086956521739</v>
      </c>
      <c r="V191" s="37" t="n">
        <v>0.8488372093023255</v>
      </c>
      <c r="W191" s="37" t="n">
        <v>0.6944444444444444</v>
      </c>
    </row>
    <row r="192">
      <c r="A192" s="53" t="n">
        <v>45814</v>
      </c>
      <c r="B192" t="inlineStr">
        <is>
          <t>R05_Jawa Tengah DIY</t>
        </is>
      </c>
      <c r="C192" t="inlineStr">
        <is>
          <t>NOP SEMARANG</t>
        </is>
      </c>
      <c r="D192" s="36" t="n">
        <v>2.85</v>
      </c>
      <c r="E192" s="36" t="n">
        <v>2.57</v>
      </c>
      <c r="F192" s="36" t="n">
        <v>2.57</v>
      </c>
      <c r="G192" s="36" t="n">
        <v>2.99</v>
      </c>
      <c r="H192" s="37" t="n">
        <v>0.632258064516129</v>
      </c>
      <c r="I192" s="37" t="n">
        <v>0.8461538461538461</v>
      </c>
      <c r="J192" s="37" t="n">
        <v>0.6126760563380281</v>
      </c>
      <c r="K192" s="37" t="n">
        <v>0.9090909090909091</v>
      </c>
      <c r="L192" s="37" t="n">
        <v>0.9090909090909091</v>
      </c>
      <c r="M192" s="37" t="n">
        <v>0.9483870967741935</v>
      </c>
      <c r="N192" s="37" t="n">
        <v>0.4774193548387097</v>
      </c>
      <c r="O192" s="36" t="n">
        <v>0.01</v>
      </c>
      <c r="P192" s="36" t="n">
        <v>7.45</v>
      </c>
      <c r="Q192" s="36" t="n">
        <v>7.94</v>
      </c>
      <c r="R192" s="36" t="n">
        <v>79.81999999999999</v>
      </c>
      <c r="S192" s="36" t="n">
        <v>0</v>
      </c>
      <c r="T192" s="37" t="n">
        <v>0.8708333333333333</v>
      </c>
      <c r="U192" s="37" t="n">
        <v>0.7857142857142857</v>
      </c>
      <c r="V192" s="37" t="n">
        <v>0.9295774647887324</v>
      </c>
      <c r="W192" s="37" t="n">
        <v>0.8701298701298701</v>
      </c>
    </row>
    <row r="193">
      <c r="A193" s="53" t="n">
        <v>45814</v>
      </c>
      <c r="B193" t="inlineStr">
        <is>
          <t>R05_Jawa Tengah DIY</t>
        </is>
      </c>
      <c r="C193" t="inlineStr">
        <is>
          <t>NOP SURAKARTA</t>
        </is>
      </c>
      <c r="D193" s="36" t="n">
        <v>1.66</v>
      </c>
      <c r="E193" s="36" t="n">
        <v>2.04</v>
      </c>
      <c r="F193" s="36" t="n">
        <v>3.08</v>
      </c>
      <c r="G193" s="36" t="n">
        <v>2.91</v>
      </c>
      <c r="H193" s="37" t="n">
        <v>0.8100558659217877</v>
      </c>
      <c r="I193" s="37" t="n">
        <v>0.8823529411764706</v>
      </c>
      <c r="J193" s="37" t="n">
        <v>0.8024691358024691</v>
      </c>
      <c r="K193" s="37" t="n">
        <v>0.8</v>
      </c>
      <c r="L193" s="37" t="n">
        <v>0.8</v>
      </c>
      <c r="M193" s="37" t="n">
        <v>0.9832402234636871</v>
      </c>
      <c r="N193" s="37" t="n">
        <v>0.5139664804469274</v>
      </c>
      <c r="O193" s="36" t="n">
        <v>0.13</v>
      </c>
      <c r="P193" s="36" t="n">
        <v>8.25</v>
      </c>
      <c r="Q193" s="36" t="n">
        <v>9.300000000000001</v>
      </c>
      <c r="R193" s="36" t="n">
        <v>58.43</v>
      </c>
      <c r="S193" s="36" t="n">
        <v>0</v>
      </c>
      <c r="T193" s="37" t="n">
        <v>0.8241206030150754</v>
      </c>
      <c r="U193" s="37" t="n">
        <v>0.6885245901639344</v>
      </c>
      <c r="V193" s="37" t="n">
        <v>0.8840579710144928</v>
      </c>
      <c r="W193" s="37" t="n">
        <v>0.8095238095238095</v>
      </c>
    </row>
    <row r="194">
      <c r="A194" s="53" t="n">
        <v>45814</v>
      </c>
      <c r="B194" t="inlineStr">
        <is>
          <t>R05_Jawa Tengah DIY</t>
        </is>
      </c>
      <c r="C194" t="inlineStr">
        <is>
          <t>NOP YOGYAKARTA</t>
        </is>
      </c>
      <c r="D194" s="36" t="n">
        <v>2.85</v>
      </c>
      <c r="E194" s="36" t="n">
        <v>0</v>
      </c>
      <c r="F194" s="36" t="n">
        <v>2.22</v>
      </c>
      <c r="G194" s="36" t="n">
        <v>2.6</v>
      </c>
      <c r="H194" s="37" t="n">
        <v>0.7238095238095238</v>
      </c>
      <c r="I194" s="37" t="n">
        <v>1</v>
      </c>
      <c r="J194" s="37" t="n">
        <v>0.71</v>
      </c>
      <c r="K194" s="37" t="n">
        <v>0.8</v>
      </c>
      <c r="L194" s="37" t="n">
        <v>0.8</v>
      </c>
      <c r="M194" s="37" t="n">
        <v>1</v>
      </c>
      <c r="N194" s="37" t="n">
        <v>0.4952380952380953</v>
      </c>
      <c r="O194" s="36" t="n">
        <v>0</v>
      </c>
      <c r="P194" s="36" t="n">
        <v>4.63</v>
      </c>
      <c r="Q194" s="36" t="n">
        <v>8.02</v>
      </c>
      <c r="R194" s="36" t="n">
        <v>36.62</v>
      </c>
      <c r="S194" s="36" t="n">
        <v>0</v>
      </c>
      <c r="T194" s="37" t="n">
        <v>0.9261083743842364</v>
      </c>
      <c r="U194" s="37" t="n">
        <v>0.9</v>
      </c>
      <c r="V194" s="37" t="n">
        <v>0.934640522875817</v>
      </c>
      <c r="W194" s="37" t="n">
        <v>1</v>
      </c>
    </row>
    <row r="195">
      <c r="A195" s="53" t="n">
        <v>45814</v>
      </c>
      <c r="B195" t="inlineStr">
        <is>
          <t>R06_Jawa Timur</t>
        </is>
      </c>
      <c r="C195" t="inlineStr">
        <is>
          <t>NOP JEMBER</t>
        </is>
      </c>
      <c r="D195" s="36" t="n">
        <v>15.47</v>
      </c>
      <c r="E195" s="36" t="n">
        <v>0</v>
      </c>
      <c r="F195" s="36" t="n">
        <v>2.26</v>
      </c>
      <c r="G195" s="36" t="n">
        <v>2.42</v>
      </c>
      <c r="H195" s="37" t="n">
        <v>0.7076923076923077</v>
      </c>
      <c r="I195" s="37" t="n">
        <v>1</v>
      </c>
      <c r="J195" s="37" t="n">
        <v>0.6833333333333333</v>
      </c>
      <c r="K195" s="37" t="n">
        <v>0.8</v>
      </c>
      <c r="L195" s="37" t="n">
        <v>0.8</v>
      </c>
      <c r="M195" s="37" t="n">
        <v>1</v>
      </c>
      <c r="N195" s="37" t="n">
        <v>0.5230769230769231</v>
      </c>
      <c r="O195" s="36" t="n">
        <v>0</v>
      </c>
      <c r="P195" s="36" t="n">
        <v>1.71</v>
      </c>
      <c r="Q195" s="36" t="n">
        <v>5.07</v>
      </c>
      <c r="R195" s="36" t="n">
        <v>190.84</v>
      </c>
      <c r="S195" s="36" t="n">
        <v>0</v>
      </c>
      <c r="T195" s="37" t="n">
        <v>0.7383177570093458</v>
      </c>
      <c r="U195" s="37" t="n">
        <v>0.5454545454545454</v>
      </c>
      <c r="V195" s="37" t="n">
        <v>0.8243243243243243</v>
      </c>
      <c r="W195" s="37" t="n">
        <v>0.8333333333333334</v>
      </c>
    </row>
    <row r="196">
      <c r="A196" s="53" t="n">
        <v>45814</v>
      </c>
      <c r="B196" t="inlineStr">
        <is>
          <t>R06_Jawa Timur</t>
        </is>
      </c>
      <c r="C196" t="inlineStr">
        <is>
          <t>NOP KEDIRI</t>
        </is>
      </c>
      <c r="D196" s="36" t="n">
        <v>1.46</v>
      </c>
      <c r="E196" s="36" t="n">
        <v>0</v>
      </c>
      <c r="F196" s="36" t="n">
        <v>1.53</v>
      </c>
      <c r="G196" s="36" t="n">
        <v>1.7</v>
      </c>
      <c r="H196" s="37" t="n">
        <v>0.8793103448275862</v>
      </c>
      <c r="I196" s="37" t="n">
        <v>1</v>
      </c>
      <c r="J196" s="37" t="n">
        <v>0.8727272727272727</v>
      </c>
      <c r="K196" s="37" t="n">
        <v>0.6666666666666666</v>
      </c>
      <c r="L196" s="37" t="n">
        <v>0.6666666666666666</v>
      </c>
      <c r="M196" s="37" t="n">
        <v>1</v>
      </c>
      <c r="N196" s="37" t="n">
        <v>0.6551724137931034</v>
      </c>
      <c r="O196" s="36" t="n">
        <v>0</v>
      </c>
      <c r="P196" s="36" t="n">
        <v>2.02</v>
      </c>
      <c r="Q196" s="36" t="n">
        <v>5.61</v>
      </c>
      <c r="R196" s="36" t="n">
        <v>18.52</v>
      </c>
      <c r="S196" s="36" t="n">
        <v>0</v>
      </c>
      <c r="T196" s="37" t="n">
        <v>0.8933333333333333</v>
      </c>
      <c r="U196" s="37" t="n">
        <v>0.8095238095238095</v>
      </c>
      <c r="V196" s="37" t="n">
        <v>0.9259259259259259</v>
      </c>
      <c r="W196" s="37" t="n">
        <v>0.8235294117647058</v>
      </c>
    </row>
    <row r="197">
      <c r="A197" s="53" t="n">
        <v>45814</v>
      </c>
      <c r="B197" t="inlineStr">
        <is>
          <t>R06_Jawa Timur</t>
        </is>
      </c>
      <c r="C197" t="inlineStr">
        <is>
          <t>NOP LAMONGAN</t>
        </is>
      </c>
      <c r="D197" s="36" t="n">
        <v>1.36</v>
      </c>
      <c r="E197" s="36" t="n">
        <v>0</v>
      </c>
      <c r="F197" s="36" t="n">
        <v>4.38</v>
      </c>
      <c r="G197" s="36" t="n">
        <v>2.64</v>
      </c>
      <c r="H197" s="37" t="n">
        <v>0.9487179487179487</v>
      </c>
      <c r="I197" s="37" t="n">
        <v>1</v>
      </c>
      <c r="J197" s="37" t="n">
        <v>0.9428571428571428</v>
      </c>
      <c r="K197" s="37" t="n">
        <v>1</v>
      </c>
      <c r="L197" s="37" t="n">
        <v>1</v>
      </c>
      <c r="M197" s="37" t="n">
        <v>1</v>
      </c>
      <c r="N197" s="37" t="n">
        <v>0.7948717948717948</v>
      </c>
      <c r="O197" s="36" t="n">
        <v>0</v>
      </c>
      <c r="P197" s="36" t="n">
        <v>2.78</v>
      </c>
      <c r="Q197" s="36" t="n">
        <v>4.94</v>
      </c>
      <c r="R197" s="36" t="n">
        <v>26.76</v>
      </c>
      <c r="S197" s="36" t="n">
        <v>0</v>
      </c>
      <c r="T197" s="37" t="n">
        <v>0.8666666666666667</v>
      </c>
      <c r="U197" s="37" t="n">
        <v>0.75</v>
      </c>
      <c r="V197" s="37" t="n">
        <v>0.96</v>
      </c>
      <c r="W197" s="37" t="n">
        <v>0.7333333333333333</v>
      </c>
    </row>
    <row r="198">
      <c r="A198" s="53" t="n">
        <v>45814</v>
      </c>
      <c r="B198" t="inlineStr">
        <is>
          <t>R06_Jawa Timur</t>
        </is>
      </c>
      <c r="C198" t="inlineStr">
        <is>
          <t>NOP MADIUN</t>
        </is>
      </c>
      <c r="D198" s="36" t="n">
        <v>0.7</v>
      </c>
      <c r="E198" s="36" t="n">
        <v>0</v>
      </c>
      <c r="F198" s="36" t="n">
        <v>2.54</v>
      </c>
      <c r="G198" s="36" t="n">
        <v>3.66</v>
      </c>
      <c r="H198" s="37" t="n">
        <v>0.6266666666666667</v>
      </c>
      <c r="I198" s="37" t="n">
        <v>1</v>
      </c>
      <c r="J198" s="37" t="n">
        <v>0.6164383561643836</v>
      </c>
      <c r="K198" s="37" t="n">
        <v>1</v>
      </c>
      <c r="L198" s="37" t="n">
        <v>1</v>
      </c>
      <c r="M198" s="37" t="n">
        <v>0.88</v>
      </c>
      <c r="N198" s="37" t="n">
        <v>0.3733333333333334</v>
      </c>
      <c r="O198" s="36" t="n">
        <v>0</v>
      </c>
      <c r="P198" s="36" t="n">
        <v>4.69</v>
      </c>
      <c r="Q198" s="36" t="n">
        <v>7.16</v>
      </c>
      <c r="R198" s="36" t="n">
        <v>19.67</v>
      </c>
      <c r="S198" s="36" t="n">
        <v>0</v>
      </c>
      <c r="T198" s="37" t="n">
        <v>0.7333333333333333</v>
      </c>
      <c r="U198" s="37" t="n">
        <v>0.5806451612903226</v>
      </c>
      <c r="V198" s="37" t="n">
        <v>0.8135593220338984</v>
      </c>
      <c r="W198" s="37" t="n">
        <v>0.7222222222222222</v>
      </c>
    </row>
    <row r="199">
      <c r="A199" s="53" t="n">
        <v>45814</v>
      </c>
      <c r="B199" t="inlineStr">
        <is>
          <t>R06_Jawa Timur</t>
        </is>
      </c>
      <c r="C199" t="inlineStr">
        <is>
          <t>NOP MALANG</t>
        </is>
      </c>
      <c r="D199" s="36" t="n">
        <v>0</v>
      </c>
      <c r="E199" s="36" t="n">
        <v>0</v>
      </c>
      <c r="F199" s="36" t="n">
        <v>0.97</v>
      </c>
      <c r="G199" s="36" t="n">
        <v>1.8</v>
      </c>
      <c r="H199" s="37" t="n">
        <v>0.8974358974358975</v>
      </c>
      <c r="I199" s="37" t="n">
        <v>0</v>
      </c>
      <c r="J199" s="37" t="n">
        <v>0.8974358974358975</v>
      </c>
      <c r="K199" s="37" t="n">
        <v>0</v>
      </c>
      <c r="L199" s="37" t="n">
        <v>0</v>
      </c>
      <c r="M199" s="37" t="n">
        <v>1</v>
      </c>
      <c r="N199" s="37" t="n">
        <v>0.9487179487179487</v>
      </c>
      <c r="O199" s="36" t="n">
        <v>0</v>
      </c>
      <c r="P199" s="36" t="n">
        <v>1.98</v>
      </c>
      <c r="Q199" s="36" t="n">
        <v>2.85</v>
      </c>
      <c r="R199" s="36" t="n">
        <v>20.2</v>
      </c>
      <c r="S199" s="36" t="n">
        <v>0</v>
      </c>
      <c r="T199" s="37" t="n">
        <v>0.7971014492753623</v>
      </c>
      <c r="U199" s="37" t="n">
        <v>0.6428571428571429</v>
      </c>
      <c r="V199" s="37" t="n">
        <v>0.9024390243902439</v>
      </c>
      <c r="W199" s="37" t="n">
        <v>0.9444444444444444</v>
      </c>
    </row>
    <row r="200">
      <c r="A200" s="53" t="n">
        <v>45814</v>
      </c>
      <c r="B200" t="inlineStr">
        <is>
          <t>R06_Jawa Timur</t>
        </is>
      </c>
      <c r="C200" t="inlineStr">
        <is>
          <t>NOP SIDOARJO</t>
        </is>
      </c>
      <c r="D200" s="36" t="n">
        <v>0</v>
      </c>
      <c r="E200" s="36" t="n">
        <v>0</v>
      </c>
      <c r="F200" s="36" t="n">
        <v>4.94</v>
      </c>
      <c r="G200" s="36" t="n">
        <v>3.62</v>
      </c>
      <c r="H200" s="37" t="n">
        <v>0.8285714285714286</v>
      </c>
      <c r="I200" s="37" t="n">
        <v>0</v>
      </c>
      <c r="J200" s="37" t="n">
        <v>0.8285714285714286</v>
      </c>
      <c r="K200" s="37" t="n">
        <v>0</v>
      </c>
      <c r="L200" s="37" t="n">
        <v>0</v>
      </c>
      <c r="M200" s="37" t="n">
        <v>0.9428571428571428</v>
      </c>
      <c r="N200" s="37" t="n">
        <v>0.6571428571428571</v>
      </c>
      <c r="O200" s="36" t="n">
        <v>0.01</v>
      </c>
      <c r="P200" s="36" t="n">
        <v>3.26</v>
      </c>
      <c r="Q200" s="36" t="n">
        <v>13.78</v>
      </c>
      <c r="R200" s="36" t="n">
        <v>40.78</v>
      </c>
      <c r="S200" s="36" t="n">
        <v>0</v>
      </c>
      <c r="T200" s="37" t="n">
        <v>0.8070175438596491</v>
      </c>
      <c r="U200" s="37" t="n">
        <v>0.6666666666666666</v>
      </c>
      <c r="V200" s="37" t="n">
        <v>0.8444444444444444</v>
      </c>
      <c r="W200" s="37" t="n">
        <v>0.75</v>
      </c>
    </row>
    <row r="201">
      <c r="A201" s="53" t="n">
        <v>45814</v>
      </c>
      <c r="B201" t="inlineStr">
        <is>
          <t>R06_Jawa Timur</t>
        </is>
      </c>
      <c r="C201" t="inlineStr">
        <is>
          <t>NOP SURABAYA</t>
        </is>
      </c>
      <c r="D201" s="36" t="n">
        <v>1.92</v>
      </c>
      <c r="E201" s="36" t="n">
        <v>0</v>
      </c>
      <c r="F201" s="36" t="n">
        <v>2.36</v>
      </c>
      <c r="G201" s="36" t="n">
        <v>3.3</v>
      </c>
      <c r="H201" s="37" t="n">
        <v>0.5555555555555556</v>
      </c>
      <c r="I201" s="37" t="n">
        <v>0.5</v>
      </c>
      <c r="J201" s="37" t="n">
        <v>0.5569620253164557</v>
      </c>
      <c r="K201" s="37" t="n">
        <v>1</v>
      </c>
      <c r="L201" s="37" t="n">
        <v>1</v>
      </c>
      <c r="M201" s="37" t="n">
        <v>0.9506172839506173</v>
      </c>
      <c r="N201" s="37" t="n">
        <v>0.3580246913580247</v>
      </c>
      <c r="O201" s="36" t="n">
        <v>0.96</v>
      </c>
      <c r="P201" s="36" t="n">
        <v>2.18</v>
      </c>
      <c r="Q201" s="36" t="n">
        <v>7.48</v>
      </c>
      <c r="R201" s="36" t="n">
        <v>24.53</v>
      </c>
      <c r="S201" s="36" t="n">
        <v>0</v>
      </c>
      <c r="T201" s="37" t="n">
        <v>0.6279069767441861</v>
      </c>
      <c r="U201" s="37" t="n">
        <v>0.45</v>
      </c>
      <c r="V201" s="37" t="n">
        <v>0.6513157894736842</v>
      </c>
      <c r="W201" s="37" t="n">
        <v>0.6666666666666666</v>
      </c>
    </row>
    <row r="202">
      <c r="A202" s="53" t="n">
        <v>45814</v>
      </c>
      <c r="B202" t="inlineStr">
        <is>
          <t>R07_Bali Nusra</t>
        </is>
      </c>
      <c r="C202" t="inlineStr">
        <is>
          <t>NOP DENPASAR</t>
        </is>
      </c>
      <c r="D202" s="36" t="n">
        <v>3.7</v>
      </c>
      <c r="E202" s="36" t="n">
        <v>0</v>
      </c>
      <c r="F202" s="36" t="n">
        <v>2.33</v>
      </c>
      <c r="G202" s="36" t="n">
        <v>2.11</v>
      </c>
      <c r="H202" s="37" t="n">
        <v>0.9047619047619048</v>
      </c>
      <c r="I202" s="37" t="n">
        <v>1</v>
      </c>
      <c r="J202" s="37" t="n">
        <v>0.8947368421052632</v>
      </c>
      <c r="K202" s="37" t="n">
        <v>1</v>
      </c>
      <c r="L202" s="37" t="n">
        <v>1</v>
      </c>
      <c r="M202" s="37" t="n">
        <v>1</v>
      </c>
      <c r="N202" s="37" t="n">
        <v>0.9523809523809523</v>
      </c>
      <c r="O202" s="36" t="n">
        <v>0.01</v>
      </c>
      <c r="P202" s="36" t="n">
        <v>7.34</v>
      </c>
      <c r="Q202" s="36" t="n">
        <v>12.16</v>
      </c>
      <c r="R202" s="36" t="n">
        <v>23.05</v>
      </c>
      <c r="S202" s="36" t="n">
        <v>0</v>
      </c>
      <c r="T202" s="37" t="n">
        <v>0.7956204379562044</v>
      </c>
      <c r="U202" s="37" t="n">
        <v>0.8775510204081632</v>
      </c>
      <c r="V202" s="37" t="n">
        <v>0.75</v>
      </c>
      <c r="W202" s="37" t="n">
        <v>0.5348837209302325</v>
      </c>
    </row>
    <row r="203">
      <c r="A203" s="53" t="n">
        <v>45814</v>
      </c>
      <c r="B203" t="inlineStr">
        <is>
          <t>R07_Bali Nusra</t>
        </is>
      </c>
      <c r="C203" t="inlineStr">
        <is>
          <t>NOP FLORES</t>
        </is>
      </c>
      <c r="D203" s="36" t="n">
        <v>2.5</v>
      </c>
      <c r="E203" s="36" t="n">
        <v>5.18</v>
      </c>
      <c r="F203" s="36" t="n">
        <v>6.36</v>
      </c>
      <c r="G203" s="36" t="n">
        <v>12.18</v>
      </c>
      <c r="H203" s="37" t="n">
        <v>0.3622222222222222</v>
      </c>
      <c r="I203" s="37" t="n">
        <v>0.6857142857142857</v>
      </c>
      <c r="J203" s="37" t="n">
        <v>0.3026315789473684</v>
      </c>
      <c r="K203" s="37" t="n">
        <v>0.6875</v>
      </c>
      <c r="L203" s="37" t="n">
        <v>0.6875</v>
      </c>
      <c r="M203" s="37" t="n">
        <v>0.9977777777777778</v>
      </c>
      <c r="N203" s="37" t="n">
        <v>0.2444444444444444</v>
      </c>
      <c r="O203" s="36" t="n">
        <v>0.23</v>
      </c>
      <c r="P203" s="36" t="n">
        <v>9.18</v>
      </c>
      <c r="Q203" s="36" t="n">
        <v>10.74</v>
      </c>
      <c r="R203" s="36" t="n">
        <v>129.62</v>
      </c>
      <c r="S203" s="36" t="n">
        <v>0</v>
      </c>
      <c r="T203" s="37" t="n">
        <v>0.5205992509363296</v>
      </c>
      <c r="U203" s="37" t="n">
        <v>0.5326086956521739</v>
      </c>
      <c r="V203" s="37" t="n">
        <v>0.4939759036144578</v>
      </c>
      <c r="W203" s="37" t="n">
        <v>0.8469387755102041</v>
      </c>
    </row>
    <row r="204">
      <c r="A204" s="53" t="n">
        <v>45814</v>
      </c>
      <c r="B204" t="inlineStr">
        <is>
          <t>R07_Bali Nusra</t>
        </is>
      </c>
      <c r="C204" t="inlineStr">
        <is>
          <t>NOP KUPANG</t>
        </is>
      </c>
      <c r="D204" s="36" t="n">
        <v>1.42</v>
      </c>
      <c r="E204" s="36" t="n">
        <v>6.43</v>
      </c>
      <c r="F204" s="36" t="n">
        <v>7.53</v>
      </c>
      <c r="G204" s="36" t="n">
        <v>12.11</v>
      </c>
      <c r="H204" s="37" t="n">
        <v>0.5459459459459459</v>
      </c>
      <c r="I204" s="37" t="n">
        <v>0.6666666666666666</v>
      </c>
      <c r="J204" s="37" t="n">
        <v>0.5225806451612903</v>
      </c>
      <c r="K204" s="37" t="n">
        <v>0.8</v>
      </c>
      <c r="L204" s="37" t="n">
        <v>0.8</v>
      </c>
      <c r="M204" s="37" t="n">
        <v>1</v>
      </c>
      <c r="N204" s="37" t="n">
        <v>0.2432432432432433</v>
      </c>
      <c r="O204" s="36" t="n">
        <v>0</v>
      </c>
      <c r="P204" s="36" t="n">
        <v>7.26</v>
      </c>
      <c r="Q204" s="36" t="n">
        <v>15.59</v>
      </c>
      <c r="R204" s="36" t="n">
        <v>36.13</v>
      </c>
      <c r="S204" s="36" t="n">
        <v>0</v>
      </c>
      <c r="T204" s="37" t="n">
        <v>0.4622641509433962</v>
      </c>
      <c r="U204" s="37" t="n">
        <v>0.5390625</v>
      </c>
      <c r="V204" s="37" t="n">
        <v>0.4105263157894737</v>
      </c>
      <c r="W204" s="37" t="n">
        <v>0.6666666666666666</v>
      </c>
    </row>
    <row r="205">
      <c r="A205" s="53" t="n">
        <v>45814</v>
      </c>
      <c r="B205" t="inlineStr">
        <is>
          <t>R07_Bali Nusra</t>
        </is>
      </c>
      <c r="C205" t="inlineStr">
        <is>
          <t>NOP MATARAM</t>
        </is>
      </c>
      <c r="D205" s="36" t="n">
        <v>0.91</v>
      </c>
      <c r="E205" s="36" t="n">
        <v>2.48</v>
      </c>
      <c r="F205" s="36" t="n">
        <v>2.75</v>
      </c>
      <c r="G205" s="36" t="n">
        <v>4.39</v>
      </c>
      <c r="H205" s="37" t="n">
        <v>0.6534653465346535</v>
      </c>
      <c r="I205" s="37" t="n">
        <v>0.5714285714285714</v>
      </c>
      <c r="J205" s="37" t="n">
        <v>0.6666666666666666</v>
      </c>
      <c r="K205" s="37" t="n">
        <v>0.5</v>
      </c>
      <c r="L205" s="37" t="n">
        <v>0.5</v>
      </c>
      <c r="M205" s="37" t="n">
        <v>1</v>
      </c>
      <c r="N205" s="37" t="n">
        <v>0.3267326732673267</v>
      </c>
      <c r="O205" s="36" t="n">
        <v>0.02</v>
      </c>
      <c r="P205" s="36" t="n">
        <v>15</v>
      </c>
      <c r="Q205" s="36" t="n">
        <v>39.74</v>
      </c>
      <c r="R205" s="36" t="n">
        <v>47.28</v>
      </c>
      <c r="S205" s="36" t="n">
        <v>0</v>
      </c>
      <c r="T205" s="37" t="n">
        <v>0.4267782426778243</v>
      </c>
      <c r="U205" s="37" t="n">
        <v>0.4184782608695652</v>
      </c>
      <c r="V205" s="37" t="n">
        <v>0.4545454545454545</v>
      </c>
      <c r="W205" s="37" t="n">
        <v>0.4545454545454545</v>
      </c>
    </row>
    <row r="206">
      <c r="A206" s="53" t="n">
        <v>45815</v>
      </c>
      <c r="B206" t="inlineStr">
        <is>
          <t>R01_Sumbagut</t>
        </is>
      </c>
      <c r="C206" t="inlineStr">
        <is>
          <t>NOP ACEH</t>
        </is>
      </c>
      <c r="D206" s="36" t="n">
        <v>1.88</v>
      </c>
      <c r="E206" s="36" t="n">
        <v>4.65</v>
      </c>
      <c r="F206" s="36" t="n">
        <v>5.22</v>
      </c>
      <c r="G206" s="36" t="n">
        <v>7.84</v>
      </c>
      <c r="H206" s="37" t="n">
        <v>0.8802816901408451</v>
      </c>
      <c r="I206" s="37" t="n">
        <v>0.8315217391304348</v>
      </c>
      <c r="J206" s="37" t="n">
        <v>0.8913580246913581</v>
      </c>
      <c r="K206" s="37" t="n">
        <v>0.5228758169934641</v>
      </c>
      <c r="L206" s="37" t="n">
        <v>0.5277777777777778</v>
      </c>
      <c r="M206" s="37" t="n">
        <v>0.9969818913480886</v>
      </c>
      <c r="N206" s="37" t="n">
        <v>0.3943661971830986</v>
      </c>
      <c r="O206" s="36" t="n">
        <v>0.95</v>
      </c>
      <c r="P206" s="36" t="n">
        <v>4.1</v>
      </c>
      <c r="Q206" s="36" t="n">
        <v>76.15000000000001</v>
      </c>
      <c r="R206" s="36" t="n">
        <v>173.57</v>
      </c>
      <c r="S206" s="36" t="n">
        <v>0</v>
      </c>
      <c r="T206" s="37" t="n">
        <v>0.8738738738738738</v>
      </c>
      <c r="U206" s="37" t="n">
        <v>0.7035294117647058</v>
      </c>
      <c r="V206" s="37" t="n">
        <v>0.9476334340382678</v>
      </c>
      <c r="W206" s="37" t="n">
        <v>0.3043478260869565</v>
      </c>
    </row>
    <row r="207">
      <c r="A207" s="53" t="n">
        <v>45815</v>
      </c>
      <c r="B207" t="inlineStr">
        <is>
          <t>R01_Sumbagut</t>
        </is>
      </c>
      <c r="C207" t="inlineStr">
        <is>
          <t>NOP BINJAI</t>
        </is>
      </c>
      <c r="D207" s="36" t="n">
        <v>4.39</v>
      </c>
      <c r="E207" s="36" t="n">
        <v>5.4</v>
      </c>
      <c r="F207" s="36" t="n">
        <v>6.26</v>
      </c>
      <c r="G207" s="36" t="n">
        <v>5.3</v>
      </c>
      <c r="H207" s="37" t="n">
        <v>0.6100519930675909</v>
      </c>
      <c r="I207" s="37" t="n">
        <v>0.6621621621621622</v>
      </c>
      <c r="J207" s="37" t="n">
        <v>0.5920745920745921</v>
      </c>
      <c r="K207" s="37" t="n">
        <v>0.4285714285714285</v>
      </c>
      <c r="L207" s="37" t="n">
        <v>0.4285714285714285</v>
      </c>
      <c r="M207" s="37" t="n">
        <v>0.9878682842287695</v>
      </c>
      <c r="N207" s="37" t="n">
        <v>0.2980935875216638</v>
      </c>
      <c r="O207" s="36" t="n">
        <v>0</v>
      </c>
      <c r="P207" s="36" t="n">
        <v>4.08</v>
      </c>
      <c r="Q207" s="36" t="n">
        <v>63.42</v>
      </c>
      <c r="R207" s="36" t="n">
        <v>114.17</v>
      </c>
      <c r="S207" s="36" t="n">
        <v>0</v>
      </c>
      <c r="T207" s="37" t="n">
        <v>0.6877761413843888</v>
      </c>
      <c r="U207" s="37" t="n">
        <v>0.5466101694915254</v>
      </c>
      <c r="V207" s="37" t="n">
        <v>0.7714285714285715</v>
      </c>
      <c r="W207" s="37" t="n">
        <v>0.4806201550387597</v>
      </c>
    </row>
    <row r="208">
      <c r="A208" s="53" t="n">
        <v>45815</v>
      </c>
      <c r="B208" t="inlineStr">
        <is>
          <t>R01_Sumbagut</t>
        </is>
      </c>
      <c r="C208" t="inlineStr">
        <is>
          <t>NOP MEDAN</t>
        </is>
      </c>
      <c r="D208" s="36" t="n">
        <v>2.2</v>
      </c>
      <c r="E208" s="36" t="n">
        <v>5.47</v>
      </c>
      <c r="F208" s="36" t="n">
        <v>2.57</v>
      </c>
      <c r="G208" s="36" t="n">
        <v>8.199999999999999</v>
      </c>
      <c r="H208" s="37" t="n">
        <v>0.379862700228833</v>
      </c>
      <c r="I208" s="37" t="n">
        <v>0.4296875</v>
      </c>
      <c r="J208" s="37" t="n">
        <v>0.3592233009708738</v>
      </c>
      <c r="K208" s="37" t="n">
        <v>0.6909090909090909</v>
      </c>
      <c r="L208" s="37" t="n">
        <v>0.6981132075471698</v>
      </c>
      <c r="M208" s="37" t="n">
        <v>1</v>
      </c>
      <c r="N208" s="37" t="n">
        <v>0.2105263157894737</v>
      </c>
      <c r="O208" s="36" t="n">
        <v>0</v>
      </c>
      <c r="P208" s="36" t="n">
        <v>3.73</v>
      </c>
      <c r="Q208" s="36" t="n">
        <v>16.74</v>
      </c>
      <c r="R208" s="36" t="n">
        <v>6.27</v>
      </c>
      <c r="S208" s="36" t="n">
        <v>0</v>
      </c>
      <c r="T208" s="37" t="n">
        <v>0.3372365339578454</v>
      </c>
      <c r="U208" s="37" t="n">
        <v>0.1869918699186992</v>
      </c>
      <c r="V208" s="37" t="n">
        <v>0.4317343173431734</v>
      </c>
      <c r="W208" s="37" t="n">
        <v>0.7826086956521739</v>
      </c>
    </row>
    <row r="209">
      <c r="A209" s="53" t="n">
        <v>45815</v>
      </c>
      <c r="B209" t="inlineStr">
        <is>
          <t>R01_Sumbagut</t>
        </is>
      </c>
      <c r="C209" t="inlineStr">
        <is>
          <t>NOP PADANG SIDEMPUAN</t>
        </is>
      </c>
      <c r="D209" s="36" t="n">
        <v>1.04</v>
      </c>
      <c r="E209" s="36" t="n">
        <v>2.78</v>
      </c>
      <c r="F209" s="36" t="n">
        <v>4.44</v>
      </c>
      <c r="G209" s="36" t="n">
        <v>5.77</v>
      </c>
      <c r="H209" s="37" t="n">
        <v>0.3868421052631579</v>
      </c>
      <c r="I209" s="37" t="n">
        <v>0.7555555555555555</v>
      </c>
      <c r="J209" s="37" t="n">
        <v>0.3373134328358209</v>
      </c>
      <c r="K209" s="37" t="n">
        <v>0.5588235294117647</v>
      </c>
      <c r="L209" s="37" t="n">
        <v>0.5588235294117647</v>
      </c>
      <c r="M209" s="37" t="n">
        <v>0.9842105263157894</v>
      </c>
      <c r="N209" s="37" t="n">
        <v>0.1578947368421053</v>
      </c>
      <c r="O209" s="36" t="n">
        <v>0.01</v>
      </c>
      <c r="P209" s="36" t="n">
        <v>2.77</v>
      </c>
      <c r="Q209" s="36" t="n">
        <v>6.37</v>
      </c>
      <c r="R209" s="36" t="n">
        <v>104.99</v>
      </c>
      <c r="S209" s="36" t="n">
        <v>0</v>
      </c>
      <c r="T209" s="37" t="n">
        <v>0.7162041181736795</v>
      </c>
      <c r="U209" s="37" t="n">
        <v>0.697265625</v>
      </c>
      <c r="V209" s="37" t="n">
        <v>0.7312925170068028</v>
      </c>
      <c r="W209" s="37" t="n">
        <v>0.5630252100840336</v>
      </c>
    </row>
    <row r="210">
      <c r="A210" s="53" t="n">
        <v>45815</v>
      </c>
      <c r="B210" t="inlineStr">
        <is>
          <t>R01_Sumbagut</t>
        </is>
      </c>
      <c r="C210" t="inlineStr">
        <is>
          <t>NOP PEMATANG SIANTAR</t>
        </is>
      </c>
      <c r="D210" s="36" t="n">
        <v>2.73</v>
      </c>
      <c r="E210" s="36" t="n">
        <v>3.54</v>
      </c>
      <c r="F210" s="36" t="n">
        <v>3.99</v>
      </c>
      <c r="G210" s="36" t="n">
        <v>5.09</v>
      </c>
      <c r="H210" s="37" t="n">
        <v>0.464524765729585</v>
      </c>
      <c r="I210" s="37" t="n">
        <v>0.7375</v>
      </c>
      <c r="J210" s="37" t="n">
        <v>0.3901192504258944</v>
      </c>
      <c r="K210" s="37" t="n">
        <v>0.3474576271186441</v>
      </c>
      <c r="L210" s="37" t="n">
        <v>0.3482142857142857</v>
      </c>
      <c r="M210" s="37" t="n">
        <v>0.9986613119143239</v>
      </c>
      <c r="N210" s="37" t="n">
        <v>0.2275769745649264</v>
      </c>
      <c r="O210" s="36" t="n">
        <v>0.03</v>
      </c>
      <c r="P210" s="36" t="n">
        <v>4.24</v>
      </c>
      <c r="Q210" s="36" t="n">
        <v>74.04000000000001</v>
      </c>
      <c r="R210" s="36" t="n">
        <v>115.99</v>
      </c>
      <c r="S210" s="36" t="n">
        <v>0</v>
      </c>
      <c r="T210" s="37" t="n">
        <v>0.6184351554126474</v>
      </c>
      <c r="U210" s="37" t="n">
        <v>0.6923076923076923</v>
      </c>
      <c r="V210" s="37" t="n">
        <v>0.5818540433925049</v>
      </c>
      <c r="W210" s="37" t="n">
        <v>0.5478927203065134</v>
      </c>
    </row>
    <row r="211">
      <c r="A211" s="53" t="n">
        <v>45815</v>
      </c>
      <c r="B211" t="inlineStr">
        <is>
          <t>R01_Sumbagut</t>
        </is>
      </c>
      <c r="C211" t="inlineStr">
        <is>
          <t>NOP RANTAU PRAPAT</t>
        </is>
      </c>
      <c r="D211" s="36" t="n">
        <v>3.09</v>
      </c>
      <c r="E211" s="36" t="n">
        <v>2.92</v>
      </c>
      <c r="F211" s="36" t="n">
        <v>2.9</v>
      </c>
      <c r="G211" s="36" t="n">
        <v>3.81</v>
      </c>
      <c r="H211" s="37" t="n">
        <v>0.4013605442176871</v>
      </c>
      <c r="I211" s="37" t="n">
        <v>0.3167701863354037</v>
      </c>
      <c r="J211" s="37" t="n">
        <v>0.420249653259362</v>
      </c>
      <c r="K211" s="37" t="n">
        <v>0.6862745098039216</v>
      </c>
      <c r="L211" s="37" t="n">
        <v>0.6862745098039216</v>
      </c>
      <c r="M211" s="37" t="n">
        <v>0.9863945578231292</v>
      </c>
      <c r="N211" s="37" t="n">
        <v>0.2414965986394558</v>
      </c>
      <c r="O211" s="36" t="n">
        <v>0.03</v>
      </c>
      <c r="P211" s="36" t="n">
        <v>3.44</v>
      </c>
      <c r="Q211" s="36" t="n">
        <v>32.66</v>
      </c>
      <c r="R211" s="36" t="n">
        <v>127.22</v>
      </c>
      <c r="S211" s="36" t="n">
        <v>0</v>
      </c>
      <c r="T211" s="37" t="n">
        <v>0.2177234530175707</v>
      </c>
      <c r="U211" s="37" t="n">
        <v>0.2768729641693811</v>
      </c>
      <c r="V211" s="37" t="n">
        <v>0.1941848390446521</v>
      </c>
      <c r="W211" s="37" t="n">
        <v>0.5411764705882353</v>
      </c>
    </row>
    <row r="212">
      <c r="A212" s="53" t="n">
        <v>45815</v>
      </c>
      <c r="B212" t="inlineStr">
        <is>
          <t>R10_Sumbagteng</t>
        </is>
      </c>
      <c r="C212" t="inlineStr">
        <is>
          <t>NOP BATAM</t>
        </is>
      </c>
      <c r="D212" s="36" t="n">
        <v>2.34</v>
      </c>
      <c r="E212" s="36" t="n">
        <v>7.65</v>
      </c>
      <c r="F212" s="36" t="n">
        <v>6.36</v>
      </c>
      <c r="G212" s="36" t="n">
        <v>7.72</v>
      </c>
      <c r="H212" s="37" t="n">
        <v>0.5040106951871658</v>
      </c>
      <c r="I212" s="37" t="n">
        <v>0.7048192771084337</v>
      </c>
      <c r="J212" s="37" t="n">
        <v>0.4467353951890035</v>
      </c>
      <c r="K212" s="37" t="n">
        <v>0.7606837606837606</v>
      </c>
      <c r="L212" s="37" t="n">
        <v>0.7652173913043478</v>
      </c>
      <c r="M212" s="37" t="n">
        <v>0.9933155080213903</v>
      </c>
      <c r="N212" s="37" t="n">
        <v>0.3770053475935829</v>
      </c>
      <c r="O212" s="36" t="n">
        <v>0.9399999999999999</v>
      </c>
      <c r="P212" s="36" t="n">
        <v>10.01</v>
      </c>
      <c r="Q212" s="36" t="n">
        <v>70.72</v>
      </c>
      <c r="R212" s="36" t="n">
        <v>150.68</v>
      </c>
      <c r="S212" s="36" t="n">
        <v>0</v>
      </c>
      <c r="T212" s="37" t="n">
        <v>0.3257080610021786</v>
      </c>
      <c r="U212" s="37" t="n">
        <v>0.5370370370370371</v>
      </c>
      <c r="V212" s="37" t="n">
        <v>0.2570194384449244</v>
      </c>
      <c r="W212" s="37" t="n">
        <v>0.8318965517241379</v>
      </c>
    </row>
    <row r="213">
      <c r="A213" s="53" t="n">
        <v>45815</v>
      </c>
      <c r="B213" t="inlineStr">
        <is>
          <t>R10_Sumbagteng</t>
        </is>
      </c>
      <c r="C213" t="inlineStr">
        <is>
          <t>NOP BUKITTINGGI</t>
        </is>
      </c>
      <c r="D213" s="36" t="n">
        <v>2</v>
      </c>
      <c r="E213" s="36" t="n">
        <v>3.55</v>
      </c>
      <c r="F213" s="36" t="n">
        <v>3.13</v>
      </c>
      <c r="G213" s="36" t="n">
        <v>3.32</v>
      </c>
      <c r="H213" s="37" t="n">
        <v>0.7002398081534772</v>
      </c>
      <c r="I213" s="37" t="n">
        <v>0.801980198019802</v>
      </c>
      <c r="J213" s="37" t="n">
        <v>0.6677215189873418</v>
      </c>
      <c r="K213" s="37" t="n">
        <v>0.5185185185185185</v>
      </c>
      <c r="L213" s="37" t="n">
        <v>0.5316455696202531</v>
      </c>
      <c r="M213" s="37" t="n">
        <v>0.9688249400479616</v>
      </c>
      <c r="N213" s="37" t="n">
        <v>0.3836930455635492</v>
      </c>
      <c r="O213" s="36" t="n">
        <v>1.23</v>
      </c>
      <c r="P213" s="36" t="n">
        <v>5.89</v>
      </c>
      <c r="Q213" s="36" t="n">
        <v>95.98999999999999</v>
      </c>
      <c r="R213" s="36" t="n">
        <v>140.06</v>
      </c>
      <c r="S213" s="36" t="n">
        <v>0</v>
      </c>
      <c r="T213" s="37" t="n">
        <v>0.5691202872531418</v>
      </c>
      <c r="U213" s="37" t="n">
        <v>0.7473684210526316</v>
      </c>
      <c r="V213" s="37" t="n">
        <v>0.5299334811529933</v>
      </c>
      <c r="W213" s="37" t="n">
        <v>0.5915492957746479</v>
      </c>
    </row>
    <row r="214">
      <c r="A214" s="53" t="n">
        <v>45815</v>
      </c>
      <c r="B214" t="inlineStr">
        <is>
          <t>R10_Sumbagteng</t>
        </is>
      </c>
      <c r="C214" t="inlineStr">
        <is>
          <t>NOP DUMAI</t>
        </is>
      </c>
      <c r="D214" s="36" t="n">
        <v>3.29</v>
      </c>
      <c r="E214" s="36" t="n">
        <v>4.64</v>
      </c>
      <c r="F214" s="36" t="n">
        <v>4.74</v>
      </c>
      <c r="G214" s="36" t="n">
        <v>5.98</v>
      </c>
      <c r="H214" s="37" t="n">
        <v>0.507532956685499</v>
      </c>
      <c r="I214" s="37" t="n">
        <v>0.5802919708029197</v>
      </c>
      <c r="J214" s="37" t="n">
        <v>0.4822335025380711</v>
      </c>
      <c r="K214" s="37" t="n">
        <v>0.7044025157232704</v>
      </c>
      <c r="L214" s="37" t="n">
        <v>0.7161290322580646</v>
      </c>
      <c r="M214" s="37" t="n">
        <v>0.9896421845574388</v>
      </c>
      <c r="N214" s="37" t="n">
        <v>0.3069679849340866</v>
      </c>
      <c r="O214" s="36" t="n">
        <v>0.01</v>
      </c>
      <c r="P214" s="36" t="n">
        <v>10.36</v>
      </c>
      <c r="Q214" s="36" t="n">
        <v>54.95</v>
      </c>
      <c r="R214" s="36" t="n">
        <v>127.67</v>
      </c>
      <c r="S214" s="36" t="n">
        <v>0</v>
      </c>
      <c r="T214" s="37" t="n">
        <v>0.233066891039125</v>
      </c>
      <c r="U214" s="37" t="n">
        <v>0.3394495412844037</v>
      </c>
      <c r="V214" s="37" t="n">
        <v>0.2015418502202643</v>
      </c>
      <c r="W214" s="37" t="n">
        <v>0.9405405405405406</v>
      </c>
    </row>
    <row r="215">
      <c r="A215" s="53" t="n">
        <v>45815</v>
      </c>
      <c r="B215" t="inlineStr">
        <is>
          <t>R10_Sumbagteng</t>
        </is>
      </c>
      <c r="C215" t="inlineStr">
        <is>
          <t>NOP PADANG</t>
        </is>
      </c>
      <c r="D215" s="36" t="n">
        <v>0</v>
      </c>
      <c r="E215" s="36" t="n">
        <v>3.3</v>
      </c>
      <c r="F215" s="36" t="n">
        <v>4.02</v>
      </c>
      <c r="G215" s="36" t="n">
        <v>4.64</v>
      </c>
      <c r="H215" s="37" t="n">
        <v>0.6450116009280742</v>
      </c>
      <c r="I215" s="37" t="n">
        <v>0.6571428571428571</v>
      </c>
      <c r="J215" s="37" t="n">
        <v>0.6439393939393939</v>
      </c>
      <c r="K215" s="37" t="n">
        <v>0.5652173913043478</v>
      </c>
      <c r="L215" s="37" t="n">
        <v>0.5652173913043478</v>
      </c>
      <c r="M215" s="37" t="n">
        <v>0.9698375870069605</v>
      </c>
      <c r="N215" s="37" t="n">
        <v>0.2621809744779582</v>
      </c>
      <c r="O215" s="36" t="n">
        <v>10.24</v>
      </c>
      <c r="P215" s="36" t="n">
        <v>5.42</v>
      </c>
      <c r="Q215" s="36" t="n">
        <v>67.33</v>
      </c>
      <c r="R215" s="36" t="n">
        <v>180.31</v>
      </c>
      <c r="S215" s="36" t="n">
        <v>0</v>
      </c>
      <c r="T215" s="37" t="n">
        <v>0.8166939443535188</v>
      </c>
      <c r="U215" s="37" t="n">
        <v>0.6551724137931034</v>
      </c>
      <c r="V215" s="37" t="n">
        <v>0.8787878787878788</v>
      </c>
      <c r="W215" s="37" t="n">
        <v>0.7192982456140351</v>
      </c>
    </row>
    <row r="216">
      <c r="A216" s="53" t="n">
        <v>45815</v>
      </c>
      <c r="B216" t="inlineStr">
        <is>
          <t>R10_Sumbagteng</t>
        </is>
      </c>
      <c r="C216" t="inlineStr">
        <is>
          <t>NOP PEKANBARU</t>
        </is>
      </c>
      <c r="D216" s="36" t="n">
        <v>5.49</v>
      </c>
      <c r="E216" s="36" t="n">
        <v>5.5</v>
      </c>
      <c r="F216" s="36" t="n">
        <v>4.45</v>
      </c>
      <c r="G216" s="36" t="n">
        <v>9.18</v>
      </c>
      <c r="H216" s="37" t="n">
        <v>0.4282433983926521</v>
      </c>
      <c r="I216" s="37" t="n">
        <v>0.4295302013422819</v>
      </c>
      <c r="J216" s="37" t="n">
        <v>0.4279778393351801</v>
      </c>
      <c r="K216" s="37" t="n">
        <v>0.78125</v>
      </c>
      <c r="L216" s="37" t="n">
        <v>0.7936507936507936</v>
      </c>
      <c r="M216" s="37" t="n">
        <v>0.9942594718714122</v>
      </c>
      <c r="N216" s="37" t="n">
        <v>0.2502870264064294</v>
      </c>
      <c r="O216" s="36" t="n">
        <v>0.79</v>
      </c>
      <c r="P216" s="36" t="n">
        <v>5.66</v>
      </c>
      <c r="Q216" s="36" t="n">
        <v>46.6</v>
      </c>
      <c r="R216" s="36" t="n">
        <v>80.37</v>
      </c>
      <c r="S216" s="36" t="n">
        <v>0</v>
      </c>
      <c r="T216" s="37" t="n">
        <v>0.2894736842105263</v>
      </c>
      <c r="U216" s="37" t="n">
        <v>0.3229357798165138</v>
      </c>
      <c r="V216" s="37" t="n">
        <v>0.2717131474103586</v>
      </c>
      <c r="W216" s="37" t="n">
        <v>0.8125</v>
      </c>
    </row>
    <row r="217">
      <c r="A217" s="53" t="n">
        <v>45815</v>
      </c>
      <c r="B217" t="inlineStr">
        <is>
          <t>R02_Sumbagsel</t>
        </is>
      </c>
      <c r="C217" t="inlineStr">
        <is>
          <t>NOP BENGKULU</t>
        </is>
      </c>
      <c r="D217" s="36" t="n">
        <v>3.59</v>
      </c>
      <c r="E217" s="36" t="n">
        <v>5.62</v>
      </c>
      <c r="F217" s="36" t="n">
        <v>3.59</v>
      </c>
      <c r="G217" s="36" t="n">
        <v>6.42</v>
      </c>
      <c r="H217" s="37" t="n">
        <v>0.4867724867724867</v>
      </c>
      <c r="I217" s="37" t="n">
        <v>0.5608108108108109</v>
      </c>
      <c r="J217" s="37" t="n">
        <v>0.4606205250596659</v>
      </c>
      <c r="K217" s="37" t="n">
        <v>0.6506024096385542</v>
      </c>
      <c r="L217" s="37" t="n">
        <v>0.6506024096385542</v>
      </c>
      <c r="M217" s="37" t="n">
        <v>0.9911816578483245</v>
      </c>
      <c r="N217" s="37" t="n">
        <v>0.2839506172839506</v>
      </c>
      <c r="O217" s="36" t="n">
        <v>0</v>
      </c>
      <c r="P217" s="36" t="n">
        <v>5.16</v>
      </c>
      <c r="Q217" s="36" t="n">
        <v>8.59</v>
      </c>
      <c r="R217" s="36" t="n">
        <v>5.7</v>
      </c>
      <c r="S217" s="36" t="n">
        <v>0</v>
      </c>
      <c r="T217" s="37" t="n">
        <v>0.4962840627580512</v>
      </c>
      <c r="U217" s="37" t="n">
        <v>0.4204702627939143</v>
      </c>
      <c r="V217" s="37" t="n">
        <v>0.5922330097087378</v>
      </c>
      <c r="W217" s="37" t="n">
        <v>0.8881578947368421</v>
      </c>
    </row>
    <row r="218">
      <c r="A218" s="53" t="n">
        <v>45815</v>
      </c>
      <c r="B218" t="inlineStr">
        <is>
          <t>R02_Sumbagsel</t>
        </is>
      </c>
      <c r="C218" t="inlineStr">
        <is>
          <t>NOP JAMBI</t>
        </is>
      </c>
      <c r="D218" s="36" t="n">
        <v>3.49</v>
      </c>
      <c r="E218" s="36" t="n">
        <v>3.32</v>
      </c>
      <c r="F218" s="36" t="n">
        <v>3.46</v>
      </c>
      <c r="G218" s="36" t="n">
        <v>6.35</v>
      </c>
      <c r="H218" s="37" t="n">
        <v>0.30440097799511</v>
      </c>
      <c r="I218" s="37" t="n">
        <v>0.2936802973977695</v>
      </c>
      <c r="J218" s="37" t="n">
        <v>0.3096539162112932</v>
      </c>
      <c r="K218" s="37" t="n">
        <v>0.6329113924050633</v>
      </c>
      <c r="L218" s="37" t="n">
        <v>0.6329113924050633</v>
      </c>
      <c r="M218" s="37" t="n">
        <v>0.9877750611246944</v>
      </c>
      <c r="N218" s="37" t="n">
        <v>0.1625916870415648</v>
      </c>
      <c r="O218" s="36" t="n">
        <v>0</v>
      </c>
      <c r="P218" s="36" t="n">
        <v>3.47</v>
      </c>
      <c r="Q218" s="36" t="n">
        <v>10.46</v>
      </c>
      <c r="R218" s="36" t="n">
        <v>19.91</v>
      </c>
      <c r="S218" s="36" t="n">
        <v>0</v>
      </c>
      <c r="T218" s="37" t="n">
        <v>0.1844512195121951</v>
      </c>
      <c r="U218" s="37" t="n">
        <v>0.1559888579387187</v>
      </c>
      <c r="V218" s="37" t="n">
        <v>0.2473118279569892</v>
      </c>
      <c r="W218" s="37" t="n">
        <v>0.6785714285714286</v>
      </c>
    </row>
    <row r="219">
      <c r="A219" s="53" t="n">
        <v>45815</v>
      </c>
      <c r="B219" t="inlineStr">
        <is>
          <t>R02_Sumbagsel</t>
        </is>
      </c>
      <c r="C219" t="inlineStr">
        <is>
          <t>NOP LAMPUNG</t>
        </is>
      </c>
      <c r="D219" s="36" t="n">
        <v>0</v>
      </c>
      <c r="E219" s="36" t="n">
        <v>4.18</v>
      </c>
      <c r="F219" s="36" t="n">
        <v>4.84</v>
      </c>
      <c r="G219" s="36" t="n">
        <v>4.04</v>
      </c>
      <c r="H219" s="37" t="n">
        <v>0.5047169811320755</v>
      </c>
      <c r="I219" s="37" t="n">
        <v>0.75</v>
      </c>
      <c r="J219" s="37" t="n">
        <v>0.425</v>
      </c>
      <c r="K219" s="37" t="n">
        <v>0.8205128205128205</v>
      </c>
      <c r="L219" s="37" t="n">
        <v>0.8205128205128205</v>
      </c>
      <c r="M219" s="37" t="n">
        <v>0.9764150943396226</v>
      </c>
      <c r="N219" s="37" t="n">
        <v>0.4103773584905661</v>
      </c>
      <c r="O219" s="36" t="n">
        <v>0</v>
      </c>
      <c r="P219" s="36" t="n">
        <v>16.42</v>
      </c>
      <c r="Q219" s="36" t="n">
        <v>4.37</v>
      </c>
      <c r="R219" s="36" t="n">
        <v>38.77</v>
      </c>
      <c r="S219" s="36" t="n">
        <v>0</v>
      </c>
      <c r="T219" s="37" t="n">
        <v>0.9051724137931034</v>
      </c>
      <c r="U219" s="37" t="n">
        <v>0.87248322147651</v>
      </c>
      <c r="V219" s="37" t="n">
        <v>0.9260700389105059</v>
      </c>
      <c r="W219" s="37" t="n">
        <v>0.8769230769230769</v>
      </c>
    </row>
    <row r="220">
      <c r="A220" s="53" t="n">
        <v>45815</v>
      </c>
      <c r="B220" t="inlineStr">
        <is>
          <t>R02_Sumbagsel</t>
        </is>
      </c>
      <c r="C220" t="inlineStr">
        <is>
          <t>NOP MUARA ENIM</t>
        </is>
      </c>
      <c r="D220" s="36" t="n">
        <v>3.22</v>
      </c>
      <c r="E220" s="36" t="n">
        <v>4.01</v>
      </c>
      <c r="F220" s="36" t="n">
        <v>4.23</v>
      </c>
      <c r="G220" s="36" t="n">
        <v>5.06</v>
      </c>
      <c r="H220" s="37" t="n">
        <v>0.2974537037037037</v>
      </c>
      <c r="I220" s="37" t="n">
        <v>0.4108527131782946</v>
      </c>
      <c r="J220" s="37" t="n">
        <v>0.2775510204081633</v>
      </c>
      <c r="K220" s="37" t="n">
        <v>0.7547169811320755</v>
      </c>
      <c r="L220" s="37" t="n">
        <v>0.7547169811320755</v>
      </c>
      <c r="M220" s="37" t="n">
        <v>0.9803240740740741</v>
      </c>
      <c r="N220" s="37" t="n">
        <v>0.1574074074074074</v>
      </c>
      <c r="O220" s="36" t="n">
        <v>0</v>
      </c>
      <c r="P220" s="36" t="n">
        <v>20.14</v>
      </c>
      <c r="Q220" s="36" t="n">
        <v>10.32</v>
      </c>
      <c r="R220" s="36" t="n">
        <v>6</v>
      </c>
      <c r="S220" s="36" t="n">
        <v>0</v>
      </c>
      <c r="T220" s="37" t="n">
        <v>0.5153664302600472</v>
      </c>
      <c r="U220" s="37" t="n">
        <v>0.4632952691680261</v>
      </c>
      <c r="V220" s="37" t="n">
        <v>0.5902777777777778</v>
      </c>
      <c r="W220" s="37" t="n">
        <v>0.7746478873239436</v>
      </c>
    </row>
    <row r="221">
      <c r="A221" s="53" t="n">
        <v>45815</v>
      </c>
      <c r="B221" t="inlineStr">
        <is>
          <t>R02_Sumbagsel</t>
        </is>
      </c>
      <c r="C221" t="inlineStr">
        <is>
          <t>NOP PALEMBANG</t>
        </is>
      </c>
      <c r="D221" s="36" t="n">
        <v>2.31</v>
      </c>
      <c r="E221" s="36" t="n">
        <v>4.74</v>
      </c>
      <c r="F221" s="36" t="n">
        <v>5.52</v>
      </c>
      <c r="G221" s="36" t="n">
        <v>6.62</v>
      </c>
      <c r="H221" s="37" t="n">
        <v>0.2807017543859649</v>
      </c>
      <c r="I221" s="37" t="n">
        <v>0.2276422764227642</v>
      </c>
      <c r="J221" s="37" t="n">
        <v>0.2884160756501182</v>
      </c>
      <c r="K221" s="37" t="n">
        <v>0.4642857142857143</v>
      </c>
      <c r="L221" s="37" t="n">
        <v>0.4642857142857143</v>
      </c>
      <c r="M221" s="37" t="n">
        <v>1</v>
      </c>
      <c r="N221" s="37" t="n">
        <v>0.1228070175438596</v>
      </c>
      <c r="O221" s="36" t="n">
        <v>0</v>
      </c>
      <c r="P221" s="36" t="n">
        <v>3.07</v>
      </c>
      <c r="Q221" s="36" t="n">
        <v>9.69</v>
      </c>
      <c r="R221" s="36" t="n">
        <v>37.72</v>
      </c>
      <c r="S221" s="36" t="n">
        <v>0</v>
      </c>
      <c r="T221" s="37" t="n">
        <v>0.1312</v>
      </c>
      <c r="U221" s="37" t="n">
        <v>0.1112637362637363</v>
      </c>
      <c r="V221" s="37" t="n">
        <v>0.2155844155844156</v>
      </c>
      <c r="W221" s="37" t="n">
        <v>0.6790123456790124</v>
      </c>
    </row>
    <row r="222">
      <c r="A222" s="53" t="n">
        <v>45815</v>
      </c>
      <c r="B222" t="inlineStr">
        <is>
          <t>R02_Sumbagsel</t>
        </is>
      </c>
      <c r="C222" t="inlineStr">
        <is>
          <t>NOP PANGKAL PINANG</t>
        </is>
      </c>
      <c r="D222" s="36" t="n">
        <v>0</v>
      </c>
      <c r="E222" s="36" t="n">
        <v>5.92</v>
      </c>
      <c r="F222" s="36" t="n">
        <v>4.86</v>
      </c>
      <c r="G222" s="36" t="n">
        <v>7.72</v>
      </c>
      <c r="H222" s="37" t="n">
        <v>0.752</v>
      </c>
      <c r="I222" s="37" t="n">
        <v>0.5</v>
      </c>
      <c r="J222" s="37" t="n">
        <v>0.7647058823529411</v>
      </c>
      <c r="K222" s="37" t="n">
        <v>0.3333333333333333</v>
      </c>
      <c r="L222" s="37" t="n">
        <v>0.3333333333333333</v>
      </c>
      <c r="M222" s="37" t="n">
        <v>1</v>
      </c>
      <c r="N222" s="37" t="n">
        <v>0.44</v>
      </c>
      <c r="O222" s="36" t="n">
        <v>0</v>
      </c>
      <c r="P222" s="36" t="n">
        <v>5.24</v>
      </c>
      <c r="Q222" s="36" t="n">
        <v>6.46</v>
      </c>
      <c r="R222" s="36" t="n">
        <v>5</v>
      </c>
      <c r="S222" s="36" t="n">
        <v>0</v>
      </c>
      <c r="T222" s="37" t="n">
        <v>0.923679060665362</v>
      </c>
      <c r="U222" s="37" t="n">
        <v>0.9337748344370861</v>
      </c>
      <c r="V222" s="37" t="n">
        <v>0.9285714285714286</v>
      </c>
      <c r="W222" s="37" t="n">
        <v>0.8723404255319149</v>
      </c>
    </row>
    <row r="223">
      <c r="A223" s="53" t="n">
        <v>45815</v>
      </c>
      <c r="B223" t="inlineStr">
        <is>
          <t>R05_Jawa Tengah DIY</t>
        </is>
      </c>
      <c r="C223" t="inlineStr">
        <is>
          <t>NOP MAGELANG</t>
        </is>
      </c>
      <c r="D223" s="36" t="n">
        <v>3.26</v>
      </c>
      <c r="E223" s="36" t="n">
        <v>0</v>
      </c>
      <c r="F223" s="36" t="n">
        <v>2.45</v>
      </c>
      <c r="G223" s="36" t="n">
        <v>3.1</v>
      </c>
      <c r="H223" s="37" t="n">
        <v>0.7843137254901961</v>
      </c>
      <c r="I223" s="37" t="n">
        <v>0.8</v>
      </c>
      <c r="J223" s="37" t="n">
        <v>0.7835051546391752</v>
      </c>
      <c r="K223" s="37" t="n">
        <v>1</v>
      </c>
      <c r="L223" s="37" t="n">
        <v>1</v>
      </c>
      <c r="M223" s="37" t="n">
        <v>1</v>
      </c>
      <c r="N223" s="37" t="n">
        <v>0.6568627450980392</v>
      </c>
      <c r="O223" s="36" t="n">
        <v>0</v>
      </c>
      <c r="P223" s="36" t="n">
        <v>2.34</v>
      </c>
      <c r="Q223" s="36" t="n">
        <v>5.53</v>
      </c>
      <c r="R223" s="36" t="n">
        <v>13.93</v>
      </c>
      <c r="S223" s="36" t="n">
        <v>0</v>
      </c>
      <c r="T223" s="37" t="n">
        <v>0.9343434343434344</v>
      </c>
      <c r="U223" s="37" t="n">
        <v>0.8</v>
      </c>
      <c r="V223" s="37" t="n">
        <v>0.9515669515669516</v>
      </c>
      <c r="W223" s="37" t="n">
        <v>0.8333333333333334</v>
      </c>
    </row>
    <row r="224">
      <c r="A224" s="53" t="n">
        <v>45815</v>
      </c>
      <c r="B224" t="inlineStr">
        <is>
          <t>R05_Jawa Tengah DIY</t>
        </is>
      </c>
      <c r="C224" t="inlineStr">
        <is>
          <t>NOP PEKALONGAN</t>
        </is>
      </c>
      <c r="D224" s="36" t="n">
        <v>3.14</v>
      </c>
      <c r="E224" s="36" t="n">
        <v>0</v>
      </c>
      <c r="F224" s="36" t="n">
        <v>3.49</v>
      </c>
      <c r="G224" s="36" t="n">
        <v>9.289999999999999</v>
      </c>
      <c r="H224" s="37" t="n">
        <v>0.7288135593220338</v>
      </c>
      <c r="I224" s="37" t="n">
        <v>0.6666666666666666</v>
      </c>
      <c r="J224" s="37" t="n">
        <v>0.7358490566037735</v>
      </c>
      <c r="K224" s="37" t="n">
        <v>1</v>
      </c>
      <c r="L224" s="37" t="n">
        <v>1</v>
      </c>
      <c r="M224" s="37" t="n">
        <v>0.9661016949152542</v>
      </c>
      <c r="N224" s="37" t="n">
        <v>0.5423728813559322</v>
      </c>
      <c r="O224" s="36" t="n">
        <v>0</v>
      </c>
      <c r="P224" s="36" t="n">
        <v>2.53</v>
      </c>
      <c r="Q224" s="36" t="n">
        <v>10.25</v>
      </c>
      <c r="R224" s="36" t="n">
        <v>55.86</v>
      </c>
      <c r="S224" s="36" t="n">
        <v>0</v>
      </c>
      <c r="T224" s="37" t="n">
        <v>0.8260869565217391</v>
      </c>
      <c r="U224" s="37" t="n">
        <v>0.7058823529411765</v>
      </c>
      <c r="V224" s="37" t="n">
        <v>0.8533333333333334</v>
      </c>
      <c r="W224" s="37" t="n">
        <v>0.6666666666666666</v>
      </c>
    </row>
    <row r="225">
      <c r="A225" s="53" t="n">
        <v>45815</v>
      </c>
      <c r="B225" t="inlineStr">
        <is>
          <t>R05_Jawa Tengah DIY</t>
        </is>
      </c>
      <c r="C225" t="inlineStr">
        <is>
          <t>NOP PURWOKERTO</t>
        </is>
      </c>
      <c r="D225" s="36" t="n">
        <v>2.58</v>
      </c>
      <c r="E225" s="36" t="n">
        <v>0</v>
      </c>
      <c r="F225" s="36" t="n">
        <v>2.71</v>
      </c>
      <c r="G225" s="36" t="n">
        <v>4.16</v>
      </c>
      <c r="H225" s="37" t="n">
        <v>0.6285714285714286</v>
      </c>
      <c r="I225" s="37" t="n">
        <v>0.8</v>
      </c>
      <c r="J225" s="37" t="n">
        <v>0.62</v>
      </c>
      <c r="K225" s="37" t="n">
        <v>1</v>
      </c>
      <c r="L225" s="37" t="n">
        <v>1</v>
      </c>
      <c r="M225" s="37" t="n">
        <v>0.9809523809523809</v>
      </c>
      <c r="N225" s="37" t="n">
        <v>0.4095238095238095</v>
      </c>
      <c r="O225" s="36" t="n">
        <v>0.5</v>
      </c>
      <c r="P225" s="36" t="n">
        <v>4.14</v>
      </c>
      <c r="Q225" s="36" t="n">
        <v>6.81</v>
      </c>
      <c r="R225" s="36" t="n">
        <v>35.38</v>
      </c>
      <c r="S225" s="36" t="n">
        <v>0</v>
      </c>
      <c r="T225" s="37" t="n">
        <v>0.8333333333333334</v>
      </c>
      <c r="U225" s="37" t="n">
        <v>0.7659574468085106</v>
      </c>
      <c r="V225" s="37" t="n">
        <v>0.865979381443299</v>
      </c>
      <c r="W225" s="37" t="n">
        <v>0.6944444444444444</v>
      </c>
    </row>
    <row r="226">
      <c r="A226" s="53" t="n">
        <v>45815</v>
      </c>
      <c r="B226" t="inlineStr">
        <is>
          <t>R05_Jawa Tengah DIY</t>
        </is>
      </c>
      <c r="C226" t="inlineStr">
        <is>
          <t>NOP SEMARANG</t>
        </is>
      </c>
      <c r="D226" s="36" t="n">
        <v>2.82</v>
      </c>
      <c r="E226" s="36" t="n">
        <v>2.57</v>
      </c>
      <c r="F226" s="36" t="n">
        <v>2.57</v>
      </c>
      <c r="G226" s="36" t="n">
        <v>2.92</v>
      </c>
      <c r="H226" s="37" t="n">
        <v>0.6342857142857142</v>
      </c>
      <c r="I226" s="37" t="n">
        <v>0.8571428571428571</v>
      </c>
      <c r="J226" s="37" t="n">
        <v>0.6149068322981367</v>
      </c>
      <c r="K226" s="37" t="n">
        <v>0.9166666666666666</v>
      </c>
      <c r="L226" s="37" t="n">
        <v>0.9166666666666666</v>
      </c>
      <c r="M226" s="37" t="n">
        <v>0.9542857142857143</v>
      </c>
      <c r="N226" s="37" t="n">
        <v>0.4742857142857143</v>
      </c>
      <c r="O226" s="36" t="n">
        <v>0.01</v>
      </c>
      <c r="P226" s="36" t="n">
        <v>6.3</v>
      </c>
      <c r="Q226" s="36" t="n">
        <v>7.61</v>
      </c>
      <c r="R226" s="36" t="n">
        <v>69.06999999999999</v>
      </c>
      <c r="S226" s="36" t="n">
        <v>0</v>
      </c>
      <c r="T226" s="37" t="n">
        <v>0.8674242424242424</v>
      </c>
      <c r="U226" s="37" t="n">
        <v>0.7981651376146789</v>
      </c>
      <c r="V226" s="37" t="n">
        <v>0.9161290322580645</v>
      </c>
      <c r="W226" s="37" t="n">
        <v>0.8505747126436781</v>
      </c>
    </row>
    <row r="227">
      <c r="A227" s="53" t="n">
        <v>45815</v>
      </c>
      <c r="B227" t="inlineStr">
        <is>
          <t>R05_Jawa Tengah DIY</t>
        </is>
      </c>
      <c r="C227" t="inlineStr">
        <is>
          <t>NOP SURAKARTA</t>
        </is>
      </c>
      <c r="D227" s="36" t="n">
        <v>1.66</v>
      </c>
      <c r="E227" s="36" t="n">
        <v>2.04</v>
      </c>
      <c r="F227" s="36" t="n">
        <v>3.14</v>
      </c>
      <c r="G227" s="36" t="n">
        <v>3.18</v>
      </c>
      <c r="H227" s="37" t="n">
        <v>0.806282722513089</v>
      </c>
      <c r="I227" s="37" t="n">
        <v>0.8823529411764706</v>
      </c>
      <c r="J227" s="37" t="n">
        <v>0.7988505747126436</v>
      </c>
      <c r="K227" s="37" t="n">
        <v>0.8</v>
      </c>
      <c r="L227" s="37" t="n">
        <v>0.8</v>
      </c>
      <c r="M227" s="37" t="n">
        <v>0.9842931937172775</v>
      </c>
      <c r="N227" s="37" t="n">
        <v>0.5235602094240838</v>
      </c>
      <c r="O227" s="36" t="n">
        <v>0.13</v>
      </c>
      <c r="P227" s="36" t="n">
        <v>8.15</v>
      </c>
      <c r="Q227" s="36" t="n">
        <v>7.68</v>
      </c>
      <c r="R227" s="36" t="n">
        <v>59.56</v>
      </c>
      <c r="S227" s="36" t="n">
        <v>0</v>
      </c>
      <c r="T227" s="37" t="n">
        <v>0.8243243243243243</v>
      </c>
      <c r="U227" s="37" t="n">
        <v>0.6901408450704225</v>
      </c>
      <c r="V227" s="37" t="n">
        <v>0.8874172185430463</v>
      </c>
      <c r="W227" s="37" t="n">
        <v>0.7346938775510204</v>
      </c>
    </row>
    <row r="228">
      <c r="A228" s="53" t="n">
        <v>45815</v>
      </c>
      <c r="B228" t="inlineStr">
        <is>
          <t>R05_Jawa Tengah DIY</t>
        </is>
      </c>
      <c r="C228" t="inlineStr">
        <is>
          <t>NOP YOGYAKARTA</t>
        </is>
      </c>
      <c r="D228" s="36" t="n">
        <v>2.82</v>
      </c>
      <c r="E228" s="36" t="n">
        <v>0</v>
      </c>
      <c r="F228" s="36" t="n">
        <v>2.29</v>
      </c>
      <c r="G228" s="36" t="n">
        <v>2.87</v>
      </c>
      <c r="H228" s="37" t="n">
        <v>0.7327586206896551</v>
      </c>
      <c r="I228" s="37" t="n">
        <v>1</v>
      </c>
      <c r="J228" s="37" t="n">
        <v>0.7181818181818181</v>
      </c>
      <c r="K228" s="37" t="n">
        <v>0.8333333333333334</v>
      </c>
      <c r="L228" s="37" t="n">
        <v>0.8333333333333334</v>
      </c>
      <c r="M228" s="37" t="n">
        <v>1</v>
      </c>
      <c r="N228" s="37" t="n">
        <v>0.5258620689655172</v>
      </c>
      <c r="O228" s="36" t="n">
        <v>0</v>
      </c>
      <c r="P228" s="36" t="n">
        <v>5.59</v>
      </c>
      <c r="Q228" s="36" t="n">
        <v>7.54</v>
      </c>
      <c r="R228" s="36" t="n">
        <v>45.37</v>
      </c>
      <c r="S228" s="36" t="n">
        <v>0</v>
      </c>
      <c r="T228" s="37" t="n">
        <v>0.926530612244898</v>
      </c>
      <c r="U228" s="37" t="n">
        <v>0.9122807017543859</v>
      </c>
      <c r="V228" s="37" t="n">
        <v>0.9308510638297872</v>
      </c>
      <c r="W228" s="37" t="n">
        <v>1</v>
      </c>
    </row>
    <row r="229">
      <c r="A229" s="53" t="n">
        <v>45815</v>
      </c>
      <c r="B229" t="inlineStr">
        <is>
          <t>R06_Jawa Timur</t>
        </is>
      </c>
      <c r="C229" t="inlineStr">
        <is>
          <t>NOP JEMBER</t>
        </is>
      </c>
      <c r="D229" s="36" t="n">
        <v>13.12</v>
      </c>
      <c r="E229" s="36" t="n">
        <v>0.4</v>
      </c>
      <c r="F229" s="36" t="n">
        <v>2.12</v>
      </c>
      <c r="G229" s="36" t="n">
        <v>2.17</v>
      </c>
      <c r="H229" s="37" t="n">
        <v>0.6794871794871795</v>
      </c>
      <c r="I229" s="37" t="n">
        <v>0.75</v>
      </c>
      <c r="J229" s="37" t="n">
        <v>0.6714285714285714</v>
      </c>
      <c r="K229" s="37" t="n">
        <v>0.8333333333333334</v>
      </c>
      <c r="L229" s="37" t="n">
        <v>0.8333333333333334</v>
      </c>
      <c r="M229" s="37" t="n">
        <v>1</v>
      </c>
      <c r="N229" s="37" t="n">
        <v>0.4871794871794872</v>
      </c>
      <c r="O229" s="36" t="n">
        <v>0</v>
      </c>
      <c r="P229" s="36" t="n">
        <v>1.8</v>
      </c>
      <c r="Q229" s="36" t="n">
        <v>7.83</v>
      </c>
      <c r="R229" s="36" t="n">
        <v>190.84</v>
      </c>
      <c r="S229" s="36" t="n">
        <v>0</v>
      </c>
      <c r="T229" s="37" t="n">
        <v>0.7480916030534351</v>
      </c>
      <c r="U229" s="37" t="n">
        <v>0.5428571428571428</v>
      </c>
      <c r="V229" s="37" t="n">
        <v>0.8229166666666666</v>
      </c>
      <c r="W229" s="37" t="n">
        <v>0.8421052631578947</v>
      </c>
    </row>
    <row r="230">
      <c r="A230" s="53" t="n">
        <v>45815</v>
      </c>
      <c r="B230" t="inlineStr">
        <is>
          <t>R06_Jawa Timur</t>
        </is>
      </c>
      <c r="C230" t="inlineStr">
        <is>
          <t>NOP KEDIRI</t>
        </is>
      </c>
      <c r="D230" s="36" t="n">
        <v>1.46</v>
      </c>
      <c r="E230" s="36" t="n">
        <v>0</v>
      </c>
      <c r="F230" s="36" t="n">
        <v>1.6</v>
      </c>
      <c r="G230" s="36" t="n">
        <v>1.7</v>
      </c>
      <c r="H230" s="37" t="n">
        <v>0.8412698412698413</v>
      </c>
      <c r="I230" s="37" t="n">
        <v>1</v>
      </c>
      <c r="J230" s="37" t="n">
        <v>0.8333333333333334</v>
      </c>
      <c r="K230" s="37" t="n">
        <v>0.6666666666666666</v>
      </c>
      <c r="L230" s="37" t="n">
        <v>0.6666666666666666</v>
      </c>
      <c r="M230" s="37" t="n">
        <v>1</v>
      </c>
      <c r="N230" s="37" t="n">
        <v>0.6349206349206349</v>
      </c>
      <c r="O230" s="36" t="n">
        <v>0</v>
      </c>
      <c r="P230" s="36" t="n">
        <v>2.22</v>
      </c>
      <c r="Q230" s="36" t="n">
        <v>5.57</v>
      </c>
      <c r="R230" s="36" t="n">
        <v>18.52</v>
      </c>
      <c r="S230" s="36" t="n">
        <v>0</v>
      </c>
      <c r="T230" s="37" t="n">
        <v>0.9157894736842105</v>
      </c>
      <c r="U230" s="37" t="n">
        <v>0.8571428571428571</v>
      </c>
      <c r="V230" s="37" t="n">
        <v>0.9402985074626866</v>
      </c>
      <c r="W230" s="37" t="n">
        <v>0.875</v>
      </c>
    </row>
    <row r="231">
      <c r="A231" s="53" t="n">
        <v>45815</v>
      </c>
      <c r="B231" t="inlineStr">
        <is>
          <t>R06_Jawa Timur</t>
        </is>
      </c>
      <c r="C231" t="inlineStr">
        <is>
          <t>NOP LAMONGAN</t>
        </is>
      </c>
      <c r="D231" s="36" t="n">
        <v>3.08</v>
      </c>
      <c r="E231" s="36" t="n">
        <v>0</v>
      </c>
      <c r="F231" s="36" t="n">
        <v>4.36</v>
      </c>
      <c r="G231" s="36" t="n">
        <v>2.62</v>
      </c>
      <c r="H231" s="37" t="n">
        <v>0.9111111111111111</v>
      </c>
      <c r="I231" s="37" t="n">
        <v>1</v>
      </c>
      <c r="J231" s="37" t="n">
        <v>0.9</v>
      </c>
      <c r="K231" s="37" t="n">
        <v>1</v>
      </c>
      <c r="L231" s="37" t="n">
        <v>1</v>
      </c>
      <c r="M231" s="37" t="n">
        <v>1</v>
      </c>
      <c r="N231" s="37" t="n">
        <v>0.7555555555555555</v>
      </c>
      <c r="O231" s="36" t="n">
        <v>0</v>
      </c>
      <c r="P231" s="36" t="n">
        <v>2.69</v>
      </c>
      <c r="Q231" s="36" t="n">
        <v>4.92</v>
      </c>
      <c r="R231" s="36" t="n">
        <v>92.03</v>
      </c>
      <c r="S231" s="36" t="n">
        <v>0</v>
      </c>
      <c r="T231" s="37" t="n">
        <v>0.8431372549019608</v>
      </c>
      <c r="U231" s="37" t="n">
        <v>0.6818181818181818</v>
      </c>
      <c r="V231" s="37" t="n">
        <v>0.9655172413793104</v>
      </c>
      <c r="W231" s="37" t="n">
        <v>0.7333333333333333</v>
      </c>
    </row>
    <row r="232">
      <c r="A232" s="53" t="n">
        <v>45815</v>
      </c>
      <c r="B232" t="inlineStr">
        <is>
          <t>R06_Jawa Timur</t>
        </is>
      </c>
      <c r="C232" t="inlineStr">
        <is>
          <t>NOP MADIUN</t>
        </is>
      </c>
      <c r="D232" s="36" t="n">
        <v>0.7</v>
      </c>
      <c r="E232" s="36" t="n">
        <v>0</v>
      </c>
      <c r="F232" s="36" t="n">
        <v>2.53</v>
      </c>
      <c r="G232" s="36" t="n">
        <v>3.59</v>
      </c>
      <c r="H232" s="37" t="n">
        <v>0.6363636363636364</v>
      </c>
      <c r="I232" s="37" t="n">
        <v>1</v>
      </c>
      <c r="J232" s="37" t="n">
        <v>0.6266666666666667</v>
      </c>
      <c r="K232" s="37" t="n">
        <v>1</v>
      </c>
      <c r="L232" s="37" t="n">
        <v>1</v>
      </c>
      <c r="M232" s="37" t="n">
        <v>0.8831168831168831</v>
      </c>
      <c r="N232" s="37" t="n">
        <v>0.3896103896103896</v>
      </c>
      <c r="O232" s="36" t="n">
        <v>0</v>
      </c>
      <c r="P232" s="36" t="n">
        <v>4.58</v>
      </c>
      <c r="Q232" s="36" t="n">
        <v>7.15</v>
      </c>
      <c r="R232" s="36" t="n">
        <v>22.58</v>
      </c>
      <c r="S232" s="36" t="n">
        <v>0</v>
      </c>
      <c r="T232" s="37" t="n">
        <v>0.7422680412371134</v>
      </c>
      <c r="U232" s="37" t="n">
        <v>0.6176470588235294</v>
      </c>
      <c r="V232" s="37" t="n">
        <v>0.8095238095238095</v>
      </c>
      <c r="W232" s="37" t="n">
        <v>0.7142857142857143</v>
      </c>
    </row>
    <row r="233">
      <c r="A233" s="53" t="n">
        <v>45815</v>
      </c>
      <c r="B233" t="inlineStr">
        <is>
          <t>R06_Jawa Timur</t>
        </is>
      </c>
      <c r="C233" t="inlineStr">
        <is>
          <t>NOP MALANG</t>
        </is>
      </c>
      <c r="D233" s="36" t="n">
        <v>0</v>
      </c>
      <c r="E233" s="36" t="n">
        <v>0</v>
      </c>
      <c r="F233" s="36" t="n">
        <v>0.95</v>
      </c>
      <c r="G233" s="36" t="n">
        <v>2.06</v>
      </c>
      <c r="H233" s="37" t="n">
        <v>0.9019607843137255</v>
      </c>
      <c r="I233" s="37" t="n">
        <v>0</v>
      </c>
      <c r="J233" s="37" t="n">
        <v>0.9019607843137255</v>
      </c>
      <c r="K233" s="37" t="n">
        <v>0</v>
      </c>
      <c r="L233" s="37" t="n">
        <v>0</v>
      </c>
      <c r="M233" s="37" t="n">
        <v>1</v>
      </c>
      <c r="N233" s="37" t="n">
        <v>0.9607843137254902</v>
      </c>
      <c r="O233" s="36" t="n">
        <v>0</v>
      </c>
      <c r="P233" s="36" t="n">
        <v>1.81</v>
      </c>
      <c r="Q233" s="36" t="n">
        <v>2.81</v>
      </c>
      <c r="R233" s="36" t="n">
        <v>15</v>
      </c>
      <c r="S233" s="36" t="n">
        <v>0</v>
      </c>
      <c r="T233" s="37" t="n">
        <v>0.7837837837837838</v>
      </c>
      <c r="U233" s="37" t="n">
        <v>0.6333333333333333</v>
      </c>
      <c r="V233" s="37" t="n">
        <v>0.8863636363636364</v>
      </c>
      <c r="W233" s="37" t="n">
        <v>0.8947368421052632</v>
      </c>
    </row>
    <row r="234">
      <c r="A234" s="53" t="n">
        <v>45815</v>
      </c>
      <c r="B234" t="inlineStr">
        <is>
          <t>R06_Jawa Timur</t>
        </is>
      </c>
      <c r="C234" t="inlineStr">
        <is>
          <t>NOP SIDOARJO</t>
        </is>
      </c>
      <c r="D234" s="36" t="n">
        <v>0</v>
      </c>
      <c r="E234" s="36" t="n">
        <v>0</v>
      </c>
      <c r="F234" s="36" t="n">
        <v>4.61</v>
      </c>
      <c r="G234" s="36" t="n">
        <v>3.42</v>
      </c>
      <c r="H234" s="37" t="n">
        <v>0.813953488372093</v>
      </c>
      <c r="I234" s="37" t="n">
        <v>0</v>
      </c>
      <c r="J234" s="37" t="n">
        <v>0.813953488372093</v>
      </c>
      <c r="K234" s="37" t="n">
        <v>0</v>
      </c>
      <c r="L234" s="37" t="n">
        <v>0</v>
      </c>
      <c r="M234" s="37" t="n">
        <v>0.9534883720930233</v>
      </c>
      <c r="N234" s="37" t="n">
        <v>0.5581395348837209</v>
      </c>
      <c r="O234" s="36" t="n">
        <v>0.01</v>
      </c>
      <c r="P234" s="36" t="n">
        <v>2.41</v>
      </c>
      <c r="Q234" s="36" t="n">
        <v>12.92</v>
      </c>
      <c r="R234" s="36" t="n">
        <v>40.78</v>
      </c>
      <c r="S234" s="36" t="n">
        <v>0</v>
      </c>
      <c r="T234" s="37" t="n">
        <v>0.8260869565217391</v>
      </c>
      <c r="U234" s="37" t="n">
        <v>0.6923076923076923</v>
      </c>
      <c r="V234" s="37" t="n">
        <v>0.8571428571428571</v>
      </c>
      <c r="W234" s="37" t="n">
        <v>0.7777777777777778</v>
      </c>
    </row>
    <row r="235">
      <c r="A235" s="53" t="n">
        <v>45815</v>
      </c>
      <c r="B235" t="inlineStr">
        <is>
          <t>R06_Jawa Timur</t>
        </is>
      </c>
      <c r="C235" t="inlineStr">
        <is>
          <t>NOP SURABAYA</t>
        </is>
      </c>
      <c r="D235" s="36" t="n">
        <v>1.78</v>
      </c>
      <c r="E235" s="36" t="n">
        <v>0</v>
      </c>
      <c r="F235" s="36" t="n">
        <v>2.35</v>
      </c>
      <c r="G235" s="36" t="n">
        <v>2.99</v>
      </c>
      <c r="H235" s="37" t="n">
        <v>0.5617977528089888</v>
      </c>
      <c r="I235" s="37" t="n">
        <v>0.6666666666666666</v>
      </c>
      <c r="J235" s="37" t="n">
        <v>0.5581395348837209</v>
      </c>
      <c r="K235" s="37" t="n">
        <v>1</v>
      </c>
      <c r="L235" s="37" t="n">
        <v>1</v>
      </c>
      <c r="M235" s="37" t="n">
        <v>0.9438202247191011</v>
      </c>
      <c r="N235" s="37" t="n">
        <v>0.3595505617977528</v>
      </c>
      <c r="O235" s="36" t="n">
        <v>0.96</v>
      </c>
      <c r="P235" s="36" t="n">
        <v>2.18</v>
      </c>
      <c r="Q235" s="36" t="n">
        <v>8.289999999999999</v>
      </c>
      <c r="R235" s="36" t="n">
        <v>24.47</v>
      </c>
      <c r="S235" s="36" t="n">
        <v>0</v>
      </c>
      <c r="T235" s="37" t="n">
        <v>0.6432432432432432</v>
      </c>
      <c r="U235" s="37" t="n">
        <v>0.45</v>
      </c>
      <c r="V235" s="37" t="n">
        <v>0.6666666666666666</v>
      </c>
      <c r="W235" s="37" t="n">
        <v>0.6666666666666666</v>
      </c>
    </row>
    <row r="236">
      <c r="A236" s="53" t="n">
        <v>45815</v>
      </c>
      <c r="B236" t="inlineStr">
        <is>
          <t>R07_Bali Nusra</t>
        </is>
      </c>
      <c r="C236" t="inlineStr">
        <is>
          <t>NOP DENPASAR</t>
        </is>
      </c>
      <c r="D236" s="36" t="n">
        <v>3.18</v>
      </c>
      <c r="E236" s="36" t="n">
        <v>0</v>
      </c>
      <c r="F236" s="36" t="n">
        <v>1.84</v>
      </c>
      <c r="G236" s="36" t="n">
        <v>2.29</v>
      </c>
      <c r="H236" s="37" t="n">
        <v>0.8923076923076924</v>
      </c>
      <c r="I236" s="37" t="n">
        <v>1</v>
      </c>
      <c r="J236" s="37" t="n">
        <v>0.8771929824561403</v>
      </c>
      <c r="K236" s="37" t="n">
        <v>1</v>
      </c>
      <c r="L236" s="37" t="n">
        <v>1</v>
      </c>
      <c r="M236" s="37" t="n">
        <v>1</v>
      </c>
      <c r="N236" s="37" t="n">
        <v>0.9538461538461539</v>
      </c>
      <c r="O236" s="36" t="n">
        <v>0.01</v>
      </c>
      <c r="P236" s="36" t="n">
        <v>7.38</v>
      </c>
      <c r="Q236" s="36" t="n">
        <v>11.26</v>
      </c>
      <c r="R236" s="36" t="n">
        <v>21.64</v>
      </c>
      <c r="S236" s="36" t="n">
        <v>0</v>
      </c>
      <c r="T236" s="37" t="n">
        <v>0.7987012987012987</v>
      </c>
      <c r="U236" s="37" t="n">
        <v>0.8727272727272727</v>
      </c>
      <c r="V236" s="37" t="n">
        <v>0.7575757575757576</v>
      </c>
      <c r="W236" s="37" t="n">
        <v>0.5833333333333334</v>
      </c>
    </row>
    <row r="237">
      <c r="A237" s="53" t="n">
        <v>45815</v>
      </c>
      <c r="B237" t="inlineStr">
        <is>
          <t>R07_Bali Nusra</t>
        </is>
      </c>
      <c r="C237" t="inlineStr">
        <is>
          <t>NOP FLORES</t>
        </is>
      </c>
      <c r="D237" s="36" t="n">
        <v>3.28</v>
      </c>
      <c r="E237" s="36" t="n">
        <v>5.18</v>
      </c>
      <c r="F237" s="36" t="n">
        <v>6.12</v>
      </c>
      <c r="G237" s="36" t="n">
        <v>11.78</v>
      </c>
      <c r="H237" s="37" t="n">
        <v>0.359724612736661</v>
      </c>
      <c r="I237" s="37" t="n">
        <v>0.648936170212766</v>
      </c>
      <c r="J237" s="37" t="n">
        <v>0.3039014373716633</v>
      </c>
      <c r="K237" s="37" t="n">
        <v>0.7049180327868853</v>
      </c>
      <c r="L237" s="37" t="n">
        <v>0.7049180327868853</v>
      </c>
      <c r="M237" s="37" t="n">
        <v>0.9896729776247849</v>
      </c>
      <c r="N237" s="37" t="n">
        <v>0.2237521514629948</v>
      </c>
      <c r="O237" s="36" t="n">
        <v>0.23</v>
      </c>
      <c r="P237" s="36" t="n">
        <v>8.81</v>
      </c>
      <c r="Q237" s="36" t="n">
        <v>8.08</v>
      </c>
      <c r="R237" s="36" t="n">
        <v>123.86</v>
      </c>
      <c r="S237" s="36" t="n">
        <v>0</v>
      </c>
      <c r="T237" s="37" t="n">
        <v>0.5052160953800298</v>
      </c>
      <c r="U237" s="37" t="n">
        <v>0.5173913043478261</v>
      </c>
      <c r="V237" s="37" t="n">
        <v>0.4786729857819905</v>
      </c>
      <c r="W237" s="37" t="n">
        <v>0.819327731092437</v>
      </c>
    </row>
    <row r="238">
      <c r="A238" s="53" t="n">
        <v>45815</v>
      </c>
      <c r="B238" t="inlineStr">
        <is>
          <t>R07_Bali Nusra</t>
        </is>
      </c>
      <c r="C238" t="inlineStr">
        <is>
          <t>NOP KUPANG</t>
        </is>
      </c>
      <c r="D238" s="36" t="n">
        <v>1.42</v>
      </c>
      <c r="E238" s="36" t="n">
        <v>8.359999999999999</v>
      </c>
      <c r="F238" s="36" t="n">
        <v>7.49</v>
      </c>
      <c r="G238" s="36" t="n">
        <v>12.13</v>
      </c>
      <c r="H238" s="37" t="n">
        <v>0.5204081632653061</v>
      </c>
      <c r="I238" s="37" t="n">
        <v>0.6451612903225806</v>
      </c>
      <c r="J238" s="37" t="n">
        <v>0.496969696969697</v>
      </c>
      <c r="K238" s="37" t="n">
        <v>0.8</v>
      </c>
      <c r="L238" s="37" t="n">
        <v>0.8</v>
      </c>
      <c r="M238" s="37" t="n">
        <v>1</v>
      </c>
      <c r="N238" s="37" t="n">
        <v>0.2346938775510204</v>
      </c>
      <c r="O238" s="36" t="n">
        <v>0</v>
      </c>
      <c r="P238" s="36" t="n">
        <v>7.23</v>
      </c>
      <c r="Q238" s="36" t="n">
        <v>18.17</v>
      </c>
      <c r="R238" s="36" t="n">
        <v>11.33</v>
      </c>
      <c r="S238" s="36" t="n">
        <v>0</v>
      </c>
      <c r="T238" s="37" t="n">
        <v>0.4277777777777778</v>
      </c>
      <c r="U238" s="37" t="n">
        <v>0.5035460992907801</v>
      </c>
      <c r="V238" s="37" t="n">
        <v>0.3789954337899543</v>
      </c>
      <c r="W238" s="37" t="n">
        <v>0.676056338028169</v>
      </c>
    </row>
    <row r="239">
      <c r="A239" s="53" t="n">
        <v>45815</v>
      </c>
      <c r="B239" t="inlineStr">
        <is>
          <t>R07_Bali Nusra</t>
        </is>
      </c>
      <c r="C239" t="inlineStr">
        <is>
          <t>NOP MATARAM</t>
        </is>
      </c>
      <c r="D239" s="36" t="n">
        <v>0.91</v>
      </c>
      <c r="E239" s="36" t="n">
        <v>2.66</v>
      </c>
      <c r="F239" s="36" t="n">
        <v>3.92</v>
      </c>
      <c r="G239" s="36" t="n">
        <v>5.15</v>
      </c>
      <c r="H239" s="37" t="n">
        <v>0.6129032258064516</v>
      </c>
      <c r="I239" s="37" t="n">
        <v>0.5625</v>
      </c>
      <c r="J239" s="37" t="n">
        <v>0.6203703703703703</v>
      </c>
      <c r="K239" s="37" t="n">
        <v>0.5555555555555556</v>
      </c>
      <c r="L239" s="37" t="n">
        <v>0.5555555555555556</v>
      </c>
      <c r="M239" s="37" t="n">
        <v>1</v>
      </c>
      <c r="N239" s="37" t="n">
        <v>0.3306451612903226</v>
      </c>
      <c r="O239" s="36" t="n">
        <v>0.02</v>
      </c>
      <c r="P239" s="36" t="n">
        <v>19.74</v>
      </c>
      <c r="Q239" s="36" t="n">
        <v>31</v>
      </c>
      <c r="R239" s="36" t="n">
        <v>47.21</v>
      </c>
      <c r="S239" s="36" t="n">
        <v>0</v>
      </c>
      <c r="T239" s="37" t="n">
        <v>0.4163701067615658</v>
      </c>
      <c r="U239" s="37" t="n">
        <v>0.4131455399061033</v>
      </c>
      <c r="V239" s="37" t="n">
        <v>0.4264705882352941</v>
      </c>
      <c r="W239" s="37" t="n">
        <v>0.4431818181818182</v>
      </c>
    </row>
    <row r="240">
      <c r="A240" s="53" t="n">
        <v>45816</v>
      </c>
      <c r="B240" t="inlineStr">
        <is>
          <t>R01_Sumbagut</t>
        </is>
      </c>
      <c r="C240" t="inlineStr">
        <is>
          <t>NOP ACEH</t>
        </is>
      </c>
      <c r="D240" s="36" t="n">
        <v>3.06</v>
      </c>
      <c r="E240" s="36" t="n">
        <v>4.58</v>
      </c>
      <c r="F240" s="36" t="n">
        <v>5.07</v>
      </c>
      <c r="G240" s="36" t="n">
        <v>7.4</v>
      </c>
      <c r="H240" s="37" t="n">
        <v>0.8696383515559294</v>
      </c>
      <c r="I240" s="37" t="n">
        <v>0.8382978723404255</v>
      </c>
      <c r="J240" s="37" t="n">
        <v>0.8773584905660378</v>
      </c>
      <c r="K240" s="37" t="n">
        <v>0.5329949238578681</v>
      </c>
      <c r="L240" s="37" t="n">
        <v>0.5347593582887701</v>
      </c>
      <c r="M240" s="37" t="n">
        <v>0.9974768713204374</v>
      </c>
      <c r="N240" s="37" t="n">
        <v>0.3851976450798991</v>
      </c>
      <c r="O240" s="36" t="n">
        <v>0.95</v>
      </c>
      <c r="P240" s="36" t="n">
        <v>4.05</v>
      </c>
      <c r="Q240" s="36" t="n">
        <v>76.63</v>
      </c>
      <c r="R240" s="36" t="n">
        <v>171.41</v>
      </c>
      <c r="S240" s="36" t="n">
        <v>0</v>
      </c>
      <c r="T240" s="37" t="n">
        <v>0.8763250883392226</v>
      </c>
      <c r="U240" s="37" t="n">
        <v>0.7061310782241015</v>
      </c>
      <c r="V240" s="37" t="n">
        <v>0.9440267335004177</v>
      </c>
      <c r="W240" s="37" t="n">
        <v>0.311377245508982</v>
      </c>
    </row>
    <row r="241">
      <c r="A241" s="53" t="n">
        <v>45816</v>
      </c>
      <c r="B241" t="inlineStr">
        <is>
          <t>R01_Sumbagut</t>
        </is>
      </c>
      <c r="C241" t="inlineStr">
        <is>
          <t>NOP BINJAI</t>
        </is>
      </c>
      <c r="D241" s="36" t="n">
        <v>4.39</v>
      </c>
      <c r="E241" s="36" t="n">
        <v>5.4</v>
      </c>
      <c r="F241" s="36" t="n">
        <v>5.89</v>
      </c>
      <c r="G241" s="36" t="n">
        <v>5.67</v>
      </c>
      <c r="H241" s="37" t="n">
        <v>0.6058282208588958</v>
      </c>
      <c r="I241" s="37" t="n">
        <v>0.6687898089171974</v>
      </c>
      <c r="J241" s="37" t="n">
        <v>0.5858585858585859</v>
      </c>
      <c r="K241" s="37" t="n">
        <v>0.4190476190476191</v>
      </c>
      <c r="L241" s="37" t="n">
        <v>0.4190476190476191</v>
      </c>
      <c r="M241" s="37" t="n">
        <v>0.9892638036809815</v>
      </c>
      <c r="N241" s="37" t="n">
        <v>0.2837423312883436</v>
      </c>
      <c r="O241" s="36" t="n">
        <v>0</v>
      </c>
      <c r="P241" s="36" t="n">
        <v>4.03</v>
      </c>
      <c r="Q241" s="36" t="n">
        <v>61.2</v>
      </c>
      <c r="R241" s="36" t="n">
        <v>98.06</v>
      </c>
      <c r="S241" s="36" t="n">
        <v>0</v>
      </c>
      <c r="T241" s="37" t="n">
        <v>0.6911196911196911</v>
      </c>
      <c r="U241" s="37" t="n">
        <v>0.5592592592592592</v>
      </c>
      <c r="V241" s="37" t="n">
        <v>0.7714884696016772</v>
      </c>
      <c r="W241" s="37" t="n">
        <v>0.4768211920529801</v>
      </c>
    </row>
    <row r="242">
      <c r="A242" s="53" t="n">
        <v>45816</v>
      </c>
      <c r="B242" t="inlineStr">
        <is>
          <t>R01_Sumbagut</t>
        </is>
      </c>
      <c r="C242" t="inlineStr">
        <is>
          <t>NOP MEDAN</t>
        </is>
      </c>
      <c r="D242" s="36" t="n">
        <v>2.2</v>
      </c>
      <c r="E242" s="36" t="n">
        <v>6.99</v>
      </c>
      <c r="F242" s="36" t="n">
        <v>2.51</v>
      </c>
      <c r="G242" s="36" t="n">
        <v>8.09</v>
      </c>
      <c r="H242" s="37" t="n">
        <v>0.3614718614718614</v>
      </c>
      <c r="I242" s="37" t="n">
        <v>0.4044117647058824</v>
      </c>
      <c r="J242" s="37" t="n">
        <v>0.343558282208589</v>
      </c>
      <c r="K242" s="37" t="n">
        <v>0.6909090909090909</v>
      </c>
      <c r="L242" s="37" t="n">
        <v>0.6981132075471698</v>
      </c>
      <c r="M242" s="37" t="n">
        <v>0.9978354978354979</v>
      </c>
      <c r="N242" s="37" t="n">
        <v>0.1991341991341991</v>
      </c>
      <c r="O242" s="36" t="n">
        <v>0</v>
      </c>
      <c r="P242" s="36" t="n">
        <v>3.46</v>
      </c>
      <c r="Q242" s="36" t="n">
        <v>16.7</v>
      </c>
      <c r="R242" s="36" t="n">
        <v>6.25</v>
      </c>
      <c r="S242" s="36" t="n">
        <v>0</v>
      </c>
      <c r="T242" s="37" t="n">
        <v>0.3362445414847162</v>
      </c>
      <c r="U242" s="37" t="n">
        <v>0.1782945736434109</v>
      </c>
      <c r="V242" s="37" t="n">
        <v>0.4290540540540541</v>
      </c>
      <c r="W242" s="37" t="n">
        <v>0.7826086956521739</v>
      </c>
    </row>
    <row r="243">
      <c r="A243" s="53" t="n">
        <v>45816</v>
      </c>
      <c r="B243" t="inlineStr">
        <is>
          <t>R01_Sumbagut</t>
        </is>
      </c>
      <c r="C243" t="inlineStr">
        <is>
          <t>NOP PADANG SIDEMPUAN</t>
        </is>
      </c>
      <c r="D243" s="36" t="n">
        <v>1.03</v>
      </c>
      <c r="E243" s="36" t="n">
        <v>2.97</v>
      </c>
      <c r="F243" s="36" t="n">
        <v>4.44</v>
      </c>
      <c r="G243" s="36" t="n">
        <v>5.77</v>
      </c>
      <c r="H243" s="37" t="n">
        <v>0.3782505910165485</v>
      </c>
      <c r="I243" s="37" t="n">
        <v>0.75</v>
      </c>
      <c r="J243" s="37" t="n">
        <v>0.3306666666666667</v>
      </c>
      <c r="K243" s="37" t="n">
        <v>0.5555555555555556</v>
      </c>
      <c r="L243" s="37" t="n">
        <v>0.5555555555555556</v>
      </c>
      <c r="M243" s="37" t="n">
        <v>0.9858156028368794</v>
      </c>
      <c r="N243" s="37" t="n">
        <v>0.1583924349881797</v>
      </c>
      <c r="O243" s="36" t="n">
        <v>0.01</v>
      </c>
      <c r="P243" s="36" t="n">
        <v>2.72</v>
      </c>
      <c r="Q243" s="36" t="n">
        <v>6.42</v>
      </c>
      <c r="R243" s="36" t="n">
        <v>90.8</v>
      </c>
      <c r="S243" s="36" t="n">
        <v>0</v>
      </c>
      <c r="T243" s="37" t="n">
        <v>0.7155378486055777</v>
      </c>
      <c r="U243" s="37" t="n">
        <v>0.6943972835314092</v>
      </c>
      <c r="V243" s="37" t="n">
        <v>0.7352941176470589</v>
      </c>
      <c r="W243" s="37" t="n">
        <v>0.5647921760391198</v>
      </c>
    </row>
    <row r="244">
      <c r="A244" s="53" t="n">
        <v>45816</v>
      </c>
      <c r="B244" t="inlineStr">
        <is>
          <t>R01_Sumbagut</t>
        </is>
      </c>
      <c r="C244" t="inlineStr">
        <is>
          <t>NOP PEMATANG SIANTAR</t>
        </is>
      </c>
      <c r="D244" s="36" t="n">
        <v>2.7</v>
      </c>
      <c r="E244" s="36" t="n">
        <v>3.46</v>
      </c>
      <c r="F244" s="36" t="n">
        <v>3.73</v>
      </c>
      <c r="G244" s="36" t="n">
        <v>5.1</v>
      </c>
      <c r="H244" s="37" t="n">
        <v>0.4677222898903776</v>
      </c>
      <c r="I244" s="37" t="n">
        <v>0.7485714285714286</v>
      </c>
      <c r="J244" s="37" t="n">
        <v>0.391640866873065</v>
      </c>
      <c r="K244" s="37" t="n">
        <v>0.3282442748091603</v>
      </c>
      <c r="L244" s="37" t="n">
        <v>0.328</v>
      </c>
      <c r="M244" s="37" t="n">
        <v>0.9987819732034104</v>
      </c>
      <c r="N244" s="37" t="n">
        <v>0.2228989037758831</v>
      </c>
      <c r="O244" s="36" t="n">
        <v>0.03</v>
      </c>
      <c r="P244" s="36" t="n">
        <v>4.24</v>
      </c>
      <c r="Q244" s="36" t="n">
        <v>65.31</v>
      </c>
      <c r="R244" s="36" t="n">
        <v>99.33</v>
      </c>
      <c r="S244" s="36" t="n">
        <v>0</v>
      </c>
      <c r="T244" s="37" t="n">
        <v>0.6261950286806883</v>
      </c>
      <c r="U244" s="37" t="n">
        <v>0.704225352112676</v>
      </c>
      <c r="V244" s="37" t="n">
        <v>0.588339222614841</v>
      </c>
      <c r="W244" s="37" t="n">
        <v>0.5533333333333333</v>
      </c>
    </row>
    <row r="245">
      <c r="A245" s="53" t="n">
        <v>45816</v>
      </c>
      <c r="B245" t="inlineStr">
        <is>
          <t>R01_Sumbagut</t>
        </is>
      </c>
      <c r="C245" t="inlineStr">
        <is>
          <t>NOP RANTAU PRAPAT</t>
        </is>
      </c>
      <c r="D245" s="36" t="n">
        <v>3.64</v>
      </c>
      <c r="E245" s="36" t="n">
        <v>2.93</v>
      </c>
      <c r="F245" s="36" t="n">
        <v>3.19</v>
      </c>
      <c r="G245" s="36" t="n">
        <v>3.75</v>
      </c>
      <c r="H245" s="37" t="n">
        <v>0.3996101364522417</v>
      </c>
      <c r="I245" s="37" t="n">
        <v>0.3240223463687151</v>
      </c>
      <c r="J245" s="37" t="n">
        <v>0.4155844155844156</v>
      </c>
      <c r="K245" s="37" t="n">
        <v>0.7068965517241379</v>
      </c>
      <c r="L245" s="37" t="n">
        <v>0.7068965517241379</v>
      </c>
      <c r="M245" s="37" t="n">
        <v>0.98635477582846</v>
      </c>
      <c r="N245" s="37" t="n">
        <v>0.239766081871345</v>
      </c>
      <c r="O245" s="36" t="n">
        <v>0.03</v>
      </c>
      <c r="P245" s="36" t="n">
        <v>3.45</v>
      </c>
      <c r="Q245" s="36" t="n">
        <v>27.2</v>
      </c>
      <c r="R245" s="36" t="n">
        <v>113.59</v>
      </c>
      <c r="S245" s="36" t="n">
        <v>0</v>
      </c>
      <c r="T245" s="37" t="n">
        <v>0.2192803801765105</v>
      </c>
      <c r="U245" s="37" t="n">
        <v>0.2686567164179104</v>
      </c>
      <c r="V245" s="37" t="n">
        <v>0.1985361390667887</v>
      </c>
      <c r="W245" s="37" t="n">
        <v>0.5333333333333333</v>
      </c>
    </row>
    <row r="246">
      <c r="A246" s="53" t="n">
        <v>45816</v>
      </c>
      <c r="B246" t="inlineStr">
        <is>
          <t>R10_Sumbagteng</t>
        </is>
      </c>
      <c r="C246" t="inlineStr">
        <is>
          <t>NOP BATAM</t>
        </is>
      </c>
      <c r="D246" s="36" t="n">
        <v>2.34</v>
      </c>
      <c r="E246" s="36" t="n">
        <v>7.26</v>
      </c>
      <c r="F246" s="36" t="n">
        <v>5.95</v>
      </c>
      <c r="G246" s="36" t="n">
        <v>8.27</v>
      </c>
      <c r="H246" s="37" t="n">
        <v>0.5017626321974148</v>
      </c>
      <c r="I246" s="37" t="n">
        <v>0.6519337016574586</v>
      </c>
      <c r="J246" s="37" t="n">
        <v>0.4611940298507463</v>
      </c>
      <c r="K246" s="37" t="n">
        <v>0.7627118644067796</v>
      </c>
      <c r="L246" s="37" t="n">
        <v>0.7672413793103449</v>
      </c>
      <c r="M246" s="37" t="n">
        <v>0.9941245593419507</v>
      </c>
      <c r="N246" s="37" t="n">
        <v>0.3748531139835488</v>
      </c>
      <c r="O246" s="36" t="n">
        <v>0.9399999999999999</v>
      </c>
      <c r="P246" s="36" t="n">
        <v>10.02</v>
      </c>
      <c r="Q246" s="36" t="n">
        <v>71.08</v>
      </c>
      <c r="R246" s="36" t="n">
        <v>130.44</v>
      </c>
      <c r="S246" s="36" t="n">
        <v>0</v>
      </c>
      <c r="T246" s="37" t="n">
        <v>0.3093320701089531</v>
      </c>
      <c r="U246" s="37" t="n">
        <v>0.5144628099173554</v>
      </c>
      <c r="V246" s="37" t="n">
        <v>0.2450372208436725</v>
      </c>
      <c r="W246" s="37" t="n">
        <v>0.8232931726907631</v>
      </c>
    </row>
    <row r="247">
      <c r="A247" s="53" t="n">
        <v>45816</v>
      </c>
      <c r="B247" t="inlineStr">
        <is>
          <t>R10_Sumbagteng</t>
        </is>
      </c>
      <c r="C247" t="inlineStr">
        <is>
          <t>NOP BUKITTINGGI</t>
        </is>
      </c>
      <c r="D247" s="36" t="n">
        <v>1.91</v>
      </c>
      <c r="E247" s="36" t="n">
        <v>3.31</v>
      </c>
      <c r="F247" s="36" t="n">
        <v>3.13</v>
      </c>
      <c r="G247" s="36" t="n">
        <v>3.26</v>
      </c>
      <c r="H247" s="37" t="n">
        <v>0.6913319238900634</v>
      </c>
      <c r="I247" s="37" t="n">
        <v>0.8173913043478261</v>
      </c>
      <c r="J247" s="37" t="n">
        <v>0.6508379888268156</v>
      </c>
      <c r="K247" s="37" t="n">
        <v>0.5531914893617021</v>
      </c>
      <c r="L247" s="37" t="n">
        <v>0.5652173913043478</v>
      </c>
      <c r="M247" s="37" t="n">
        <v>0.9577167019027484</v>
      </c>
      <c r="N247" s="37" t="n">
        <v>0.386892177589852</v>
      </c>
      <c r="O247" s="36" t="n">
        <v>1.23</v>
      </c>
      <c r="P247" s="36" t="n">
        <v>5.75</v>
      </c>
      <c r="Q247" s="36" t="n">
        <v>93.73999999999999</v>
      </c>
      <c r="R247" s="36" t="n">
        <v>135.56</v>
      </c>
      <c r="S247" s="36" t="n">
        <v>0</v>
      </c>
      <c r="T247" s="37" t="n">
        <v>0.5816485225505443</v>
      </c>
      <c r="U247" s="37" t="n">
        <v>0.7477477477477478</v>
      </c>
      <c r="V247" s="37" t="n">
        <v>0.5472061657032755</v>
      </c>
      <c r="W247" s="37" t="n">
        <v>0.5903614457831325</v>
      </c>
    </row>
    <row r="248">
      <c r="A248" s="53" t="n">
        <v>45816</v>
      </c>
      <c r="B248" t="inlineStr">
        <is>
          <t>R10_Sumbagteng</t>
        </is>
      </c>
      <c r="C248" t="inlineStr">
        <is>
          <t>NOP DUMAI</t>
        </is>
      </c>
      <c r="D248" s="36" t="n">
        <v>2.64</v>
      </c>
      <c r="E248" s="36" t="n">
        <v>4.63</v>
      </c>
      <c r="F248" s="36" t="n">
        <v>4.71</v>
      </c>
      <c r="G248" s="36" t="n">
        <v>5.93</v>
      </c>
      <c r="H248" s="37" t="n">
        <v>0.5064935064935064</v>
      </c>
      <c r="I248" s="37" t="n">
        <v>0.601823708206687</v>
      </c>
      <c r="J248" s="37" t="n">
        <v>0.4717607973421927</v>
      </c>
      <c r="K248" s="37" t="n">
        <v>0.6616161616161617</v>
      </c>
      <c r="L248" s="37" t="n">
        <v>0.680628272251309</v>
      </c>
      <c r="M248" s="37" t="n">
        <v>0.9878246753246753</v>
      </c>
      <c r="N248" s="37" t="n">
        <v>0.3027597402597403</v>
      </c>
      <c r="O248" s="36" t="n">
        <v>0.01</v>
      </c>
      <c r="P248" s="36" t="n">
        <v>9.32</v>
      </c>
      <c r="Q248" s="36" t="n">
        <v>52.94</v>
      </c>
      <c r="R248" s="36" t="n">
        <v>114.92</v>
      </c>
      <c r="S248" s="36" t="n">
        <v>0</v>
      </c>
      <c r="T248" s="37" t="n">
        <v>0.2283039250990277</v>
      </c>
      <c r="U248" s="37" t="n">
        <v>0.3328125</v>
      </c>
      <c r="V248" s="37" t="n">
        <v>0.1967909391222275</v>
      </c>
      <c r="W248" s="37" t="n">
        <v>0.9483568075117371</v>
      </c>
    </row>
    <row r="249">
      <c r="A249" s="53" t="n">
        <v>45816</v>
      </c>
      <c r="B249" t="inlineStr">
        <is>
          <t>R10_Sumbagteng</t>
        </is>
      </c>
      <c r="C249" t="inlineStr">
        <is>
          <t>NOP PADANG</t>
        </is>
      </c>
      <c r="D249" s="36" t="n">
        <v>0</v>
      </c>
      <c r="E249" s="36" t="n">
        <v>3.11</v>
      </c>
      <c r="F249" s="36" t="n">
        <v>3.98</v>
      </c>
      <c r="G249" s="36" t="n">
        <v>4.64</v>
      </c>
      <c r="H249" s="37" t="n">
        <v>0.6519823788546255</v>
      </c>
      <c r="I249" s="37" t="n">
        <v>0.6756756756756757</v>
      </c>
      <c r="J249" s="37" t="n">
        <v>0.6498800959232613</v>
      </c>
      <c r="K249" s="37" t="n">
        <v>0.5600000000000001</v>
      </c>
      <c r="L249" s="37" t="n">
        <v>0.5600000000000001</v>
      </c>
      <c r="M249" s="37" t="n">
        <v>0.9691629955947136</v>
      </c>
      <c r="N249" s="37" t="n">
        <v>0.2621145374449339</v>
      </c>
      <c r="O249" s="36" t="n">
        <v>10.24</v>
      </c>
      <c r="P249" s="36" t="n">
        <v>5.47</v>
      </c>
      <c r="Q249" s="36" t="n">
        <v>64.19</v>
      </c>
      <c r="R249" s="36" t="n">
        <v>167.02</v>
      </c>
      <c r="S249" s="36" t="n">
        <v>0</v>
      </c>
      <c r="T249" s="37" t="n">
        <v>0.8175074183976261</v>
      </c>
      <c r="U249" s="37" t="n">
        <v>0.6544502617801047</v>
      </c>
      <c r="V249" s="37" t="n">
        <v>0.88</v>
      </c>
      <c r="W249" s="37" t="n">
        <v>0.72</v>
      </c>
    </row>
    <row r="250">
      <c r="A250" s="53" t="n">
        <v>45816</v>
      </c>
      <c r="B250" t="inlineStr">
        <is>
          <t>R10_Sumbagteng</t>
        </is>
      </c>
      <c r="C250" t="inlineStr">
        <is>
          <t>NOP PEKANBARU</t>
        </is>
      </c>
      <c r="D250" s="36" t="n">
        <v>5.46</v>
      </c>
      <c r="E250" s="36" t="n">
        <v>5.92</v>
      </c>
      <c r="F250" s="36" t="n">
        <v>4.49</v>
      </c>
      <c r="G250" s="36" t="n">
        <v>8.76</v>
      </c>
      <c r="H250" s="37" t="n">
        <v>0.4464831804281346</v>
      </c>
      <c r="I250" s="37" t="n">
        <v>0.4482758620689655</v>
      </c>
      <c r="J250" s="37" t="n">
        <v>0.4460966542750929</v>
      </c>
      <c r="K250" s="37" t="n">
        <v>0.7692307692307693</v>
      </c>
      <c r="L250" s="37" t="n">
        <v>0.7792207792207793</v>
      </c>
      <c r="M250" s="37" t="n">
        <v>0.9928644240570846</v>
      </c>
      <c r="N250" s="37" t="n">
        <v>0.2589194699286442</v>
      </c>
      <c r="O250" s="36" t="n">
        <v>0.79</v>
      </c>
      <c r="P250" s="36" t="n">
        <v>5.56</v>
      </c>
      <c r="Q250" s="36" t="n">
        <v>47.98</v>
      </c>
      <c r="R250" s="36" t="n">
        <v>78.45</v>
      </c>
      <c r="S250" s="36" t="n">
        <v>0</v>
      </c>
      <c r="T250" s="37" t="n">
        <v>0.2841346153846154</v>
      </c>
      <c r="U250" s="37" t="n">
        <v>0.3237179487179487</v>
      </c>
      <c r="V250" s="37" t="n">
        <v>0.2640056022408964</v>
      </c>
      <c r="W250" s="37" t="n">
        <v>0.801980198019802</v>
      </c>
    </row>
    <row r="251">
      <c r="A251" s="53" t="n">
        <v>45816</v>
      </c>
      <c r="B251" t="inlineStr">
        <is>
          <t>R02_Sumbagsel</t>
        </is>
      </c>
      <c r="C251" t="inlineStr">
        <is>
          <t>NOP BENGKULU</t>
        </is>
      </c>
      <c r="D251" s="36" t="n">
        <v>3.59</v>
      </c>
      <c r="E251" s="36" t="n">
        <v>5.62</v>
      </c>
      <c r="F251" s="36" t="n">
        <v>3.25</v>
      </c>
      <c r="G251" s="36" t="n">
        <v>6.33</v>
      </c>
      <c r="H251" s="37" t="n">
        <v>0.4404761904761905</v>
      </c>
      <c r="I251" s="37" t="n">
        <v>0.5117647058823529</v>
      </c>
      <c r="J251" s="37" t="n">
        <v>0.4163346613545817</v>
      </c>
      <c r="K251" s="37" t="n">
        <v>0.6436781609195402</v>
      </c>
      <c r="L251" s="37" t="n">
        <v>0.6436781609195402</v>
      </c>
      <c r="M251" s="37" t="n">
        <v>0.9910714285714286</v>
      </c>
      <c r="N251" s="37" t="n">
        <v>0.2589285714285715</v>
      </c>
      <c r="O251" s="36" t="n">
        <v>0</v>
      </c>
      <c r="P251" s="36" t="n">
        <v>5.13</v>
      </c>
      <c r="Q251" s="36" t="n">
        <v>8.470000000000001</v>
      </c>
      <c r="R251" s="36" t="n">
        <v>6.5</v>
      </c>
      <c r="S251" s="36" t="n">
        <v>0</v>
      </c>
      <c r="T251" s="37" t="n">
        <v>0.4924838940586972</v>
      </c>
      <c r="U251" s="37" t="n">
        <v>0.4267291910902696</v>
      </c>
      <c r="V251" s="37" t="n">
        <v>0.5816993464052288</v>
      </c>
      <c r="W251" s="37" t="n">
        <v>0.8983516483516484</v>
      </c>
    </row>
    <row r="252">
      <c r="A252" s="53" t="n">
        <v>45816</v>
      </c>
      <c r="B252" t="inlineStr">
        <is>
          <t>R02_Sumbagsel</t>
        </is>
      </c>
      <c r="C252" t="inlineStr">
        <is>
          <t>NOP JAMBI</t>
        </is>
      </c>
      <c r="D252" s="36" t="n">
        <v>3.49</v>
      </c>
      <c r="E252" s="36" t="n">
        <v>3.79</v>
      </c>
      <c r="F252" s="36" t="n">
        <v>3.53</v>
      </c>
      <c r="G252" s="36" t="n">
        <v>6.49</v>
      </c>
      <c r="H252" s="37" t="n">
        <v>0.2969966629588431</v>
      </c>
      <c r="I252" s="37" t="n">
        <v>0.2902097902097902</v>
      </c>
      <c r="J252" s="37" t="n">
        <v>0.300163132137031</v>
      </c>
      <c r="K252" s="37" t="n">
        <v>0.6385542168674698</v>
      </c>
      <c r="L252" s="37" t="n">
        <v>0.6385542168674698</v>
      </c>
      <c r="M252" s="37" t="n">
        <v>0.9888765294771968</v>
      </c>
      <c r="N252" s="37" t="n">
        <v>0.1624026696329255</v>
      </c>
      <c r="O252" s="36" t="n">
        <v>0</v>
      </c>
      <c r="P252" s="36" t="n">
        <v>3.57</v>
      </c>
      <c r="Q252" s="36" t="n">
        <v>14.55</v>
      </c>
      <c r="R252" s="36" t="n">
        <v>19.99</v>
      </c>
      <c r="S252" s="36" t="n">
        <v>0</v>
      </c>
      <c r="T252" s="37" t="n">
        <v>0.1824324324324324</v>
      </c>
      <c r="U252" s="37" t="n">
        <v>0.1566416040100251</v>
      </c>
      <c r="V252" s="37" t="n">
        <v>0.2361623616236162</v>
      </c>
      <c r="W252" s="37" t="n">
        <v>0.672</v>
      </c>
    </row>
    <row r="253">
      <c r="A253" s="53" t="n">
        <v>45816</v>
      </c>
      <c r="B253" t="inlineStr">
        <is>
          <t>R02_Sumbagsel</t>
        </is>
      </c>
      <c r="C253" t="inlineStr">
        <is>
          <t>NOP LAMPUNG</t>
        </is>
      </c>
      <c r="D253" s="36" t="n">
        <v>0</v>
      </c>
      <c r="E253" s="36" t="n">
        <v>4.09</v>
      </c>
      <c r="F253" s="36" t="n">
        <v>3.46</v>
      </c>
      <c r="G253" s="36" t="n">
        <v>3.94</v>
      </c>
      <c r="H253" s="37" t="n">
        <v>0.5040983606557377</v>
      </c>
      <c r="I253" s="37" t="n">
        <v>0.7454545454545455</v>
      </c>
      <c r="J253" s="37" t="n">
        <v>0.4338624338624338</v>
      </c>
      <c r="K253" s="37" t="n">
        <v>0.8292682926829268</v>
      </c>
      <c r="L253" s="37" t="n">
        <v>0.8292682926829268</v>
      </c>
      <c r="M253" s="37" t="n">
        <v>0.9795081967213115</v>
      </c>
      <c r="N253" s="37" t="n">
        <v>0.3852459016393442</v>
      </c>
      <c r="O253" s="36" t="n">
        <v>0.04</v>
      </c>
      <c r="P253" s="36" t="n">
        <v>13.94</v>
      </c>
      <c r="Q253" s="36" t="n">
        <v>4.69</v>
      </c>
      <c r="R253" s="36" t="n">
        <v>38.77</v>
      </c>
      <c r="S253" s="36" t="n">
        <v>0</v>
      </c>
      <c r="T253" s="37" t="n">
        <v>0.9037940379403794</v>
      </c>
      <c r="U253" s="37" t="n">
        <v>0.875</v>
      </c>
      <c r="V253" s="37" t="n">
        <v>0.9263351749539595</v>
      </c>
      <c r="W253" s="37" t="n">
        <v>0.8857142857142857</v>
      </c>
    </row>
    <row r="254">
      <c r="A254" s="53" t="n">
        <v>45816</v>
      </c>
      <c r="B254" t="inlineStr">
        <is>
          <t>R02_Sumbagsel</t>
        </is>
      </c>
      <c r="C254" t="inlineStr">
        <is>
          <t>NOP MUARA ENIM</t>
        </is>
      </c>
      <c r="D254" s="36" t="n">
        <v>4.41</v>
      </c>
      <c r="E254" s="36" t="n">
        <v>4.01</v>
      </c>
      <c r="F254" s="36" t="n">
        <v>4.21</v>
      </c>
      <c r="G254" s="36" t="n">
        <v>5.06</v>
      </c>
      <c r="H254" s="37" t="n">
        <v>0.3078579117330463</v>
      </c>
      <c r="I254" s="37" t="n">
        <v>0.4335664335664335</v>
      </c>
      <c r="J254" s="37" t="n">
        <v>0.2849872773536896</v>
      </c>
      <c r="K254" s="37" t="n">
        <v>0.7419354838709677</v>
      </c>
      <c r="L254" s="37" t="n">
        <v>0.7419354838709677</v>
      </c>
      <c r="M254" s="37" t="n">
        <v>0.9817007534983854</v>
      </c>
      <c r="N254" s="37" t="n">
        <v>0.1646932185145318</v>
      </c>
      <c r="O254" s="36" t="n">
        <v>0</v>
      </c>
      <c r="P254" s="36" t="n">
        <v>20.43</v>
      </c>
      <c r="Q254" s="36" t="n">
        <v>11.6</v>
      </c>
      <c r="R254" s="36" t="n">
        <v>6</v>
      </c>
      <c r="S254" s="36" t="n">
        <v>0</v>
      </c>
      <c r="T254" s="37" t="n">
        <v>0.5204888569374551</v>
      </c>
      <c r="U254" s="37" t="n">
        <v>0.4680851063829787</v>
      </c>
      <c r="V254" s="37" t="n">
        <v>0.59472049689441</v>
      </c>
      <c r="W254" s="37" t="n">
        <v>0.7792207792207793</v>
      </c>
    </row>
    <row r="255">
      <c r="A255" s="53" t="n">
        <v>45816</v>
      </c>
      <c r="B255" t="inlineStr">
        <is>
          <t>R02_Sumbagsel</t>
        </is>
      </c>
      <c r="C255" t="inlineStr">
        <is>
          <t>NOP PALEMBANG</t>
        </is>
      </c>
      <c r="D255" s="36" t="n">
        <v>2.15</v>
      </c>
      <c r="E255" s="36" t="n">
        <v>4.25</v>
      </c>
      <c r="F255" s="36" t="n">
        <v>5.45</v>
      </c>
      <c r="G255" s="36" t="n">
        <v>6.58</v>
      </c>
      <c r="H255" s="37" t="n">
        <v>0.2759295499021526</v>
      </c>
      <c r="I255" s="37" t="n">
        <v>0.2248062015503876</v>
      </c>
      <c r="J255" s="37" t="n">
        <v>0.2833146696528556</v>
      </c>
      <c r="K255" s="37" t="n">
        <v>0.4827586206896552</v>
      </c>
      <c r="L255" s="37" t="n">
        <v>0.4827586206896552</v>
      </c>
      <c r="M255" s="37" t="n">
        <v>1</v>
      </c>
      <c r="N255" s="37" t="n">
        <v>0.1213307240704501</v>
      </c>
      <c r="O255" s="36" t="n">
        <v>0</v>
      </c>
      <c r="P255" s="36" t="n">
        <v>3.09</v>
      </c>
      <c r="Q255" s="36" t="n">
        <v>9.34</v>
      </c>
      <c r="R255" s="36" t="n">
        <v>37</v>
      </c>
      <c r="S255" s="36" t="n">
        <v>0</v>
      </c>
      <c r="T255" s="37" t="n">
        <v>0.1336206896551724</v>
      </c>
      <c r="U255" s="37" t="n">
        <v>0.1078066914498141</v>
      </c>
      <c r="V255" s="37" t="n">
        <v>0.2291666666666667</v>
      </c>
      <c r="W255" s="37" t="n">
        <v>0.7011494252873564</v>
      </c>
    </row>
    <row r="256">
      <c r="A256" s="53" t="n">
        <v>45816</v>
      </c>
      <c r="B256" t="inlineStr">
        <is>
          <t>R02_Sumbagsel</t>
        </is>
      </c>
      <c r="C256" t="inlineStr">
        <is>
          <t>NOP PANGKAL PINANG</t>
        </is>
      </c>
      <c r="D256" s="36" t="n">
        <v>0</v>
      </c>
      <c r="E256" s="36" t="n">
        <v>5.46</v>
      </c>
      <c r="F256" s="36" t="n">
        <v>5.19</v>
      </c>
      <c r="G256" s="36" t="n">
        <v>7.15</v>
      </c>
      <c r="H256" s="37" t="n">
        <v>0.7557251908396947</v>
      </c>
      <c r="I256" s="37" t="n">
        <v>0.5714285714285714</v>
      </c>
      <c r="J256" s="37" t="n">
        <v>0.7661290322580645</v>
      </c>
      <c r="K256" s="37" t="n">
        <v>0.5</v>
      </c>
      <c r="L256" s="37" t="n">
        <v>0.5</v>
      </c>
      <c r="M256" s="37" t="n">
        <v>1</v>
      </c>
      <c r="N256" s="37" t="n">
        <v>0.4580152671755725</v>
      </c>
      <c r="O256" s="36" t="n">
        <v>0</v>
      </c>
      <c r="P256" s="36" t="n">
        <v>5.51</v>
      </c>
      <c r="Q256" s="36" t="n">
        <v>6.79</v>
      </c>
      <c r="R256" s="36" t="n">
        <v>5.01</v>
      </c>
      <c r="S256" s="36" t="n">
        <v>0</v>
      </c>
      <c r="T256" s="37" t="n">
        <v>0.9253472222222222</v>
      </c>
      <c r="U256" s="37" t="n">
        <v>0.9209039548022598</v>
      </c>
      <c r="V256" s="37" t="n">
        <v>0.9357326478149101</v>
      </c>
      <c r="W256" s="37" t="n">
        <v>0.8588957055214724</v>
      </c>
    </row>
    <row r="257">
      <c r="A257" s="53" t="n">
        <v>45816</v>
      </c>
      <c r="B257" t="inlineStr">
        <is>
          <t>R05_Jawa Tengah DIY</t>
        </is>
      </c>
      <c r="C257" t="inlineStr">
        <is>
          <t>NOP MAGELANG</t>
        </is>
      </c>
      <c r="D257" s="36" t="n">
        <v>3.26</v>
      </c>
      <c r="E257" s="36" t="n">
        <v>0</v>
      </c>
      <c r="F257" s="36" t="n">
        <v>2.44</v>
      </c>
      <c r="G257" s="36" t="n">
        <v>3.09</v>
      </c>
      <c r="H257" s="37" t="n">
        <v>0.7876106194690266</v>
      </c>
      <c r="I257" s="37" t="n">
        <v>0.8</v>
      </c>
      <c r="J257" s="37" t="n">
        <v>0.7870370370370371</v>
      </c>
      <c r="K257" s="37" t="n">
        <v>1</v>
      </c>
      <c r="L257" s="37" t="n">
        <v>1</v>
      </c>
      <c r="M257" s="37" t="n">
        <v>1</v>
      </c>
      <c r="N257" s="37" t="n">
        <v>0.6548672566371682</v>
      </c>
      <c r="O257" s="36" t="n">
        <v>0</v>
      </c>
      <c r="P257" s="36" t="n">
        <v>2.33</v>
      </c>
      <c r="Q257" s="36" t="n">
        <v>5.54</v>
      </c>
      <c r="R257" s="36" t="n">
        <v>16.59</v>
      </c>
      <c r="S257" s="36" t="n">
        <v>0</v>
      </c>
      <c r="T257" s="37" t="n">
        <v>0.9331797235023042</v>
      </c>
      <c r="U257" s="37" t="n">
        <v>0.8125</v>
      </c>
      <c r="V257" s="37" t="n">
        <v>0.9481865284974094</v>
      </c>
      <c r="W257" s="37" t="n">
        <v>0.8461538461538461</v>
      </c>
    </row>
    <row r="258">
      <c r="A258" s="53" t="n">
        <v>45816</v>
      </c>
      <c r="B258" t="inlineStr">
        <is>
          <t>R05_Jawa Tengah DIY</t>
        </is>
      </c>
      <c r="C258" t="inlineStr">
        <is>
          <t>NOP PEKALONGAN</t>
        </is>
      </c>
      <c r="D258" s="36" t="n">
        <v>3.06</v>
      </c>
      <c r="E258" s="36" t="n">
        <v>0</v>
      </c>
      <c r="F258" s="36" t="n">
        <v>3.05</v>
      </c>
      <c r="G258" s="36" t="n">
        <v>8.109999999999999</v>
      </c>
      <c r="H258" s="37" t="n">
        <v>0.6811594202898551</v>
      </c>
      <c r="I258" s="37" t="n">
        <v>0.7142857142857143</v>
      </c>
      <c r="J258" s="37" t="n">
        <v>0.6774193548387096</v>
      </c>
      <c r="K258" s="37" t="n">
        <v>1</v>
      </c>
      <c r="L258" s="37" t="n">
        <v>1</v>
      </c>
      <c r="M258" s="37" t="n">
        <v>0.9565217391304348</v>
      </c>
      <c r="N258" s="37" t="n">
        <v>0.5942028985507246</v>
      </c>
      <c r="O258" s="36" t="n">
        <v>0</v>
      </c>
      <c r="P258" s="36" t="n">
        <v>2.4</v>
      </c>
      <c r="Q258" s="36" t="n">
        <v>10.25</v>
      </c>
      <c r="R258" s="36" t="n">
        <v>52.99</v>
      </c>
      <c r="S258" s="36" t="n">
        <v>0</v>
      </c>
      <c r="T258" s="37" t="n">
        <v>0.839622641509434</v>
      </c>
      <c r="U258" s="37" t="n">
        <v>0.7297297297297297</v>
      </c>
      <c r="V258" s="37" t="n">
        <v>0.8628571428571429</v>
      </c>
      <c r="W258" s="37" t="n">
        <v>0.6296296296296297</v>
      </c>
    </row>
    <row r="259">
      <c r="A259" s="53" t="n">
        <v>45816</v>
      </c>
      <c r="B259" t="inlineStr">
        <is>
          <t>R05_Jawa Tengah DIY</t>
        </is>
      </c>
      <c r="C259" t="inlineStr">
        <is>
          <t>NOP PURWOKERTO</t>
        </is>
      </c>
      <c r="D259" s="36" t="n">
        <v>3.39</v>
      </c>
      <c r="E259" s="36" t="n">
        <v>0</v>
      </c>
      <c r="F259" s="36" t="n">
        <v>2.71</v>
      </c>
      <c r="G259" s="36" t="n">
        <v>4.32</v>
      </c>
      <c r="H259" s="37" t="n">
        <v>0.6434782608695652</v>
      </c>
      <c r="I259" s="37" t="n">
        <v>0.8333333333333334</v>
      </c>
      <c r="J259" s="37" t="n">
        <v>0.6330275229357798</v>
      </c>
      <c r="K259" s="37" t="n">
        <v>1</v>
      </c>
      <c r="L259" s="37" t="n">
        <v>1</v>
      </c>
      <c r="M259" s="37" t="n">
        <v>0.9826086956521739</v>
      </c>
      <c r="N259" s="37" t="n">
        <v>0.4086956521739131</v>
      </c>
      <c r="O259" s="36" t="n">
        <v>0.5</v>
      </c>
      <c r="P259" s="36" t="n">
        <v>4.36</v>
      </c>
      <c r="Q259" s="36" t="n">
        <v>6.75</v>
      </c>
      <c r="R259" s="36" t="n">
        <v>27.75</v>
      </c>
      <c r="S259" s="36" t="n">
        <v>0</v>
      </c>
      <c r="T259" s="37" t="n">
        <v>0.8301886792452831</v>
      </c>
      <c r="U259" s="37" t="n">
        <v>0.78</v>
      </c>
      <c r="V259" s="37" t="n">
        <v>0.8532110091743119</v>
      </c>
      <c r="W259" s="37" t="n">
        <v>0.717948717948718</v>
      </c>
    </row>
    <row r="260">
      <c r="A260" s="53" t="n">
        <v>45816</v>
      </c>
      <c r="B260" t="inlineStr">
        <is>
          <t>R05_Jawa Tengah DIY</t>
        </is>
      </c>
      <c r="C260" t="inlineStr">
        <is>
          <t>NOP SEMARANG</t>
        </is>
      </c>
      <c r="D260" s="36" t="n">
        <v>2.79</v>
      </c>
      <c r="E260" s="36" t="n">
        <v>2.57</v>
      </c>
      <c r="F260" s="36" t="n">
        <v>2.57</v>
      </c>
      <c r="G260" s="36" t="n">
        <v>2.91</v>
      </c>
      <c r="H260" s="37" t="n">
        <v>0.6224489795918368</v>
      </c>
      <c r="I260" s="37" t="n">
        <v>0.8666666666666667</v>
      </c>
      <c r="J260" s="37" t="n">
        <v>0.6022099447513812</v>
      </c>
      <c r="K260" s="37" t="n">
        <v>0.9230769230769231</v>
      </c>
      <c r="L260" s="37" t="n">
        <v>0.9230769230769231</v>
      </c>
      <c r="M260" s="37" t="n">
        <v>0.9591836734693877</v>
      </c>
      <c r="N260" s="37" t="n">
        <v>0.4591836734693878</v>
      </c>
      <c r="O260" s="36" t="n">
        <v>0.01</v>
      </c>
      <c r="P260" s="36" t="n">
        <v>5.69</v>
      </c>
      <c r="Q260" s="36" t="n">
        <v>7.56</v>
      </c>
      <c r="R260" s="36" t="n">
        <v>68.93000000000001</v>
      </c>
      <c r="S260" s="36" t="n">
        <v>0</v>
      </c>
      <c r="T260" s="37" t="n">
        <v>0.87248322147651</v>
      </c>
      <c r="U260" s="37" t="n">
        <v>0.8015873015873016</v>
      </c>
      <c r="V260" s="37" t="n">
        <v>0.9244186046511628</v>
      </c>
      <c r="W260" s="37" t="n">
        <v>0.8415841584158416</v>
      </c>
    </row>
    <row r="261">
      <c r="A261" s="53" t="n">
        <v>45816</v>
      </c>
      <c r="B261" t="inlineStr">
        <is>
          <t>R05_Jawa Tengah DIY</t>
        </is>
      </c>
      <c r="C261" t="inlineStr">
        <is>
          <t>NOP SURAKARTA</t>
        </is>
      </c>
      <c r="D261" s="36" t="n">
        <v>1.64</v>
      </c>
      <c r="E261" s="36" t="n">
        <v>2.04</v>
      </c>
      <c r="F261" s="36" t="n">
        <v>3.09</v>
      </c>
      <c r="G261" s="36" t="n">
        <v>3.08</v>
      </c>
      <c r="H261" s="37" t="n">
        <v>0.7772277227722773</v>
      </c>
      <c r="I261" s="37" t="n">
        <v>0.7894736842105263</v>
      </c>
      <c r="J261" s="37" t="n">
        <v>0.7759562841530054</v>
      </c>
      <c r="K261" s="37" t="n">
        <v>0.8</v>
      </c>
      <c r="L261" s="37" t="n">
        <v>0.8</v>
      </c>
      <c r="M261" s="37" t="n">
        <v>0.9752475247524752</v>
      </c>
      <c r="N261" s="37" t="n">
        <v>0.5</v>
      </c>
      <c r="O261" s="36" t="n">
        <v>0.13</v>
      </c>
      <c r="P261" s="36" t="n">
        <v>8.18</v>
      </c>
      <c r="Q261" s="36" t="n">
        <v>7.08</v>
      </c>
      <c r="R261" s="36" t="n">
        <v>59.87</v>
      </c>
      <c r="S261" s="36" t="n">
        <v>0</v>
      </c>
      <c r="T261" s="37" t="n">
        <v>0.8192771084337349</v>
      </c>
      <c r="U261" s="37" t="n">
        <v>0.6923076923076923</v>
      </c>
      <c r="V261" s="37" t="n">
        <v>0.8771929824561403</v>
      </c>
      <c r="W261" s="37" t="n">
        <v>0.7407407407407407</v>
      </c>
    </row>
    <row r="262">
      <c r="A262" s="53" t="n">
        <v>45816</v>
      </c>
      <c r="B262" t="inlineStr">
        <is>
          <t>R05_Jawa Tengah DIY</t>
        </is>
      </c>
      <c r="C262" t="inlineStr">
        <is>
          <t>NOP YOGYAKARTA</t>
        </is>
      </c>
      <c r="D262" s="36" t="n">
        <v>2.82</v>
      </c>
      <c r="E262" s="36" t="n">
        <v>0</v>
      </c>
      <c r="F262" s="36" t="n">
        <v>2.41</v>
      </c>
      <c r="G262" s="36" t="n">
        <v>2.83</v>
      </c>
      <c r="H262" s="37" t="n">
        <v>0.7372881355932204</v>
      </c>
      <c r="I262" s="37" t="n">
        <v>1</v>
      </c>
      <c r="J262" s="37" t="n">
        <v>0.7232142857142857</v>
      </c>
      <c r="K262" s="37" t="n">
        <v>0.8333333333333334</v>
      </c>
      <c r="L262" s="37" t="n">
        <v>0.8333333333333334</v>
      </c>
      <c r="M262" s="37" t="n">
        <v>1</v>
      </c>
      <c r="N262" s="37" t="n">
        <v>0.5338983050847458</v>
      </c>
      <c r="O262" s="36" t="n">
        <v>0</v>
      </c>
      <c r="P262" s="36" t="n">
        <v>5.77</v>
      </c>
      <c r="Q262" s="36" t="n">
        <v>7.48</v>
      </c>
      <c r="R262" s="36" t="n">
        <v>42.54</v>
      </c>
      <c r="S262" s="36" t="n">
        <v>0</v>
      </c>
      <c r="T262" s="37" t="n">
        <v>0.9290780141843972</v>
      </c>
      <c r="U262" s="37" t="n">
        <v>0.9104477611940298</v>
      </c>
      <c r="V262" s="37" t="n">
        <v>0.9348837209302325</v>
      </c>
      <c r="W262" s="37" t="n">
        <v>0.9836065573770492</v>
      </c>
    </row>
    <row r="263">
      <c r="A263" s="53" t="n">
        <v>45816</v>
      </c>
      <c r="B263" t="inlineStr">
        <is>
          <t>R06_Jawa Timur</t>
        </is>
      </c>
      <c r="C263" t="inlineStr">
        <is>
          <t>NOP JEMBER</t>
        </is>
      </c>
      <c r="D263" s="36" t="n">
        <v>6.65</v>
      </c>
      <c r="E263" s="36" t="n">
        <v>0.4</v>
      </c>
      <c r="F263" s="36" t="n">
        <v>2.88</v>
      </c>
      <c r="G263" s="36" t="n">
        <v>1.86</v>
      </c>
      <c r="H263" s="37" t="n">
        <v>0.7256637168141593</v>
      </c>
      <c r="I263" s="37" t="n">
        <v>0.8181818181818182</v>
      </c>
      <c r="J263" s="37" t="n">
        <v>0.7156862745098039</v>
      </c>
      <c r="K263" s="37" t="n">
        <v>0.8888888888888888</v>
      </c>
      <c r="L263" s="37" t="n">
        <v>0.8888888888888888</v>
      </c>
      <c r="M263" s="37" t="n">
        <v>1</v>
      </c>
      <c r="N263" s="37" t="n">
        <v>0.4778761061946903</v>
      </c>
      <c r="O263" s="36" t="n">
        <v>0</v>
      </c>
      <c r="P263" s="36" t="n">
        <v>1.82</v>
      </c>
      <c r="Q263" s="36" t="n">
        <v>6.52</v>
      </c>
      <c r="R263" s="36" t="n">
        <v>176.68</v>
      </c>
      <c r="S263" s="36" t="n">
        <v>0</v>
      </c>
      <c r="T263" s="37" t="n">
        <v>0.7770700636942676</v>
      </c>
      <c r="U263" s="37" t="n">
        <v>0.6222222222222222</v>
      </c>
      <c r="V263" s="37" t="n">
        <v>0.8392857142857143</v>
      </c>
      <c r="W263" s="37" t="n">
        <v>0.8571428571428571</v>
      </c>
    </row>
    <row r="264">
      <c r="A264" s="53" t="n">
        <v>45816</v>
      </c>
      <c r="B264" t="inlineStr">
        <is>
          <t>R06_Jawa Timur</t>
        </is>
      </c>
      <c r="C264" t="inlineStr">
        <is>
          <t>NOP KEDIRI</t>
        </is>
      </c>
      <c r="D264" s="36" t="n">
        <v>1.37</v>
      </c>
      <c r="E264" s="36" t="n">
        <v>0</v>
      </c>
      <c r="F264" s="36" t="n">
        <v>1.68</v>
      </c>
      <c r="G264" s="36" t="n">
        <v>2.04</v>
      </c>
      <c r="H264" s="37" t="n">
        <v>0.8571428571428571</v>
      </c>
      <c r="I264" s="37" t="n">
        <v>1</v>
      </c>
      <c r="J264" s="37" t="n">
        <v>0.8484848484848485</v>
      </c>
      <c r="K264" s="37" t="n">
        <v>0.75</v>
      </c>
      <c r="L264" s="37" t="n">
        <v>0.75</v>
      </c>
      <c r="M264" s="37" t="n">
        <v>1</v>
      </c>
      <c r="N264" s="37" t="n">
        <v>0.6571428571428571</v>
      </c>
      <c r="O264" s="36" t="n">
        <v>0</v>
      </c>
      <c r="P264" s="36" t="n">
        <v>2.22</v>
      </c>
      <c r="Q264" s="36" t="n">
        <v>5.23</v>
      </c>
      <c r="R264" s="36" t="n">
        <v>18.52</v>
      </c>
      <c r="S264" s="36" t="n">
        <v>0</v>
      </c>
      <c r="T264" s="37" t="n">
        <v>0.9117647058823529</v>
      </c>
      <c r="U264" s="37" t="n">
        <v>0.8571428571428571</v>
      </c>
      <c r="V264" s="37" t="n">
        <v>0.9324324324324325</v>
      </c>
      <c r="W264" s="37" t="n">
        <v>0.875</v>
      </c>
    </row>
    <row r="265">
      <c r="A265" s="53" t="n">
        <v>45816</v>
      </c>
      <c r="B265" t="inlineStr">
        <is>
          <t>R06_Jawa Timur</t>
        </is>
      </c>
      <c r="C265" t="inlineStr">
        <is>
          <t>NOP LAMONGAN</t>
        </is>
      </c>
      <c r="D265" s="36" t="n">
        <v>3.08</v>
      </c>
      <c r="E265" s="36" t="n">
        <v>0</v>
      </c>
      <c r="F265" s="36" t="n">
        <v>3.4</v>
      </c>
      <c r="G265" s="36" t="n">
        <v>2.61</v>
      </c>
      <c r="H265" s="37" t="n">
        <v>0.88</v>
      </c>
      <c r="I265" s="37" t="n">
        <v>1</v>
      </c>
      <c r="J265" s="37" t="n">
        <v>0.8666666666666667</v>
      </c>
      <c r="K265" s="37" t="n">
        <v>1</v>
      </c>
      <c r="L265" s="37" t="n">
        <v>1</v>
      </c>
      <c r="M265" s="37" t="n">
        <v>1</v>
      </c>
      <c r="N265" s="37" t="n">
        <v>0.74</v>
      </c>
      <c r="O265" s="36" t="n">
        <v>0</v>
      </c>
      <c r="P265" s="36" t="n">
        <v>2.63</v>
      </c>
      <c r="Q265" s="36" t="n">
        <v>4.95</v>
      </c>
      <c r="R265" s="36" t="n">
        <v>82.84</v>
      </c>
      <c r="S265" s="36" t="n">
        <v>0</v>
      </c>
      <c r="T265" s="37" t="n">
        <v>0.8688524590163934</v>
      </c>
      <c r="U265" s="37" t="n">
        <v>0.72</v>
      </c>
      <c r="V265" s="37" t="n">
        <v>0.9722222222222222</v>
      </c>
      <c r="W265" s="37" t="n">
        <v>0.7777777777777778</v>
      </c>
    </row>
    <row r="266">
      <c r="A266" s="53" t="n">
        <v>45816</v>
      </c>
      <c r="B266" t="inlineStr">
        <is>
          <t>R06_Jawa Timur</t>
        </is>
      </c>
      <c r="C266" t="inlineStr">
        <is>
          <t>NOP MADIUN</t>
        </is>
      </c>
      <c r="D266" s="36" t="n">
        <v>0.7</v>
      </c>
      <c r="E266" s="36" t="n">
        <v>0</v>
      </c>
      <c r="F266" s="36" t="n">
        <v>2.41</v>
      </c>
      <c r="G266" s="36" t="n">
        <v>3.03</v>
      </c>
      <c r="H266" s="37" t="n">
        <v>0.6105263157894737</v>
      </c>
      <c r="I266" s="37" t="n">
        <v>1</v>
      </c>
      <c r="J266" s="37" t="n">
        <v>0.6021505376344086</v>
      </c>
      <c r="K266" s="37" t="n">
        <v>1</v>
      </c>
      <c r="L266" s="37" t="n">
        <v>1</v>
      </c>
      <c r="M266" s="37" t="n">
        <v>0.9052631578947369</v>
      </c>
      <c r="N266" s="37" t="n">
        <v>0.3894736842105263</v>
      </c>
      <c r="O266" s="36" t="n">
        <v>0</v>
      </c>
      <c r="P266" s="36" t="n">
        <v>4.44</v>
      </c>
      <c r="Q266" s="36" t="n">
        <v>7.15</v>
      </c>
      <c r="R266" s="36" t="n">
        <v>24.92</v>
      </c>
      <c r="S266" s="36" t="n">
        <v>0</v>
      </c>
      <c r="T266" s="37" t="n">
        <v>0.7522123893805309</v>
      </c>
      <c r="U266" s="37" t="n">
        <v>0.6578947368421053</v>
      </c>
      <c r="V266" s="37" t="n">
        <v>0.8</v>
      </c>
      <c r="W266" s="37" t="n">
        <v>0.72</v>
      </c>
    </row>
    <row r="267">
      <c r="A267" s="53" t="n">
        <v>45816</v>
      </c>
      <c r="B267" t="inlineStr">
        <is>
          <t>R06_Jawa Timur</t>
        </is>
      </c>
      <c r="C267" t="inlineStr">
        <is>
          <t>NOP MALANG</t>
        </is>
      </c>
      <c r="D267" s="36" t="n">
        <v>0</v>
      </c>
      <c r="E267" s="36" t="n">
        <v>0</v>
      </c>
      <c r="F267" s="36" t="n">
        <v>1.43</v>
      </c>
      <c r="G267" s="36" t="n">
        <v>2.2</v>
      </c>
      <c r="H267" s="37" t="n">
        <v>0.9166666666666666</v>
      </c>
      <c r="I267" s="37" t="n">
        <v>0</v>
      </c>
      <c r="J267" s="37" t="n">
        <v>0.9166666666666666</v>
      </c>
      <c r="K267" s="37" t="n">
        <v>0</v>
      </c>
      <c r="L267" s="37" t="n">
        <v>0</v>
      </c>
      <c r="M267" s="37" t="n">
        <v>1</v>
      </c>
      <c r="N267" s="37" t="n">
        <v>0.9333333333333333</v>
      </c>
      <c r="O267" s="36" t="n">
        <v>0</v>
      </c>
      <c r="P267" s="36" t="n">
        <v>2.69</v>
      </c>
      <c r="Q267" s="36" t="n">
        <v>3.28</v>
      </c>
      <c r="R267" s="36" t="n">
        <v>25.5</v>
      </c>
      <c r="S267" s="36" t="n">
        <v>0</v>
      </c>
      <c r="T267" s="37" t="n">
        <v>0.8089887640449438</v>
      </c>
      <c r="U267" s="37" t="n">
        <v>0.7105263157894737</v>
      </c>
      <c r="V267" s="37" t="n">
        <v>0.8823529411764706</v>
      </c>
      <c r="W267" s="37" t="n">
        <v>0.8518518518518519</v>
      </c>
    </row>
    <row r="268">
      <c r="A268" s="53" t="n">
        <v>45816</v>
      </c>
      <c r="B268" t="inlineStr">
        <is>
          <t>R06_Jawa Timur</t>
        </is>
      </c>
      <c r="C268" t="inlineStr">
        <is>
          <t>NOP SIDOARJO</t>
        </is>
      </c>
      <c r="D268" s="36" t="n">
        <v>0.38</v>
      </c>
      <c r="E268" s="36" t="n">
        <v>0</v>
      </c>
      <c r="F268" s="36" t="n">
        <v>4.34</v>
      </c>
      <c r="G268" s="36" t="n">
        <v>5.97</v>
      </c>
      <c r="H268" s="37" t="n">
        <v>0.7627118644067796</v>
      </c>
      <c r="I268" s="37" t="n">
        <v>1</v>
      </c>
      <c r="J268" s="37" t="n">
        <v>0.7586206896551724</v>
      </c>
      <c r="K268" s="37" t="n">
        <v>1</v>
      </c>
      <c r="L268" s="37" t="n">
        <v>1</v>
      </c>
      <c r="M268" s="37" t="n">
        <v>0.9491525423728814</v>
      </c>
      <c r="N268" s="37" t="n">
        <v>0.5254237288135594</v>
      </c>
      <c r="O268" s="36" t="n">
        <v>0.01</v>
      </c>
      <c r="P268" s="36" t="n">
        <v>2.86</v>
      </c>
      <c r="Q268" s="36" t="n">
        <v>12.65</v>
      </c>
      <c r="R268" s="36" t="n">
        <v>39.35</v>
      </c>
      <c r="S268" s="36" t="n">
        <v>0</v>
      </c>
      <c r="T268" s="37" t="n">
        <v>0.8452380952380952</v>
      </c>
      <c r="U268" s="37" t="n">
        <v>0.6875</v>
      </c>
      <c r="V268" s="37" t="n">
        <v>0.8823529411764706</v>
      </c>
      <c r="W268" s="37" t="n">
        <v>0.7272727272727273</v>
      </c>
    </row>
    <row r="269">
      <c r="A269" s="53" t="n">
        <v>45816</v>
      </c>
      <c r="B269" t="inlineStr">
        <is>
          <t>R06_Jawa Timur</t>
        </is>
      </c>
      <c r="C269" t="inlineStr">
        <is>
          <t>NOP SURABAYA</t>
        </is>
      </c>
      <c r="D269" s="36" t="n">
        <v>3.14</v>
      </c>
      <c r="E269" s="36" t="n">
        <v>0</v>
      </c>
      <c r="F269" s="36" t="n">
        <v>2.35</v>
      </c>
      <c r="G269" s="36" t="n">
        <v>4.08</v>
      </c>
      <c r="H269" s="37" t="n">
        <v>0.57</v>
      </c>
      <c r="I269" s="37" t="n">
        <v>0.6666666666666666</v>
      </c>
      <c r="J269" s="37" t="n">
        <v>0.5638297872340425</v>
      </c>
      <c r="K269" s="37" t="n">
        <v>1</v>
      </c>
      <c r="L269" s="37" t="n">
        <v>1</v>
      </c>
      <c r="M269" s="37" t="n">
        <v>0.9399999999999999</v>
      </c>
      <c r="N269" s="37" t="n">
        <v>0.37</v>
      </c>
      <c r="O269" s="36" t="n">
        <v>0.96</v>
      </c>
      <c r="P269" s="36" t="n">
        <v>2.09</v>
      </c>
      <c r="Q269" s="36" t="n">
        <v>7.48</v>
      </c>
      <c r="R269" s="36" t="n">
        <v>24.54</v>
      </c>
      <c r="S269" s="36" t="n">
        <v>0</v>
      </c>
      <c r="T269" s="37" t="n">
        <v>0.642512077294686</v>
      </c>
      <c r="U269" s="37" t="n">
        <v>0.4444444444444444</v>
      </c>
      <c r="V269" s="37" t="n">
        <v>0.6722222222222223</v>
      </c>
      <c r="W269" s="37" t="n">
        <v>0.6666666666666666</v>
      </c>
    </row>
    <row r="270">
      <c r="A270" s="53" t="n">
        <v>45816</v>
      </c>
      <c r="B270" t="inlineStr">
        <is>
          <t>R07_Bali Nusra</t>
        </is>
      </c>
      <c r="C270" t="inlineStr">
        <is>
          <t>NOP DENPASAR</t>
        </is>
      </c>
      <c r="D270" s="36" t="n">
        <v>3.18</v>
      </c>
      <c r="E270" s="36" t="n">
        <v>7.47</v>
      </c>
      <c r="F270" s="36" t="n">
        <v>1.81</v>
      </c>
      <c r="G270" s="36" t="n">
        <v>3.42</v>
      </c>
      <c r="H270" s="37" t="n">
        <v>0.8717948717948718</v>
      </c>
      <c r="I270" s="37" t="n">
        <v>0.8</v>
      </c>
      <c r="J270" s="37" t="n">
        <v>0.8823529411764706</v>
      </c>
      <c r="K270" s="37" t="n">
        <v>1</v>
      </c>
      <c r="L270" s="37" t="n">
        <v>1</v>
      </c>
      <c r="M270" s="37" t="n">
        <v>1</v>
      </c>
      <c r="N270" s="37" t="n">
        <v>0.9615384615384616</v>
      </c>
      <c r="O270" s="36" t="n">
        <v>0.01</v>
      </c>
      <c r="P270" s="36" t="n">
        <v>9.960000000000001</v>
      </c>
      <c r="Q270" s="36" t="n">
        <v>10.48</v>
      </c>
      <c r="R270" s="36" t="n">
        <v>23.5</v>
      </c>
      <c r="S270" s="36" t="n">
        <v>0</v>
      </c>
      <c r="T270" s="37" t="n">
        <v>0.8034682080924855</v>
      </c>
      <c r="U270" s="37" t="n">
        <v>0.8524590163934426</v>
      </c>
      <c r="V270" s="37" t="n">
        <v>0.7767857142857143</v>
      </c>
      <c r="W270" s="37" t="n">
        <v>0.6153846153846154</v>
      </c>
    </row>
    <row r="271">
      <c r="A271" s="53" t="n">
        <v>45816</v>
      </c>
      <c r="B271" t="inlineStr">
        <is>
          <t>R07_Bali Nusra</t>
        </is>
      </c>
      <c r="C271" t="inlineStr">
        <is>
          <t>NOP FLORES</t>
        </is>
      </c>
      <c r="D271" s="36" t="n">
        <v>3.28</v>
      </c>
      <c r="E271" s="36" t="n">
        <v>5.19</v>
      </c>
      <c r="F271" s="36" t="n">
        <v>6.11</v>
      </c>
      <c r="G271" s="36" t="n">
        <v>11.23</v>
      </c>
      <c r="H271" s="37" t="n">
        <v>0.3244444444444444</v>
      </c>
      <c r="I271" s="37" t="n">
        <v>0.6095238095238096</v>
      </c>
      <c r="J271" s="37" t="n">
        <v>0.2719298245614035</v>
      </c>
      <c r="K271" s="37" t="n">
        <v>0.71875</v>
      </c>
      <c r="L271" s="37" t="n">
        <v>0.71875</v>
      </c>
      <c r="M271" s="37" t="n">
        <v>0.9911111111111112</v>
      </c>
      <c r="N271" s="37" t="n">
        <v>0.2044444444444445</v>
      </c>
      <c r="O271" s="36" t="n">
        <v>0.23</v>
      </c>
      <c r="P271" s="36" t="n">
        <v>10.13</v>
      </c>
      <c r="Q271" s="36" t="n">
        <v>7.93</v>
      </c>
      <c r="R271" s="36" t="n">
        <v>118.09</v>
      </c>
      <c r="S271" s="36" t="n">
        <v>0</v>
      </c>
      <c r="T271" s="37" t="n">
        <v>0.5006587615283268</v>
      </c>
      <c r="U271" s="37" t="n">
        <v>0.5232558139534884</v>
      </c>
      <c r="V271" s="37" t="n">
        <v>0.4526748971193416</v>
      </c>
      <c r="W271" s="37" t="n">
        <v>0.837037037037037</v>
      </c>
    </row>
    <row r="272">
      <c r="A272" s="53" t="n">
        <v>45816</v>
      </c>
      <c r="B272" t="inlineStr">
        <is>
          <t>R07_Bali Nusra</t>
        </is>
      </c>
      <c r="C272" t="inlineStr">
        <is>
          <t>NOP KUPANG</t>
        </is>
      </c>
      <c r="D272" s="36" t="n">
        <v>1.42</v>
      </c>
      <c r="E272" s="36" t="n">
        <v>8.359999999999999</v>
      </c>
      <c r="F272" s="36" t="n">
        <v>7.47</v>
      </c>
      <c r="G272" s="36" t="n">
        <v>12.13</v>
      </c>
      <c r="H272" s="37" t="n">
        <v>0.4792626728110599</v>
      </c>
      <c r="I272" s="37" t="n">
        <v>0.6451612903225806</v>
      </c>
      <c r="J272" s="37" t="n">
        <v>0.4516129032258064</v>
      </c>
      <c r="K272" s="37" t="n">
        <v>0.8</v>
      </c>
      <c r="L272" s="37" t="n">
        <v>0.8</v>
      </c>
      <c r="M272" s="37" t="n">
        <v>1</v>
      </c>
      <c r="N272" s="37" t="n">
        <v>0.2211981566820277</v>
      </c>
      <c r="O272" s="36" t="n">
        <v>0</v>
      </c>
      <c r="P272" s="36" t="n">
        <v>7.17</v>
      </c>
      <c r="Q272" s="36" t="n">
        <v>18.6</v>
      </c>
      <c r="R272" s="36" t="n">
        <v>15.22</v>
      </c>
      <c r="S272" s="36" t="n">
        <v>0</v>
      </c>
      <c r="T272" s="37" t="n">
        <v>0.4087591240875912</v>
      </c>
      <c r="U272" s="37" t="n">
        <v>0.4909090909090909</v>
      </c>
      <c r="V272" s="37" t="n">
        <v>0.3536585365853658</v>
      </c>
      <c r="W272" s="37" t="n">
        <v>0.6419753086419753</v>
      </c>
    </row>
    <row r="273">
      <c r="A273" s="53" t="n">
        <v>45816</v>
      </c>
      <c r="B273" t="inlineStr">
        <is>
          <t>R07_Bali Nusra</t>
        </is>
      </c>
      <c r="C273" t="inlineStr">
        <is>
          <t>NOP MATARAM</t>
        </is>
      </c>
      <c r="D273" s="36" t="n">
        <v>0.91</v>
      </c>
      <c r="E273" s="36" t="n">
        <v>2.66</v>
      </c>
      <c r="F273" s="36" t="n">
        <v>3.84</v>
      </c>
      <c r="G273" s="36" t="n">
        <v>6.7</v>
      </c>
      <c r="H273" s="37" t="n">
        <v>0.6402877697841727</v>
      </c>
      <c r="I273" s="37" t="n">
        <v>0.5625</v>
      </c>
      <c r="J273" s="37" t="n">
        <v>0.6504065040650406</v>
      </c>
      <c r="K273" s="37" t="n">
        <v>0.5555555555555556</v>
      </c>
      <c r="L273" s="37" t="n">
        <v>0.5555555555555556</v>
      </c>
      <c r="M273" s="37" t="n">
        <v>1</v>
      </c>
      <c r="N273" s="37" t="n">
        <v>0.381294964028777</v>
      </c>
      <c r="O273" s="36" t="n">
        <v>0.02</v>
      </c>
      <c r="P273" s="36" t="n">
        <v>19.34</v>
      </c>
      <c r="Q273" s="36" t="n">
        <v>24.86</v>
      </c>
      <c r="R273" s="36" t="n">
        <v>54.61</v>
      </c>
      <c r="S273" s="36" t="n">
        <v>0</v>
      </c>
      <c r="T273" s="37" t="n">
        <v>0.4150943396226415</v>
      </c>
      <c r="U273" s="37" t="n">
        <v>0.4033613445378151</v>
      </c>
      <c r="V273" s="37" t="n">
        <v>0.45</v>
      </c>
      <c r="W273" s="37" t="n">
        <v>0.4375</v>
      </c>
    </row>
    <row r="274">
      <c r="A274" s="53" t="n">
        <v>45817</v>
      </c>
      <c r="B274" t="inlineStr">
        <is>
          <t>R01_Sumbagut</t>
        </is>
      </c>
      <c r="C274" t="inlineStr">
        <is>
          <t>NOP ACEH</t>
        </is>
      </c>
      <c r="D274" s="36" t="n">
        <v>3.05</v>
      </c>
      <c r="E274" s="36" t="n">
        <v>4.12</v>
      </c>
      <c r="F274" s="36" t="n">
        <v>4.77</v>
      </c>
      <c r="G274" s="36" t="n">
        <v>7.6</v>
      </c>
      <c r="H274" s="37" t="n">
        <v>0.8631346578366446</v>
      </c>
      <c r="I274" s="37" t="n">
        <v>0.8327272727272728</v>
      </c>
      <c r="J274" s="37" t="n">
        <v>0.8708487084870848</v>
      </c>
      <c r="K274" s="37" t="n">
        <v>0.5327510917030568</v>
      </c>
      <c r="L274" s="37" t="n">
        <v>0.5324074074074074</v>
      </c>
      <c r="M274" s="37" t="n">
        <v>0.9970566593083149</v>
      </c>
      <c r="N274" s="37" t="n">
        <v>0.3789551140544518</v>
      </c>
      <c r="O274" s="36" t="n">
        <v>0.65</v>
      </c>
      <c r="P274" s="36" t="n">
        <v>4.21</v>
      </c>
      <c r="Q274" s="36" t="n">
        <v>72.61</v>
      </c>
      <c r="R274" s="36" t="n">
        <v>158.15</v>
      </c>
      <c r="S274" s="36" t="n">
        <v>0</v>
      </c>
      <c r="T274" s="37" t="n">
        <v>0.8701232032854209</v>
      </c>
      <c r="U274" s="37" t="n">
        <v>0.6913357400722022</v>
      </c>
      <c r="V274" s="37" t="n">
        <v>0.9428152492668622</v>
      </c>
      <c r="W274" s="37" t="n">
        <v>0.3054830287206267</v>
      </c>
    </row>
    <row r="275">
      <c r="A275" s="53" t="n">
        <v>45817</v>
      </c>
      <c r="B275" t="inlineStr">
        <is>
          <t>R01_Sumbagut</t>
        </is>
      </c>
      <c r="C275" t="inlineStr">
        <is>
          <t>NOP BINJAI</t>
        </is>
      </c>
      <c r="D275" s="36" t="n">
        <v>4.39</v>
      </c>
      <c r="E275" s="36" t="n">
        <v>5.39</v>
      </c>
      <c r="F275" s="36" t="n">
        <v>5.78</v>
      </c>
      <c r="G275" s="36" t="n">
        <v>5.33</v>
      </c>
      <c r="H275" s="37" t="n">
        <v>0.5983606557377049</v>
      </c>
      <c r="I275" s="37" t="n">
        <v>0.6646341463414634</v>
      </c>
      <c r="J275" s="37" t="n">
        <v>0.579225352112676</v>
      </c>
      <c r="K275" s="37" t="n">
        <v>0.4128440366972477</v>
      </c>
      <c r="L275" s="37" t="n">
        <v>0.4128440366972477</v>
      </c>
      <c r="M275" s="37" t="n">
        <v>0.9904371584699454</v>
      </c>
      <c r="N275" s="37" t="n">
        <v>0.2704918032786885</v>
      </c>
      <c r="O275" s="36" t="n">
        <v>0.02</v>
      </c>
      <c r="P275" s="36" t="n">
        <v>3.91</v>
      </c>
      <c r="Q275" s="36" t="n">
        <v>56.78</v>
      </c>
      <c r="R275" s="36" t="n">
        <v>93.84999999999999</v>
      </c>
      <c r="S275" s="36" t="n">
        <v>0</v>
      </c>
      <c r="T275" s="37" t="n">
        <v>0.6931567328918322</v>
      </c>
      <c r="U275" s="37" t="n">
        <v>0.5714285714285714</v>
      </c>
      <c r="V275" s="37" t="n">
        <v>0.7671480144404332</v>
      </c>
      <c r="W275" s="37" t="n">
        <v>0.4666666666666667</v>
      </c>
    </row>
    <row r="276">
      <c r="A276" s="53" t="n">
        <v>45817</v>
      </c>
      <c r="B276" t="inlineStr">
        <is>
          <t>R01_Sumbagut</t>
        </is>
      </c>
      <c r="C276" t="inlineStr">
        <is>
          <t>NOP MEDAN</t>
        </is>
      </c>
      <c r="D276" s="36" t="n">
        <v>2.28</v>
      </c>
      <c r="E276" s="36" t="n">
        <v>6.19</v>
      </c>
      <c r="F276" s="36" t="n">
        <v>3</v>
      </c>
      <c r="G276" s="36" t="n">
        <v>8.07</v>
      </c>
      <c r="H276" s="37" t="n">
        <v>0.383587786259542</v>
      </c>
      <c r="I276" s="37" t="n">
        <v>0.4522292993630573</v>
      </c>
      <c r="J276" s="37" t="n">
        <v>0.3542234332425068</v>
      </c>
      <c r="K276" s="37" t="n">
        <v>0.704225352112676</v>
      </c>
      <c r="L276" s="37" t="n">
        <v>0.7101449275362319</v>
      </c>
      <c r="M276" s="37" t="n">
        <v>0.9980916030534351</v>
      </c>
      <c r="N276" s="37" t="n">
        <v>0.2099236641221374</v>
      </c>
      <c r="O276" s="36" t="n">
        <v>0</v>
      </c>
      <c r="P276" s="36" t="n">
        <v>3.34</v>
      </c>
      <c r="Q276" s="36" t="n">
        <v>16.66</v>
      </c>
      <c r="R276" s="36" t="n">
        <v>7.72</v>
      </c>
      <c r="S276" s="36" t="n">
        <v>0</v>
      </c>
      <c r="T276" s="37" t="n">
        <v>0.3358633776091082</v>
      </c>
      <c r="U276" s="37" t="n">
        <v>0.1748251748251748</v>
      </c>
      <c r="V276" s="37" t="n">
        <v>0.4240687679083094</v>
      </c>
      <c r="W276" s="37" t="n">
        <v>0.8</v>
      </c>
    </row>
    <row r="277">
      <c r="A277" s="53" t="n">
        <v>45817</v>
      </c>
      <c r="B277" t="inlineStr">
        <is>
          <t>R01_Sumbagut</t>
        </is>
      </c>
      <c r="C277" t="inlineStr">
        <is>
          <t>NOP PADANG SIDEMPUAN</t>
        </is>
      </c>
      <c r="D277" s="36" t="n">
        <v>1.03</v>
      </c>
      <c r="E277" s="36" t="n">
        <v>5.16</v>
      </c>
      <c r="F277" s="36" t="n">
        <v>6.26</v>
      </c>
      <c r="G277" s="36" t="n">
        <v>5.83</v>
      </c>
      <c r="H277" s="37" t="n">
        <v>0.3552859618717504</v>
      </c>
      <c r="I277" s="37" t="n">
        <v>0.734375</v>
      </c>
      <c r="J277" s="37" t="n">
        <v>0.3079922027290448</v>
      </c>
      <c r="K277" s="37" t="n">
        <v>0.5531914893617021</v>
      </c>
      <c r="L277" s="37" t="n">
        <v>0.5531914893617021</v>
      </c>
      <c r="M277" s="37" t="n">
        <v>0.9844020797227037</v>
      </c>
      <c r="N277" s="37" t="n">
        <v>0.1403812824956673</v>
      </c>
      <c r="O277" s="36" t="n">
        <v>0.02</v>
      </c>
      <c r="P277" s="36" t="n">
        <v>3.06</v>
      </c>
      <c r="Q277" s="36" t="n">
        <v>9.1</v>
      </c>
      <c r="R277" s="36" t="n">
        <v>75.8</v>
      </c>
      <c r="S277" s="36" t="n">
        <v>0</v>
      </c>
      <c r="T277" s="37" t="n">
        <v>0.7186666666666667</v>
      </c>
      <c r="U277" s="37" t="n">
        <v>0.6957123098201936</v>
      </c>
      <c r="V277" s="37" t="n">
        <v>0.7403973509933774</v>
      </c>
      <c r="W277" s="37" t="n">
        <v>0.5447316103379721</v>
      </c>
    </row>
    <row r="278">
      <c r="A278" s="53" t="n">
        <v>45817</v>
      </c>
      <c r="B278" t="inlineStr">
        <is>
          <t>R01_Sumbagut</t>
        </is>
      </c>
      <c r="C278" t="inlineStr">
        <is>
          <t>NOP PEMATANG SIANTAR</t>
        </is>
      </c>
      <c r="D278" s="36" t="n">
        <v>2.57</v>
      </c>
      <c r="E278" s="36" t="n">
        <v>3.67</v>
      </c>
      <c r="F278" s="36" t="n">
        <v>3.69</v>
      </c>
      <c r="G278" s="36" t="n">
        <v>5.7</v>
      </c>
      <c r="H278" s="37" t="n">
        <v>0.4622641509433962</v>
      </c>
      <c r="I278" s="37" t="n">
        <v>0.7303921568627451</v>
      </c>
      <c r="J278" s="37" t="n">
        <v>0.3893333333333333</v>
      </c>
      <c r="K278" s="37" t="n">
        <v>0.3422818791946309</v>
      </c>
      <c r="L278" s="37" t="n">
        <v>0.3426573426573427</v>
      </c>
      <c r="M278" s="37" t="n">
        <v>0.9958071278825996</v>
      </c>
      <c r="N278" s="37" t="n">
        <v>0.2232704402515723</v>
      </c>
      <c r="O278" s="36" t="n">
        <v>4.67</v>
      </c>
      <c r="P278" s="36" t="n">
        <v>4.21</v>
      </c>
      <c r="Q278" s="36" t="n">
        <v>59.64</v>
      </c>
      <c r="R278" s="36" t="n">
        <v>97.47</v>
      </c>
      <c r="S278" s="36" t="n">
        <v>0</v>
      </c>
      <c r="T278" s="37" t="n">
        <v>0.63919259882254</v>
      </c>
      <c r="U278" s="37" t="n">
        <v>0.7204081632653061</v>
      </c>
      <c r="V278" s="37" t="n">
        <v>0.5977917981072555</v>
      </c>
      <c r="W278" s="37" t="n">
        <v>0.546742209631728</v>
      </c>
    </row>
    <row r="279">
      <c r="A279" s="53" t="n">
        <v>45817</v>
      </c>
      <c r="B279" t="inlineStr">
        <is>
          <t>R01_Sumbagut</t>
        </is>
      </c>
      <c r="C279" t="inlineStr">
        <is>
          <t>NOP RANTAU PRAPAT</t>
        </is>
      </c>
      <c r="D279" s="36" t="n">
        <v>3.64</v>
      </c>
      <c r="E279" s="36" t="n">
        <v>2.88</v>
      </c>
      <c r="F279" s="36" t="n">
        <v>3.13</v>
      </c>
      <c r="G279" s="36" t="n">
        <v>3.92</v>
      </c>
      <c r="H279" s="37" t="n">
        <v>0.409130060292851</v>
      </c>
      <c r="I279" s="37" t="n">
        <v>0.3366834170854272</v>
      </c>
      <c r="J279" s="37" t="n">
        <v>0.4241164241164241</v>
      </c>
      <c r="K279" s="37" t="n">
        <v>0.7164179104477612</v>
      </c>
      <c r="L279" s="37" t="n">
        <v>0.7164179104477612</v>
      </c>
      <c r="M279" s="37" t="n">
        <v>0.9879414298018949</v>
      </c>
      <c r="N279" s="37" t="n">
        <v>0.2342807924203273</v>
      </c>
      <c r="O279" s="36" t="n">
        <v>0.03</v>
      </c>
      <c r="P279" s="36" t="n">
        <v>3.49</v>
      </c>
      <c r="Q279" s="36" t="n">
        <v>26.3</v>
      </c>
      <c r="R279" s="36" t="n">
        <v>103.4</v>
      </c>
      <c r="S279" s="36" t="n">
        <v>0</v>
      </c>
      <c r="T279" s="37" t="n">
        <v>0.2296902396259497</v>
      </c>
      <c r="U279" s="37" t="n">
        <v>0.2590673575129533</v>
      </c>
      <c r="V279" s="37" t="n">
        <v>0.2133858267716535</v>
      </c>
      <c r="W279" s="37" t="n">
        <v>0.48</v>
      </c>
    </row>
    <row r="280">
      <c r="A280" s="53" t="n">
        <v>45817</v>
      </c>
      <c r="B280" t="inlineStr">
        <is>
          <t>R10_Sumbagteng</t>
        </is>
      </c>
      <c r="C280" t="inlineStr">
        <is>
          <t>NOP BATAM</t>
        </is>
      </c>
      <c r="D280" s="36" t="n">
        <v>3.47</v>
      </c>
      <c r="E280" s="36" t="n">
        <v>7.82</v>
      </c>
      <c r="F280" s="36" t="n">
        <v>5.86</v>
      </c>
      <c r="G280" s="36" t="n">
        <v>8.9</v>
      </c>
      <c r="H280" s="37" t="n">
        <v>0.5052301255230126</v>
      </c>
      <c r="I280" s="37" t="n">
        <v>0.6666666666666666</v>
      </c>
      <c r="J280" s="37" t="n">
        <v>0.4630606860158311</v>
      </c>
      <c r="K280" s="37" t="n">
        <v>0.7348484848484849</v>
      </c>
      <c r="L280" s="37" t="n">
        <v>0.7384615384615385</v>
      </c>
      <c r="M280" s="37" t="n">
        <v>0.9947698744769874</v>
      </c>
      <c r="N280" s="37" t="n">
        <v>0.3702928870292887</v>
      </c>
      <c r="O280" s="36" t="n">
        <v>0.9399999999999999</v>
      </c>
      <c r="P280" s="36" t="n">
        <v>10</v>
      </c>
      <c r="Q280" s="36" t="n">
        <v>69.08</v>
      </c>
      <c r="R280" s="36" t="n">
        <v>126.36</v>
      </c>
      <c r="S280" s="36" t="n">
        <v>0</v>
      </c>
      <c r="T280" s="37" t="n">
        <v>0.3150337837837838</v>
      </c>
      <c r="U280" s="37" t="n">
        <v>0.5206463195691203</v>
      </c>
      <c r="V280" s="37" t="n">
        <v>0.2480490523968785</v>
      </c>
      <c r="W280" s="37" t="n">
        <v>0.8137931034482758</v>
      </c>
    </row>
    <row r="281">
      <c r="A281" s="53" t="n">
        <v>45817</v>
      </c>
      <c r="B281" t="inlineStr">
        <is>
          <t>R10_Sumbagteng</t>
        </is>
      </c>
      <c r="C281" t="inlineStr">
        <is>
          <t>NOP BUKITTINGGI</t>
        </is>
      </c>
      <c r="D281" s="36" t="n">
        <v>1.85</v>
      </c>
      <c r="E281" s="36" t="n">
        <v>3.62</v>
      </c>
      <c r="F281" s="36" t="n">
        <v>3.13</v>
      </c>
      <c r="G281" s="36" t="n">
        <v>4.16</v>
      </c>
      <c r="H281" s="37" t="n">
        <v>0.6972789115646258</v>
      </c>
      <c r="I281" s="37" t="n">
        <v>0.8450704225352113</v>
      </c>
      <c r="J281" s="37" t="n">
        <v>0.6502242152466368</v>
      </c>
      <c r="K281" s="37" t="n">
        <v>0.5666666666666667</v>
      </c>
      <c r="L281" s="37" t="n">
        <v>0.5964912280701754</v>
      </c>
      <c r="M281" s="37" t="n">
        <v>0.9421768707482994</v>
      </c>
      <c r="N281" s="37" t="n">
        <v>0.3656462585034014</v>
      </c>
      <c r="O281" s="36" t="n">
        <v>1.23</v>
      </c>
      <c r="P281" s="36" t="n">
        <v>5.8</v>
      </c>
      <c r="Q281" s="36" t="n">
        <v>89.28</v>
      </c>
      <c r="R281" s="36" t="n">
        <v>131.91</v>
      </c>
      <c r="S281" s="36" t="n">
        <v>0</v>
      </c>
      <c r="T281" s="37" t="n">
        <v>0.5732984293193717</v>
      </c>
      <c r="U281" s="37" t="n">
        <v>0.762589928057554</v>
      </c>
      <c r="V281" s="37" t="n">
        <v>0.5303776683087028</v>
      </c>
      <c r="W281" s="37" t="n">
        <v>0.5660377358490566</v>
      </c>
    </row>
    <row r="282">
      <c r="A282" s="53" t="n">
        <v>45817</v>
      </c>
      <c r="B282" t="inlineStr">
        <is>
          <t>R10_Sumbagteng</t>
        </is>
      </c>
      <c r="C282" t="inlineStr">
        <is>
          <t>NOP DUMAI</t>
        </is>
      </c>
      <c r="D282" s="36" t="n">
        <v>3.54</v>
      </c>
      <c r="E282" s="36" t="n">
        <v>4.65</v>
      </c>
      <c r="F282" s="36" t="n">
        <v>4.89</v>
      </c>
      <c r="G282" s="36" t="n">
        <v>5.87</v>
      </c>
      <c r="H282" s="37" t="n">
        <v>0.5394651011089368</v>
      </c>
      <c r="I282" s="37" t="n">
        <v>0.6325</v>
      </c>
      <c r="J282" s="37" t="n">
        <v>0.5066195939982348</v>
      </c>
      <c r="K282" s="37" t="n">
        <v>0.6600790513833992</v>
      </c>
      <c r="L282" s="37" t="n">
        <v>0.6747967479674797</v>
      </c>
      <c r="M282" s="37" t="n">
        <v>0.9895629484670581</v>
      </c>
      <c r="N282" s="37" t="n">
        <v>0.3078930202217873</v>
      </c>
      <c r="O282" s="36" t="n">
        <v>0.14</v>
      </c>
      <c r="P282" s="36" t="n">
        <v>8.609999999999999</v>
      </c>
      <c r="Q282" s="36" t="n">
        <v>51.97</v>
      </c>
      <c r="R282" s="36" t="n">
        <v>112.27</v>
      </c>
      <c r="S282" s="36" t="n">
        <v>0</v>
      </c>
      <c r="T282" s="37" t="n">
        <v>0.2335698858377044</v>
      </c>
      <c r="U282" s="37" t="n">
        <v>0.3438287153652393</v>
      </c>
      <c r="V282" s="37" t="n">
        <v>0.1979381443298969</v>
      </c>
      <c r="W282" s="37" t="n">
        <v>0.945054945054945</v>
      </c>
    </row>
    <row r="283">
      <c r="A283" s="53" t="n">
        <v>45817</v>
      </c>
      <c r="B283" t="inlineStr">
        <is>
          <t>R10_Sumbagteng</t>
        </is>
      </c>
      <c r="C283" t="inlineStr">
        <is>
          <t>NOP PADANG</t>
        </is>
      </c>
      <c r="D283" s="36" t="n">
        <v>0</v>
      </c>
      <c r="E283" s="36" t="n">
        <v>2.68</v>
      </c>
      <c r="F283" s="36" t="n">
        <v>3.88</v>
      </c>
      <c r="G283" s="36" t="n">
        <v>4.64</v>
      </c>
      <c r="H283" s="37" t="n">
        <v>0.6415094339622641</v>
      </c>
      <c r="I283" s="37" t="n">
        <v>0.6279069767441861</v>
      </c>
      <c r="J283" s="37" t="n">
        <v>0.6427104722792608</v>
      </c>
      <c r="K283" s="37" t="n">
        <v>0.5555555555555556</v>
      </c>
      <c r="L283" s="37" t="n">
        <v>0.5555555555555556</v>
      </c>
      <c r="M283" s="37" t="n">
        <v>0.969811320754717</v>
      </c>
      <c r="N283" s="37" t="n">
        <v>0.2641509433962264</v>
      </c>
      <c r="O283" s="36" t="n">
        <v>9.619999999999999</v>
      </c>
      <c r="P283" s="36" t="n">
        <v>5.26</v>
      </c>
      <c r="Q283" s="36" t="n">
        <v>62.98</v>
      </c>
      <c r="R283" s="36" t="n">
        <v>160.08</v>
      </c>
      <c r="S283" s="36" t="n">
        <v>0</v>
      </c>
      <c r="T283" s="37" t="n">
        <v>0.8145859085290482</v>
      </c>
      <c r="U283" s="37" t="n">
        <v>0.6510638297872341</v>
      </c>
      <c r="V283" s="37" t="n">
        <v>0.8794326241134752</v>
      </c>
      <c r="W283" s="37" t="n">
        <v>0.6928104575163399</v>
      </c>
    </row>
    <row r="284">
      <c r="A284" s="53" t="n">
        <v>45817</v>
      </c>
      <c r="B284" t="inlineStr">
        <is>
          <t>R10_Sumbagteng</t>
        </is>
      </c>
      <c r="C284" t="inlineStr">
        <is>
          <t>NOP PEKANBARU</t>
        </is>
      </c>
      <c r="D284" s="36" t="n">
        <v>3.43</v>
      </c>
      <c r="E284" s="36" t="n">
        <v>5.74</v>
      </c>
      <c r="F284" s="36" t="n">
        <v>4.4</v>
      </c>
      <c r="G284" s="36" t="n">
        <v>8.609999999999999</v>
      </c>
      <c r="H284" s="37" t="n">
        <v>0.4459459459459459</v>
      </c>
      <c r="I284" s="37" t="n">
        <v>0.4311926605504587</v>
      </c>
      <c r="J284" s="37" t="n">
        <v>0.4492753623188406</v>
      </c>
      <c r="K284" s="37" t="n">
        <v>0.7446808510638298</v>
      </c>
      <c r="L284" s="37" t="n">
        <v>0.7526881720430108</v>
      </c>
      <c r="M284" s="37" t="n">
        <v>0.9915540540540541</v>
      </c>
      <c r="N284" s="37" t="n">
        <v>0.2550675675675675</v>
      </c>
      <c r="O284" s="36" t="n">
        <v>0.82</v>
      </c>
      <c r="P284" s="36" t="n">
        <v>5.4</v>
      </c>
      <c r="Q284" s="36" t="n">
        <v>46.59</v>
      </c>
      <c r="R284" s="36" t="n">
        <v>76.33</v>
      </c>
      <c r="S284" s="36" t="n">
        <v>0</v>
      </c>
      <c r="T284" s="37" t="n">
        <v>0.2995008319467554</v>
      </c>
      <c r="U284" s="37" t="n">
        <v>0.3491204330175913</v>
      </c>
      <c r="V284" s="37" t="n">
        <v>0.2746781115879828</v>
      </c>
      <c r="W284" s="37" t="n">
        <v>0.8333333333333334</v>
      </c>
    </row>
    <row r="285">
      <c r="A285" s="53" t="n">
        <v>45817</v>
      </c>
      <c r="B285" t="inlineStr">
        <is>
          <t>R02_Sumbagsel</t>
        </is>
      </c>
      <c r="C285" t="inlineStr">
        <is>
          <t>NOP BENGKULU</t>
        </is>
      </c>
      <c r="D285" s="36" t="n">
        <v>3.59</v>
      </c>
      <c r="E285" s="36" t="n">
        <v>5.85</v>
      </c>
      <c r="F285" s="36" t="n">
        <v>3.22</v>
      </c>
      <c r="G285" s="36" t="n">
        <v>6.39</v>
      </c>
      <c r="H285" s="37" t="n">
        <v>0.4542936288088643</v>
      </c>
      <c r="I285" s="37" t="n">
        <v>0.5274725274725275</v>
      </c>
      <c r="J285" s="37" t="n">
        <v>0.4296296296296296</v>
      </c>
      <c r="K285" s="37" t="n">
        <v>0.6458333333333334</v>
      </c>
      <c r="L285" s="37" t="n">
        <v>0.6458333333333334</v>
      </c>
      <c r="M285" s="37" t="n">
        <v>0.9916897506925207</v>
      </c>
      <c r="N285" s="37" t="n">
        <v>0.2742382271468144</v>
      </c>
      <c r="O285" s="36" t="n">
        <v>0</v>
      </c>
      <c r="P285" s="36" t="n">
        <v>5.16</v>
      </c>
      <c r="Q285" s="36" t="n">
        <v>7.92</v>
      </c>
      <c r="R285" s="36" t="n">
        <v>6</v>
      </c>
      <c r="S285" s="36" t="n">
        <v>0</v>
      </c>
      <c r="T285" s="37" t="n">
        <v>0.5016160310277957</v>
      </c>
      <c r="U285" s="37" t="n">
        <v>0.4325481798715203</v>
      </c>
      <c r="V285" s="37" t="n">
        <v>0.597678916827853</v>
      </c>
      <c r="W285" s="37" t="n">
        <v>0.8935643564356436</v>
      </c>
    </row>
    <row r="286">
      <c r="A286" s="53" t="n">
        <v>45817</v>
      </c>
      <c r="B286" t="inlineStr">
        <is>
          <t>R02_Sumbagsel</t>
        </is>
      </c>
      <c r="C286" t="inlineStr">
        <is>
          <t>NOP JAMBI</t>
        </is>
      </c>
      <c r="D286" s="36" t="n">
        <v>4.86</v>
      </c>
      <c r="E286" s="36" t="n">
        <v>4.22</v>
      </c>
      <c r="F286" s="36" t="n">
        <v>3.54</v>
      </c>
      <c r="G286" s="36" t="n">
        <v>5.43</v>
      </c>
      <c r="H286" s="37" t="n">
        <v>0.2898961284230406</v>
      </c>
      <c r="I286" s="37" t="n">
        <v>0.2729885057471265</v>
      </c>
      <c r="J286" s="37" t="n">
        <v>0.2981715893108298</v>
      </c>
      <c r="K286" s="37" t="n">
        <v>0.6</v>
      </c>
      <c r="L286" s="37" t="n">
        <v>0.6</v>
      </c>
      <c r="M286" s="37" t="n">
        <v>0.987724268177526</v>
      </c>
      <c r="N286" s="37" t="n">
        <v>0.1558073654390935</v>
      </c>
      <c r="O286" s="36" t="n">
        <v>0</v>
      </c>
      <c r="P286" s="36" t="n">
        <v>3.57</v>
      </c>
      <c r="Q286" s="36" t="n">
        <v>14.03</v>
      </c>
      <c r="R286" s="36" t="n">
        <v>20.39</v>
      </c>
      <c r="S286" s="36" t="n">
        <v>0</v>
      </c>
      <c r="T286" s="37" t="n">
        <v>0.1873215305539692</v>
      </c>
      <c r="U286" s="37" t="n">
        <v>0.1608832807570978</v>
      </c>
      <c r="V286" s="37" t="n">
        <v>0.2421875</v>
      </c>
      <c r="W286" s="37" t="n">
        <v>0.6862745098039216</v>
      </c>
    </row>
    <row r="287">
      <c r="A287" s="53" t="n">
        <v>45817</v>
      </c>
      <c r="B287" t="inlineStr">
        <is>
          <t>R02_Sumbagsel</t>
        </is>
      </c>
      <c r="C287" t="inlineStr">
        <is>
          <t>NOP LAMPUNG</t>
        </is>
      </c>
      <c r="D287" s="36" t="n">
        <v>0</v>
      </c>
      <c r="E287" s="36" t="n">
        <v>3.95</v>
      </c>
      <c r="F287" s="36" t="n">
        <v>3.42</v>
      </c>
      <c r="G287" s="36" t="n">
        <v>3.9</v>
      </c>
      <c r="H287" s="37" t="n">
        <v>0.5268817204301075</v>
      </c>
      <c r="I287" s="37" t="n">
        <v>0.75</v>
      </c>
      <c r="J287" s="37" t="n">
        <v>0.4657534246575342</v>
      </c>
      <c r="K287" s="37" t="n">
        <v>0.8444444444444444</v>
      </c>
      <c r="L287" s="37" t="n">
        <v>0.8444444444444444</v>
      </c>
      <c r="M287" s="37" t="n">
        <v>0.982078853046595</v>
      </c>
      <c r="N287" s="37" t="n">
        <v>0.4157706093189964</v>
      </c>
      <c r="O287" s="36" t="n">
        <v>0.04</v>
      </c>
      <c r="P287" s="36" t="n">
        <v>15.99</v>
      </c>
      <c r="Q287" s="36" t="n">
        <v>4.2</v>
      </c>
      <c r="R287" s="36" t="n">
        <v>38.77</v>
      </c>
      <c r="S287" s="36" t="n">
        <v>0</v>
      </c>
      <c r="T287" s="37" t="n">
        <v>0.9082125603864735</v>
      </c>
      <c r="U287" s="37" t="n">
        <v>0.8857142857142857</v>
      </c>
      <c r="V287" s="37" t="n">
        <v>0.9265905383360522</v>
      </c>
      <c r="W287" s="37" t="n">
        <v>0.8967741935483871</v>
      </c>
    </row>
    <row r="288">
      <c r="A288" s="53" t="n">
        <v>45817</v>
      </c>
      <c r="B288" t="inlineStr">
        <is>
          <t>R02_Sumbagsel</t>
        </is>
      </c>
      <c r="C288" t="inlineStr">
        <is>
          <t>NOP MUARA ENIM</t>
        </is>
      </c>
      <c r="D288" s="36" t="n">
        <v>3.96</v>
      </c>
      <c r="E288" s="36" t="n">
        <v>4.26</v>
      </c>
      <c r="F288" s="36" t="n">
        <v>4.18</v>
      </c>
      <c r="G288" s="36" t="n">
        <v>5.07</v>
      </c>
      <c r="H288" s="37" t="n">
        <v>0.3160518444666002</v>
      </c>
      <c r="I288" s="37" t="n">
        <v>0.4233128834355828</v>
      </c>
      <c r="J288" s="37" t="n">
        <v>0.2952380952380952</v>
      </c>
      <c r="K288" s="37" t="n">
        <v>0.7536231884057971</v>
      </c>
      <c r="L288" s="37" t="n">
        <v>0.7536231884057971</v>
      </c>
      <c r="M288" s="37" t="n">
        <v>0.9830508474576272</v>
      </c>
      <c r="N288" s="37" t="n">
        <v>0.1724825523429711</v>
      </c>
      <c r="O288" s="36" t="n">
        <v>0</v>
      </c>
      <c r="P288" s="36" t="n">
        <v>20.64</v>
      </c>
      <c r="Q288" s="36" t="n">
        <v>11.53</v>
      </c>
      <c r="R288" s="36" t="n">
        <v>6</v>
      </c>
      <c r="S288" s="36" t="n">
        <v>0</v>
      </c>
      <c r="T288" s="37" t="n">
        <v>0.5268542199488491</v>
      </c>
      <c r="U288" s="37" t="n">
        <v>0.4686192468619247</v>
      </c>
      <c r="V288" s="37" t="n">
        <v>0.6053691275167785</v>
      </c>
      <c r="W288" s="37" t="n">
        <v>0.7708333333333334</v>
      </c>
    </row>
    <row r="289">
      <c r="A289" s="53" t="n">
        <v>45817</v>
      </c>
      <c r="B289" t="inlineStr">
        <is>
          <t>R02_Sumbagsel</t>
        </is>
      </c>
      <c r="C289" t="inlineStr">
        <is>
          <t>NOP PALEMBANG</t>
        </is>
      </c>
      <c r="D289" s="36" t="n">
        <v>2.15</v>
      </c>
      <c r="E289" s="36" t="n">
        <v>3.85</v>
      </c>
      <c r="F289" s="36" t="n">
        <v>5.22</v>
      </c>
      <c r="G289" s="36" t="n">
        <v>6.57</v>
      </c>
      <c r="H289" s="37" t="n">
        <v>0.2818428184281843</v>
      </c>
      <c r="I289" s="37" t="n">
        <v>0.2148148148148148</v>
      </c>
      <c r="J289" s="37" t="n">
        <v>0.2911522633744856</v>
      </c>
      <c r="K289" s="37" t="n">
        <v>0.4827586206896552</v>
      </c>
      <c r="L289" s="37" t="n">
        <v>0.4827586206896552</v>
      </c>
      <c r="M289" s="37" t="n">
        <v>1</v>
      </c>
      <c r="N289" s="37" t="n">
        <v>0.1246612466124661</v>
      </c>
      <c r="O289" s="36" t="n">
        <v>0</v>
      </c>
      <c r="P289" s="36" t="n">
        <v>3.03</v>
      </c>
      <c r="Q289" s="36" t="n">
        <v>9.73</v>
      </c>
      <c r="R289" s="36" t="n">
        <v>36.16</v>
      </c>
      <c r="S289" s="36" t="n">
        <v>0</v>
      </c>
      <c r="T289" s="37" t="n">
        <v>0.1380208333333333</v>
      </c>
      <c r="U289" s="37" t="n">
        <v>0.1134831460674157</v>
      </c>
      <c r="V289" s="37" t="n">
        <v>0.2288659793814433</v>
      </c>
      <c r="W289" s="37" t="n">
        <v>0.6336633663366337</v>
      </c>
    </row>
    <row r="290">
      <c r="A290" s="53" t="n">
        <v>45817</v>
      </c>
      <c r="B290" t="inlineStr">
        <is>
          <t>R02_Sumbagsel</t>
        </is>
      </c>
      <c r="C290" t="inlineStr">
        <is>
          <t>NOP PANGKAL PINANG</t>
        </is>
      </c>
      <c r="D290" s="36" t="n">
        <v>0</v>
      </c>
      <c r="E290" s="36" t="n">
        <v>5.46</v>
      </c>
      <c r="F290" s="36" t="n">
        <v>4.65</v>
      </c>
      <c r="G290" s="36" t="n">
        <v>6.64</v>
      </c>
      <c r="H290" s="37" t="n">
        <v>0.7741935483870968</v>
      </c>
      <c r="I290" s="37" t="n">
        <v>0.5714285714285714</v>
      </c>
      <c r="J290" s="37" t="n">
        <v>0.7837837837837838</v>
      </c>
      <c r="K290" s="37" t="n">
        <v>0.5</v>
      </c>
      <c r="L290" s="37" t="n">
        <v>0.5</v>
      </c>
      <c r="M290" s="37" t="n">
        <v>1</v>
      </c>
      <c r="N290" s="37" t="n">
        <v>0.5032258064516129</v>
      </c>
      <c r="O290" s="36" t="n">
        <v>0</v>
      </c>
      <c r="P290" s="36" t="n">
        <v>5.08</v>
      </c>
      <c r="Q290" s="36" t="n">
        <v>9.26</v>
      </c>
      <c r="R290" s="36" t="n">
        <v>5</v>
      </c>
      <c r="S290" s="36" t="n">
        <v>0</v>
      </c>
      <c r="T290" s="37" t="n">
        <v>0.926984126984127</v>
      </c>
      <c r="U290" s="37" t="n">
        <v>0.9243243243243243</v>
      </c>
      <c r="V290" s="37" t="n">
        <v>0.9373549883990719</v>
      </c>
      <c r="W290" s="37" t="n">
        <v>0.8538011695906432</v>
      </c>
    </row>
    <row r="291">
      <c r="A291" s="53" t="n">
        <v>45817</v>
      </c>
      <c r="B291" t="inlineStr">
        <is>
          <t>R05_Jawa Tengah DIY</t>
        </is>
      </c>
      <c r="C291" t="inlineStr">
        <is>
          <t>NOP MAGELANG</t>
        </is>
      </c>
      <c r="D291" s="36" t="n">
        <v>3.26</v>
      </c>
      <c r="E291" s="36" t="n">
        <v>0</v>
      </c>
      <c r="F291" s="36" t="n">
        <v>2.44</v>
      </c>
      <c r="G291" s="36" t="n">
        <v>3.08</v>
      </c>
      <c r="H291" s="37" t="n">
        <v>0.788135593220339</v>
      </c>
      <c r="I291" s="37" t="n">
        <v>0.8</v>
      </c>
      <c r="J291" s="37" t="n">
        <v>0.7876106194690266</v>
      </c>
      <c r="K291" s="37" t="n">
        <v>1</v>
      </c>
      <c r="L291" s="37" t="n">
        <v>1</v>
      </c>
      <c r="M291" s="37" t="n">
        <v>1</v>
      </c>
      <c r="N291" s="37" t="n">
        <v>0.652542372881356</v>
      </c>
      <c r="O291" s="36" t="n">
        <v>0</v>
      </c>
      <c r="P291" s="36" t="n">
        <v>2.35</v>
      </c>
      <c r="Q291" s="36" t="n">
        <v>5.6</v>
      </c>
      <c r="R291" s="36" t="n">
        <v>15.02</v>
      </c>
      <c r="S291" s="36" t="n">
        <v>0</v>
      </c>
      <c r="T291" s="37" t="n">
        <v>0.930379746835443</v>
      </c>
      <c r="U291" s="37" t="n">
        <v>0.8269230769230769</v>
      </c>
      <c r="V291" s="37" t="n">
        <v>0.943127962085308</v>
      </c>
      <c r="W291" s="37" t="n">
        <v>0.8604651162790697</v>
      </c>
    </row>
    <row r="292">
      <c r="A292" s="53" t="n">
        <v>45817</v>
      </c>
      <c r="B292" t="inlineStr">
        <is>
          <t>R05_Jawa Tengah DIY</t>
        </is>
      </c>
      <c r="C292" t="inlineStr">
        <is>
          <t>NOP PEKALONGAN</t>
        </is>
      </c>
      <c r="D292" s="36" t="n">
        <v>3.06</v>
      </c>
      <c r="E292" s="36" t="n">
        <v>0</v>
      </c>
      <c r="F292" s="36" t="n">
        <v>3.05</v>
      </c>
      <c r="G292" s="36" t="n">
        <v>7.53</v>
      </c>
      <c r="H292" s="37" t="n">
        <v>0.6619718309859155</v>
      </c>
      <c r="I292" s="37" t="n">
        <v>0.7142857142857143</v>
      </c>
      <c r="J292" s="37" t="n">
        <v>0.65625</v>
      </c>
      <c r="K292" s="37" t="n">
        <v>1</v>
      </c>
      <c r="L292" s="37" t="n">
        <v>1</v>
      </c>
      <c r="M292" s="37" t="n">
        <v>0.9577464788732394</v>
      </c>
      <c r="N292" s="37" t="n">
        <v>0.5915492957746479</v>
      </c>
      <c r="O292" s="36" t="n">
        <v>0</v>
      </c>
      <c r="P292" s="36" t="n">
        <v>3.36</v>
      </c>
      <c r="Q292" s="36" t="n">
        <v>10.25</v>
      </c>
      <c r="R292" s="36" t="n">
        <v>48.29</v>
      </c>
      <c r="S292" s="36" t="n">
        <v>0</v>
      </c>
      <c r="T292" s="37" t="n">
        <v>0.8503937007874016</v>
      </c>
      <c r="U292" s="37" t="n">
        <v>0.7391304347826086</v>
      </c>
      <c r="V292" s="37" t="n">
        <v>0.875</v>
      </c>
      <c r="W292" s="37" t="n">
        <v>0.6176470588235294</v>
      </c>
    </row>
    <row r="293">
      <c r="A293" s="53" t="n">
        <v>45817</v>
      </c>
      <c r="B293" t="inlineStr">
        <is>
          <t>R05_Jawa Tengah DIY</t>
        </is>
      </c>
      <c r="C293" t="inlineStr">
        <is>
          <t>NOP PURWOKERTO</t>
        </is>
      </c>
      <c r="D293" s="36" t="n">
        <v>3.39</v>
      </c>
      <c r="E293" s="36" t="n">
        <v>0</v>
      </c>
      <c r="F293" s="36" t="n">
        <v>2.71</v>
      </c>
      <c r="G293" s="36" t="n">
        <v>4.32</v>
      </c>
      <c r="H293" s="37" t="n">
        <v>0.6410256410256411</v>
      </c>
      <c r="I293" s="37" t="n">
        <v>0.8333333333333334</v>
      </c>
      <c r="J293" s="37" t="n">
        <v>0.6306306306306306</v>
      </c>
      <c r="K293" s="37" t="n">
        <v>1</v>
      </c>
      <c r="L293" s="37" t="n">
        <v>1</v>
      </c>
      <c r="M293" s="37" t="n">
        <v>0.9829059829059829</v>
      </c>
      <c r="N293" s="37" t="n">
        <v>0.4102564102564102</v>
      </c>
      <c r="O293" s="36" t="n">
        <v>0.5</v>
      </c>
      <c r="P293" s="36" t="n">
        <v>4.27</v>
      </c>
      <c r="Q293" s="36" t="n">
        <v>6.71</v>
      </c>
      <c r="R293" s="36" t="n">
        <v>33.47</v>
      </c>
      <c r="S293" s="36" t="n">
        <v>0</v>
      </c>
      <c r="T293" s="37" t="n">
        <v>0.8352941176470589</v>
      </c>
      <c r="U293" s="37" t="n">
        <v>0.7962962962962963</v>
      </c>
      <c r="V293" s="37" t="n">
        <v>0.853448275862069</v>
      </c>
      <c r="W293" s="37" t="n">
        <v>0.6976744186046512</v>
      </c>
    </row>
    <row r="294">
      <c r="A294" s="53" t="n">
        <v>45817</v>
      </c>
      <c r="B294" t="inlineStr">
        <is>
          <t>R05_Jawa Tengah DIY</t>
        </is>
      </c>
      <c r="C294" t="inlineStr">
        <is>
          <t>NOP SEMARANG</t>
        </is>
      </c>
      <c r="D294" s="36" t="n">
        <v>2.7</v>
      </c>
      <c r="E294" s="36" t="n">
        <v>2.57</v>
      </c>
      <c r="F294" s="36" t="n">
        <v>2.57</v>
      </c>
      <c r="G294" s="36" t="n">
        <v>2.95</v>
      </c>
      <c r="H294" s="37" t="n">
        <v>0.634703196347032</v>
      </c>
      <c r="I294" s="37" t="n">
        <v>0.8888888888888888</v>
      </c>
      <c r="J294" s="37" t="n">
        <v>0.6119402985074627</v>
      </c>
      <c r="K294" s="37" t="n">
        <v>0.9375</v>
      </c>
      <c r="L294" s="37" t="n">
        <v>0.9375</v>
      </c>
      <c r="M294" s="37" t="n">
        <v>0.9634703196347032</v>
      </c>
      <c r="N294" s="37" t="n">
        <v>0.4703196347031963</v>
      </c>
      <c r="O294" s="36" t="n">
        <v>0.01</v>
      </c>
      <c r="P294" s="36" t="n">
        <v>5.81</v>
      </c>
      <c r="Q294" s="36" t="n">
        <v>7.41</v>
      </c>
      <c r="R294" s="36" t="n">
        <v>69.09999999999999</v>
      </c>
      <c r="S294" s="36" t="n">
        <v>0</v>
      </c>
      <c r="T294" s="37" t="n">
        <v>0.8773584905660378</v>
      </c>
      <c r="U294" s="37" t="n">
        <v>0.8134328358208955</v>
      </c>
      <c r="V294" s="37" t="n">
        <v>0.9239130434782609</v>
      </c>
      <c r="W294" s="37" t="n">
        <v>0.8532110091743119</v>
      </c>
    </row>
    <row r="295">
      <c r="A295" s="53" t="n">
        <v>45817</v>
      </c>
      <c r="B295" t="inlineStr">
        <is>
          <t>R05_Jawa Tengah DIY</t>
        </is>
      </c>
      <c r="C295" t="inlineStr">
        <is>
          <t>NOP SURAKARTA</t>
        </is>
      </c>
      <c r="D295" s="36" t="n">
        <v>1.64</v>
      </c>
      <c r="E295" s="36" t="n">
        <v>2.04</v>
      </c>
      <c r="F295" s="36" t="n">
        <v>3.18</v>
      </c>
      <c r="G295" s="36" t="n">
        <v>3.19</v>
      </c>
      <c r="H295" s="37" t="n">
        <v>0.7813953488372093</v>
      </c>
      <c r="I295" s="37" t="n">
        <v>0.7894736842105263</v>
      </c>
      <c r="J295" s="37" t="n">
        <v>0.7806122448979592</v>
      </c>
      <c r="K295" s="37" t="n">
        <v>0.8</v>
      </c>
      <c r="L295" s="37" t="n">
        <v>0.8</v>
      </c>
      <c r="M295" s="37" t="n">
        <v>0.9767441860465116</v>
      </c>
      <c r="N295" s="37" t="n">
        <v>0.5162790697674419</v>
      </c>
      <c r="O295" s="36" t="n">
        <v>0.16</v>
      </c>
      <c r="P295" s="36" t="n">
        <v>8.41</v>
      </c>
      <c r="Q295" s="36" t="n">
        <v>6.58</v>
      </c>
      <c r="R295" s="36" t="n">
        <v>59.66</v>
      </c>
      <c r="S295" s="36" t="n">
        <v>0</v>
      </c>
      <c r="T295" s="37" t="n">
        <v>0.8304498269896193</v>
      </c>
      <c r="U295" s="37" t="n">
        <v>0.7142857142857143</v>
      </c>
      <c r="V295" s="37" t="n">
        <v>0.8900523560209425</v>
      </c>
      <c r="W295" s="37" t="n">
        <v>0.6571428571428571</v>
      </c>
    </row>
    <row r="296">
      <c r="A296" s="53" t="n">
        <v>45817</v>
      </c>
      <c r="B296" t="inlineStr">
        <is>
          <t>R05_Jawa Tengah DIY</t>
        </is>
      </c>
      <c r="C296" t="inlineStr">
        <is>
          <t>NOP YOGYAKARTA</t>
        </is>
      </c>
      <c r="D296" s="36" t="n">
        <v>2.82</v>
      </c>
      <c r="E296" s="36" t="n">
        <v>0</v>
      </c>
      <c r="F296" s="36" t="n">
        <v>2.42</v>
      </c>
      <c r="G296" s="36" t="n">
        <v>2.79</v>
      </c>
      <c r="H296" s="37" t="n">
        <v>0.736</v>
      </c>
      <c r="I296" s="37" t="n">
        <v>1</v>
      </c>
      <c r="J296" s="37" t="n">
        <v>0.7226890756302521</v>
      </c>
      <c r="K296" s="37" t="n">
        <v>0.8333333333333334</v>
      </c>
      <c r="L296" s="37" t="n">
        <v>0.8333333333333334</v>
      </c>
      <c r="M296" s="37" t="n">
        <v>1</v>
      </c>
      <c r="N296" s="37" t="n">
        <v>0.536</v>
      </c>
      <c r="O296" s="36" t="n">
        <v>0</v>
      </c>
      <c r="P296" s="36" t="n">
        <v>5.47</v>
      </c>
      <c r="Q296" s="36" t="n">
        <v>7.46</v>
      </c>
      <c r="R296" s="36" t="n">
        <v>32.01</v>
      </c>
      <c r="S296" s="36" t="n">
        <v>0</v>
      </c>
      <c r="T296" s="37" t="n">
        <v>0.9323076923076923</v>
      </c>
      <c r="U296" s="37" t="n">
        <v>0.9186046511627907</v>
      </c>
      <c r="V296" s="37" t="n">
        <v>0.9372384937238494</v>
      </c>
      <c r="W296" s="37" t="n">
        <v>0.9873417721518988</v>
      </c>
    </row>
    <row r="297">
      <c r="A297" s="53" t="n">
        <v>45817</v>
      </c>
      <c r="B297" t="inlineStr">
        <is>
          <t>R06_Jawa Timur</t>
        </is>
      </c>
      <c r="C297" t="inlineStr">
        <is>
          <t>NOP JEMBER</t>
        </is>
      </c>
      <c r="D297" s="36" t="n">
        <v>6.65</v>
      </c>
      <c r="E297" s="36" t="n">
        <v>0.4</v>
      </c>
      <c r="F297" s="36" t="n">
        <v>2.99</v>
      </c>
      <c r="G297" s="36" t="n">
        <v>2.47</v>
      </c>
      <c r="H297" s="37" t="n">
        <v>0.7318840579710145</v>
      </c>
      <c r="I297" s="37" t="n">
        <v>0.8181818181818182</v>
      </c>
      <c r="J297" s="37" t="n">
        <v>0.7244094488188977</v>
      </c>
      <c r="K297" s="37" t="n">
        <v>0.8888888888888888</v>
      </c>
      <c r="L297" s="37" t="n">
        <v>0.8888888888888888</v>
      </c>
      <c r="M297" s="37" t="n">
        <v>0.9927536231884058</v>
      </c>
      <c r="N297" s="37" t="n">
        <v>0.4782608695652174</v>
      </c>
      <c r="O297" s="36" t="n">
        <v>0</v>
      </c>
      <c r="P297" s="36" t="n">
        <v>1.97</v>
      </c>
      <c r="Q297" s="36" t="n">
        <v>5.76</v>
      </c>
      <c r="R297" s="36" t="n">
        <v>170.88</v>
      </c>
      <c r="S297" s="36" t="n">
        <v>0</v>
      </c>
      <c r="T297" s="37" t="n">
        <v>0.8020833333333334</v>
      </c>
      <c r="U297" s="37" t="n">
        <v>0.6727272727272727</v>
      </c>
      <c r="V297" s="37" t="n">
        <v>0.8540145985401459</v>
      </c>
      <c r="W297" s="37" t="n">
        <v>0.8108108108108109</v>
      </c>
    </row>
    <row r="298">
      <c r="A298" s="53" t="n">
        <v>45817</v>
      </c>
      <c r="B298" t="inlineStr">
        <is>
          <t>R06_Jawa Timur</t>
        </is>
      </c>
      <c r="C298" t="inlineStr">
        <is>
          <t>NOP KEDIRI</t>
        </is>
      </c>
      <c r="D298" s="36" t="n">
        <v>2.23</v>
      </c>
      <c r="E298" s="36" t="n">
        <v>0</v>
      </c>
      <c r="F298" s="36" t="n">
        <v>1.8</v>
      </c>
      <c r="G298" s="36" t="n">
        <v>2.7</v>
      </c>
      <c r="H298" s="37" t="n">
        <v>0.8876404494382022</v>
      </c>
      <c r="I298" s="37" t="n">
        <v>1</v>
      </c>
      <c r="J298" s="37" t="n">
        <v>0.8809523809523809</v>
      </c>
      <c r="K298" s="37" t="n">
        <v>0.8</v>
      </c>
      <c r="L298" s="37" t="n">
        <v>0.8</v>
      </c>
      <c r="M298" s="37" t="n">
        <v>1</v>
      </c>
      <c r="N298" s="37" t="n">
        <v>0.6741573033707865</v>
      </c>
      <c r="O298" s="36" t="n">
        <v>0</v>
      </c>
      <c r="P298" s="36" t="n">
        <v>2.36</v>
      </c>
      <c r="Q298" s="36" t="n">
        <v>4.64</v>
      </c>
      <c r="R298" s="36" t="n">
        <v>17.29</v>
      </c>
      <c r="S298" s="36" t="n">
        <v>0</v>
      </c>
      <c r="T298" s="37" t="n">
        <v>0.928</v>
      </c>
      <c r="U298" s="37" t="n">
        <v>0.8888888888888888</v>
      </c>
      <c r="V298" s="37" t="n">
        <v>0.9438202247191011</v>
      </c>
      <c r="W298" s="37" t="n">
        <v>0.90625</v>
      </c>
    </row>
    <row r="299">
      <c r="A299" s="53" t="n">
        <v>45817</v>
      </c>
      <c r="B299" t="inlineStr">
        <is>
          <t>R06_Jawa Timur</t>
        </is>
      </c>
      <c r="C299" t="inlineStr">
        <is>
          <t>NOP LAMONGAN</t>
        </is>
      </c>
      <c r="D299" s="36" t="n">
        <v>3.43</v>
      </c>
      <c r="E299" s="36" t="n">
        <v>0</v>
      </c>
      <c r="F299" s="36" t="n">
        <v>3.15</v>
      </c>
      <c r="G299" s="36" t="n">
        <v>2.67</v>
      </c>
      <c r="H299" s="37" t="n">
        <v>0.9090909090909091</v>
      </c>
      <c r="I299" s="37" t="n">
        <v>1</v>
      </c>
      <c r="J299" s="37" t="n">
        <v>0.8970588235294118</v>
      </c>
      <c r="K299" s="37" t="n">
        <v>1</v>
      </c>
      <c r="L299" s="37" t="n">
        <v>1</v>
      </c>
      <c r="M299" s="37" t="n">
        <v>1</v>
      </c>
      <c r="N299" s="37" t="n">
        <v>0.7402597402597403</v>
      </c>
      <c r="O299" s="36" t="n">
        <v>0</v>
      </c>
      <c r="P299" s="36" t="n">
        <v>3.21</v>
      </c>
      <c r="Q299" s="36" t="n">
        <v>4.95</v>
      </c>
      <c r="R299" s="36" t="n">
        <v>73.65000000000001</v>
      </c>
      <c r="S299" s="36" t="n">
        <v>0</v>
      </c>
      <c r="T299" s="37" t="n">
        <v>0.8450704225352113</v>
      </c>
      <c r="U299" s="37" t="n">
        <v>0.7058823529411765</v>
      </c>
      <c r="V299" s="37" t="n">
        <v>0.972972972972973</v>
      </c>
      <c r="W299" s="37" t="n">
        <v>0.8333333333333334</v>
      </c>
    </row>
    <row r="300">
      <c r="A300" s="53" t="n">
        <v>45817</v>
      </c>
      <c r="B300" t="inlineStr">
        <is>
          <t>R06_Jawa Timur</t>
        </is>
      </c>
      <c r="C300" t="inlineStr">
        <is>
          <t>NOP MADIUN</t>
        </is>
      </c>
      <c r="D300" s="36" t="n">
        <v>0.89</v>
      </c>
      <c r="E300" s="36" t="n">
        <v>0</v>
      </c>
      <c r="F300" s="36" t="n">
        <v>2.72</v>
      </c>
      <c r="G300" s="36" t="n">
        <v>2.84</v>
      </c>
      <c r="H300" s="37" t="n">
        <v>0.6639344262295082</v>
      </c>
      <c r="I300" s="37" t="n">
        <v>1</v>
      </c>
      <c r="J300" s="37" t="n">
        <v>0.6554621848739496</v>
      </c>
      <c r="K300" s="37" t="n">
        <v>1</v>
      </c>
      <c r="L300" s="37" t="n">
        <v>1</v>
      </c>
      <c r="M300" s="37" t="n">
        <v>0.9180327868852459</v>
      </c>
      <c r="N300" s="37" t="n">
        <v>0.4098360655737705</v>
      </c>
      <c r="O300" s="36" t="n">
        <v>0</v>
      </c>
      <c r="P300" s="36" t="n">
        <v>4.09</v>
      </c>
      <c r="Q300" s="36" t="n">
        <v>5.65</v>
      </c>
      <c r="R300" s="36" t="n">
        <v>25.43</v>
      </c>
      <c r="S300" s="36" t="n">
        <v>0</v>
      </c>
      <c r="T300" s="37" t="n">
        <v>0.7435897435897436</v>
      </c>
      <c r="U300" s="37" t="n">
        <v>0.6666666666666666</v>
      </c>
      <c r="V300" s="37" t="n">
        <v>0.780952380952381</v>
      </c>
      <c r="W300" s="37" t="n">
        <v>0.7647058823529411</v>
      </c>
    </row>
    <row r="301">
      <c r="A301" s="53" t="n">
        <v>45817</v>
      </c>
      <c r="B301" t="inlineStr">
        <is>
          <t>R06_Jawa Timur</t>
        </is>
      </c>
      <c r="C301" t="inlineStr">
        <is>
          <t>NOP MALANG</t>
        </is>
      </c>
      <c r="D301" s="36" t="n">
        <v>0</v>
      </c>
      <c r="E301" s="36" t="n">
        <v>0</v>
      </c>
      <c r="F301" s="36" t="n">
        <v>1.43</v>
      </c>
      <c r="G301" s="36" t="n">
        <v>2.28</v>
      </c>
      <c r="H301" s="37" t="n">
        <v>0.9230769230769231</v>
      </c>
      <c r="I301" s="37" t="n">
        <v>0</v>
      </c>
      <c r="J301" s="37" t="n">
        <v>0.9230769230769231</v>
      </c>
      <c r="K301" s="37" t="n">
        <v>0</v>
      </c>
      <c r="L301" s="37" t="n">
        <v>0</v>
      </c>
      <c r="M301" s="37" t="n">
        <v>1</v>
      </c>
      <c r="N301" s="37" t="n">
        <v>0.9230769230769231</v>
      </c>
      <c r="O301" s="36" t="n">
        <v>0</v>
      </c>
      <c r="P301" s="36" t="n">
        <v>2.62</v>
      </c>
      <c r="Q301" s="36" t="n">
        <v>3.07</v>
      </c>
      <c r="R301" s="36" t="n">
        <v>25.5</v>
      </c>
      <c r="S301" s="36" t="n">
        <v>0</v>
      </c>
      <c r="T301" s="37" t="n">
        <v>0.8191489361702128</v>
      </c>
      <c r="U301" s="37" t="n">
        <v>0.725</v>
      </c>
      <c r="V301" s="37" t="n">
        <v>0.8888888888888888</v>
      </c>
      <c r="W301" s="37" t="n">
        <v>0.8620689655172413</v>
      </c>
    </row>
    <row r="302">
      <c r="A302" s="53" t="n">
        <v>45817</v>
      </c>
      <c r="B302" t="inlineStr">
        <is>
          <t>R06_Jawa Timur</t>
        </is>
      </c>
      <c r="C302" t="inlineStr">
        <is>
          <t>NOP SIDOARJO</t>
        </is>
      </c>
      <c r="D302" s="36" t="n">
        <v>1.86</v>
      </c>
      <c r="E302" s="36" t="n">
        <v>0</v>
      </c>
      <c r="F302" s="36" t="n">
        <v>4.38</v>
      </c>
      <c r="G302" s="36" t="n">
        <v>4.33</v>
      </c>
      <c r="H302" s="37" t="n">
        <v>0.7662337662337663</v>
      </c>
      <c r="I302" s="37" t="n">
        <v>1</v>
      </c>
      <c r="J302" s="37" t="n">
        <v>0.76</v>
      </c>
      <c r="K302" s="37" t="n">
        <v>0.5</v>
      </c>
      <c r="L302" s="37" t="n">
        <v>0.5</v>
      </c>
      <c r="M302" s="37" t="n">
        <v>0.961038961038961</v>
      </c>
      <c r="N302" s="37" t="n">
        <v>0.5584415584415584</v>
      </c>
      <c r="O302" s="36" t="n">
        <v>0.01</v>
      </c>
      <c r="P302" s="36" t="n">
        <v>2.8</v>
      </c>
      <c r="Q302" s="36" t="n">
        <v>11.93</v>
      </c>
      <c r="R302" s="36" t="n">
        <v>36.48</v>
      </c>
      <c r="S302" s="36" t="n">
        <v>0</v>
      </c>
      <c r="T302" s="37" t="n">
        <v>0.8347826086956521</v>
      </c>
      <c r="U302" s="37" t="n">
        <v>0.6842105263157895</v>
      </c>
      <c r="V302" s="37" t="n">
        <v>0.8645833333333334</v>
      </c>
      <c r="W302" s="37" t="n">
        <v>0.7692307692307693</v>
      </c>
    </row>
    <row r="303">
      <c r="A303" s="53" t="n">
        <v>45817</v>
      </c>
      <c r="B303" t="inlineStr">
        <is>
          <t>R06_Jawa Timur</t>
        </is>
      </c>
      <c r="C303" t="inlineStr">
        <is>
          <t>NOP SURABAYA</t>
        </is>
      </c>
      <c r="D303" s="36" t="n">
        <v>2.5</v>
      </c>
      <c r="E303" s="36" t="n">
        <v>0</v>
      </c>
      <c r="F303" s="36" t="n">
        <v>3.09</v>
      </c>
      <c r="G303" s="36" t="n">
        <v>3.55</v>
      </c>
      <c r="H303" s="37" t="n">
        <v>0.5603448275862069</v>
      </c>
      <c r="I303" s="37" t="n">
        <v>0.6666666666666666</v>
      </c>
      <c r="J303" s="37" t="n">
        <v>0.5514018691588785</v>
      </c>
      <c r="K303" s="37" t="n">
        <v>1</v>
      </c>
      <c r="L303" s="37" t="n">
        <v>1</v>
      </c>
      <c r="M303" s="37" t="n">
        <v>0.9224137931034483</v>
      </c>
      <c r="N303" s="37" t="n">
        <v>0.3706896551724138</v>
      </c>
      <c r="O303" s="36" t="n">
        <v>0.96</v>
      </c>
      <c r="P303" s="36" t="n">
        <v>2.18</v>
      </c>
      <c r="Q303" s="36" t="n">
        <v>7.11</v>
      </c>
      <c r="R303" s="36" t="n">
        <v>24.53</v>
      </c>
      <c r="S303" s="36" t="n">
        <v>0</v>
      </c>
      <c r="T303" s="37" t="n">
        <v>0.6351351351351351</v>
      </c>
      <c r="U303" s="37" t="n">
        <v>0.4642857142857143</v>
      </c>
      <c r="V303" s="37" t="n">
        <v>0.6597938144329897</v>
      </c>
      <c r="W303" s="37" t="n">
        <v>0.6923076923076923</v>
      </c>
    </row>
    <row r="304">
      <c r="A304" s="53" t="n">
        <v>45817</v>
      </c>
      <c r="B304" t="inlineStr">
        <is>
          <t>R07_Bali Nusra</t>
        </is>
      </c>
      <c r="C304" t="inlineStr">
        <is>
          <t>NOP DENPASAR</t>
        </is>
      </c>
      <c r="D304" s="36" t="n">
        <v>2.64</v>
      </c>
      <c r="E304" s="36" t="n">
        <v>7.47</v>
      </c>
      <c r="F304" s="36" t="n">
        <v>1.69</v>
      </c>
      <c r="G304" s="36" t="n">
        <v>3.42</v>
      </c>
      <c r="H304" s="37" t="n">
        <v>0.8876404494382022</v>
      </c>
      <c r="I304" s="37" t="n">
        <v>0.8571428571428571</v>
      </c>
      <c r="J304" s="37" t="n">
        <v>0.8933333333333333</v>
      </c>
      <c r="K304" s="37" t="n">
        <v>1</v>
      </c>
      <c r="L304" s="37" t="n">
        <v>1</v>
      </c>
      <c r="M304" s="37" t="n">
        <v>1</v>
      </c>
      <c r="N304" s="37" t="n">
        <v>0.9662921348314607</v>
      </c>
      <c r="O304" s="36" t="n">
        <v>0.01</v>
      </c>
      <c r="P304" s="36" t="n">
        <v>10</v>
      </c>
      <c r="Q304" s="36" t="n">
        <v>9.82</v>
      </c>
      <c r="R304" s="36" t="n">
        <v>23.66</v>
      </c>
      <c r="S304" s="36" t="n">
        <v>0</v>
      </c>
      <c r="T304" s="37" t="n">
        <v>0.8157894736842105</v>
      </c>
      <c r="U304" s="37" t="n">
        <v>0.8615384615384616</v>
      </c>
      <c r="V304" s="37" t="n">
        <v>0.792</v>
      </c>
      <c r="W304" s="37" t="n">
        <v>0.6428571428571429</v>
      </c>
    </row>
    <row r="305">
      <c r="A305" s="53" t="n">
        <v>45817</v>
      </c>
      <c r="B305" t="inlineStr">
        <is>
          <t>R07_Bali Nusra</t>
        </is>
      </c>
      <c r="C305" t="inlineStr">
        <is>
          <t>NOP FLORES</t>
        </is>
      </c>
      <c r="D305" s="36" t="n">
        <v>2.88</v>
      </c>
      <c r="E305" s="36" t="n">
        <v>5.25</v>
      </c>
      <c r="F305" s="36" t="n">
        <v>6.33</v>
      </c>
      <c r="G305" s="36" t="n">
        <v>10.43</v>
      </c>
      <c r="H305" s="37" t="n">
        <v>0.3341902313624679</v>
      </c>
      <c r="I305" s="37" t="n">
        <v>0.6333333333333333</v>
      </c>
      <c r="J305" s="37" t="n">
        <v>0.2796352583586626</v>
      </c>
      <c r="K305" s="37" t="n">
        <v>0.7105263157894737</v>
      </c>
      <c r="L305" s="37" t="n">
        <v>0.7105263157894737</v>
      </c>
      <c r="M305" s="37" t="n">
        <v>0.9820051413881749</v>
      </c>
      <c r="N305" s="37" t="n">
        <v>0.2107969151670951</v>
      </c>
      <c r="O305" s="36" t="n">
        <v>0.23</v>
      </c>
      <c r="P305" s="36" t="n">
        <v>9.380000000000001</v>
      </c>
      <c r="Q305" s="36" t="n">
        <v>11.38</v>
      </c>
      <c r="R305" s="36" t="n">
        <v>109.45</v>
      </c>
      <c r="S305" s="36" t="n">
        <v>0</v>
      </c>
      <c r="T305" s="37" t="n">
        <v>0.5011286681715575</v>
      </c>
      <c r="U305" s="37" t="n">
        <v>0.5223140495867769</v>
      </c>
      <c r="V305" s="37" t="n">
        <v>0.4555160142348754</v>
      </c>
      <c r="W305" s="37" t="n">
        <v>0.8544303797468354</v>
      </c>
    </row>
    <row r="306">
      <c r="A306" s="53" t="n">
        <v>45817</v>
      </c>
      <c r="B306" t="inlineStr">
        <is>
          <t>R07_Bali Nusra</t>
        </is>
      </c>
      <c r="C306" t="inlineStr">
        <is>
          <t>NOP KUPANG</t>
        </is>
      </c>
      <c r="D306" s="36" t="n">
        <v>1.42</v>
      </c>
      <c r="E306" s="36" t="n">
        <v>9.699999999999999</v>
      </c>
      <c r="F306" s="36" t="n">
        <v>7.28</v>
      </c>
      <c r="G306" s="36" t="n">
        <v>12.09</v>
      </c>
      <c r="H306" s="37" t="n">
        <v>0.4817813765182186</v>
      </c>
      <c r="I306" s="37" t="n">
        <v>0.6666666666666666</v>
      </c>
      <c r="J306" s="37" t="n">
        <v>0.4502369668246445</v>
      </c>
      <c r="K306" s="37" t="n">
        <v>0.8333333333333334</v>
      </c>
      <c r="L306" s="37" t="n">
        <v>0.8333333333333334</v>
      </c>
      <c r="M306" s="37" t="n">
        <v>1</v>
      </c>
      <c r="N306" s="37" t="n">
        <v>0.2348178137651822</v>
      </c>
      <c r="O306" s="36" t="n">
        <v>0</v>
      </c>
      <c r="P306" s="36" t="n">
        <v>7.32</v>
      </c>
      <c r="Q306" s="36" t="n">
        <v>18.84</v>
      </c>
      <c r="R306" s="36" t="n">
        <v>12.42</v>
      </c>
      <c r="S306" s="36" t="n">
        <v>0</v>
      </c>
      <c r="T306" s="37" t="n">
        <v>0.3965141612200436</v>
      </c>
      <c r="U306" s="37" t="n">
        <v>0.489010989010989</v>
      </c>
      <c r="V306" s="37" t="n">
        <v>0.3357400722021661</v>
      </c>
      <c r="W306" s="37" t="n">
        <v>0.6629213483146067</v>
      </c>
    </row>
    <row r="307">
      <c r="A307" s="53" t="n">
        <v>45817</v>
      </c>
      <c r="B307" t="inlineStr">
        <is>
          <t>R07_Bali Nusra</t>
        </is>
      </c>
      <c r="C307" t="inlineStr">
        <is>
          <t>NOP MATARAM</t>
        </is>
      </c>
      <c r="D307" s="36" t="n">
        <v>2.65</v>
      </c>
      <c r="E307" s="36" t="n">
        <v>3</v>
      </c>
      <c r="F307" s="36" t="n">
        <v>3.66</v>
      </c>
      <c r="G307" s="36" t="n">
        <v>6.67</v>
      </c>
      <c r="H307" s="37" t="n">
        <v>0.6385542168674698</v>
      </c>
      <c r="I307" s="37" t="n">
        <v>0.6</v>
      </c>
      <c r="J307" s="37" t="n">
        <v>0.6438356164383562</v>
      </c>
      <c r="K307" s="37" t="n">
        <v>0.5833333333333334</v>
      </c>
      <c r="L307" s="37" t="n">
        <v>0.5833333333333334</v>
      </c>
      <c r="M307" s="37" t="n">
        <v>1</v>
      </c>
      <c r="N307" s="37" t="n">
        <v>0.4096385542168675</v>
      </c>
      <c r="O307" s="36" t="n">
        <v>0.02</v>
      </c>
      <c r="P307" s="36" t="n">
        <v>18.55</v>
      </c>
      <c r="Q307" s="36" t="n">
        <v>22.33</v>
      </c>
      <c r="R307" s="36" t="n">
        <v>47.29</v>
      </c>
      <c r="S307" s="36" t="n">
        <v>0</v>
      </c>
      <c r="T307" s="37" t="n">
        <v>0.4185393258426967</v>
      </c>
      <c r="U307" s="37" t="n">
        <v>0.3938223938223938</v>
      </c>
      <c r="V307" s="37" t="n">
        <v>0.4845360824742268</v>
      </c>
      <c r="W307" s="37" t="n">
        <v>0.4411764705882353</v>
      </c>
    </row>
    <row r="308">
      <c r="A308" s="53" t="n">
        <v>45818</v>
      </c>
      <c r="B308" t="inlineStr">
        <is>
          <t>R01_Sumbagut</t>
        </is>
      </c>
      <c r="C308" t="inlineStr">
        <is>
          <t>NOP ACEH</t>
        </is>
      </c>
      <c r="D308" s="36" t="n">
        <v>3.06</v>
      </c>
      <c r="E308" s="36" t="n">
        <v>3.7</v>
      </c>
      <c r="F308" s="36" t="n">
        <v>4.77</v>
      </c>
      <c r="G308" s="36" t="n">
        <v>8.82</v>
      </c>
      <c r="H308" s="37" t="n">
        <v>0.8702702702702703</v>
      </c>
      <c r="I308" s="37" t="n">
        <v>0.8283828382838284</v>
      </c>
      <c r="J308" s="37" t="n">
        <v>0.8795888399412628</v>
      </c>
      <c r="K308" s="37" t="n">
        <v>0.5338645418326693</v>
      </c>
      <c r="L308" s="37" t="n">
        <v>0.5336134453781513</v>
      </c>
      <c r="M308" s="37" t="n">
        <v>0.996996996996997</v>
      </c>
      <c r="N308" s="37" t="n">
        <v>0.3807807807807808</v>
      </c>
      <c r="O308" s="36" t="n">
        <v>2.44</v>
      </c>
      <c r="P308" s="36" t="n">
        <v>3.97</v>
      </c>
      <c r="Q308" s="36" t="n">
        <v>64.03</v>
      </c>
      <c r="R308" s="36" t="n">
        <v>132.14</v>
      </c>
      <c r="S308" s="36" t="n">
        <v>0</v>
      </c>
      <c r="T308" s="37" t="n">
        <v>0.8518992744344857</v>
      </c>
      <c r="U308" s="37" t="n">
        <v>0.6573033707865169</v>
      </c>
      <c r="V308" s="37" t="n">
        <v>0.9386349405134627</v>
      </c>
      <c r="W308" s="37" t="n">
        <v>0.2841880341880342</v>
      </c>
    </row>
    <row r="309">
      <c r="A309" s="53" t="n">
        <v>45818</v>
      </c>
      <c r="B309" t="inlineStr">
        <is>
          <t>R01_Sumbagut</t>
        </is>
      </c>
      <c r="C309" t="inlineStr">
        <is>
          <t>NOP BINJAI</t>
        </is>
      </c>
      <c r="D309" s="36" t="n">
        <v>4.39</v>
      </c>
      <c r="E309" s="36" t="n">
        <v>4.72</v>
      </c>
      <c r="F309" s="36" t="n">
        <v>5.52</v>
      </c>
      <c r="G309" s="36" t="n">
        <v>5.79</v>
      </c>
      <c r="H309" s="37" t="n">
        <v>0.6142684401451027</v>
      </c>
      <c r="I309" s="37" t="n">
        <v>0.6666666666666666</v>
      </c>
      <c r="J309" s="37" t="n">
        <v>0.5996908809891809</v>
      </c>
      <c r="K309" s="37" t="n">
        <v>0.3916666666666667</v>
      </c>
      <c r="L309" s="37" t="n">
        <v>0.3916666666666667</v>
      </c>
      <c r="M309" s="37" t="n">
        <v>0.9915356711003628</v>
      </c>
      <c r="N309" s="37" t="n">
        <v>0.2623941958887545</v>
      </c>
      <c r="O309" s="36" t="n">
        <v>0.02</v>
      </c>
      <c r="P309" s="36" t="n">
        <v>3.97</v>
      </c>
      <c r="Q309" s="36" t="n">
        <v>52.2</v>
      </c>
      <c r="R309" s="36" t="n">
        <v>86.38</v>
      </c>
      <c r="S309" s="36" t="n">
        <v>0</v>
      </c>
      <c r="T309" s="37" t="n">
        <v>0.6943359375</v>
      </c>
      <c r="U309" s="37" t="n">
        <v>0.5734072022160664</v>
      </c>
      <c r="V309" s="37" t="n">
        <v>0.7686084142394822</v>
      </c>
      <c r="W309" s="37" t="n">
        <v>0.4879227053140097</v>
      </c>
    </row>
    <row r="310">
      <c r="A310" s="53" t="n">
        <v>45818</v>
      </c>
      <c r="B310" t="inlineStr">
        <is>
          <t>R01_Sumbagut</t>
        </is>
      </c>
      <c r="C310" t="inlineStr">
        <is>
          <t>NOP MEDAN</t>
        </is>
      </c>
      <c r="D310" s="36" t="n">
        <v>2.66</v>
      </c>
      <c r="E310" s="36" t="n">
        <v>5.49</v>
      </c>
      <c r="F310" s="36" t="n">
        <v>4.21</v>
      </c>
      <c r="G310" s="36" t="n">
        <v>8.23</v>
      </c>
      <c r="H310" s="37" t="n">
        <v>0.4064697609001406</v>
      </c>
      <c r="I310" s="37" t="n">
        <v>0.4874371859296482</v>
      </c>
      <c r="J310" s="37" t="n">
        <v>0.375</v>
      </c>
      <c r="K310" s="37" t="n">
        <v>0.6597938144329897</v>
      </c>
      <c r="L310" s="37" t="n">
        <v>0.6702127659574468</v>
      </c>
      <c r="M310" s="37" t="n">
        <v>0.9985935302390999</v>
      </c>
      <c r="N310" s="37" t="n">
        <v>0.2123769338959212</v>
      </c>
      <c r="O310" s="36" t="n">
        <v>0</v>
      </c>
      <c r="P310" s="36" t="n">
        <v>5.18</v>
      </c>
      <c r="Q310" s="36" t="n">
        <v>17.02</v>
      </c>
      <c r="R310" s="36" t="n">
        <v>7.45</v>
      </c>
      <c r="S310" s="36" t="n">
        <v>0</v>
      </c>
      <c r="T310" s="37" t="n">
        <v>0.3312202852614897</v>
      </c>
      <c r="U310" s="37" t="n">
        <v>0.1770833333333333</v>
      </c>
      <c r="V310" s="37" t="n">
        <v>0.4275</v>
      </c>
      <c r="W310" s="37" t="n">
        <v>0.7941176470588235</v>
      </c>
    </row>
    <row r="311">
      <c r="A311" s="53" t="n">
        <v>45818</v>
      </c>
      <c r="B311" t="inlineStr">
        <is>
          <t>R01_Sumbagut</t>
        </is>
      </c>
      <c r="C311" t="inlineStr">
        <is>
          <t>NOP PADANG SIDEMPUAN</t>
        </is>
      </c>
      <c r="D311" s="36" t="n">
        <v>4.02</v>
      </c>
      <c r="E311" s="36" t="n">
        <v>6.21</v>
      </c>
      <c r="F311" s="36" t="n">
        <v>6.37</v>
      </c>
      <c r="G311" s="36" t="n">
        <v>7.69</v>
      </c>
      <c r="H311" s="37" t="n">
        <v>0.4206049149338374</v>
      </c>
      <c r="I311" s="37" t="n">
        <v>0.6845637583892618</v>
      </c>
      <c r="J311" s="37" t="n">
        <v>0.3773377337733773</v>
      </c>
      <c r="K311" s="37" t="n">
        <v>0.4803921568627451</v>
      </c>
      <c r="L311" s="37" t="n">
        <v>0.49</v>
      </c>
      <c r="M311" s="37" t="n">
        <v>0.9858223062381852</v>
      </c>
      <c r="N311" s="37" t="n">
        <v>0.1540642722117202</v>
      </c>
      <c r="O311" s="36" t="n">
        <v>0.14</v>
      </c>
      <c r="P311" s="36" t="n">
        <v>3.32</v>
      </c>
      <c r="Q311" s="36" t="n">
        <v>10.55</v>
      </c>
      <c r="R311" s="36" t="n">
        <v>68.09</v>
      </c>
      <c r="S311" s="36" t="n">
        <v>0</v>
      </c>
      <c r="T311" s="37" t="n">
        <v>0.683091286307054</v>
      </c>
      <c r="U311" s="37" t="n">
        <v>0.6510416666666666</v>
      </c>
      <c r="V311" s="37" t="n">
        <v>0.715042372881356</v>
      </c>
      <c r="W311" s="37" t="n">
        <v>0.5456</v>
      </c>
    </row>
    <row r="312">
      <c r="A312" s="53" t="n">
        <v>45818</v>
      </c>
      <c r="B312" t="inlineStr">
        <is>
          <t>R01_Sumbagut</t>
        </is>
      </c>
      <c r="C312" t="inlineStr">
        <is>
          <t>NOP PEMATANG SIANTAR</t>
        </is>
      </c>
      <c r="D312" s="36" t="n">
        <v>8.93</v>
      </c>
      <c r="E312" s="36" t="n">
        <v>5.77</v>
      </c>
      <c r="F312" s="36" t="n">
        <v>5.64</v>
      </c>
      <c r="G312" s="36" t="n">
        <v>7.28</v>
      </c>
      <c r="H312" s="37" t="n">
        <v>0.4737206085753803</v>
      </c>
      <c r="I312" s="37" t="n">
        <v>0.7393767705382436</v>
      </c>
      <c r="J312" s="37" t="n">
        <v>0.3879231473010064</v>
      </c>
      <c r="K312" s="37" t="n">
        <v>0.3869731800766283</v>
      </c>
      <c r="L312" s="37" t="n">
        <v>0.3888888888888889</v>
      </c>
      <c r="M312" s="37" t="n">
        <v>0.9564315352697096</v>
      </c>
      <c r="N312" s="37" t="n">
        <v>0.2157676348547718</v>
      </c>
      <c r="O312" s="36" t="n">
        <v>3.13</v>
      </c>
      <c r="P312" s="36" t="n">
        <v>4.95</v>
      </c>
      <c r="Q312" s="36" t="n">
        <v>52.73</v>
      </c>
      <c r="R312" s="36" t="n">
        <v>86.89</v>
      </c>
      <c r="S312" s="36" t="n">
        <v>0</v>
      </c>
      <c r="T312" s="37" t="n">
        <v>0.6344564526382708</v>
      </c>
      <c r="U312" s="37" t="n">
        <v>0.7045790251107829</v>
      </c>
      <c r="V312" s="37" t="n">
        <v>0.5992647058823529</v>
      </c>
      <c r="W312" s="37" t="n">
        <v>0.5094339622641509</v>
      </c>
    </row>
    <row r="313">
      <c r="A313" s="53" t="n">
        <v>45818</v>
      </c>
      <c r="B313" t="inlineStr">
        <is>
          <t>R01_Sumbagut</t>
        </is>
      </c>
      <c r="C313" t="inlineStr">
        <is>
          <t>NOP RANTAU PRAPAT</t>
        </is>
      </c>
      <c r="D313" s="36" t="n">
        <v>4.15</v>
      </c>
      <c r="E313" s="36" t="n">
        <v>2.91</v>
      </c>
      <c r="F313" s="36" t="n">
        <v>3.92</v>
      </c>
      <c r="G313" s="36" t="n">
        <v>4.43</v>
      </c>
      <c r="H313" s="37" t="n">
        <v>0.4074615947329919</v>
      </c>
      <c r="I313" s="37" t="n">
        <v>0.3461538461538461</v>
      </c>
      <c r="J313" s="37" t="n">
        <v>0.4201235657546337</v>
      </c>
      <c r="K313" s="37" t="n">
        <v>0.6296296296296297</v>
      </c>
      <c r="L313" s="37" t="n">
        <v>0.6296296296296297</v>
      </c>
      <c r="M313" s="37" t="n">
        <v>0.9890270665691295</v>
      </c>
      <c r="N313" s="37" t="n">
        <v>0.2253108997805413</v>
      </c>
      <c r="O313" s="36" t="n">
        <v>0.03</v>
      </c>
      <c r="P313" s="36" t="n">
        <v>3.62</v>
      </c>
      <c r="Q313" s="36" t="n">
        <v>25.55</v>
      </c>
      <c r="R313" s="36" t="n">
        <v>100.11</v>
      </c>
      <c r="S313" s="36" t="n">
        <v>0</v>
      </c>
      <c r="T313" s="37" t="n">
        <v>0.2286902286902287</v>
      </c>
      <c r="U313" s="37" t="n">
        <v>0.2795454545454545</v>
      </c>
      <c r="V313" s="37" t="n">
        <v>0.2063380281690141</v>
      </c>
      <c r="W313" s="37" t="n">
        <v>0.4390243902439024</v>
      </c>
    </row>
    <row r="314">
      <c r="A314" s="53" t="n">
        <v>45818</v>
      </c>
      <c r="B314" t="inlineStr">
        <is>
          <t>R10_Sumbagteng</t>
        </is>
      </c>
      <c r="C314" t="inlineStr">
        <is>
          <t>NOP BATAM</t>
        </is>
      </c>
      <c r="D314" s="36" t="n">
        <v>3.3</v>
      </c>
      <c r="E314" s="36" t="n">
        <v>7.81</v>
      </c>
      <c r="F314" s="36" t="n">
        <v>7.66</v>
      </c>
      <c r="G314" s="36" t="n">
        <v>8.960000000000001</v>
      </c>
      <c r="H314" s="37" t="n">
        <v>0.531634446397188</v>
      </c>
      <c r="I314" s="37" t="n">
        <v>0.6828193832599119</v>
      </c>
      <c r="J314" s="37" t="n">
        <v>0.4939626783754116</v>
      </c>
      <c r="K314" s="37" t="n">
        <v>0.7290322580645161</v>
      </c>
      <c r="L314" s="37" t="n">
        <v>0.7320261437908496</v>
      </c>
      <c r="M314" s="37" t="n">
        <v>0.9938488576449912</v>
      </c>
      <c r="N314" s="37" t="n">
        <v>0.3884007029876977</v>
      </c>
      <c r="O314" s="36" t="n">
        <v>0.9399999999999999</v>
      </c>
      <c r="P314" s="36" t="n">
        <v>10</v>
      </c>
      <c r="Q314" s="36" t="n">
        <v>67.64</v>
      </c>
      <c r="R314" s="36" t="n">
        <v>117.26</v>
      </c>
      <c r="S314" s="36" t="n">
        <v>0</v>
      </c>
      <c r="T314" s="37" t="n">
        <v>0.3197480548351241</v>
      </c>
      <c r="U314" s="37" t="n">
        <v>0.5044776119402985</v>
      </c>
      <c r="V314" s="37" t="n">
        <v>0.2548531607765057</v>
      </c>
      <c r="W314" s="37" t="n">
        <v>0.8136094674556213</v>
      </c>
    </row>
    <row r="315">
      <c r="A315" s="53" t="n">
        <v>45818</v>
      </c>
      <c r="B315" t="inlineStr">
        <is>
          <t>R10_Sumbagteng</t>
        </is>
      </c>
      <c r="C315" t="inlineStr">
        <is>
          <t>NOP BUKITTINGGI</t>
        </is>
      </c>
      <c r="D315" s="36" t="n">
        <v>1.85</v>
      </c>
      <c r="E315" s="36" t="n">
        <v>3.73</v>
      </c>
      <c r="F315" s="36" t="n">
        <v>3.13</v>
      </c>
      <c r="G315" s="36" t="n">
        <v>4.37</v>
      </c>
      <c r="H315" s="37" t="n">
        <v>0.6841397849462365</v>
      </c>
      <c r="I315" s="37" t="n">
        <v>0.8103448275862069</v>
      </c>
      <c r="J315" s="37" t="n">
        <v>0.6456140350877193</v>
      </c>
      <c r="K315" s="37" t="n">
        <v>0.5957446808510638</v>
      </c>
      <c r="L315" s="37" t="n">
        <v>0.6222222222222222</v>
      </c>
      <c r="M315" s="37" t="n">
        <v>0.9395161290322581</v>
      </c>
      <c r="N315" s="37" t="n">
        <v>0.3508064516129032</v>
      </c>
      <c r="O315" s="36" t="n">
        <v>1.23</v>
      </c>
      <c r="P315" s="36" t="n">
        <v>5.45</v>
      </c>
      <c r="Q315" s="36" t="n">
        <v>84.84</v>
      </c>
      <c r="R315" s="36" t="n">
        <v>112.8</v>
      </c>
      <c r="S315" s="36" t="n">
        <v>0</v>
      </c>
      <c r="T315" s="37" t="n">
        <v>0.5851293103448276</v>
      </c>
      <c r="U315" s="37" t="n">
        <v>0.7668711656441718</v>
      </c>
      <c r="V315" s="37" t="n">
        <v>0.5463087248322148</v>
      </c>
      <c r="W315" s="37" t="n">
        <v>0.552</v>
      </c>
    </row>
    <row r="316">
      <c r="A316" s="53" t="n">
        <v>45818</v>
      </c>
      <c r="B316" t="inlineStr">
        <is>
          <t>R10_Sumbagteng</t>
        </is>
      </c>
      <c r="C316" t="inlineStr">
        <is>
          <t>NOP DUMAI</t>
        </is>
      </c>
      <c r="D316" s="36" t="n">
        <v>3.46</v>
      </c>
      <c r="E316" s="36" t="n">
        <v>5.16</v>
      </c>
      <c r="F316" s="36" t="n">
        <v>4.79</v>
      </c>
      <c r="G316" s="36" t="n">
        <v>6.27</v>
      </c>
      <c r="H316" s="37" t="n">
        <v>0.5176470588235295</v>
      </c>
      <c r="I316" s="37" t="n">
        <v>0.6423982869379015</v>
      </c>
      <c r="J316" s="37" t="n">
        <v>0.4734446130500758</v>
      </c>
      <c r="K316" s="37" t="n">
        <v>0.6866666666666666</v>
      </c>
      <c r="L316" s="37" t="n">
        <v>0.702054794520548</v>
      </c>
      <c r="M316" s="37" t="n">
        <v>0.9910364145658264</v>
      </c>
      <c r="N316" s="37" t="n">
        <v>0.3019607843137255</v>
      </c>
      <c r="O316" s="36" t="n">
        <v>0.14</v>
      </c>
      <c r="P316" s="36" t="n">
        <v>9.23</v>
      </c>
      <c r="Q316" s="36" t="n">
        <v>51.89</v>
      </c>
      <c r="R316" s="36" t="n">
        <v>103.87</v>
      </c>
      <c r="S316" s="36" t="n">
        <v>0</v>
      </c>
      <c r="T316" s="37" t="n">
        <v>0.2367626886145405</v>
      </c>
      <c r="U316" s="37" t="n">
        <v>0.3553240740740741</v>
      </c>
      <c r="V316" s="37" t="n">
        <v>0.2001450326323423</v>
      </c>
      <c r="W316" s="37" t="n">
        <v>0.9478827361563518</v>
      </c>
    </row>
    <row r="317">
      <c r="A317" s="53" t="n">
        <v>45818</v>
      </c>
      <c r="B317" t="inlineStr">
        <is>
          <t>R10_Sumbagteng</t>
        </is>
      </c>
      <c r="C317" t="inlineStr">
        <is>
          <t>NOP PADANG</t>
        </is>
      </c>
      <c r="D317" s="36" t="n">
        <v>1.51</v>
      </c>
      <c r="E317" s="36" t="n">
        <v>4</v>
      </c>
      <c r="F317" s="36" t="n">
        <v>4.23</v>
      </c>
      <c r="G317" s="36" t="n">
        <v>4.64</v>
      </c>
      <c r="H317" s="37" t="n">
        <v>0.6561085972850679</v>
      </c>
      <c r="I317" s="37" t="n">
        <v>0.6470588235294118</v>
      </c>
      <c r="J317" s="37" t="n">
        <v>0.6568627450980392</v>
      </c>
      <c r="K317" s="37" t="n">
        <v>0.6363636363636364</v>
      </c>
      <c r="L317" s="37" t="n">
        <v>0.6363636363636364</v>
      </c>
      <c r="M317" s="37" t="n">
        <v>0.9668174962292609</v>
      </c>
      <c r="N317" s="37" t="n">
        <v>0.2971342383107089</v>
      </c>
      <c r="O317" s="36" t="n">
        <v>8.69</v>
      </c>
      <c r="P317" s="36" t="n">
        <v>5.26</v>
      </c>
      <c r="Q317" s="36" t="n">
        <v>60.79</v>
      </c>
      <c r="R317" s="36" t="n">
        <v>148.36</v>
      </c>
      <c r="S317" s="36" t="n">
        <v>0</v>
      </c>
      <c r="T317" s="37" t="n">
        <v>0.8057553956834532</v>
      </c>
      <c r="U317" s="37" t="n">
        <v>0.6401384083044983</v>
      </c>
      <c r="V317" s="37" t="n">
        <v>0.8738872403560831</v>
      </c>
      <c r="W317" s="37" t="n">
        <v>0.6918918918918919</v>
      </c>
    </row>
    <row r="318">
      <c r="A318" s="53" t="n">
        <v>45818</v>
      </c>
      <c r="B318" t="inlineStr">
        <is>
          <t>R10_Sumbagteng</t>
        </is>
      </c>
      <c r="C318" t="inlineStr">
        <is>
          <t>NOP PEKANBARU</t>
        </is>
      </c>
      <c r="D318" s="36" t="n">
        <v>3.54</v>
      </c>
      <c r="E318" s="36" t="n">
        <v>5.51</v>
      </c>
      <c r="F318" s="36" t="n">
        <v>4.28</v>
      </c>
      <c r="G318" s="36" t="n">
        <v>8.1</v>
      </c>
      <c r="H318" s="37" t="n">
        <v>0.4364161849710982</v>
      </c>
      <c r="I318" s="37" t="n">
        <v>0.4206349206349206</v>
      </c>
      <c r="J318" s="37" t="n">
        <v>0.4399293286219081</v>
      </c>
      <c r="K318" s="37" t="n">
        <v>0.7452830188679245</v>
      </c>
      <c r="L318" s="37" t="n">
        <v>0.7523809523809524</v>
      </c>
      <c r="M318" s="37" t="n">
        <v>0.9913294797687862</v>
      </c>
      <c r="N318" s="37" t="n">
        <v>0.25</v>
      </c>
      <c r="O318" s="36" t="n">
        <v>0.8100000000000001</v>
      </c>
      <c r="P318" s="36" t="n">
        <v>5.42</v>
      </c>
      <c r="Q318" s="36" t="n">
        <v>46.59</v>
      </c>
      <c r="R318" s="36" t="n">
        <v>69.65000000000001</v>
      </c>
      <c r="S318" s="36" t="n">
        <v>0</v>
      </c>
      <c r="T318" s="37" t="n">
        <v>0.2972283005105762</v>
      </c>
      <c r="U318" s="37" t="n">
        <v>0.347037484885127</v>
      </c>
      <c r="V318" s="37" t="n">
        <v>0.2729222520107238</v>
      </c>
      <c r="W318" s="37" t="n">
        <v>0.8292682926829268</v>
      </c>
    </row>
    <row r="319">
      <c r="A319" s="53" t="n">
        <v>45818</v>
      </c>
      <c r="B319" t="inlineStr">
        <is>
          <t>R02_Sumbagsel</t>
        </is>
      </c>
      <c r="C319" t="inlineStr">
        <is>
          <t>NOP BENGKULU</t>
        </is>
      </c>
      <c r="D319" s="36" t="n">
        <v>2.68</v>
      </c>
      <c r="E319" s="36" t="n">
        <v>5.62</v>
      </c>
      <c r="F319" s="36" t="n">
        <v>3.59</v>
      </c>
      <c r="G319" s="36" t="n">
        <v>6.33</v>
      </c>
      <c r="H319" s="37" t="n">
        <v>0.4664268585131894</v>
      </c>
      <c r="I319" s="37" t="n">
        <v>0.5248868778280543</v>
      </c>
      <c r="J319" s="37" t="n">
        <v>0.4453507340946166</v>
      </c>
      <c r="K319" s="37" t="n">
        <v>0.6637931034482759</v>
      </c>
      <c r="L319" s="37" t="n">
        <v>0.6637931034482759</v>
      </c>
      <c r="M319" s="37" t="n">
        <v>0.9928057553956835</v>
      </c>
      <c r="N319" s="37" t="n">
        <v>0.2949640287769784</v>
      </c>
      <c r="O319" s="36" t="n">
        <v>0</v>
      </c>
      <c r="P319" s="36" t="n">
        <v>4.84</v>
      </c>
      <c r="Q319" s="36" t="n">
        <v>8.380000000000001</v>
      </c>
      <c r="R319" s="36" t="n">
        <v>5</v>
      </c>
      <c r="S319" s="36" t="n">
        <v>0</v>
      </c>
      <c r="T319" s="37" t="n">
        <v>0.4985771200910643</v>
      </c>
      <c r="U319" s="37" t="n">
        <v>0.4228250701590271</v>
      </c>
      <c r="V319" s="37" t="n">
        <v>0.6123499142367067</v>
      </c>
      <c r="W319" s="37" t="n">
        <v>0.8871681415929203</v>
      </c>
    </row>
    <row r="320">
      <c r="A320" s="53" t="n">
        <v>45818</v>
      </c>
      <c r="B320" t="inlineStr">
        <is>
          <t>R02_Sumbagsel</t>
        </is>
      </c>
      <c r="C320" t="inlineStr">
        <is>
          <t>NOP JAMBI</t>
        </is>
      </c>
      <c r="D320" s="36" t="n">
        <v>4.86</v>
      </c>
      <c r="E320" s="36" t="n">
        <v>4.02</v>
      </c>
      <c r="F320" s="36" t="n">
        <v>3.82</v>
      </c>
      <c r="G320" s="36" t="n">
        <v>5.35</v>
      </c>
      <c r="H320" s="37" t="n">
        <v>0.3067226890756303</v>
      </c>
      <c r="I320" s="37" t="n">
        <v>0.2887139107611549</v>
      </c>
      <c r="J320" s="37" t="n">
        <v>0.315203955500618</v>
      </c>
      <c r="K320" s="37" t="n">
        <v>0.6</v>
      </c>
      <c r="L320" s="37" t="n">
        <v>0.6</v>
      </c>
      <c r="M320" s="37" t="n">
        <v>0.9890756302521009</v>
      </c>
      <c r="N320" s="37" t="n">
        <v>0.1579831932773109</v>
      </c>
      <c r="O320" s="36" t="n">
        <v>0</v>
      </c>
      <c r="P320" s="36" t="n">
        <v>3.43</v>
      </c>
      <c r="Q320" s="36" t="n">
        <v>14.47</v>
      </c>
      <c r="R320" s="36" t="n">
        <v>20.99</v>
      </c>
      <c r="S320" s="36" t="n">
        <v>0</v>
      </c>
      <c r="T320" s="37" t="n">
        <v>0.1865979381443299</v>
      </c>
      <c r="U320" s="37" t="n">
        <v>0.1584905660377358</v>
      </c>
      <c r="V320" s="37" t="n">
        <v>0.2464387464387464</v>
      </c>
      <c r="W320" s="37" t="n">
        <v>0.6845238095238095</v>
      </c>
    </row>
    <row r="321">
      <c r="A321" s="53" t="n">
        <v>45818</v>
      </c>
      <c r="B321" t="inlineStr">
        <is>
          <t>R02_Sumbagsel</t>
        </is>
      </c>
      <c r="C321" t="inlineStr">
        <is>
          <t>NOP LAMPUNG</t>
        </is>
      </c>
      <c r="D321" s="36" t="n">
        <v>5</v>
      </c>
      <c r="E321" s="36" t="n">
        <v>3.87</v>
      </c>
      <c r="F321" s="36" t="n">
        <v>3.81</v>
      </c>
      <c r="G321" s="36" t="n">
        <v>4.03</v>
      </c>
      <c r="H321" s="37" t="n">
        <v>0.5492537313432836</v>
      </c>
      <c r="I321" s="37" t="n">
        <v>0.7671232876712328</v>
      </c>
      <c r="J321" s="37" t="n">
        <v>0.4885496183206107</v>
      </c>
      <c r="K321" s="37" t="n">
        <v>0.8571428571428571</v>
      </c>
      <c r="L321" s="37" t="n">
        <v>0.8545454545454545</v>
      </c>
      <c r="M321" s="37" t="n">
        <v>0.9850746268656716</v>
      </c>
      <c r="N321" s="37" t="n">
        <v>0.4417910447761194</v>
      </c>
      <c r="O321" s="36" t="n">
        <v>0.04</v>
      </c>
      <c r="P321" s="36" t="n">
        <v>15.7</v>
      </c>
      <c r="Q321" s="36" t="n">
        <v>4.22</v>
      </c>
      <c r="R321" s="36" t="n">
        <v>38.76</v>
      </c>
      <c r="S321" s="36" t="n">
        <v>0</v>
      </c>
      <c r="T321" s="37" t="n">
        <v>0.9020021074815595</v>
      </c>
      <c r="U321" s="37" t="n">
        <v>0.8958333333333334</v>
      </c>
      <c r="V321" s="37" t="n">
        <v>0.9220963172804533</v>
      </c>
      <c r="W321" s="37" t="n">
        <v>0.9069767441860465</v>
      </c>
    </row>
    <row r="322">
      <c r="A322" s="53" t="n">
        <v>45818</v>
      </c>
      <c r="B322" t="inlineStr">
        <is>
          <t>R02_Sumbagsel</t>
        </is>
      </c>
      <c r="C322" t="inlineStr">
        <is>
          <t>NOP MUARA ENIM</t>
        </is>
      </c>
      <c r="D322" s="36" t="n">
        <v>3.9</v>
      </c>
      <c r="E322" s="36" t="n">
        <v>4.06</v>
      </c>
      <c r="F322" s="36" t="n">
        <v>4.18</v>
      </c>
      <c r="G322" s="36" t="n">
        <v>4.95</v>
      </c>
      <c r="H322" s="37" t="n">
        <v>0.3205828779599271</v>
      </c>
      <c r="I322" s="37" t="n">
        <v>0.4395604395604396</v>
      </c>
      <c r="J322" s="37" t="n">
        <v>0.2969432314410481</v>
      </c>
      <c r="K322" s="37" t="n">
        <v>0.7</v>
      </c>
      <c r="L322" s="37" t="n">
        <v>0.717948717948718</v>
      </c>
      <c r="M322" s="37" t="n">
        <v>0.9799635701275046</v>
      </c>
      <c r="N322" s="37" t="n">
        <v>0.1721311475409836</v>
      </c>
      <c r="O322" s="36" t="n">
        <v>0</v>
      </c>
      <c r="P322" s="36" t="n">
        <v>21.62</v>
      </c>
      <c r="Q322" s="36" t="n">
        <v>11.67</v>
      </c>
      <c r="R322" s="36" t="n">
        <v>5.86</v>
      </c>
      <c r="S322" s="36" t="n">
        <v>0</v>
      </c>
      <c r="T322" s="37" t="n">
        <v>0.5387640449438202</v>
      </c>
      <c r="U322" s="37" t="n">
        <v>0.4744245524296675</v>
      </c>
      <c r="V322" s="37" t="n">
        <v>0.6199095022624435</v>
      </c>
      <c r="W322" s="37" t="n">
        <v>0.7789757412398922</v>
      </c>
    </row>
    <row r="323">
      <c r="A323" s="53" t="n">
        <v>45818</v>
      </c>
      <c r="B323" t="inlineStr">
        <is>
          <t>R02_Sumbagsel</t>
        </is>
      </c>
      <c r="C323" t="inlineStr">
        <is>
          <t>NOP PALEMBANG</t>
        </is>
      </c>
      <c r="D323" s="36" t="n">
        <v>3.74</v>
      </c>
      <c r="E323" s="36" t="n">
        <v>3.95</v>
      </c>
      <c r="F323" s="36" t="n">
        <v>5.06</v>
      </c>
      <c r="G323" s="36" t="n">
        <v>6.39</v>
      </c>
      <c r="H323" s="37" t="n">
        <v>0.2777346780449961</v>
      </c>
      <c r="I323" s="37" t="n">
        <v>0.2264150943396226</v>
      </c>
      <c r="J323" s="37" t="n">
        <v>0.2849557522123894</v>
      </c>
      <c r="K323" s="37" t="n">
        <v>0.4444444444444444</v>
      </c>
      <c r="L323" s="37" t="n">
        <v>0.4444444444444444</v>
      </c>
      <c r="M323" s="37" t="n">
        <v>1</v>
      </c>
      <c r="N323" s="37" t="n">
        <v>0.1179208688906129</v>
      </c>
      <c r="O323" s="36" t="n">
        <v>0</v>
      </c>
      <c r="P323" s="36" t="n">
        <v>3.09</v>
      </c>
      <c r="Q323" s="36" t="n">
        <v>9.73</v>
      </c>
      <c r="R323" s="36" t="n">
        <v>24</v>
      </c>
      <c r="S323" s="36" t="n">
        <v>0</v>
      </c>
      <c r="T323" s="37" t="n">
        <v>0.1375073142188414</v>
      </c>
      <c r="U323" s="37" t="n">
        <v>0.1187308085977482</v>
      </c>
      <c r="V323" s="37" t="n">
        <v>0.2171532846715329</v>
      </c>
      <c r="W323" s="37" t="n">
        <v>0.6379310344827587</v>
      </c>
    </row>
    <row r="324">
      <c r="A324" s="53" t="n">
        <v>45818</v>
      </c>
      <c r="B324" t="inlineStr">
        <is>
          <t>R02_Sumbagsel</t>
        </is>
      </c>
      <c r="C324" t="inlineStr">
        <is>
          <t>NOP PANGKAL PINANG</t>
        </is>
      </c>
      <c r="D324" s="36" t="n">
        <v>0</v>
      </c>
      <c r="E324" s="36" t="n">
        <v>5.46</v>
      </c>
      <c r="F324" s="36" t="n">
        <v>4.38</v>
      </c>
      <c r="G324" s="36" t="n">
        <v>5.78</v>
      </c>
      <c r="H324" s="37" t="n">
        <v>0.7714285714285715</v>
      </c>
      <c r="I324" s="37" t="n">
        <v>0.5714285714285714</v>
      </c>
      <c r="J324" s="37" t="n">
        <v>0.7797619047619048</v>
      </c>
      <c r="K324" s="37" t="n">
        <v>0.5</v>
      </c>
      <c r="L324" s="37" t="n">
        <v>0.5</v>
      </c>
      <c r="M324" s="37" t="n">
        <v>1</v>
      </c>
      <c r="N324" s="37" t="n">
        <v>0.5085714285714286</v>
      </c>
      <c r="O324" s="36" t="n">
        <v>0</v>
      </c>
      <c r="P324" s="36" t="n">
        <v>5.04</v>
      </c>
      <c r="Q324" s="36" t="n">
        <v>14.75</v>
      </c>
      <c r="R324" s="36" t="n">
        <v>5.59</v>
      </c>
      <c r="S324" s="36" t="n">
        <v>0</v>
      </c>
      <c r="T324" s="37" t="n">
        <v>0.9285714285714286</v>
      </c>
      <c r="U324" s="37" t="n">
        <v>0.9285714285714286</v>
      </c>
      <c r="V324" s="37" t="n">
        <v>0.9387755102040817</v>
      </c>
      <c r="W324" s="37" t="n">
        <v>0.8351648351648352</v>
      </c>
    </row>
    <row r="325">
      <c r="A325" s="53" t="n">
        <v>45818</v>
      </c>
      <c r="B325" t="inlineStr">
        <is>
          <t>R05_Jawa Tengah DIY</t>
        </is>
      </c>
      <c r="C325" t="inlineStr">
        <is>
          <t>NOP MAGELANG</t>
        </is>
      </c>
      <c r="D325" s="36" t="n">
        <v>2.74</v>
      </c>
      <c r="E325" s="36" t="n">
        <v>0</v>
      </c>
      <c r="F325" s="36" t="n">
        <v>2.38</v>
      </c>
      <c r="G325" s="36" t="n">
        <v>3.39</v>
      </c>
      <c r="H325" s="37" t="n">
        <v>0.7819548872180451</v>
      </c>
      <c r="I325" s="37" t="n">
        <v>0.8571428571428571</v>
      </c>
      <c r="J325" s="37" t="n">
        <v>0.7777777777777778</v>
      </c>
      <c r="K325" s="37" t="n">
        <v>1</v>
      </c>
      <c r="L325" s="37" t="n">
        <v>1</v>
      </c>
      <c r="M325" s="37" t="n">
        <v>1</v>
      </c>
      <c r="N325" s="37" t="n">
        <v>0.631578947368421</v>
      </c>
      <c r="O325" s="36" t="n">
        <v>0</v>
      </c>
      <c r="P325" s="36" t="n">
        <v>2.49</v>
      </c>
      <c r="Q325" s="36" t="n">
        <v>5.53</v>
      </c>
      <c r="R325" s="36" t="n">
        <v>14.39</v>
      </c>
      <c r="S325" s="36" t="n">
        <v>0</v>
      </c>
      <c r="T325" s="37" t="n">
        <v>0.9312977099236641</v>
      </c>
      <c r="U325" s="37" t="n">
        <v>0.8421052631578947</v>
      </c>
      <c r="V325" s="37" t="n">
        <v>0.9421841541755889</v>
      </c>
      <c r="W325" s="37" t="n">
        <v>0.8541666666666666</v>
      </c>
    </row>
    <row r="326">
      <c r="A326" s="53" t="n">
        <v>45818</v>
      </c>
      <c r="B326" t="inlineStr">
        <is>
          <t>R05_Jawa Tengah DIY</t>
        </is>
      </c>
      <c r="C326" t="inlineStr">
        <is>
          <t>NOP PEKALONGAN</t>
        </is>
      </c>
      <c r="D326" s="36" t="n">
        <v>3.06</v>
      </c>
      <c r="E326" s="36" t="n">
        <v>0</v>
      </c>
      <c r="F326" s="36" t="n">
        <v>3.05</v>
      </c>
      <c r="G326" s="36" t="n">
        <v>7.72</v>
      </c>
      <c r="H326" s="37" t="n">
        <v>0.6875</v>
      </c>
      <c r="I326" s="37" t="n">
        <v>0.7142857142857143</v>
      </c>
      <c r="J326" s="37" t="n">
        <v>0.684931506849315</v>
      </c>
      <c r="K326" s="37" t="n">
        <v>1</v>
      </c>
      <c r="L326" s="37" t="n">
        <v>1</v>
      </c>
      <c r="M326" s="37" t="n">
        <v>0.9625</v>
      </c>
      <c r="N326" s="37" t="n">
        <v>0.575</v>
      </c>
      <c r="O326" s="36" t="n">
        <v>0</v>
      </c>
      <c r="P326" s="36" t="n">
        <v>3.35</v>
      </c>
      <c r="Q326" s="36" t="n">
        <v>9.630000000000001</v>
      </c>
      <c r="R326" s="36" t="n">
        <v>51.5</v>
      </c>
      <c r="S326" s="36" t="n">
        <v>0</v>
      </c>
      <c r="T326" s="37" t="n">
        <v>0.8356164383561644</v>
      </c>
      <c r="U326" s="37" t="n">
        <v>0.7692307692307693</v>
      </c>
      <c r="V326" s="37" t="n">
        <v>0.85</v>
      </c>
      <c r="W326" s="37" t="n">
        <v>0.625</v>
      </c>
    </row>
    <row r="327">
      <c r="A327" s="53" t="n">
        <v>45818</v>
      </c>
      <c r="B327" t="inlineStr">
        <is>
          <t>R05_Jawa Tengah DIY</t>
        </is>
      </c>
      <c r="C327" t="inlineStr">
        <is>
          <t>NOP PURWOKERTO</t>
        </is>
      </c>
      <c r="D327" s="36" t="n">
        <v>5.21</v>
      </c>
      <c r="E327" s="36" t="n">
        <v>3.14</v>
      </c>
      <c r="F327" s="36" t="n">
        <v>2.71</v>
      </c>
      <c r="G327" s="36" t="n">
        <v>4.21</v>
      </c>
      <c r="H327" s="37" t="n">
        <v>0.676056338028169</v>
      </c>
      <c r="I327" s="37" t="n">
        <v>0.9230769230769231</v>
      </c>
      <c r="J327" s="37" t="n">
        <v>0.6511627906976745</v>
      </c>
      <c r="K327" s="37" t="n">
        <v>0.9166666666666666</v>
      </c>
      <c r="L327" s="37" t="n">
        <v>0.9166666666666666</v>
      </c>
      <c r="M327" s="37" t="n">
        <v>0.9859154929577465</v>
      </c>
      <c r="N327" s="37" t="n">
        <v>0.4366197183098591</v>
      </c>
      <c r="O327" s="36" t="n">
        <v>0.5</v>
      </c>
      <c r="P327" s="36" t="n">
        <v>4.65</v>
      </c>
      <c r="Q327" s="36" t="n">
        <v>6.86</v>
      </c>
      <c r="R327" s="36" t="n">
        <v>38.25</v>
      </c>
      <c r="S327" s="36" t="n">
        <v>0</v>
      </c>
      <c r="T327" s="37" t="n">
        <v>0.8272251308900523</v>
      </c>
      <c r="U327" s="37" t="n">
        <v>0.8</v>
      </c>
      <c r="V327" s="37" t="n">
        <v>0.8412698412698413</v>
      </c>
      <c r="W327" s="37" t="n">
        <v>0.6923076923076923</v>
      </c>
    </row>
    <row r="328">
      <c r="A328" s="53" t="n">
        <v>45818</v>
      </c>
      <c r="B328" t="inlineStr">
        <is>
          <t>R05_Jawa Tengah DIY</t>
        </is>
      </c>
      <c r="C328" t="inlineStr">
        <is>
          <t>NOP SEMARANG</t>
        </is>
      </c>
      <c r="D328" s="36" t="n">
        <v>2.61</v>
      </c>
      <c r="E328" s="36" t="n">
        <v>2.57</v>
      </c>
      <c r="F328" s="36" t="n">
        <v>2.57</v>
      </c>
      <c r="G328" s="36" t="n">
        <v>3.1</v>
      </c>
      <c r="H328" s="37" t="n">
        <v>0.6600790513833992</v>
      </c>
      <c r="I328" s="37" t="n">
        <v>0.9047619047619048</v>
      </c>
      <c r="J328" s="37" t="n">
        <v>0.6379310344827587</v>
      </c>
      <c r="K328" s="37" t="n">
        <v>0.9473684210526315</v>
      </c>
      <c r="L328" s="37" t="n">
        <v>0.9473684210526315</v>
      </c>
      <c r="M328" s="37" t="n">
        <v>0.9525691699604744</v>
      </c>
      <c r="N328" s="37" t="n">
        <v>0.4782608695652174</v>
      </c>
      <c r="O328" s="36" t="n">
        <v>0.01</v>
      </c>
      <c r="P328" s="36" t="n">
        <v>5.11</v>
      </c>
      <c r="Q328" s="36" t="n">
        <v>6.65</v>
      </c>
      <c r="R328" s="36" t="n">
        <v>68.90000000000001</v>
      </c>
      <c r="S328" s="36" t="n">
        <v>0</v>
      </c>
      <c r="T328" s="37" t="n">
        <v>0.8870523415977961</v>
      </c>
      <c r="U328" s="37" t="n">
        <v>0.8175675675675675</v>
      </c>
      <c r="V328" s="37" t="n">
        <v>0.9348837209302325</v>
      </c>
      <c r="W328" s="37" t="n">
        <v>0.859504132231405</v>
      </c>
    </row>
    <row r="329">
      <c r="A329" s="53" t="n">
        <v>45818</v>
      </c>
      <c r="B329" t="inlineStr">
        <is>
          <t>R05_Jawa Tengah DIY</t>
        </is>
      </c>
      <c r="C329" t="inlineStr">
        <is>
          <t>NOP SURAKARTA</t>
        </is>
      </c>
      <c r="D329" s="36" t="n">
        <v>1.66</v>
      </c>
      <c r="E329" s="36" t="n">
        <v>2.03</v>
      </c>
      <c r="F329" s="36" t="n">
        <v>3.09</v>
      </c>
      <c r="G329" s="36" t="n">
        <v>3.35</v>
      </c>
      <c r="H329" s="37" t="n">
        <v>0.7801724137931034</v>
      </c>
      <c r="I329" s="37" t="n">
        <v>0.7727272727272727</v>
      </c>
      <c r="J329" s="37" t="n">
        <v>0.780952380952381</v>
      </c>
      <c r="K329" s="37" t="n">
        <v>0.7647058823529411</v>
      </c>
      <c r="L329" s="37" t="n">
        <v>0.7647058823529411</v>
      </c>
      <c r="M329" s="37" t="n">
        <v>0.9741379310344828</v>
      </c>
      <c r="N329" s="37" t="n">
        <v>0.5129310344827587</v>
      </c>
      <c r="O329" s="36" t="n">
        <v>0.18</v>
      </c>
      <c r="P329" s="36" t="n">
        <v>8.210000000000001</v>
      </c>
      <c r="Q329" s="36" t="n">
        <v>6.62</v>
      </c>
      <c r="R329" s="36" t="n">
        <v>58.79</v>
      </c>
      <c r="S329" s="36" t="n">
        <v>0</v>
      </c>
      <c r="T329" s="37" t="n">
        <v>0.7993827160493827</v>
      </c>
      <c r="U329" s="37" t="n">
        <v>0.6416666666666667</v>
      </c>
      <c r="V329" s="37" t="n">
        <v>0.8921568627450981</v>
      </c>
      <c r="W329" s="37" t="n">
        <v>0.6493506493506493</v>
      </c>
    </row>
    <row r="330">
      <c r="A330" s="53" t="n">
        <v>45818</v>
      </c>
      <c r="B330" t="inlineStr">
        <is>
          <t>R05_Jawa Tengah DIY</t>
        </is>
      </c>
      <c r="C330" t="inlineStr">
        <is>
          <t>NOP YOGYAKARTA</t>
        </is>
      </c>
      <c r="D330" s="36" t="n">
        <v>2.74</v>
      </c>
      <c r="E330" s="36" t="n">
        <v>0</v>
      </c>
      <c r="F330" s="36" t="n">
        <v>2.47</v>
      </c>
      <c r="G330" s="36" t="n">
        <v>3.29</v>
      </c>
      <c r="H330" s="37" t="n">
        <v>0.75</v>
      </c>
      <c r="I330" s="37" t="n">
        <v>0.875</v>
      </c>
      <c r="J330" s="37" t="n">
        <v>0.7424242424242424</v>
      </c>
      <c r="K330" s="37" t="n">
        <v>0.8571428571428571</v>
      </c>
      <c r="L330" s="37" t="n">
        <v>0.8571428571428571</v>
      </c>
      <c r="M330" s="37" t="n">
        <v>0.9928571428571429</v>
      </c>
      <c r="N330" s="37" t="n">
        <v>0.5357142857142857</v>
      </c>
      <c r="O330" s="36" t="n">
        <v>0</v>
      </c>
      <c r="P330" s="36" t="n">
        <v>4.84</v>
      </c>
      <c r="Q330" s="36" t="n">
        <v>7</v>
      </c>
      <c r="R330" s="36" t="n">
        <v>34.88</v>
      </c>
      <c r="S330" s="36" t="n">
        <v>0</v>
      </c>
      <c r="T330" s="37" t="n">
        <v>0.9293478260869565</v>
      </c>
      <c r="U330" s="37" t="n">
        <v>0.9090909090909091</v>
      </c>
      <c r="V330" s="37" t="n">
        <v>0.937984496124031</v>
      </c>
      <c r="W330" s="37" t="n">
        <v>0.99</v>
      </c>
    </row>
    <row r="331">
      <c r="A331" s="53" t="n">
        <v>45818</v>
      </c>
      <c r="B331" t="inlineStr">
        <is>
          <t>R06_Jawa Timur</t>
        </is>
      </c>
      <c r="C331" t="inlineStr">
        <is>
          <t>NOP JEMBER</t>
        </is>
      </c>
      <c r="D331" s="36" t="n">
        <v>6.65</v>
      </c>
      <c r="E331" s="36" t="n">
        <v>0.4</v>
      </c>
      <c r="F331" s="36" t="n">
        <v>2.99</v>
      </c>
      <c r="G331" s="36" t="n">
        <v>2.76</v>
      </c>
      <c r="H331" s="37" t="n">
        <v>0.7361111111111112</v>
      </c>
      <c r="I331" s="37" t="n">
        <v>0.8181818181818182</v>
      </c>
      <c r="J331" s="37" t="n">
        <v>0.7293233082706767</v>
      </c>
      <c r="K331" s="37" t="n">
        <v>0.8888888888888888</v>
      </c>
      <c r="L331" s="37" t="n">
        <v>0.8888888888888888</v>
      </c>
      <c r="M331" s="37" t="n">
        <v>0.9930555555555556</v>
      </c>
      <c r="N331" s="37" t="n">
        <v>0.4861111111111111</v>
      </c>
      <c r="O331" s="36" t="n">
        <v>0</v>
      </c>
      <c r="P331" s="36" t="n">
        <v>2.07</v>
      </c>
      <c r="Q331" s="36" t="n">
        <v>7.73</v>
      </c>
      <c r="R331" s="36" t="n">
        <v>147.68</v>
      </c>
      <c r="S331" s="36" t="n">
        <v>0</v>
      </c>
      <c r="T331" s="37" t="n">
        <v>0.7980769230769231</v>
      </c>
      <c r="U331" s="37" t="n">
        <v>0.6610169491525424</v>
      </c>
      <c r="V331" s="37" t="n">
        <v>0.8523489932885906</v>
      </c>
      <c r="W331" s="37" t="n">
        <v>0.8205128205128205</v>
      </c>
    </row>
    <row r="332">
      <c r="A332" s="53" t="n">
        <v>45818</v>
      </c>
      <c r="B332" t="inlineStr">
        <is>
          <t>R06_Jawa Timur</t>
        </is>
      </c>
      <c r="C332" t="inlineStr">
        <is>
          <t>NOP KEDIRI</t>
        </is>
      </c>
      <c r="D332" s="36" t="n">
        <v>2.23</v>
      </c>
      <c r="E332" s="36" t="n">
        <v>0</v>
      </c>
      <c r="F332" s="36" t="n">
        <v>1.79</v>
      </c>
      <c r="G332" s="36" t="n">
        <v>2.7</v>
      </c>
      <c r="H332" s="37" t="n">
        <v>0.8817204301075269</v>
      </c>
      <c r="I332" s="37" t="n">
        <v>1</v>
      </c>
      <c r="J332" s="37" t="n">
        <v>0.875</v>
      </c>
      <c r="K332" s="37" t="n">
        <v>0.8</v>
      </c>
      <c r="L332" s="37" t="n">
        <v>0.8</v>
      </c>
      <c r="M332" s="37" t="n">
        <v>1</v>
      </c>
      <c r="N332" s="37" t="n">
        <v>0.6774193548387096</v>
      </c>
      <c r="O332" s="36" t="n">
        <v>0</v>
      </c>
      <c r="P332" s="36" t="n">
        <v>2.15</v>
      </c>
      <c r="Q332" s="36" t="n">
        <v>3.9</v>
      </c>
      <c r="R332" s="36" t="n">
        <v>17.29</v>
      </c>
      <c r="S332" s="36" t="n">
        <v>0</v>
      </c>
      <c r="T332" s="37" t="n">
        <v>0.9333333333333333</v>
      </c>
      <c r="U332" s="37" t="n">
        <v>0.8974358974358975</v>
      </c>
      <c r="V332" s="37" t="n">
        <v>0.9479166666666666</v>
      </c>
      <c r="W332" s="37" t="n">
        <v>0.9142857142857143</v>
      </c>
    </row>
    <row r="333">
      <c r="A333" s="53" t="n">
        <v>45818</v>
      </c>
      <c r="B333" t="inlineStr">
        <is>
          <t>R06_Jawa Timur</t>
        </is>
      </c>
      <c r="C333" t="inlineStr">
        <is>
          <t>NOP LAMONGAN</t>
        </is>
      </c>
      <c r="D333" s="36" t="n">
        <v>3.21</v>
      </c>
      <c r="E333" s="36" t="n">
        <v>0</v>
      </c>
      <c r="F333" s="36" t="n">
        <v>3.11</v>
      </c>
      <c r="G333" s="36" t="n">
        <v>2.7</v>
      </c>
      <c r="H333" s="37" t="n">
        <v>0.9058823529411765</v>
      </c>
      <c r="I333" s="37" t="n">
        <v>0.9166666666666666</v>
      </c>
      <c r="J333" s="37" t="n">
        <v>0.9041095890410958</v>
      </c>
      <c r="K333" s="37" t="n">
        <v>1</v>
      </c>
      <c r="L333" s="37" t="n">
        <v>1</v>
      </c>
      <c r="M333" s="37" t="n">
        <v>1</v>
      </c>
      <c r="N333" s="37" t="n">
        <v>0.7529411764705882</v>
      </c>
      <c r="O333" s="36" t="n">
        <v>0</v>
      </c>
      <c r="P333" s="36" t="n">
        <v>3.27</v>
      </c>
      <c r="Q333" s="36" t="n">
        <v>5.91</v>
      </c>
      <c r="R333" s="36" t="n">
        <v>73.65000000000001</v>
      </c>
      <c r="S333" s="36" t="n">
        <v>0</v>
      </c>
      <c r="T333" s="37" t="n">
        <v>0.8375</v>
      </c>
      <c r="U333" s="37" t="n">
        <v>0.7</v>
      </c>
      <c r="V333" s="37" t="n">
        <v>0.975</v>
      </c>
      <c r="W333" s="37" t="n">
        <v>0.8571428571428571</v>
      </c>
    </row>
    <row r="334">
      <c r="A334" s="53" t="n">
        <v>45818</v>
      </c>
      <c r="B334" t="inlineStr">
        <is>
          <t>R06_Jawa Timur</t>
        </is>
      </c>
      <c r="C334" t="inlineStr">
        <is>
          <t>NOP MADIUN</t>
        </is>
      </c>
      <c r="D334" s="36" t="n">
        <v>0.89</v>
      </c>
      <c r="E334" s="36" t="n">
        <v>0</v>
      </c>
      <c r="F334" s="36" t="n">
        <v>2.66</v>
      </c>
      <c r="G334" s="36" t="n">
        <v>2.8</v>
      </c>
      <c r="H334" s="37" t="n">
        <v>0.6535433070866141</v>
      </c>
      <c r="I334" s="37" t="n">
        <v>1</v>
      </c>
      <c r="J334" s="37" t="n">
        <v>0.6451612903225806</v>
      </c>
      <c r="K334" s="37" t="n">
        <v>1</v>
      </c>
      <c r="L334" s="37" t="n">
        <v>1</v>
      </c>
      <c r="M334" s="37" t="n">
        <v>0.9133858267716536</v>
      </c>
      <c r="N334" s="37" t="n">
        <v>0.4094488188976378</v>
      </c>
      <c r="O334" s="36" t="n">
        <v>0</v>
      </c>
      <c r="P334" s="36" t="n">
        <v>3.86</v>
      </c>
      <c r="Q334" s="36" t="n">
        <v>5.8</v>
      </c>
      <c r="R334" s="36" t="n">
        <v>24.92</v>
      </c>
      <c r="S334" s="36" t="n">
        <v>0</v>
      </c>
      <c r="T334" s="37" t="n">
        <v>0.7428571428571429</v>
      </c>
      <c r="U334" s="37" t="n">
        <v>0.6785714285714286</v>
      </c>
      <c r="V334" s="37" t="n">
        <v>0.773109243697479</v>
      </c>
      <c r="W334" s="37" t="n">
        <v>0.7894736842105263</v>
      </c>
    </row>
    <row r="335">
      <c r="A335" s="53" t="n">
        <v>45818</v>
      </c>
      <c r="B335" t="inlineStr">
        <is>
          <t>R06_Jawa Timur</t>
        </is>
      </c>
      <c r="C335" t="inlineStr">
        <is>
          <t>NOP MALANG</t>
        </is>
      </c>
      <c r="D335" s="36" t="n">
        <v>0</v>
      </c>
      <c r="E335" s="36" t="n">
        <v>0</v>
      </c>
      <c r="F335" s="36" t="n">
        <v>1.88</v>
      </c>
      <c r="G335" s="36" t="n">
        <v>2.57</v>
      </c>
      <c r="H335" s="37" t="n">
        <v>0.9066666666666666</v>
      </c>
      <c r="I335" s="37" t="n">
        <v>0</v>
      </c>
      <c r="J335" s="37" t="n">
        <v>0.9066666666666666</v>
      </c>
      <c r="K335" s="37" t="n">
        <v>0</v>
      </c>
      <c r="L335" s="37" t="n">
        <v>0</v>
      </c>
      <c r="M335" s="37" t="n">
        <v>1</v>
      </c>
      <c r="N335" s="37" t="n">
        <v>0.9333333333333333</v>
      </c>
      <c r="O335" s="36" t="n">
        <v>0</v>
      </c>
      <c r="P335" s="36" t="n">
        <v>2.86</v>
      </c>
      <c r="Q335" s="36" t="n">
        <v>3.49</v>
      </c>
      <c r="R335" s="36" t="n">
        <v>29</v>
      </c>
      <c r="S335" s="36" t="n">
        <v>0</v>
      </c>
      <c r="T335" s="37" t="n">
        <v>0.8252427184466019</v>
      </c>
      <c r="U335" s="37" t="n">
        <v>0.7209302325581395</v>
      </c>
      <c r="V335" s="37" t="n">
        <v>0.9</v>
      </c>
      <c r="W335" s="37" t="n">
        <v>0.8709677419354839</v>
      </c>
    </row>
    <row r="336">
      <c r="A336" s="53" t="n">
        <v>45818</v>
      </c>
      <c r="B336" t="inlineStr">
        <is>
          <t>R06_Jawa Timur</t>
        </is>
      </c>
      <c r="C336" t="inlineStr">
        <is>
          <t>NOP SIDOARJO</t>
        </is>
      </c>
      <c r="D336" s="36" t="n">
        <v>1.86</v>
      </c>
      <c r="E336" s="36" t="n">
        <v>0</v>
      </c>
      <c r="F336" s="36" t="n">
        <v>5.07</v>
      </c>
      <c r="G336" s="36" t="n">
        <v>6.17</v>
      </c>
      <c r="H336" s="37" t="n">
        <v>0.7831325301204819</v>
      </c>
      <c r="I336" s="37" t="n">
        <v>1</v>
      </c>
      <c r="J336" s="37" t="n">
        <v>0.7777777777777778</v>
      </c>
      <c r="K336" s="37" t="n">
        <v>0.5</v>
      </c>
      <c r="L336" s="37" t="n">
        <v>0.5</v>
      </c>
      <c r="M336" s="37" t="n">
        <v>0.963855421686747</v>
      </c>
      <c r="N336" s="37" t="n">
        <v>0.5662650602409639</v>
      </c>
      <c r="O336" s="36" t="n">
        <v>0.01</v>
      </c>
      <c r="P336" s="36" t="n">
        <v>2.77</v>
      </c>
      <c r="Q336" s="36" t="n">
        <v>11.44</v>
      </c>
      <c r="R336" s="36" t="n">
        <v>41.5</v>
      </c>
      <c r="S336" s="36" t="n">
        <v>0</v>
      </c>
      <c r="T336" s="37" t="n">
        <v>0.8455284552845529</v>
      </c>
      <c r="U336" s="37" t="n">
        <v>0.7</v>
      </c>
      <c r="V336" s="37" t="n">
        <v>0.8737864077669902</v>
      </c>
      <c r="W336" s="37" t="n">
        <v>0.7857142857142857</v>
      </c>
    </row>
    <row r="337">
      <c r="A337" s="53" t="n">
        <v>45818</v>
      </c>
      <c r="B337" t="inlineStr">
        <is>
          <t>R06_Jawa Timur</t>
        </is>
      </c>
      <c r="C337" t="inlineStr">
        <is>
          <t>NOP SURABAYA</t>
        </is>
      </c>
      <c r="D337" s="36" t="n">
        <v>1.98</v>
      </c>
      <c r="E337" s="36" t="n">
        <v>0</v>
      </c>
      <c r="F337" s="36" t="n">
        <v>3.07</v>
      </c>
      <c r="G337" s="36" t="n">
        <v>3.28</v>
      </c>
      <c r="H337" s="37" t="n">
        <v>0.5354330708661418</v>
      </c>
      <c r="I337" s="37" t="n">
        <v>0.5833333333333334</v>
      </c>
      <c r="J337" s="37" t="n">
        <v>0.5304347826086957</v>
      </c>
      <c r="K337" s="37" t="n">
        <v>1</v>
      </c>
      <c r="L337" s="37" t="n">
        <v>1</v>
      </c>
      <c r="M337" s="37" t="n">
        <v>0.889763779527559</v>
      </c>
      <c r="N337" s="37" t="n">
        <v>0.3622047244094488</v>
      </c>
      <c r="O337" s="36" t="n">
        <v>0.86</v>
      </c>
      <c r="P337" s="36" t="n">
        <v>2.31</v>
      </c>
      <c r="Q337" s="36" t="n">
        <v>7.24</v>
      </c>
      <c r="R337" s="36" t="n">
        <v>24.59</v>
      </c>
      <c r="S337" s="36" t="n">
        <v>0</v>
      </c>
      <c r="T337" s="37" t="n">
        <v>0.6360153256704981</v>
      </c>
      <c r="U337" s="37" t="n">
        <v>0.4358974358974359</v>
      </c>
      <c r="V337" s="37" t="n">
        <v>0.6711711711711712</v>
      </c>
      <c r="W337" s="37" t="n">
        <v>0.6470588235294118</v>
      </c>
    </row>
    <row r="338">
      <c r="A338" s="53" t="n">
        <v>45818</v>
      </c>
      <c r="B338" t="inlineStr">
        <is>
          <t>R07_Bali Nusra</t>
        </is>
      </c>
      <c r="C338" t="inlineStr">
        <is>
          <t>NOP DENPASAR</t>
        </is>
      </c>
      <c r="D338" s="36" t="n">
        <v>2.64</v>
      </c>
      <c r="E338" s="36" t="n">
        <v>7.47</v>
      </c>
      <c r="F338" s="36" t="n">
        <v>1.82</v>
      </c>
      <c r="G338" s="36" t="n">
        <v>2.36</v>
      </c>
      <c r="H338" s="37" t="n">
        <v>0.9</v>
      </c>
      <c r="I338" s="37" t="n">
        <v>0.8571428571428571</v>
      </c>
      <c r="J338" s="37" t="n">
        <v>0.9069767441860465</v>
      </c>
      <c r="K338" s="37" t="n">
        <v>1</v>
      </c>
      <c r="L338" s="37" t="n">
        <v>1</v>
      </c>
      <c r="M338" s="37" t="n">
        <v>1</v>
      </c>
      <c r="N338" s="37" t="n">
        <v>0.96</v>
      </c>
      <c r="O338" s="36" t="n">
        <v>0.01</v>
      </c>
      <c r="P338" s="36" t="n">
        <v>10</v>
      </c>
      <c r="Q338" s="36" t="n">
        <v>9.4</v>
      </c>
      <c r="R338" s="36" t="n">
        <v>23.44</v>
      </c>
      <c r="S338" s="36" t="n">
        <v>0</v>
      </c>
      <c r="T338" s="37" t="n">
        <v>0.8264840182648402</v>
      </c>
      <c r="U338" s="37" t="n">
        <v>0.8666666666666667</v>
      </c>
      <c r="V338" s="37" t="n">
        <v>0.8055555555555556</v>
      </c>
      <c r="W338" s="37" t="n">
        <v>0.6461538461538462</v>
      </c>
    </row>
    <row r="339">
      <c r="A339" s="53" t="n">
        <v>45818</v>
      </c>
      <c r="B339" t="inlineStr">
        <is>
          <t>R07_Bali Nusra</t>
        </is>
      </c>
      <c r="C339" t="inlineStr">
        <is>
          <t>NOP FLORES</t>
        </is>
      </c>
      <c r="D339" s="36" t="n">
        <v>2.59</v>
      </c>
      <c r="E339" s="36" t="n">
        <v>5.18</v>
      </c>
      <c r="F339" s="36" t="n">
        <v>6.72</v>
      </c>
      <c r="G339" s="36" t="n">
        <v>10.43</v>
      </c>
      <c r="H339" s="37" t="n">
        <v>0.3511705685618729</v>
      </c>
      <c r="I339" s="37" t="n">
        <v>0.6524822695035462</v>
      </c>
      <c r="J339" s="37" t="n">
        <v>0.294973544973545</v>
      </c>
      <c r="K339" s="37" t="n">
        <v>0.6956521739130435</v>
      </c>
      <c r="L339" s="37" t="n">
        <v>0.6956521739130435</v>
      </c>
      <c r="M339" s="37" t="n">
        <v>0.979933110367893</v>
      </c>
      <c r="N339" s="37" t="n">
        <v>0.2251950947603122</v>
      </c>
      <c r="O339" s="36" t="n">
        <v>0.25</v>
      </c>
      <c r="P339" s="36" t="n">
        <v>9.199999999999999</v>
      </c>
      <c r="Q339" s="36" t="n">
        <v>11.5</v>
      </c>
      <c r="R339" s="36" t="n">
        <v>106.57</v>
      </c>
      <c r="S339" s="36" t="n">
        <v>0</v>
      </c>
      <c r="T339" s="37" t="n">
        <v>0.5153550863723608</v>
      </c>
      <c r="U339" s="37" t="n">
        <v>0.5371900826446281</v>
      </c>
      <c r="V339" s="37" t="n">
        <v>0.4651898734177215</v>
      </c>
      <c r="W339" s="37" t="n">
        <v>0.8435897435897436</v>
      </c>
    </row>
    <row r="340">
      <c r="A340" s="53" t="n">
        <v>45818</v>
      </c>
      <c r="B340" t="inlineStr">
        <is>
          <t>R07_Bali Nusra</t>
        </is>
      </c>
      <c r="C340" t="inlineStr">
        <is>
          <t>NOP KUPANG</t>
        </is>
      </c>
      <c r="D340" s="36" t="n">
        <v>1.42</v>
      </c>
      <c r="E340" s="36" t="n">
        <v>8.890000000000001</v>
      </c>
      <c r="F340" s="36" t="n">
        <v>7.03</v>
      </c>
      <c r="G340" s="36" t="n">
        <v>12.11</v>
      </c>
      <c r="H340" s="37" t="n">
        <v>0.4604810996563574</v>
      </c>
      <c r="I340" s="37" t="n">
        <v>0.7</v>
      </c>
      <c r="J340" s="37" t="n">
        <v>0.4223107569721116</v>
      </c>
      <c r="K340" s="37" t="n">
        <v>0.75</v>
      </c>
      <c r="L340" s="37" t="n">
        <v>0.75</v>
      </c>
      <c r="M340" s="37" t="n">
        <v>1</v>
      </c>
      <c r="N340" s="37" t="n">
        <v>0.2199312714776632</v>
      </c>
      <c r="O340" s="36" t="n">
        <v>17.94</v>
      </c>
      <c r="P340" s="36" t="n">
        <v>7.51</v>
      </c>
      <c r="Q340" s="36" t="n">
        <v>18.52</v>
      </c>
      <c r="R340" s="36" t="n">
        <v>11.09</v>
      </c>
      <c r="S340" s="36" t="n">
        <v>0</v>
      </c>
      <c r="T340" s="37" t="n">
        <v>0.4194690265486726</v>
      </c>
      <c r="U340" s="37" t="n">
        <v>0.4978902953586498</v>
      </c>
      <c r="V340" s="37" t="n">
        <v>0.3628048780487805</v>
      </c>
      <c r="W340" s="37" t="n">
        <v>0.7288135593220338</v>
      </c>
    </row>
    <row r="341">
      <c r="A341" s="53" t="n">
        <v>45818</v>
      </c>
      <c r="B341" t="inlineStr">
        <is>
          <t>R07_Bali Nusra</t>
        </is>
      </c>
      <c r="C341" t="inlineStr">
        <is>
          <t>NOP MATARAM</t>
        </is>
      </c>
      <c r="D341" s="36" t="n">
        <v>1.79</v>
      </c>
      <c r="E341" s="36" t="n">
        <v>2.92</v>
      </c>
      <c r="F341" s="36" t="n">
        <v>3.16</v>
      </c>
      <c r="G341" s="36" t="n">
        <v>6.34</v>
      </c>
      <c r="H341" s="37" t="n">
        <v>0.6255506607929515</v>
      </c>
      <c r="I341" s="37" t="n">
        <v>0.5</v>
      </c>
      <c r="J341" s="37" t="n">
        <v>0.6403940886699507</v>
      </c>
      <c r="K341" s="37" t="n">
        <v>0.5833333333333334</v>
      </c>
      <c r="L341" s="37" t="n">
        <v>0.5833333333333334</v>
      </c>
      <c r="M341" s="37" t="n">
        <v>0.986784140969163</v>
      </c>
      <c r="N341" s="37" t="n">
        <v>0.4052863436123348</v>
      </c>
      <c r="O341" s="36" t="n">
        <v>8.73</v>
      </c>
      <c r="P341" s="36" t="n">
        <v>15.03</v>
      </c>
      <c r="Q341" s="36" t="n">
        <v>18.57</v>
      </c>
      <c r="R341" s="36" t="n">
        <v>47.28</v>
      </c>
      <c r="S341" s="36" t="n">
        <v>0</v>
      </c>
      <c r="T341" s="37" t="n">
        <v>0.4222737819025522</v>
      </c>
      <c r="U341" s="37" t="n">
        <v>0.3949044585987261</v>
      </c>
      <c r="V341" s="37" t="n">
        <v>0.4957264957264957</v>
      </c>
      <c r="W341" s="37" t="n">
        <v>0.4677419354838709</v>
      </c>
    </row>
    <row r="342">
      <c r="A342" s="53" t="n">
        <v>45819</v>
      </c>
      <c r="B342" t="inlineStr">
        <is>
          <t>R01_Sumbagut</t>
        </is>
      </c>
      <c r="C342" t="inlineStr">
        <is>
          <t>NOP ACEH</t>
        </is>
      </c>
      <c r="D342" s="36" t="n">
        <v>3.05</v>
      </c>
      <c r="E342" s="36" t="n">
        <v>3.68</v>
      </c>
      <c r="F342" s="36" t="n">
        <v>4.77</v>
      </c>
      <c r="G342" s="36" t="n">
        <v>8.44</v>
      </c>
      <c r="H342" s="37" t="n">
        <v>0.8581005586592179</v>
      </c>
      <c r="I342" s="37" t="n">
        <v>0.8068535825545171</v>
      </c>
      <c r="J342" s="37" t="n">
        <v>0.8692988427501702</v>
      </c>
      <c r="K342" s="37" t="n">
        <v>0.528957528957529</v>
      </c>
      <c r="L342" s="37" t="n">
        <v>0.5284552845528455</v>
      </c>
      <c r="M342" s="37" t="n">
        <v>0.9972067039106145</v>
      </c>
      <c r="N342" s="37" t="n">
        <v>0.3659217877094972</v>
      </c>
      <c r="O342" s="36" t="n">
        <v>2.14</v>
      </c>
      <c r="P342" s="36" t="n">
        <v>3.94</v>
      </c>
      <c r="Q342" s="36" t="n">
        <v>60.31</v>
      </c>
      <c r="R342" s="36" t="n">
        <v>122.43</v>
      </c>
      <c r="S342" s="36" t="n">
        <v>0</v>
      </c>
      <c r="T342" s="37" t="n">
        <v>0.8378891419893698</v>
      </c>
      <c r="U342" s="37" t="n">
        <v>0.6422136422136422</v>
      </c>
      <c r="V342" s="37" t="n">
        <v>0.9218061674008811</v>
      </c>
      <c r="W342" s="37" t="n">
        <v>0.2845691382765531</v>
      </c>
    </row>
    <row r="343">
      <c r="A343" s="53" t="n">
        <v>45819</v>
      </c>
      <c r="B343" t="inlineStr">
        <is>
          <t>R01_Sumbagut</t>
        </is>
      </c>
      <c r="C343" t="inlineStr">
        <is>
          <t>NOP BINJAI</t>
        </is>
      </c>
      <c r="D343" s="36" t="n">
        <v>4.39</v>
      </c>
      <c r="E343" s="36" t="n">
        <v>5.25</v>
      </c>
      <c r="F343" s="36" t="n">
        <v>5.65</v>
      </c>
      <c r="G343" s="36" t="n">
        <v>5.42</v>
      </c>
      <c r="H343" s="37" t="n">
        <v>0.6124454148471615</v>
      </c>
      <c r="I343" s="37" t="n">
        <v>0.6649214659685864</v>
      </c>
      <c r="J343" s="37" t="n">
        <v>0.5986206896551725</v>
      </c>
      <c r="K343" s="37" t="n">
        <v>0.4015748031496063</v>
      </c>
      <c r="L343" s="37" t="n">
        <v>0.4015748031496063</v>
      </c>
      <c r="M343" s="37" t="n">
        <v>0.99235807860262</v>
      </c>
      <c r="N343" s="37" t="n">
        <v>0.2620087336244541</v>
      </c>
      <c r="O343" s="36" t="n">
        <v>0.09</v>
      </c>
      <c r="P343" s="36" t="n">
        <v>3.96</v>
      </c>
      <c r="Q343" s="36" t="n">
        <v>46.53</v>
      </c>
      <c r="R343" s="36" t="n">
        <v>82.44</v>
      </c>
      <c r="S343" s="36" t="n">
        <v>0</v>
      </c>
      <c r="T343" s="37" t="n">
        <v>0.6978984238178634</v>
      </c>
      <c r="U343" s="37" t="n">
        <v>0.5793450881612091</v>
      </c>
      <c r="V343" s="37" t="n">
        <v>0.7729257641921398</v>
      </c>
      <c r="W343" s="37" t="n">
        <v>0.4652173913043478</v>
      </c>
    </row>
    <row r="344">
      <c r="A344" s="53" t="n">
        <v>45819</v>
      </c>
      <c r="B344" t="inlineStr">
        <is>
          <t>R01_Sumbagut</t>
        </is>
      </c>
      <c r="C344" t="inlineStr">
        <is>
          <t>NOP MEDAN</t>
        </is>
      </c>
      <c r="D344" s="36" t="n">
        <v>2.66</v>
      </c>
      <c r="E344" s="36" t="n">
        <v>5.34</v>
      </c>
      <c r="F344" s="36" t="n">
        <v>4.24</v>
      </c>
      <c r="G344" s="36" t="n">
        <v>8.220000000000001</v>
      </c>
      <c r="H344" s="37" t="n">
        <v>0.413659793814433</v>
      </c>
      <c r="I344" s="37" t="n">
        <v>0.4727272727272727</v>
      </c>
      <c r="J344" s="37" t="n">
        <v>0.3902877697841727</v>
      </c>
      <c r="K344" s="37" t="n">
        <v>0.6634615384615384</v>
      </c>
      <c r="L344" s="37" t="n">
        <v>0.6732673267326733</v>
      </c>
      <c r="M344" s="37" t="n">
        <v>0.9987113402061856</v>
      </c>
      <c r="N344" s="37" t="n">
        <v>0.220360824742268</v>
      </c>
      <c r="O344" s="36" t="n">
        <v>0</v>
      </c>
      <c r="P344" s="36" t="n">
        <v>5.2</v>
      </c>
      <c r="Q344" s="36" t="n">
        <v>17</v>
      </c>
      <c r="R344" s="36" t="n">
        <v>6.79</v>
      </c>
      <c r="S344" s="36" t="n">
        <v>0</v>
      </c>
      <c r="T344" s="37" t="n">
        <v>0.3367496339677892</v>
      </c>
      <c r="U344" s="37" t="n">
        <v>0.1691542288557214</v>
      </c>
      <c r="V344" s="37" t="n">
        <v>0.4318181818181818</v>
      </c>
      <c r="W344" s="37" t="n">
        <v>0.7941176470588235</v>
      </c>
    </row>
    <row r="345">
      <c r="A345" s="53" t="n">
        <v>45819</v>
      </c>
      <c r="B345" t="inlineStr">
        <is>
          <t>R01_Sumbagut</t>
        </is>
      </c>
      <c r="C345" t="inlineStr">
        <is>
          <t>NOP PADANG SIDEMPUAN</t>
        </is>
      </c>
      <c r="D345" s="36" t="n">
        <v>4.02</v>
      </c>
      <c r="E345" s="36" t="n">
        <v>5.84</v>
      </c>
      <c r="F345" s="36" t="n">
        <v>6.4</v>
      </c>
      <c r="G345" s="36" t="n">
        <v>7.42</v>
      </c>
      <c r="H345" s="37" t="n">
        <v>0.431064572425829</v>
      </c>
      <c r="I345" s="37" t="n">
        <v>0.6967741935483871</v>
      </c>
      <c r="J345" s="37" t="n">
        <v>0.3895055499495459</v>
      </c>
      <c r="K345" s="37" t="n">
        <v>0.4814814814814815</v>
      </c>
      <c r="L345" s="37" t="n">
        <v>0.4905660377358491</v>
      </c>
      <c r="M345" s="37" t="n">
        <v>0.9860383944153578</v>
      </c>
      <c r="N345" s="37" t="n">
        <v>0.162303664921466</v>
      </c>
      <c r="O345" s="36" t="n">
        <v>0.16</v>
      </c>
      <c r="P345" s="36" t="n">
        <v>3.28</v>
      </c>
      <c r="Q345" s="36" t="n">
        <v>9.710000000000001</v>
      </c>
      <c r="R345" s="36" t="n">
        <v>62.65</v>
      </c>
      <c r="S345" s="36" t="n">
        <v>0</v>
      </c>
      <c r="T345" s="37" t="n">
        <v>0.6769301470588235</v>
      </c>
      <c r="U345" s="37" t="n">
        <v>0.6503759398496241</v>
      </c>
      <c r="V345" s="37" t="n">
        <v>0.702851885924563</v>
      </c>
      <c r="W345" s="37" t="n">
        <v>0.5390173410404624</v>
      </c>
    </row>
    <row r="346">
      <c r="A346" s="53" t="n">
        <v>45819</v>
      </c>
      <c r="B346" t="inlineStr">
        <is>
          <t>R01_Sumbagut</t>
        </is>
      </c>
      <c r="C346" t="inlineStr">
        <is>
          <t>NOP PEMATANG SIANTAR</t>
        </is>
      </c>
      <c r="D346" s="36" t="n">
        <v>8.93</v>
      </c>
      <c r="E346" s="36" t="n">
        <v>5.66</v>
      </c>
      <c r="F346" s="36" t="n">
        <v>5.33</v>
      </c>
      <c r="G346" s="36" t="n">
        <v>7.14</v>
      </c>
      <c r="H346" s="37" t="n">
        <v>0.4718309859154929</v>
      </c>
      <c r="I346" s="37" t="n">
        <v>0.7384196185286104</v>
      </c>
      <c r="J346" s="37" t="n">
        <v>0.3899581589958159</v>
      </c>
      <c r="K346" s="37" t="n">
        <v>0.3874538745387454</v>
      </c>
      <c r="L346" s="37" t="n">
        <v>0.3893129770992366</v>
      </c>
      <c r="M346" s="37" t="n">
        <v>0.9596670934699104</v>
      </c>
      <c r="N346" s="37" t="n">
        <v>0.2176696542893726</v>
      </c>
      <c r="O346" s="36" t="n">
        <v>2.35</v>
      </c>
      <c r="P346" s="36" t="n">
        <v>4.93</v>
      </c>
      <c r="Q346" s="36" t="n">
        <v>52.96</v>
      </c>
      <c r="R346" s="36" t="n">
        <v>85.33</v>
      </c>
      <c r="S346" s="36" t="n">
        <v>0</v>
      </c>
      <c r="T346" s="37" t="n">
        <v>0.6353077816492451</v>
      </c>
      <c r="U346" s="37" t="n">
        <v>0.7004160887656034</v>
      </c>
      <c r="V346" s="37" t="n">
        <v>0.6061269146608315</v>
      </c>
      <c r="W346" s="37" t="n">
        <v>0.5207920792079208</v>
      </c>
    </row>
    <row r="347">
      <c r="A347" s="53" t="n">
        <v>45819</v>
      </c>
      <c r="B347" t="inlineStr">
        <is>
          <t>R01_Sumbagut</t>
        </is>
      </c>
      <c r="C347" t="inlineStr">
        <is>
          <t>NOP RANTAU PRAPAT</t>
        </is>
      </c>
      <c r="D347" s="36" t="n">
        <v>4.09</v>
      </c>
      <c r="E347" s="36" t="n">
        <v>3</v>
      </c>
      <c r="F347" s="36" t="n">
        <v>3.91</v>
      </c>
      <c r="G347" s="36" t="n">
        <v>4.53</v>
      </c>
      <c r="H347" s="37" t="n">
        <v>0.4035202086049544</v>
      </c>
      <c r="I347" s="37" t="n">
        <v>0.3540856031128405</v>
      </c>
      <c r="J347" s="37" t="n">
        <v>0.413469068128426</v>
      </c>
      <c r="K347" s="37" t="n">
        <v>0.6043956043956044</v>
      </c>
      <c r="L347" s="37" t="n">
        <v>0.6043956043956044</v>
      </c>
      <c r="M347" s="37" t="n">
        <v>0.9882659713168188</v>
      </c>
      <c r="N347" s="37" t="n">
        <v>0.2222946544980443</v>
      </c>
      <c r="O347" s="36" t="n">
        <v>0.16</v>
      </c>
      <c r="P347" s="36" t="n">
        <v>3.65</v>
      </c>
      <c r="Q347" s="36" t="n">
        <v>25.36</v>
      </c>
      <c r="R347" s="36" t="n">
        <v>90.51000000000001</v>
      </c>
      <c r="S347" s="36" t="n">
        <v>0</v>
      </c>
      <c r="T347" s="37" t="n">
        <v>0.2177493138151876</v>
      </c>
      <c r="U347" s="37" t="n">
        <v>0.261758691206544</v>
      </c>
      <c r="V347" s="37" t="n">
        <v>0.1962962962962963</v>
      </c>
      <c r="W347" s="37" t="n">
        <v>0.4609375</v>
      </c>
    </row>
    <row r="348">
      <c r="A348" s="53" t="n">
        <v>45819</v>
      </c>
      <c r="B348" t="inlineStr">
        <is>
          <t>R10_Sumbagteng</t>
        </is>
      </c>
      <c r="C348" t="inlineStr">
        <is>
          <t>NOP BATAM</t>
        </is>
      </c>
      <c r="D348" s="36" t="n">
        <v>4</v>
      </c>
      <c r="E348" s="36" t="n">
        <v>7.94</v>
      </c>
      <c r="F348" s="36" t="n">
        <v>7.6</v>
      </c>
      <c r="G348" s="36" t="n">
        <v>8.98</v>
      </c>
      <c r="H348" s="37" t="n">
        <v>0.5259377494014366</v>
      </c>
      <c r="I348" s="37" t="n">
        <v>0.6816326530612244</v>
      </c>
      <c r="J348" s="37" t="n">
        <v>0.4880952380952381</v>
      </c>
      <c r="K348" s="37" t="n">
        <v>0.7305389221556886</v>
      </c>
      <c r="L348" s="37" t="n">
        <v>0.7333333333333333</v>
      </c>
      <c r="M348" s="37" t="n">
        <v>0.9936153232242618</v>
      </c>
      <c r="N348" s="37" t="n">
        <v>0.3846767757382282</v>
      </c>
      <c r="O348" s="36" t="n">
        <v>0.9399999999999999</v>
      </c>
      <c r="P348" s="36" t="n">
        <v>9.99</v>
      </c>
      <c r="Q348" s="36" t="n">
        <v>66.17</v>
      </c>
      <c r="R348" s="36" t="n">
        <v>107.32</v>
      </c>
      <c r="S348" s="36" t="n">
        <v>0</v>
      </c>
      <c r="T348" s="37" t="n">
        <v>0.3182866556836903</v>
      </c>
      <c r="U348" s="37" t="n">
        <v>0.4904458598726115</v>
      </c>
      <c r="V348" s="37" t="n">
        <v>0.2549460431654677</v>
      </c>
      <c r="W348" s="37" t="n">
        <v>0.8</v>
      </c>
    </row>
    <row r="349">
      <c r="A349" s="53" t="n">
        <v>45819</v>
      </c>
      <c r="B349" t="inlineStr">
        <is>
          <t>R10_Sumbagteng</t>
        </is>
      </c>
      <c r="C349" t="inlineStr">
        <is>
          <t>NOP BUKITTINGGI</t>
        </is>
      </c>
      <c r="D349" s="36" t="n">
        <v>1.85</v>
      </c>
      <c r="E349" s="36" t="n">
        <v>3.74</v>
      </c>
      <c r="F349" s="36" t="n">
        <v>3.13</v>
      </c>
      <c r="G349" s="36" t="n">
        <v>4.32</v>
      </c>
      <c r="H349" s="37" t="n">
        <v>0.6812121212121212</v>
      </c>
      <c r="I349" s="37" t="n">
        <v>0.8010752688172043</v>
      </c>
      <c r="J349" s="37" t="n">
        <v>0.6463223787167449</v>
      </c>
      <c r="K349" s="37" t="n">
        <v>0.6040268456375839</v>
      </c>
      <c r="L349" s="37" t="n">
        <v>0.6293706293706294</v>
      </c>
      <c r="M349" s="37" t="n">
        <v>0.9442424242424242</v>
      </c>
      <c r="N349" s="37" t="n">
        <v>0.3418181818181818</v>
      </c>
      <c r="O349" s="36" t="n">
        <v>1.23</v>
      </c>
      <c r="P349" s="36" t="n">
        <v>5.57</v>
      </c>
      <c r="Q349" s="36" t="n">
        <v>75.01000000000001</v>
      </c>
      <c r="R349" s="36" t="n">
        <v>101.82</v>
      </c>
      <c r="S349" s="36" t="n">
        <v>0</v>
      </c>
      <c r="T349" s="37" t="n">
        <v>0.5864661654135338</v>
      </c>
      <c r="U349" s="37" t="n">
        <v>0.7613636363636364</v>
      </c>
      <c r="V349" s="37" t="n">
        <v>0.5505226480836237</v>
      </c>
      <c r="W349" s="37" t="n">
        <v>0.5671641791044776</v>
      </c>
    </row>
    <row r="350">
      <c r="A350" s="53" t="n">
        <v>45819</v>
      </c>
      <c r="B350" t="inlineStr">
        <is>
          <t>R10_Sumbagteng</t>
        </is>
      </c>
      <c r="C350" t="inlineStr">
        <is>
          <t>NOP DUMAI</t>
        </is>
      </c>
      <c r="D350" s="36" t="n">
        <v>3.13</v>
      </c>
      <c r="E350" s="36" t="n">
        <v>5.06</v>
      </c>
      <c r="F350" s="36" t="n">
        <v>4.75</v>
      </c>
      <c r="G350" s="36" t="n">
        <v>5.92</v>
      </c>
      <c r="H350" s="37" t="n">
        <v>0.5207585853408508</v>
      </c>
      <c r="I350" s="37" t="n">
        <v>0.650390625</v>
      </c>
      <c r="J350" s="37" t="n">
        <v>0.4746351633078527</v>
      </c>
      <c r="K350" s="37" t="n">
        <v>0.7087087087087087</v>
      </c>
      <c r="L350" s="37" t="n">
        <v>0.7230769230769231</v>
      </c>
      <c r="M350" s="37" t="n">
        <v>0.990773962070733</v>
      </c>
      <c r="N350" s="37" t="n">
        <v>0.3034341363403383</v>
      </c>
      <c r="O350" s="36" t="n">
        <v>0.13</v>
      </c>
      <c r="P350" s="36" t="n">
        <v>8.529999999999999</v>
      </c>
      <c r="Q350" s="36" t="n">
        <v>50.87</v>
      </c>
      <c r="R350" s="36" t="n">
        <v>100.9</v>
      </c>
      <c r="S350" s="36" t="n">
        <v>0</v>
      </c>
      <c r="T350" s="37" t="n">
        <v>0.2338729763387298</v>
      </c>
      <c r="U350" s="37" t="n">
        <v>0.3609653725078699</v>
      </c>
      <c r="V350" s="37" t="n">
        <v>0.1945999341455384</v>
      </c>
      <c r="W350" s="37" t="n">
        <v>0.9418604651162791</v>
      </c>
    </row>
    <row r="351">
      <c r="A351" s="53" t="n">
        <v>45819</v>
      </c>
      <c r="B351" t="inlineStr">
        <is>
          <t>R10_Sumbagteng</t>
        </is>
      </c>
      <c r="C351" t="inlineStr">
        <is>
          <t>NOP PADANG</t>
        </is>
      </c>
      <c r="D351" s="36" t="n">
        <v>1.51</v>
      </c>
      <c r="E351" s="36" t="n">
        <v>3.96</v>
      </c>
      <c r="F351" s="36" t="n">
        <v>4.38</v>
      </c>
      <c r="G351" s="36" t="n">
        <v>4.44</v>
      </c>
      <c r="H351" s="37" t="n">
        <v>0.6373937677053825</v>
      </c>
      <c r="I351" s="37" t="n">
        <v>0.660377358490566</v>
      </c>
      <c r="J351" s="37" t="n">
        <v>0.6355283307810107</v>
      </c>
      <c r="K351" s="37" t="n">
        <v>0.6571428571428571</v>
      </c>
      <c r="L351" s="37" t="n">
        <v>0.6571428571428571</v>
      </c>
      <c r="M351" s="37" t="n">
        <v>0.9688385269121813</v>
      </c>
      <c r="N351" s="37" t="n">
        <v>0.2932011331444759</v>
      </c>
      <c r="O351" s="36" t="n">
        <v>7.76</v>
      </c>
      <c r="P351" s="36" t="n">
        <v>5.26</v>
      </c>
      <c r="Q351" s="36" t="n">
        <v>58.18</v>
      </c>
      <c r="R351" s="36" t="n">
        <v>131.38</v>
      </c>
      <c r="S351" s="36" t="n">
        <v>0</v>
      </c>
      <c r="T351" s="37" t="n">
        <v>0.7985212569316081</v>
      </c>
      <c r="U351" s="37" t="n">
        <v>0.6352201257861635</v>
      </c>
      <c r="V351" s="37" t="n">
        <v>0.8647214854111406</v>
      </c>
      <c r="W351" s="37" t="n">
        <v>0.7079207920792079</v>
      </c>
    </row>
    <row r="352">
      <c r="A352" s="53" t="n">
        <v>45819</v>
      </c>
      <c r="B352" t="inlineStr">
        <is>
          <t>R10_Sumbagteng</t>
        </is>
      </c>
      <c r="C352" t="inlineStr">
        <is>
          <t>NOP PEKANBARU</t>
        </is>
      </c>
      <c r="D352" s="36" t="n">
        <v>3.54</v>
      </c>
      <c r="E352" s="36" t="n">
        <v>5.51</v>
      </c>
      <c r="F352" s="36" t="n">
        <v>4.32</v>
      </c>
      <c r="G352" s="36" t="n">
        <v>8.57</v>
      </c>
      <c r="H352" s="37" t="n">
        <v>0.447631754503002</v>
      </c>
      <c r="I352" s="37" t="n">
        <v>0.4269230769230769</v>
      </c>
      <c r="J352" s="37" t="n">
        <v>0.4519774011299435</v>
      </c>
      <c r="K352" s="37" t="n">
        <v>0.7567567567567568</v>
      </c>
      <c r="L352" s="37" t="n">
        <v>0.7636363636363637</v>
      </c>
      <c r="M352" s="37" t="n">
        <v>0.9906604402935291</v>
      </c>
      <c r="N352" s="37" t="n">
        <v>0.2548365577051367</v>
      </c>
      <c r="O352" s="36" t="n">
        <v>0.72</v>
      </c>
      <c r="P352" s="36" t="n">
        <v>5.5</v>
      </c>
      <c r="Q352" s="36" t="n">
        <v>46.2</v>
      </c>
      <c r="R352" s="36" t="n">
        <v>67.15000000000001</v>
      </c>
      <c r="S352" s="36" t="n">
        <v>0</v>
      </c>
      <c r="T352" s="37" t="n">
        <v>0.3008997000999667</v>
      </c>
      <c r="U352" s="37" t="n">
        <v>0.3646532438478747</v>
      </c>
      <c r="V352" s="37" t="n">
        <v>0.270823185582075</v>
      </c>
      <c r="W352" s="37" t="n">
        <v>0.8312883435582822</v>
      </c>
    </row>
    <row r="353">
      <c r="A353" s="53" t="n">
        <v>45819</v>
      </c>
      <c r="B353" t="inlineStr">
        <is>
          <t>R02_Sumbagsel</t>
        </is>
      </c>
      <c r="C353" t="inlineStr">
        <is>
          <t>NOP BENGKULU</t>
        </is>
      </c>
      <c r="D353" s="36" t="n">
        <v>2.66</v>
      </c>
      <c r="E353" s="36" t="n">
        <v>5.61</v>
      </c>
      <c r="F353" s="36" t="n">
        <v>3.59</v>
      </c>
      <c r="G353" s="36" t="n">
        <v>6.2</v>
      </c>
      <c r="H353" s="37" t="n">
        <v>0.4688195991091314</v>
      </c>
      <c r="I353" s="37" t="n">
        <v>0.5274261603375527</v>
      </c>
      <c r="J353" s="37" t="n">
        <v>0.4478063540090771</v>
      </c>
      <c r="K353" s="37" t="n">
        <v>0.656</v>
      </c>
      <c r="L353" s="37" t="n">
        <v>0.656</v>
      </c>
      <c r="M353" s="37" t="n">
        <v>0.9910913140311804</v>
      </c>
      <c r="N353" s="37" t="n">
        <v>0.2951002227171492</v>
      </c>
      <c r="O353" s="36" t="n">
        <v>0</v>
      </c>
      <c r="P353" s="36" t="n">
        <v>4.85</v>
      </c>
      <c r="Q353" s="36" t="n">
        <v>8.33</v>
      </c>
      <c r="R353" s="36" t="n">
        <v>5</v>
      </c>
      <c r="S353" s="36" t="n">
        <v>0</v>
      </c>
      <c r="T353" s="37" t="n">
        <v>0.5059678256357032</v>
      </c>
      <c r="U353" s="37" t="n">
        <v>0.4244235695986336</v>
      </c>
      <c r="V353" s="37" t="n">
        <v>0.6338028169014085</v>
      </c>
      <c r="W353" s="37" t="n">
        <v>0.8913480885311871</v>
      </c>
    </row>
    <row r="354">
      <c r="A354" s="53" t="n">
        <v>45819</v>
      </c>
      <c r="B354" t="inlineStr">
        <is>
          <t>R02_Sumbagsel</t>
        </is>
      </c>
      <c r="C354" t="inlineStr">
        <is>
          <t>NOP JAMBI</t>
        </is>
      </c>
      <c r="D354" s="36" t="n">
        <v>4.86</v>
      </c>
      <c r="E354" s="36" t="n">
        <v>3.94</v>
      </c>
      <c r="F354" s="36" t="n">
        <v>3.67</v>
      </c>
      <c r="G354" s="36" t="n">
        <v>5.3</v>
      </c>
      <c r="H354" s="37" t="n">
        <v>0.3094488188976378</v>
      </c>
      <c r="I354" s="37" t="n">
        <v>0.2987341772151899</v>
      </c>
      <c r="J354" s="37" t="n">
        <v>0.3142857142857143</v>
      </c>
      <c r="K354" s="37" t="n">
        <v>0.6016949152542372</v>
      </c>
      <c r="L354" s="37" t="n">
        <v>0.6016949152542372</v>
      </c>
      <c r="M354" s="37" t="n">
        <v>0.989763779527559</v>
      </c>
      <c r="N354" s="37" t="n">
        <v>0.1590551181102362</v>
      </c>
      <c r="O354" s="36" t="n">
        <v>0</v>
      </c>
      <c r="P354" s="36" t="n">
        <v>3.42</v>
      </c>
      <c r="Q354" s="36" t="n">
        <v>14.86</v>
      </c>
      <c r="R354" s="36" t="n">
        <v>21</v>
      </c>
      <c r="S354" s="36" t="n">
        <v>0</v>
      </c>
      <c r="T354" s="37" t="n">
        <v>0.1924904942965779</v>
      </c>
      <c r="U354" s="37" t="n">
        <v>0.1623488773747841</v>
      </c>
      <c r="V354" s="37" t="n">
        <v>0.2546419098143236</v>
      </c>
      <c r="W354" s="37" t="n">
        <v>0.675531914893617</v>
      </c>
    </row>
    <row r="355">
      <c r="A355" s="53" t="n">
        <v>45819</v>
      </c>
      <c r="B355" t="inlineStr">
        <is>
          <t>R02_Sumbagsel</t>
        </is>
      </c>
      <c r="C355" t="inlineStr">
        <is>
          <t>NOP LAMPUNG</t>
        </is>
      </c>
      <c r="D355" s="36" t="n">
        <v>5</v>
      </c>
      <c r="E355" s="36" t="n">
        <v>3.16</v>
      </c>
      <c r="F355" s="36" t="n">
        <v>3.44</v>
      </c>
      <c r="G355" s="36" t="n">
        <v>3.64</v>
      </c>
      <c r="H355" s="37" t="n">
        <v>0.5572916666666666</v>
      </c>
      <c r="I355" s="37" t="n">
        <v>0.7764705882352941</v>
      </c>
      <c r="J355" s="37" t="n">
        <v>0.4949832775919732</v>
      </c>
      <c r="K355" s="37" t="n">
        <v>0.8333333333333334</v>
      </c>
      <c r="L355" s="37" t="n">
        <v>0.8307692307692308</v>
      </c>
      <c r="M355" s="37" t="n">
        <v>0.9869791666666666</v>
      </c>
      <c r="N355" s="37" t="n">
        <v>0.4479166666666667</v>
      </c>
      <c r="O355" s="36" t="n">
        <v>0.04</v>
      </c>
      <c r="P355" s="36" t="n">
        <v>14.88</v>
      </c>
      <c r="Q355" s="36" t="n">
        <v>4.2</v>
      </c>
      <c r="R355" s="36" t="n">
        <v>38.76</v>
      </c>
      <c r="S355" s="36" t="n">
        <v>0</v>
      </c>
      <c r="T355" s="37" t="n">
        <v>0.9063079777365491</v>
      </c>
      <c r="U355" s="37" t="n">
        <v>0.8935185185185185</v>
      </c>
      <c r="V355" s="37" t="n">
        <v>0.9254658385093167</v>
      </c>
      <c r="W355" s="37" t="n">
        <v>0.8911917098445595</v>
      </c>
    </row>
    <row r="356">
      <c r="A356" s="53" t="n">
        <v>45819</v>
      </c>
      <c r="B356" t="inlineStr">
        <is>
          <t>R02_Sumbagsel</t>
        </is>
      </c>
      <c r="C356" t="inlineStr">
        <is>
          <t>NOP MUARA ENIM</t>
        </is>
      </c>
      <c r="D356" s="36" t="n">
        <v>3.9</v>
      </c>
      <c r="E356" s="36" t="n">
        <v>4.05</v>
      </c>
      <c r="F356" s="36" t="n">
        <v>4.2</v>
      </c>
      <c r="G356" s="36" t="n">
        <v>5.08</v>
      </c>
      <c r="H356" s="37" t="n">
        <v>0.3206377325066431</v>
      </c>
      <c r="I356" s="37" t="n">
        <v>0.4361702127659575</v>
      </c>
      <c r="J356" s="37" t="n">
        <v>0.2975557917109458</v>
      </c>
      <c r="K356" s="37" t="n">
        <v>0.7073170731707317</v>
      </c>
      <c r="L356" s="37" t="n">
        <v>0.725</v>
      </c>
      <c r="M356" s="37" t="n">
        <v>0.9796279893711249</v>
      </c>
      <c r="N356" s="37" t="n">
        <v>0.1744906997342781</v>
      </c>
      <c r="O356" s="36" t="n">
        <v>0</v>
      </c>
      <c r="P356" s="36" t="n">
        <v>21.84</v>
      </c>
      <c r="Q356" s="36" t="n">
        <v>12.16</v>
      </c>
      <c r="R356" s="36" t="n">
        <v>5.64</v>
      </c>
      <c r="S356" s="36" t="n">
        <v>0</v>
      </c>
      <c r="T356" s="37" t="n">
        <v>0.5518308406395049</v>
      </c>
      <c r="U356" s="37" t="n">
        <v>0.4751515151515152</v>
      </c>
      <c r="V356" s="37" t="n">
        <v>0.6389167502507522</v>
      </c>
      <c r="W356" s="37" t="n">
        <v>0.7729591836734694</v>
      </c>
    </row>
    <row r="357">
      <c r="A357" s="53" t="n">
        <v>45819</v>
      </c>
      <c r="B357" t="inlineStr">
        <is>
          <t>R02_Sumbagsel</t>
        </is>
      </c>
      <c r="C357" t="inlineStr">
        <is>
          <t>NOP PALEMBANG</t>
        </is>
      </c>
      <c r="D357" s="36" t="n">
        <v>3.73</v>
      </c>
      <c r="E357" s="36" t="n">
        <v>3.95</v>
      </c>
      <c r="F357" s="36" t="n">
        <v>5.37</v>
      </c>
      <c r="G357" s="36" t="n">
        <v>6.35</v>
      </c>
      <c r="H357" s="37" t="n">
        <v>0.2660677263303386</v>
      </c>
      <c r="I357" s="37" t="n">
        <v>0.2294117647058823</v>
      </c>
      <c r="J357" s="37" t="n">
        <v>0.2709475332811276</v>
      </c>
      <c r="K357" s="37" t="n">
        <v>0.4615384615384616</v>
      </c>
      <c r="L357" s="37" t="n">
        <v>0.4615384615384616</v>
      </c>
      <c r="M357" s="37" t="n">
        <v>1</v>
      </c>
      <c r="N357" s="37" t="n">
        <v>0.1161022805805114</v>
      </c>
      <c r="O357" s="36" t="n">
        <v>0</v>
      </c>
      <c r="P357" s="36" t="n">
        <v>3.08</v>
      </c>
      <c r="Q357" s="36" t="n">
        <v>9.73</v>
      </c>
      <c r="R357" s="36" t="n">
        <v>22.48</v>
      </c>
      <c r="S357" s="36" t="n">
        <v>0</v>
      </c>
      <c r="T357" s="37" t="n">
        <v>0.1339239187076602</v>
      </c>
      <c r="U357" s="37" t="n">
        <v>0.1123388581952118</v>
      </c>
      <c r="V357" s="37" t="n">
        <v>0.2140575079872205</v>
      </c>
      <c r="W357" s="37" t="n">
        <v>0.6311475409836066</v>
      </c>
    </row>
    <row r="358">
      <c r="A358" s="53" t="n">
        <v>45819</v>
      </c>
      <c r="B358" t="inlineStr">
        <is>
          <t>R02_Sumbagsel</t>
        </is>
      </c>
      <c r="C358" t="inlineStr">
        <is>
          <t>NOP PANGKAL PINANG</t>
        </is>
      </c>
      <c r="D358" s="36" t="n">
        <v>0</v>
      </c>
      <c r="E358" s="36" t="n">
        <v>3.61</v>
      </c>
      <c r="F358" s="36" t="n">
        <v>5.48</v>
      </c>
      <c r="G358" s="36" t="n">
        <v>5.73</v>
      </c>
      <c r="H358" s="37" t="n">
        <v>0.7725118483412322</v>
      </c>
      <c r="I358" s="37" t="n">
        <v>0.7272727272727273</v>
      </c>
      <c r="J358" s="37" t="n">
        <v>0.775</v>
      </c>
      <c r="K358" s="37" t="n">
        <v>0.625</v>
      </c>
      <c r="L358" s="37" t="n">
        <v>0.625</v>
      </c>
      <c r="M358" s="37" t="n">
        <v>1</v>
      </c>
      <c r="N358" s="37" t="n">
        <v>0.4881516587677725</v>
      </c>
      <c r="O358" s="36" t="n">
        <v>0</v>
      </c>
      <c r="P358" s="36" t="n">
        <v>5.04</v>
      </c>
      <c r="Q358" s="36" t="n">
        <v>9.26</v>
      </c>
      <c r="R358" s="36" t="n">
        <v>5.59</v>
      </c>
      <c r="S358" s="36" t="n">
        <v>0</v>
      </c>
      <c r="T358" s="37" t="n">
        <v>0.9309045226130653</v>
      </c>
      <c r="U358" s="37" t="n">
        <v>0.9351851851851852</v>
      </c>
      <c r="V358" s="37" t="n">
        <v>0.9379562043795621</v>
      </c>
      <c r="W358" s="37" t="n">
        <v>0.8366336633663366</v>
      </c>
    </row>
    <row r="359">
      <c r="A359" s="53" t="n">
        <v>45819</v>
      </c>
      <c r="B359" t="inlineStr">
        <is>
          <t>R05_Jawa Tengah DIY</t>
        </is>
      </c>
      <c r="C359" t="inlineStr">
        <is>
          <t>NOP MAGELANG</t>
        </is>
      </c>
      <c r="D359" s="36" t="n">
        <v>3.89</v>
      </c>
      <c r="E359" s="36" t="n">
        <v>0</v>
      </c>
      <c r="F359" s="36" t="n">
        <v>2.45</v>
      </c>
      <c r="G359" s="36" t="n">
        <v>3.16</v>
      </c>
      <c r="H359" s="37" t="n">
        <v>0.7986577181208053</v>
      </c>
      <c r="I359" s="37" t="n">
        <v>0.875</v>
      </c>
      <c r="J359" s="37" t="n">
        <v>0.7943262411347518</v>
      </c>
      <c r="K359" s="37" t="n">
        <v>1</v>
      </c>
      <c r="L359" s="37" t="n">
        <v>1</v>
      </c>
      <c r="M359" s="37" t="n">
        <v>1</v>
      </c>
      <c r="N359" s="37" t="n">
        <v>0.6510067114093959</v>
      </c>
      <c r="O359" s="36" t="n">
        <v>0</v>
      </c>
      <c r="P359" s="36" t="n">
        <v>2.32</v>
      </c>
      <c r="Q359" s="36" t="n">
        <v>5.43</v>
      </c>
      <c r="R359" s="36" t="n">
        <v>15.18</v>
      </c>
      <c r="S359" s="36" t="n">
        <v>0</v>
      </c>
      <c r="T359" s="37" t="n">
        <v>0.9267461669505963</v>
      </c>
      <c r="U359" s="37" t="n">
        <v>0.8636363636363636</v>
      </c>
      <c r="V359" s="37" t="n">
        <v>0.9378757515030061</v>
      </c>
      <c r="W359" s="37" t="n">
        <v>0.8947368421052632</v>
      </c>
    </row>
    <row r="360">
      <c r="A360" s="53" t="n">
        <v>45819</v>
      </c>
      <c r="B360" t="inlineStr">
        <is>
          <t>R05_Jawa Tengah DIY</t>
        </is>
      </c>
      <c r="C360" t="inlineStr">
        <is>
          <t>NOP PEKALONGAN</t>
        </is>
      </c>
      <c r="D360" s="36" t="n">
        <v>4.36</v>
      </c>
      <c r="E360" s="36" t="n">
        <v>0</v>
      </c>
      <c r="F360" s="36" t="n">
        <v>3.18</v>
      </c>
      <c r="G360" s="36" t="n">
        <v>7.67</v>
      </c>
      <c r="H360" s="37" t="n">
        <v>0.6938775510204082</v>
      </c>
      <c r="I360" s="37" t="n">
        <v>0.7272727272727273</v>
      </c>
      <c r="J360" s="37" t="n">
        <v>0.6896551724137931</v>
      </c>
      <c r="K360" s="37" t="n">
        <v>1</v>
      </c>
      <c r="L360" s="37" t="n">
        <v>1</v>
      </c>
      <c r="M360" s="37" t="n">
        <v>0.9387755102040817</v>
      </c>
      <c r="N360" s="37" t="n">
        <v>0.5612244897959183</v>
      </c>
      <c r="O360" s="36" t="n">
        <v>0</v>
      </c>
      <c r="P360" s="36" t="n">
        <v>3.21</v>
      </c>
      <c r="Q360" s="36" t="n">
        <v>7.2</v>
      </c>
      <c r="R360" s="36" t="n">
        <v>48.6</v>
      </c>
      <c r="S360" s="36" t="n">
        <v>0</v>
      </c>
      <c r="T360" s="37" t="n">
        <v>0.8422619047619048</v>
      </c>
      <c r="U360" s="37" t="n">
        <v>0.7580645161290323</v>
      </c>
      <c r="V360" s="37" t="n">
        <v>0.8613138686131386</v>
      </c>
      <c r="W360" s="37" t="n">
        <v>0.5319148936170213</v>
      </c>
    </row>
    <row r="361">
      <c r="A361" s="53" t="n">
        <v>45819</v>
      </c>
      <c r="B361" t="inlineStr">
        <is>
          <t>R05_Jawa Tengah DIY</t>
        </is>
      </c>
      <c r="C361" t="inlineStr">
        <is>
          <t>NOP PURWOKERTO</t>
        </is>
      </c>
      <c r="D361" s="36" t="n">
        <v>3.72</v>
      </c>
      <c r="E361" s="36" t="n">
        <v>3.14</v>
      </c>
      <c r="F361" s="36" t="n">
        <v>2.62</v>
      </c>
      <c r="G361" s="36" t="n">
        <v>4.25</v>
      </c>
      <c r="H361" s="37" t="n">
        <v>0.6538461538461539</v>
      </c>
      <c r="I361" s="37" t="n">
        <v>0.9285714285714286</v>
      </c>
      <c r="J361" s="37" t="n">
        <v>0.6267605633802817</v>
      </c>
      <c r="K361" s="37" t="n">
        <v>0.9230769230769231</v>
      </c>
      <c r="L361" s="37" t="n">
        <v>0.9230769230769231</v>
      </c>
      <c r="M361" s="37" t="n">
        <v>0.9871794871794872</v>
      </c>
      <c r="N361" s="37" t="n">
        <v>0.4166666666666667</v>
      </c>
      <c r="O361" s="36" t="n">
        <v>0.5</v>
      </c>
      <c r="P361" s="36" t="n">
        <v>5.32</v>
      </c>
      <c r="Q361" s="36" t="n">
        <v>6.85</v>
      </c>
      <c r="R361" s="36" t="n">
        <v>35.01</v>
      </c>
      <c r="S361" s="36" t="n">
        <v>0</v>
      </c>
      <c r="T361" s="37" t="n">
        <v>0.84</v>
      </c>
      <c r="U361" s="37" t="n">
        <v>0.8311688311688312</v>
      </c>
      <c r="V361" s="37" t="n">
        <v>0.8445945945945946</v>
      </c>
      <c r="W361" s="37" t="n">
        <v>0.625</v>
      </c>
    </row>
    <row r="362">
      <c r="A362" s="53" t="n">
        <v>45819</v>
      </c>
      <c r="B362" t="inlineStr">
        <is>
          <t>R05_Jawa Tengah DIY</t>
        </is>
      </c>
      <c r="C362" t="inlineStr">
        <is>
          <t>NOP SEMARANG</t>
        </is>
      </c>
      <c r="D362" s="36" t="n">
        <v>2.82</v>
      </c>
      <c r="E362" s="36" t="n">
        <v>2.57</v>
      </c>
      <c r="F362" s="36" t="n">
        <v>2.57</v>
      </c>
      <c r="G362" s="36" t="n">
        <v>3.18</v>
      </c>
      <c r="H362" s="37" t="n">
        <v>0.6767676767676768</v>
      </c>
      <c r="I362" s="37" t="n">
        <v>0.875</v>
      </c>
      <c r="J362" s="37" t="n">
        <v>0.6593406593406593</v>
      </c>
      <c r="K362" s="37" t="n">
        <v>0.9523809523809523</v>
      </c>
      <c r="L362" s="37" t="n">
        <v>0.9523809523809523</v>
      </c>
      <c r="M362" s="37" t="n">
        <v>0.9494949494949495</v>
      </c>
      <c r="N362" s="37" t="n">
        <v>0.4579124579124579</v>
      </c>
      <c r="O362" s="36" t="n">
        <v>0.01</v>
      </c>
      <c r="P362" s="36" t="n">
        <v>5.58</v>
      </c>
      <c r="Q362" s="36" t="n">
        <v>6.18</v>
      </c>
      <c r="R362" s="36" t="n">
        <v>68.66</v>
      </c>
      <c r="S362" s="36" t="n">
        <v>0</v>
      </c>
      <c r="T362" s="37" t="n">
        <v>0.885</v>
      </c>
      <c r="U362" s="37" t="n">
        <v>0.8176100628930818</v>
      </c>
      <c r="V362" s="37" t="n">
        <v>0.9294605809128631</v>
      </c>
      <c r="W362" s="37" t="n">
        <v>0.8615384615384616</v>
      </c>
    </row>
    <row r="363">
      <c r="A363" s="53" t="n">
        <v>45819</v>
      </c>
      <c r="B363" t="inlineStr">
        <is>
          <t>R05_Jawa Tengah DIY</t>
        </is>
      </c>
      <c r="C363" t="inlineStr">
        <is>
          <t>NOP SURAKARTA</t>
        </is>
      </c>
      <c r="D363" s="36" t="n">
        <v>1.98</v>
      </c>
      <c r="E363" s="36" t="n">
        <v>2.03</v>
      </c>
      <c r="F363" s="36" t="n">
        <v>3.02</v>
      </c>
      <c r="G363" s="36" t="n">
        <v>3.21</v>
      </c>
      <c r="H363" s="37" t="n">
        <v>0.797752808988764</v>
      </c>
      <c r="I363" s="37" t="n">
        <v>0.7916666666666666</v>
      </c>
      <c r="J363" s="37" t="n">
        <v>0.7983539094650206</v>
      </c>
      <c r="K363" s="37" t="n">
        <v>0.7894736842105263</v>
      </c>
      <c r="L363" s="37" t="n">
        <v>0.7894736842105263</v>
      </c>
      <c r="M363" s="37" t="n">
        <v>0.9775280898876404</v>
      </c>
      <c r="N363" s="37" t="n">
        <v>0.5393258426966292</v>
      </c>
      <c r="O363" s="36" t="n">
        <v>0.19</v>
      </c>
      <c r="P363" s="36" t="n">
        <v>8.289999999999999</v>
      </c>
      <c r="Q363" s="36" t="n">
        <v>6.32</v>
      </c>
      <c r="R363" s="36" t="n">
        <v>53.78</v>
      </c>
      <c r="S363" s="36" t="n">
        <v>0</v>
      </c>
      <c r="T363" s="37" t="n">
        <v>0.7941176470588235</v>
      </c>
      <c r="U363" s="37" t="n">
        <v>0.6231884057971014</v>
      </c>
      <c r="V363" s="37" t="n">
        <v>0.8940677966101694</v>
      </c>
      <c r="W363" s="37" t="n">
        <v>0.6395348837209303</v>
      </c>
    </row>
    <row r="364">
      <c r="A364" s="53" t="n">
        <v>45819</v>
      </c>
      <c r="B364" t="inlineStr">
        <is>
          <t>R05_Jawa Tengah DIY</t>
        </is>
      </c>
      <c r="C364" t="inlineStr">
        <is>
          <t>NOP YOGYAKARTA</t>
        </is>
      </c>
      <c r="D364" s="36" t="n">
        <v>2.74</v>
      </c>
      <c r="E364" s="36" t="n">
        <v>0</v>
      </c>
      <c r="F364" s="36" t="n">
        <v>2.47</v>
      </c>
      <c r="G364" s="36" t="n">
        <v>3.1</v>
      </c>
      <c r="H364" s="37" t="n">
        <v>0.7590361445783133</v>
      </c>
      <c r="I364" s="37" t="n">
        <v>0.875</v>
      </c>
      <c r="J364" s="37" t="n">
        <v>0.7531645569620253</v>
      </c>
      <c r="K364" s="37" t="n">
        <v>0.8571428571428571</v>
      </c>
      <c r="L364" s="37" t="n">
        <v>0.8571428571428571</v>
      </c>
      <c r="M364" s="37" t="n">
        <v>0.9939759036144579</v>
      </c>
      <c r="N364" s="37" t="n">
        <v>0.5542168674698795</v>
      </c>
      <c r="O364" s="36" t="n">
        <v>0</v>
      </c>
      <c r="P364" s="36" t="n">
        <v>4.66</v>
      </c>
      <c r="Q364" s="36" t="n">
        <v>6.2</v>
      </c>
      <c r="R364" s="36" t="n">
        <v>37.61</v>
      </c>
      <c r="S364" s="36" t="n">
        <v>0</v>
      </c>
      <c r="T364" s="37" t="n">
        <v>0.9317073170731708</v>
      </c>
      <c r="U364" s="37" t="n">
        <v>0.9098360655737705</v>
      </c>
      <c r="V364" s="37" t="n">
        <v>0.9409722222222222</v>
      </c>
      <c r="W364" s="37" t="n">
        <v>0.963963963963964</v>
      </c>
    </row>
    <row r="365">
      <c r="A365" s="53" t="n">
        <v>45819</v>
      </c>
      <c r="B365" t="inlineStr">
        <is>
          <t>R06_Jawa Timur</t>
        </is>
      </c>
      <c r="C365" t="inlineStr">
        <is>
          <t>NOP JEMBER</t>
        </is>
      </c>
      <c r="D365" s="36" t="n">
        <v>4.37</v>
      </c>
      <c r="E365" s="36" t="n">
        <v>0.4</v>
      </c>
      <c r="F365" s="36" t="n">
        <v>2.99</v>
      </c>
      <c r="G365" s="36" t="n">
        <v>2.69</v>
      </c>
      <c r="H365" s="37" t="n">
        <v>0.7466666666666667</v>
      </c>
      <c r="I365" s="37" t="n">
        <v>0.8333333333333334</v>
      </c>
      <c r="J365" s="37" t="n">
        <v>0.7391304347826086</v>
      </c>
      <c r="K365" s="37" t="n">
        <v>0.9</v>
      </c>
      <c r="L365" s="37" t="n">
        <v>0.9</v>
      </c>
      <c r="M365" s="37" t="n">
        <v>0.9933333333333333</v>
      </c>
      <c r="N365" s="37" t="n">
        <v>0.4933333333333333</v>
      </c>
      <c r="O365" s="36" t="n">
        <v>0</v>
      </c>
      <c r="P365" s="36" t="n">
        <v>2.44</v>
      </c>
      <c r="Q365" s="36" t="n">
        <v>7.83</v>
      </c>
      <c r="R365" s="36" t="n">
        <v>130.27</v>
      </c>
      <c r="S365" s="36" t="n">
        <v>0</v>
      </c>
      <c r="T365" s="37" t="n">
        <v>0.8103448275862069</v>
      </c>
      <c r="U365" s="37" t="n">
        <v>0.6666666666666666</v>
      </c>
      <c r="V365" s="37" t="n">
        <v>0.863905325443787</v>
      </c>
      <c r="W365" s="37" t="n">
        <v>0.8333333333333334</v>
      </c>
    </row>
    <row r="366">
      <c r="A366" s="53" t="n">
        <v>45819</v>
      </c>
      <c r="B366" t="inlineStr">
        <is>
          <t>R06_Jawa Timur</t>
        </is>
      </c>
      <c r="C366" t="inlineStr">
        <is>
          <t>NOP KEDIRI</t>
        </is>
      </c>
      <c r="D366" s="36" t="n">
        <v>2.23</v>
      </c>
      <c r="E366" s="36" t="n">
        <v>0</v>
      </c>
      <c r="F366" s="36" t="n">
        <v>1.76</v>
      </c>
      <c r="G366" s="36" t="n">
        <v>2.72</v>
      </c>
      <c r="H366" s="37" t="n">
        <v>0.8529411764705882</v>
      </c>
      <c r="I366" s="37" t="n">
        <v>1</v>
      </c>
      <c r="J366" s="37" t="n">
        <v>0.845360824742268</v>
      </c>
      <c r="K366" s="37" t="n">
        <v>0.8</v>
      </c>
      <c r="L366" s="37" t="n">
        <v>0.8</v>
      </c>
      <c r="M366" s="37" t="n">
        <v>1</v>
      </c>
      <c r="N366" s="37" t="n">
        <v>0.6372549019607843</v>
      </c>
      <c r="O366" s="36" t="n">
        <v>0</v>
      </c>
      <c r="P366" s="36" t="n">
        <v>2</v>
      </c>
      <c r="Q366" s="36" t="n">
        <v>5.22</v>
      </c>
      <c r="R366" s="36" t="n">
        <v>21.36</v>
      </c>
      <c r="S366" s="36" t="n">
        <v>0</v>
      </c>
      <c r="T366" s="37" t="n">
        <v>0.9403973509933775</v>
      </c>
      <c r="U366" s="37" t="n">
        <v>0.9047619047619048</v>
      </c>
      <c r="V366" s="37" t="n">
        <v>0.9541284403669725</v>
      </c>
      <c r="W366" s="37" t="n">
        <v>0.9210526315789473</v>
      </c>
    </row>
    <row r="367">
      <c r="A367" s="53" t="n">
        <v>45819</v>
      </c>
      <c r="B367" t="inlineStr">
        <is>
          <t>R06_Jawa Timur</t>
        </is>
      </c>
      <c r="C367" t="inlineStr">
        <is>
          <t>NOP LAMONGAN</t>
        </is>
      </c>
      <c r="D367" s="36" t="n">
        <v>3.14</v>
      </c>
      <c r="E367" s="36" t="n">
        <v>0</v>
      </c>
      <c r="F367" s="36" t="n">
        <v>3.46</v>
      </c>
      <c r="G367" s="36" t="n">
        <v>2.74</v>
      </c>
      <c r="H367" s="37" t="n">
        <v>0.9</v>
      </c>
      <c r="I367" s="37" t="n">
        <v>0.8461538461538461</v>
      </c>
      <c r="J367" s="37" t="n">
        <v>0.9090909090909091</v>
      </c>
      <c r="K367" s="37" t="n">
        <v>1</v>
      </c>
      <c r="L367" s="37" t="n">
        <v>1</v>
      </c>
      <c r="M367" s="37" t="n">
        <v>1</v>
      </c>
      <c r="N367" s="37" t="n">
        <v>0.7444444444444445</v>
      </c>
      <c r="O367" s="36" t="n">
        <v>0</v>
      </c>
      <c r="P367" s="36" t="n">
        <v>3.16</v>
      </c>
      <c r="Q367" s="36" t="n">
        <v>6.32</v>
      </c>
      <c r="R367" s="36" t="n">
        <v>64.45999999999999</v>
      </c>
      <c r="S367" s="36" t="n">
        <v>0</v>
      </c>
      <c r="T367" s="37" t="n">
        <v>0.7403846153846154</v>
      </c>
      <c r="U367" s="37" t="n">
        <v>0.5892857142857143</v>
      </c>
      <c r="V367" s="37" t="n">
        <v>0.9166666666666666</v>
      </c>
      <c r="W367" s="37" t="n">
        <v>0.8484848484848485</v>
      </c>
    </row>
    <row r="368">
      <c r="A368" s="53" t="n">
        <v>45819</v>
      </c>
      <c r="B368" t="inlineStr">
        <is>
          <t>R06_Jawa Timur</t>
        </is>
      </c>
      <c r="C368" t="inlineStr">
        <is>
          <t>NOP MADIUN</t>
        </is>
      </c>
      <c r="D368" s="36" t="n">
        <v>0.89</v>
      </c>
      <c r="E368" s="36" t="n">
        <v>0</v>
      </c>
      <c r="F368" s="36" t="n">
        <v>2.63</v>
      </c>
      <c r="G368" s="36" t="n">
        <v>2.73</v>
      </c>
      <c r="H368" s="37" t="n">
        <v>0.6518518518518519</v>
      </c>
      <c r="I368" s="37" t="n">
        <v>1</v>
      </c>
      <c r="J368" s="37" t="n">
        <v>0.6439393939393939</v>
      </c>
      <c r="K368" s="37" t="n">
        <v>1</v>
      </c>
      <c r="L368" s="37" t="n">
        <v>1</v>
      </c>
      <c r="M368" s="37" t="n">
        <v>0.9185185185185185</v>
      </c>
      <c r="N368" s="37" t="n">
        <v>0.4148148148148148</v>
      </c>
      <c r="O368" s="36" t="n">
        <v>0</v>
      </c>
      <c r="P368" s="36" t="n">
        <v>4.28</v>
      </c>
      <c r="Q368" s="36" t="n">
        <v>5.47</v>
      </c>
      <c r="R368" s="36" t="n">
        <v>27.49</v>
      </c>
      <c r="S368" s="36" t="n">
        <v>0</v>
      </c>
      <c r="T368" s="37" t="n">
        <v>0.7658536585365854</v>
      </c>
      <c r="U368" s="37" t="n">
        <v>0.6825396825396826</v>
      </c>
      <c r="V368" s="37" t="n">
        <v>0.8028169014084507</v>
      </c>
      <c r="W368" s="37" t="n">
        <v>0.813953488372093</v>
      </c>
    </row>
    <row r="369">
      <c r="A369" s="53" t="n">
        <v>45819</v>
      </c>
      <c r="B369" t="inlineStr">
        <is>
          <t>R06_Jawa Timur</t>
        </is>
      </c>
      <c r="C369" t="inlineStr">
        <is>
          <t>NOP MALANG</t>
        </is>
      </c>
      <c r="D369" s="36" t="n">
        <v>0</v>
      </c>
      <c r="E369" s="36" t="n">
        <v>0</v>
      </c>
      <c r="F369" s="36" t="n">
        <v>2.45</v>
      </c>
      <c r="G369" s="36" t="n">
        <v>2.37</v>
      </c>
      <c r="H369" s="37" t="n">
        <v>0.8795180722891566</v>
      </c>
      <c r="I369" s="37" t="n">
        <v>0</v>
      </c>
      <c r="J369" s="37" t="n">
        <v>0.8795180722891566</v>
      </c>
      <c r="K369" s="37" t="n">
        <v>0</v>
      </c>
      <c r="L369" s="37" t="n">
        <v>0</v>
      </c>
      <c r="M369" s="37" t="n">
        <v>1</v>
      </c>
      <c r="N369" s="37" t="n">
        <v>0.9397590361445783</v>
      </c>
      <c r="O369" s="36" t="n">
        <v>0</v>
      </c>
      <c r="P369" s="36" t="n">
        <v>2.58</v>
      </c>
      <c r="Q369" s="36" t="n">
        <v>3.93</v>
      </c>
      <c r="R369" s="36" t="n">
        <v>28.2</v>
      </c>
      <c r="S369" s="36" t="n">
        <v>0</v>
      </c>
      <c r="T369" s="37" t="n">
        <v>0.8235294117647058</v>
      </c>
      <c r="U369" s="37" t="n">
        <v>0.7058823529411765</v>
      </c>
      <c r="V369" s="37" t="n">
        <v>0.9117647058823529</v>
      </c>
      <c r="W369" s="37" t="n">
        <v>0.8888888888888888</v>
      </c>
    </row>
    <row r="370">
      <c r="A370" s="53" t="n">
        <v>45819</v>
      </c>
      <c r="B370" t="inlineStr">
        <is>
          <t>R06_Jawa Timur</t>
        </is>
      </c>
      <c r="C370" t="inlineStr">
        <is>
          <t>NOP SIDOARJO</t>
        </is>
      </c>
      <c r="D370" s="36" t="n">
        <v>1.86</v>
      </c>
      <c r="E370" s="36" t="n">
        <v>0</v>
      </c>
      <c r="F370" s="36" t="n">
        <v>4.61</v>
      </c>
      <c r="G370" s="36" t="n">
        <v>5.57</v>
      </c>
      <c r="H370" s="37" t="n">
        <v>0.7319587628865979</v>
      </c>
      <c r="I370" s="37" t="n">
        <v>1</v>
      </c>
      <c r="J370" s="37" t="n">
        <v>0.7263157894736842</v>
      </c>
      <c r="K370" s="37" t="n">
        <v>0.5</v>
      </c>
      <c r="L370" s="37" t="n">
        <v>0.5</v>
      </c>
      <c r="M370" s="37" t="n">
        <v>0.9690721649484536</v>
      </c>
      <c r="N370" s="37" t="n">
        <v>0.5257731958762887</v>
      </c>
      <c r="O370" s="36" t="n">
        <v>0.01</v>
      </c>
      <c r="P370" s="36" t="n">
        <v>2.7</v>
      </c>
      <c r="Q370" s="36" t="n">
        <v>10.54</v>
      </c>
      <c r="R370" s="36" t="n">
        <v>41.2</v>
      </c>
      <c r="S370" s="36" t="n">
        <v>0</v>
      </c>
      <c r="T370" s="37" t="n">
        <v>0.8461538461538461</v>
      </c>
      <c r="U370" s="37" t="n">
        <v>0.7272727272727273</v>
      </c>
      <c r="V370" s="37" t="n">
        <v>0.8677685950413223</v>
      </c>
      <c r="W370" s="37" t="n">
        <v>0.8125</v>
      </c>
    </row>
    <row r="371">
      <c r="A371" s="53" t="n">
        <v>45819</v>
      </c>
      <c r="B371" t="inlineStr">
        <is>
          <t>R06_Jawa Timur</t>
        </is>
      </c>
      <c r="C371" t="inlineStr">
        <is>
          <t>NOP SURABAYA</t>
        </is>
      </c>
      <c r="D371" s="36" t="n">
        <v>3.08</v>
      </c>
      <c r="E371" s="36" t="n">
        <v>0</v>
      </c>
      <c r="F371" s="36" t="n">
        <v>2.59</v>
      </c>
      <c r="G371" s="36" t="n">
        <v>3.08</v>
      </c>
      <c r="H371" s="37" t="n">
        <v>0.5298013245033113</v>
      </c>
      <c r="I371" s="37" t="n">
        <v>0.5333333333333333</v>
      </c>
      <c r="J371" s="37" t="n">
        <v>0.5294117647058824</v>
      </c>
      <c r="K371" s="37" t="n">
        <v>0.875</v>
      </c>
      <c r="L371" s="37" t="n">
        <v>0.875</v>
      </c>
      <c r="M371" s="37" t="n">
        <v>0.9006622516556292</v>
      </c>
      <c r="N371" s="37" t="n">
        <v>0.3774834437086093</v>
      </c>
      <c r="O371" s="36" t="n">
        <v>0.86</v>
      </c>
      <c r="P371" s="36" t="n">
        <v>2.43</v>
      </c>
      <c r="Q371" s="36" t="n">
        <v>7.09</v>
      </c>
      <c r="R371" s="36" t="n">
        <v>24.57</v>
      </c>
      <c r="S371" s="36" t="n">
        <v>0</v>
      </c>
      <c r="T371" s="37" t="n">
        <v>0.6078431372549019</v>
      </c>
      <c r="U371" s="37" t="n">
        <v>0.390625</v>
      </c>
      <c r="V371" s="37" t="n">
        <v>0.6652892561983471</v>
      </c>
      <c r="W371" s="37" t="n">
        <v>0.72</v>
      </c>
    </row>
    <row r="372">
      <c r="A372" s="53" t="n">
        <v>45819</v>
      </c>
      <c r="B372" t="inlineStr">
        <is>
          <t>R07_Bali Nusra</t>
        </is>
      </c>
      <c r="C372" t="inlineStr">
        <is>
          <t>NOP DENPASAR</t>
        </is>
      </c>
      <c r="D372" s="36" t="n">
        <v>3.5</v>
      </c>
      <c r="E372" s="36" t="n">
        <v>7.47</v>
      </c>
      <c r="F372" s="36" t="n">
        <v>2.49</v>
      </c>
      <c r="G372" s="36" t="n">
        <v>2.26</v>
      </c>
      <c r="H372" s="37" t="n">
        <v>0.9</v>
      </c>
      <c r="I372" s="37" t="n">
        <v>0.8888888888888888</v>
      </c>
      <c r="J372" s="37" t="n">
        <v>0.9019607843137255</v>
      </c>
      <c r="K372" s="37" t="n">
        <v>1</v>
      </c>
      <c r="L372" s="37" t="n">
        <v>1</v>
      </c>
      <c r="M372" s="37" t="n">
        <v>1</v>
      </c>
      <c r="N372" s="37" t="n">
        <v>0.9583333333333334</v>
      </c>
      <c r="O372" s="36" t="n">
        <v>0.01</v>
      </c>
      <c r="P372" s="36" t="n">
        <v>10.14</v>
      </c>
      <c r="Q372" s="36" t="n">
        <v>8.039999999999999</v>
      </c>
      <c r="R372" s="36" t="n">
        <v>23.31</v>
      </c>
      <c r="S372" s="36" t="n">
        <v>0</v>
      </c>
      <c r="T372" s="37" t="n">
        <v>0.823045267489712</v>
      </c>
      <c r="U372" s="37" t="n">
        <v>0.8536585365853658</v>
      </c>
      <c r="V372" s="37" t="n">
        <v>0.8074534161490683</v>
      </c>
      <c r="W372" s="37" t="n">
        <v>0.6714285714285714</v>
      </c>
    </row>
    <row r="373">
      <c r="A373" s="53" t="n">
        <v>45819</v>
      </c>
      <c r="B373" t="inlineStr">
        <is>
          <t>R07_Bali Nusra</t>
        </is>
      </c>
      <c r="C373" t="inlineStr">
        <is>
          <t>NOP FLORES</t>
        </is>
      </c>
      <c r="D373" s="36" t="n">
        <v>3.12</v>
      </c>
      <c r="E373" s="36" t="n">
        <v>5.25</v>
      </c>
      <c r="F373" s="36" t="n">
        <v>7.73</v>
      </c>
      <c r="G373" s="36" t="n">
        <v>9.81</v>
      </c>
      <c r="H373" s="37" t="n">
        <v>0.3753637245392822</v>
      </c>
      <c r="I373" s="37" t="n">
        <v>0.6927710843373494</v>
      </c>
      <c r="J373" s="37" t="n">
        <v>0.3144508670520231</v>
      </c>
      <c r="K373" s="37" t="n">
        <v>0.7043478260869566</v>
      </c>
      <c r="L373" s="37" t="n">
        <v>0.7043478260869566</v>
      </c>
      <c r="M373" s="37" t="n">
        <v>0.9757516973811833</v>
      </c>
      <c r="N373" s="37" t="n">
        <v>0.2453928225024248</v>
      </c>
      <c r="O373" s="36" t="n">
        <v>0.25</v>
      </c>
      <c r="P373" s="36" t="n">
        <v>9.43</v>
      </c>
      <c r="Q373" s="36" t="n">
        <v>11.38</v>
      </c>
      <c r="R373" s="36" t="n">
        <v>102.52</v>
      </c>
      <c r="S373" s="36" t="n">
        <v>0</v>
      </c>
      <c r="T373" s="37" t="n">
        <v>0.523037542662116</v>
      </c>
      <c r="U373" s="37" t="n">
        <v>0.5466830466830467</v>
      </c>
      <c r="V373" s="37" t="n">
        <v>0.4692737430167598</v>
      </c>
      <c r="W373" s="37" t="n">
        <v>0.8359550561797753</v>
      </c>
    </row>
    <row r="374">
      <c r="A374" s="53" t="n">
        <v>45819</v>
      </c>
      <c r="B374" t="inlineStr">
        <is>
          <t>R07_Bali Nusra</t>
        </is>
      </c>
      <c r="C374" t="inlineStr">
        <is>
          <t>NOP KUPANG</t>
        </is>
      </c>
      <c r="D374" s="36" t="n">
        <v>26.53</v>
      </c>
      <c r="E374" s="36" t="n">
        <v>8</v>
      </c>
      <c r="F374" s="36" t="n">
        <v>7.42</v>
      </c>
      <c r="G374" s="36" t="n">
        <v>7.75</v>
      </c>
      <c r="H374" s="37" t="n">
        <v>0.5620767494356659</v>
      </c>
      <c r="I374" s="37" t="n">
        <v>0.6781609195402298</v>
      </c>
      <c r="J374" s="37" t="n">
        <v>0.5337078651685393</v>
      </c>
      <c r="K374" s="37" t="n">
        <v>0.7627118644067796</v>
      </c>
      <c r="L374" s="37" t="n">
        <v>0.7627118644067796</v>
      </c>
      <c r="M374" s="37" t="n">
        <v>0.9729119638826185</v>
      </c>
      <c r="N374" s="37" t="n">
        <v>0.3295711060948081</v>
      </c>
      <c r="O374" s="36" t="n">
        <v>17.94</v>
      </c>
      <c r="P374" s="36" t="n">
        <v>8.94</v>
      </c>
      <c r="Q374" s="36" t="n">
        <v>18.94</v>
      </c>
      <c r="R374" s="36" t="n">
        <v>11.09</v>
      </c>
      <c r="S374" s="36" t="n">
        <v>0</v>
      </c>
      <c r="T374" s="37" t="n">
        <v>0.4922861150070126</v>
      </c>
      <c r="U374" s="37" t="n">
        <v>0.5835866261398176</v>
      </c>
      <c r="V374" s="37" t="n">
        <v>0.4140625</v>
      </c>
      <c r="W374" s="37" t="n">
        <v>0.7239583333333334</v>
      </c>
    </row>
    <row r="375">
      <c r="A375" s="53" t="n">
        <v>45819</v>
      </c>
      <c r="B375" t="inlineStr">
        <is>
          <t>R07_Bali Nusra</t>
        </is>
      </c>
      <c r="C375" t="inlineStr">
        <is>
          <t>NOP MATARAM</t>
        </is>
      </c>
      <c r="D375" s="36" t="n">
        <v>1.79</v>
      </c>
      <c r="E375" s="36" t="n">
        <v>3.59</v>
      </c>
      <c r="F375" s="36" t="n">
        <v>3.59</v>
      </c>
      <c r="G375" s="36" t="n">
        <v>6.22</v>
      </c>
      <c r="H375" s="37" t="n">
        <v>0.6216216216216216</v>
      </c>
      <c r="I375" s="37" t="n">
        <v>0.5357142857142857</v>
      </c>
      <c r="J375" s="37" t="n">
        <v>0.6320346320346321</v>
      </c>
      <c r="K375" s="37" t="n">
        <v>0.6666666666666666</v>
      </c>
      <c r="L375" s="37" t="n">
        <v>0.6666666666666666</v>
      </c>
      <c r="M375" s="37" t="n">
        <v>0.9884169884169884</v>
      </c>
      <c r="N375" s="37" t="n">
        <v>0.4092664092664093</v>
      </c>
      <c r="O375" s="36" t="n">
        <v>8.73</v>
      </c>
      <c r="P375" s="36" t="n">
        <v>18.75</v>
      </c>
      <c r="Q375" s="36" t="n">
        <v>20.7</v>
      </c>
      <c r="R375" s="36" t="n">
        <v>47.21</v>
      </c>
      <c r="S375" s="36" t="n">
        <v>0</v>
      </c>
      <c r="T375" s="37" t="n">
        <v>0.4390756302521008</v>
      </c>
      <c r="U375" s="37" t="n">
        <v>0.4121037463976945</v>
      </c>
      <c r="V375" s="37" t="n">
        <v>0.5116279069767442</v>
      </c>
      <c r="W375" s="37" t="n">
        <v>0.4895104895104895</v>
      </c>
    </row>
    <row r="376">
      <c r="A376" s="53" t="n">
        <v>45820</v>
      </c>
      <c r="B376" t="inlineStr">
        <is>
          <t>R01_Sumbagut</t>
        </is>
      </c>
      <c r="C376" t="inlineStr">
        <is>
          <t>NOP ACEH</t>
        </is>
      </c>
      <c r="D376" s="36" t="n">
        <v>3.05</v>
      </c>
      <c r="E376" s="36" t="n">
        <v>3.7</v>
      </c>
      <c r="F376" s="36" t="n">
        <v>4.71</v>
      </c>
      <c r="G376" s="36" t="n">
        <v>8.380000000000001</v>
      </c>
      <c r="H376" s="37" t="n">
        <v>0.8621227887617066</v>
      </c>
      <c r="I376" s="37" t="n">
        <v>0.8123249299719888</v>
      </c>
      <c r="J376" s="37" t="n">
        <v>0.873482428115016</v>
      </c>
      <c r="K376" s="37" t="n">
        <v>0.5310344827586206</v>
      </c>
      <c r="L376" s="37" t="n">
        <v>0.5272727272727272</v>
      </c>
      <c r="M376" s="37" t="n">
        <v>0.9963579604578564</v>
      </c>
      <c r="N376" s="37" t="n">
        <v>0.3662851196670135</v>
      </c>
      <c r="O376" s="36" t="n">
        <v>1.54</v>
      </c>
      <c r="P376" s="36" t="n">
        <v>4.03</v>
      </c>
      <c r="Q376" s="36" t="n">
        <v>59.4</v>
      </c>
      <c r="R376" s="36" t="n">
        <v>115.12</v>
      </c>
      <c r="S376" s="36" t="n">
        <v>0</v>
      </c>
      <c r="T376" s="37" t="n">
        <v>0.8419580419580419</v>
      </c>
      <c r="U376" s="37" t="n">
        <v>0.6545454545454545</v>
      </c>
      <c r="V376" s="37" t="n">
        <v>0.9195171026156942</v>
      </c>
      <c r="W376" s="37" t="n">
        <v>0.2907407407407407</v>
      </c>
    </row>
    <row r="377">
      <c r="A377" s="53" t="n">
        <v>45820</v>
      </c>
      <c r="B377" t="inlineStr">
        <is>
          <t>R01_Sumbagut</t>
        </is>
      </c>
      <c r="C377" t="inlineStr">
        <is>
          <t>NOP BINJAI</t>
        </is>
      </c>
      <c r="D377" s="36" t="n">
        <v>4.39</v>
      </c>
      <c r="E377" s="36" t="n">
        <v>5.4</v>
      </c>
      <c r="F377" s="36" t="n">
        <v>5.54</v>
      </c>
      <c r="G377" s="36" t="n">
        <v>5.92</v>
      </c>
      <c r="H377" s="37" t="n">
        <v>0.6138509968520461</v>
      </c>
      <c r="I377" s="37" t="n">
        <v>0.6567164179104478</v>
      </c>
      <c r="J377" s="37" t="n">
        <v>0.6023936170212766</v>
      </c>
      <c r="K377" s="37" t="n">
        <v>0.3939393939393939</v>
      </c>
      <c r="L377" s="37" t="n">
        <v>0.3939393939393939</v>
      </c>
      <c r="M377" s="37" t="n">
        <v>0.9926547743966422</v>
      </c>
      <c r="N377" s="37" t="n">
        <v>0.2623294858342078</v>
      </c>
      <c r="O377" s="36" t="n">
        <v>0.11</v>
      </c>
      <c r="P377" s="36" t="n">
        <v>3.96</v>
      </c>
      <c r="Q377" s="36" t="n">
        <v>41.67</v>
      </c>
      <c r="R377" s="36" t="n">
        <v>81.03</v>
      </c>
      <c r="S377" s="36" t="n">
        <v>0</v>
      </c>
      <c r="T377" s="37" t="n">
        <v>0.7030603804797353</v>
      </c>
      <c r="U377" s="37" t="n">
        <v>0.5784313725490197</v>
      </c>
      <c r="V377" s="37" t="n">
        <v>0.7755102040816326</v>
      </c>
      <c r="W377" s="37" t="n">
        <v>0.4661016949152542</v>
      </c>
    </row>
    <row r="378">
      <c r="A378" s="53" t="n">
        <v>45820</v>
      </c>
      <c r="B378" t="inlineStr">
        <is>
          <t>R01_Sumbagut</t>
        </is>
      </c>
      <c r="C378" t="inlineStr">
        <is>
          <t>NOP MEDAN</t>
        </is>
      </c>
      <c r="D378" s="36" t="n">
        <v>2.65</v>
      </c>
      <c r="E378" s="36" t="n">
        <v>5.37</v>
      </c>
      <c r="F378" s="36" t="n">
        <v>4.23</v>
      </c>
      <c r="G378" s="36" t="n">
        <v>8.07</v>
      </c>
      <c r="H378" s="37" t="n">
        <v>0.4249699879951981</v>
      </c>
      <c r="I378" s="37" t="n">
        <v>0.4789915966386555</v>
      </c>
      <c r="J378" s="37" t="n">
        <v>0.4033613445378151</v>
      </c>
      <c r="K378" s="37" t="n">
        <v>0.6666666666666666</v>
      </c>
      <c r="L378" s="37" t="n">
        <v>0.6756756756756757</v>
      </c>
      <c r="M378" s="37" t="n">
        <v>0.9987995198079231</v>
      </c>
      <c r="N378" s="37" t="n">
        <v>0.2280912364945978</v>
      </c>
      <c r="O378" s="36" t="n">
        <v>0</v>
      </c>
      <c r="P378" s="36" t="n">
        <v>5.1</v>
      </c>
      <c r="Q378" s="36" t="n">
        <v>17.27</v>
      </c>
      <c r="R378" s="36" t="n">
        <v>6.55</v>
      </c>
      <c r="S378" s="36" t="n">
        <v>0</v>
      </c>
      <c r="T378" s="37" t="n">
        <v>0.3368841544607191</v>
      </c>
      <c r="U378" s="37" t="n">
        <v>0.1697247706422018</v>
      </c>
      <c r="V378" s="37" t="n">
        <v>0.4318181818181818</v>
      </c>
      <c r="W378" s="37" t="n">
        <v>0.8108108108108109</v>
      </c>
    </row>
    <row r="379">
      <c r="A379" s="53" t="n">
        <v>45820</v>
      </c>
      <c r="B379" t="inlineStr">
        <is>
          <t>R01_Sumbagut</t>
        </is>
      </c>
      <c r="C379" t="inlineStr">
        <is>
          <t>NOP PADANG SIDEMPUAN</t>
        </is>
      </c>
      <c r="D379" s="36" t="n">
        <v>4.02</v>
      </c>
      <c r="E379" s="36" t="n">
        <v>6.3</v>
      </c>
      <c r="F379" s="36" t="n">
        <v>6.26</v>
      </c>
      <c r="G379" s="36" t="n">
        <v>7.35</v>
      </c>
      <c r="H379" s="37" t="n">
        <v>0.4259718775847808</v>
      </c>
      <c r="I379" s="37" t="n">
        <v>0.6962025316455697</v>
      </c>
      <c r="J379" s="37" t="n">
        <v>0.3853472882968602</v>
      </c>
      <c r="K379" s="37" t="n">
        <v>0.4909090909090909</v>
      </c>
      <c r="L379" s="37" t="n">
        <v>0.5</v>
      </c>
      <c r="M379" s="37" t="n">
        <v>0.9867659222497932</v>
      </c>
      <c r="N379" s="37" t="n">
        <v>0.1612903225806452</v>
      </c>
      <c r="O379" s="36" t="n">
        <v>0.16</v>
      </c>
      <c r="P379" s="36" t="n">
        <v>3.26</v>
      </c>
      <c r="Q379" s="36" t="n">
        <v>9.949999999999999</v>
      </c>
      <c r="R379" s="36" t="n">
        <v>58.96</v>
      </c>
      <c r="S379" s="36" t="n">
        <v>0</v>
      </c>
      <c r="T379" s="37" t="n">
        <v>0.6752910737386805</v>
      </c>
      <c r="U379" s="37" t="n">
        <v>0.6537421100090172</v>
      </c>
      <c r="V379" s="37" t="n">
        <v>0.6957627118644067</v>
      </c>
      <c r="W379" s="37" t="n">
        <v>0.5489655172413793</v>
      </c>
    </row>
    <row r="380">
      <c r="A380" s="53" t="n">
        <v>45820</v>
      </c>
      <c r="B380" t="inlineStr">
        <is>
          <t>R01_Sumbagut</t>
        </is>
      </c>
      <c r="C380" t="inlineStr">
        <is>
          <t>NOP PEMATANG SIANTAR</t>
        </is>
      </c>
      <c r="D380" s="36" t="n">
        <v>8.93</v>
      </c>
      <c r="E380" s="36" t="n">
        <v>5.66</v>
      </c>
      <c r="F380" s="36" t="n">
        <v>5.26</v>
      </c>
      <c r="G380" s="36" t="n">
        <v>7.19</v>
      </c>
      <c r="H380" s="37" t="n">
        <v>0.4913536076326774</v>
      </c>
      <c r="I380" s="37" t="n">
        <v>0.7519181585677749</v>
      </c>
      <c r="J380" s="37" t="n">
        <v>0.4121306376360809</v>
      </c>
      <c r="K380" s="37" t="n">
        <v>0.3979591836734694</v>
      </c>
      <c r="L380" s="37" t="n">
        <v>0.4</v>
      </c>
      <c r="M380" s="37" t="n">
        <v>0.962432915921288</v>
      </c>
      <c r="N380" s="37" t="n">
        <v>0.2337507453786524</v>
      </c>
      <c r="O380" s="36" t="n">
        <v>2.35</v>
      </c>
      <c r="P380" s="36" t="n">
        <v>5.08</v>
      </c>
      <c r="Q380" s="36" t="n">
        <v>50.68</v>
      </c>
      <c r="R380" s="36" t="n">
        <v>78.70999999999999</v>
      </c>
      <c r="S380" s="36" t="n">
        <v>0</v>
      </c>
      <c r="T380" s="37" t="n">
        <v>0.6374523679912901</v>
      </c>
      <c r="U380" s="37" t="n">
        <v>0.6984334203655352</v>
      </c>
      <c r="V380" s="37" t="n">
        <v>0.609979633401222</v>
      </c>
      <c r="W380" s="37" t="n">
        <v>0.5308411214953271</v>
      </c>
    </row>
    <row r="381">
      <c r="A381" s="53" t="n">
        <v>45820</v>
      </c>
      <c r="B381" t="inlineStr">
        <is>
          <t>R01_Sumbagut</t>
        </is>
      </c>
      <c r="C381" t="inlineStr">
        <is>
          <t>NOP RANTAU PRAPAT</t>
        </is>
      </c>
      <c r="D381" s="36" t="n">
        <v>4.04</v>
      </c>
      <c r="E381" s="36" t="n">
        <v>2.94</v>
      </c>
      <c r="F381" s="36" t="n">
        <v>3.86</v>
      </c>
      <c r="G381" s="36" t="n">
        <v>4.78</v>
      </c>
      <c r="H381" s="37" t="n">
        <v>0.4009489916963226</v>
      </c>
      <c r="I381" s="37" t="n">
        <v>0.3617021276595745</v>
      </c>
      <c r="J381" s="37" t="n">
        <v>0.4088319088319088</v>
      </c>
      <c r="K381" s="37" t="n">
        <v>0.5980392156862745</v>
      </c>
      <c r="L381" s="37" t="n">
        <v>0.5980392156862745</v>
      </c>
      <c r="M381" s="37" t="n">
        <v>0.9851720047449585</v>
      </c>
      <c r="N381" s="37" t="n">
        <v>0.2218268090154211</v>
      </c>
      <c r="O381" s="36" t="n">
        <v>0.12</v>
      </c>
      <c r="P381" s="36" t="n">
        <v>3.62</v>
      </c>
      <c r="Q381" s="36" t="n">
        <v>27.18</v>
      </c>
      <c r="R381" s="36" t="n">
        <v>86.08</v>
      </c>
      <c r="S381" s="36" t="n">
        <v>0</v>
      </c>
      <c r="T381" s="37" t="n">
        <v>0.2157939189189189</v>
      </c>
      <c r="U381" s="37" t="n">
        <v>0.2693798449612403</v>
      </c>
      <c r="V381" s="37" t="n">
        <v>0.1932011331444759</v>
      </c>
      <c r="W381" s="37" t="n">
        <v>0.460431654676259</v>
      </c>
    </row>
    <row r="382">
      <c r="A382" s="53" t="n">
        <v>45820</v>
      </c>
      <c r="B382" t="inlineStr">
        <is>
          <t>R10_Sumbagteng</t>
        </is>
      </c>
      <c r="C382" t="inlineStr">
        <is>
          <t>NOP BATAM</t>
        </is>
      </c>
      <c r="D382" s="36" t="n">
        <v>3.74</v>
      </c>
      <c r="E382" s="36" t="n">
        <v>7.85</v>
      </c>
      <c r="F382" s="36" t="n">
        <v>7.09</v>
      </c>
      <c r="G382" s="36" t="n">
        <v>8.4</v>
      </c>
      <c r="H382" s="37" t="n">
        <v>0.5438218390804598</v>
      </c>
      <c r="I382" s="37" t="n">
        <v>0.6781609195402298</v>
      </c>
      <c r="J382" s="37" t="n">
        <v>0.5128205128205128</v>
      </c>
      <c r="K382" s="37" t="n">
        <v>0.7401129943502824</v>
      </c>
      <c r="L382" s="37" t="n">
        <v>0.7428571428571429</v>
      </c>
      <c r="M382" s="37" t="n">
        <v>0.9920977011494253</v>
      </c>
      <c r="N382" s="37" t="n">
        <v>0.3864942528735632</v>
      </c>
      <c r="O382" s="36" t="n">
        <v>0.71</v>
      </c>
      <c r="P382" s="36" t="n">
        <v>9.94</v>
      </c>
      <c r="Q382" s="36" t="n">
        <v>64.38</v>
      </c>
      <c r="R382" s="36" t="n">
        <v>100.43</v>
      </c>
      <c r="S382" s="36" t="n">
        <v>0</v>
      </c>
      <c r="T382" s="37" t="n">
        <v>0.322272047832586</v>
      </c>
      <c r="U382" s="37" t="n">
        <v>0.4888143176733781</v>
      </c>
      <c r="V382" s="37" t="n">
        <v>0.2578512396694215</v>
      </c>
      <c r="W382" s="37" t="n">
        <v>0.7963386727688787</v>
      </c>
    </row>
    <row r="383">
      <c r="A383" s="53" t="n">
        <v>45820</v>
      </c>
      <c r="B383" t="inlineStr">
        <is>
          <t>R10_Sumbagteng</t>
        </is>
      </c>
      <c r="C383" t="inlineStr">
        <is>
          <t>NOP BUKITTINGGI</t>
        </is>
      </c>
      <c r="D383" s="36" t="n">
        <v>1.85</v>
      </c>
      <c r="E383" s="36" t="n">
        <v>3.75</v>
      </c>
      <c r="F383" s="36" t="n">
        <v>3.16</v>
      </c>
      <c r="G383" s="36" t="n">
        <v>4.47</v>
      </c>
      <c r="H383" s="37" t="n">
        <v>0.6832946635730859</v>
      </c>
      <c r="I383" s="37" t="n">
        <v>0.8051282051282052</v>
      </c>
      <c r="J383" s="37" t="n">
        <v>0.6476761619190404</v>
      </c>
      <c r="K383" s="37" t="n">
        <v>0.6242038216560509</v>
      </c>
      <c r="L383" s="37" t="n">
        <v>0.6490066225165563</v>
      </c>
      <c r="M383" s="37" t="n">
        <v>0.9466357308584686</v>
      </c>
      <c r="N383" s="37" t="n">
        <v>0.3538283062645012</v>
      </c>
      <c r="O383" s="36" t="n">
        <v>1.23</v>
      </c>
      <c r="P383" s="36" t="n">
        <v>5.43</v>
      </c>
      <c r="Q383" s="36" t="n">
        <v>70.44</v>
      </c>
      <c r="R383" s="36" t="n">
        <v>95.5</v>
      </c>
      <c r="S383" s="36" t="n">
        <v>0</v>
      </c>
      <c r="T383" s="37" t="n">
        <v>0.5866108786610879</v>
      </c>
      <c r="U383" s="37" t="n">
        <v>0.7731958762886598</v>
      </c>
      <c r="V383" s="37" t="n">
        <v>0.5499485066941298</v>
      </c>
      <c r="W383" s="37" t="n">
        <v>0.58</v>
      </c>
    </row>
    <row r="384">
      <c r="A384" s="53" t="n">
        <v>45820</v>
      </c>
      <c r="B384" t="inlineStr">
        <is>
          <t>R10_Sumbagteng</t>
        </is>
      </c>
      <c r="C384" t="inlineStr">
        <is>
          <t>NOP DUMAI</t>
        </is>
      </c>
      <c r="D384" s="36" t="n">
        <v>3.13</v>
      </c>
      <c r="E384" s="36" t="n">
        <v>5.27</v>
      </c>
      <c r="F384" s="36" t="n">
        <v>4.74</v>
      </c>
      <c r="G384" s="36" t="n">
        <v>6.03</v>
      </c>
      <c r="H384" s="37" t="n">
        <v>0.5150485436893204</v>
      </c>
      <c r="I384" s="37" t="n">
        <v>0.65</v>
      </c>
      <c r="J384" s="37" t="n">
        <v>0.4671052631578947</v>
      </c>
      <c r="K384" s="37" t="n">
        <v>0.7008547008547008</v>
      </c>
      <c r="L384" s="37" t="n">
        <v>0.7142857142857143</v>
      </c>
      <c r="M384" s="37" t="n">
        <v>0.9912621359223301</v>
      </c>
      <c r="N384" s="37" t="n">
        <v>0.2985436893203883</v>
      </c>
      <c r="O384" s="36" t="n">
        <v>0.12</v>
      </c>
      <c r="P384" s="36" t="n">
        <v>8.529999999999999</v>
      </c>
      <c r="Q384" s="36" t="n">
        <v>50.01</v>
      </c>
      <c r="R384" s="36" t="n">
        <v>99.31</v>
      </c>
      <c r="S384" s="36" t="n">
        <v>0</v>
      </c>
      <c r="T384" s="37" t="n">
        <v>0.2412918108419838</v>
      </c>
      <c r="U384" s="37" t="n">
        <v>0.3676470588235294</v>
      </c>
      <c r="V384" s="37" t="n">
        <v>0.2029205962884089</v>
      </c>
      <c r="W384" s="37" t="n">
        <v>0.9386666666666666</v>
      </c>
    </row>
    <row r="385">
      <c r="A385" s="53" t="n">
        <v>45820</v>
      </c>
      <c r="B385" t="inlineStr">
        <is>
          <t>R10_Sumbagteng</t>
        </is>
      </c>
      <c r="C385" t="inlineStr">
        <is>
          <t>NOP PADANG</t>
        </is>
      </c>
      <c r="D385" s="36" t="n">
        <v>1.51</v>
      </c>
      <c r="E385" s="36" t="n">
        <v>3.86</v>
      </c>
      <c r="F385" s="36" t="n">
        <v>4.19</v>
      </c>
      <c r="G385" s="36" t="n">
        <v>4.53</v>
      </c>
      <c r="H385" s="37" t="n">
        <v>0.631233595800525</v>
      </c>
      <c r="I385" s="37" t="n">
        <v>0.6491228070175439</v>
      </c>
      <c r="J385" s="37" t="n">
        <v>0.6297872340425532</v>
      </c>
      <c r="K385" s="37" t="n">
        <v>0.6486486486486487</v>
      </c>
      <c r="L385" s="37" t="n">
        <v>0.6486486486486487</v>
      </c>
      <c r="M385" s="37" t="n">
        <v>0.9711286089238845</v>
      </c>
      <c r="N385" s="37" t="n">
        <v>0.2887139107611549</v>
      </c>
      <c r="O385" s="36" t="n">
        <v>7.76</v>
      </c>
      <c r="P385" s="36" t="n">
        <v>6.05</v>
      </c>
      <c r="Q385" s="36" t="n">
        <v>55.81</v>
      </c>
      <c r="R385" s="36" t="n">
        <v>128.6</v>
      </c>
      <c r="S385" s="36" t="n">
        <v>0</v>
      </c>
      <c r="T385" s="37" t="n">
        <v>0.8036175710594315</v>
      </c>
      <c r="U385" s="37" t="n">
        <v>0.6438746438746439</v>
      </c>
      <c r="V385" s="37" t="n">
        <v>0.87125</v>
      </c>
      <c r="W385" s="37" t="n">
        <v>0.7256637168141593</v>
      </c>
    </row>
    <row r="386">
      <c r="A386" s="53" t="n">
        <v>45820</v>
      </c>
      <c r="B386" t="inlineStr">
        <is>
          <t>R10_Sumbagteng</t>
        </is>
      </c>
      <c r="C386" t="inlineStr">
        <is>
          <t>NOP PEKANBARU</t>
        </is>
      </c>
      <c r="D386" s="36" t="n">
        <v>3.52</v>
      </c>
      <c r="E386" s="36" t="n">
        <v>5.52</v>
      </c>
      <c r="F386" s="36" t="n">
        <v>4.26</v>
      </c>
      <c r="G386" s="36" t="n">
        <v>6.69</v>
      </c>
      <c r="H386" s="37" t="n">
        <v>0.4628002343292326</v>
      </c>
      <c r="I386" s="37" t="n">
        <v>0.4379310344827586</v>
      </c>
      <c r="J386" s="37" t="n">
        <v>0.4678899082568808</v>
      </c>
      <c r="K386" s="37" t="n">
        <v>0.7322834645669292</v>
      </c>
      <c r="L386" s="37" t="n">
        <v>0.7380952380952381</v>
      </c>
      <c r="M386" s="37" t="n">
        <v>0.9912126537785588</v>
      </c>
      <c r="N386" s="37" t="n">
        <v>0.2560046865846514</v>
      </c>
      <c r="O386" s="36" t="n">
        <v>0.46</v>
      </c>
      <c r="P386" s="36" t="n">
        <v>5.21</v>
      </c>
      <c r="Q386" s="36" t="n">
        <v>45.2</v>
      </c>
      <c r="R386" s="36" t="n">
        <v>65.92</v>
      </c>
      <c r="S386" s="36" t="n">
        <v>0</v>
      </c>
      <c r="T386" s="37" t="n">
        <v>0.3011687144141444</v>
      </c>
      <c r="U386" s="37" t="n">
        <v>0.3572120038722169</v>
      </c>
      <c r="V386" s="37" t="n">
        <v>0.2733748886910062</v>
      </c>
      <c r="W386" s="37" t="n">
        <v>0.8238482384823849</v>
      </c>
    </row>
    <row r="387">
      <c r="A387" s="53" t="n">
        <v>45820</v>
      </c>
      <c r="B387" t="inlineStr">
        <is>
          <t>R02_Sumbagsel</t>
        </is>
      </c>
      <c r="C387" t="inlineStr">
        <is>
          <t>NOP BENGKULU</t>
        </is>
      </c>
      <c r="D387" s="36" t="n">
        <v>2.66</v>
      </c>
      <c r="E387" s="36" t="n">
        <v>5.62</v>
      </c>
      <c r="F387" s="36" t="n">
        <v>3.81</v>
      </c>
      <c r="G387" s="36" t="n">
        <v>5.91</v>
      </c>
      <c r="H387" s="37" t="n">
        <v>0.4652087475149105</v>
      </c>
      <c r="I387" s="37" t="n">
        <v>0.528957528957529</v>
      </c>
      <c r="J387" s="37" t="n">
        <v>0.4431057563587684</v>
      </c>
      <c r="K387" s="37" t="n">
        <v>0.6715328467153284</v>
      </c>
      <c r="L387" s="37" t="n">
        <v>0.6715328467153284</v>
      </c>
      <c r="M387" s="37" t="n">
        <v>0.9920477137176938</v>
      </c>
      <c r="N387" s="37" t="n">
        <v>0.2952286282306163</v>
      </c>
      <c r="O387" s="36" t="n">
        <v>0</v>
      </c>
      <c r="P387" s="36" t="n">
        <v>4.84</v>
      </c>
      <c r="Q387" s="36" t="n">
        <v>8.359999999999999</v>
      </c>
      <c r="R387" s="36" t="n">
        <v>5</v>
      </c>
      <c r="S387" s="36" t="n">
        <v>0</v>
      </c>
      <c r="T387" s="37" t="n">
        <v>0.5095785440613027</v>
      </c>
      <c r="U387" s="37" t="n">
        <v>0.4307086614173228</v>
      </c>
      <c r="V387" s="37" t="n">
        <v>0.6328928046989721</v>
      </c>
      <c r="W387" s="37" t="n">
        <v>0.8829981718464351</v>
      </c>
    </row>
    <row r="388">
      <c r="A388" s="53" t="n">
        <v>45820</v>
      </c>
      <c r="B388" t="inlineStr">
        <is>
          <t>R02_Sumbagsel</t>
        </is>
      </c>
      <c r="C388" t="inlineStr">
        <is>
          <t>NOP JAMBI</t>
        </is>
      </c>
      <c r="D388" s="36" t="n">
        <v>4.86</v>
      </c>
      <c r="E388" s="36" t="n">
        <v>3.86</v>
      </c>
      <c r="F388" s="36" t="n">
        <v>3.68</v>
      </c>
      <c r="G388" s="36" t="n">
        <v>5.3</v>
      </c>
      <c r="H388" s="37" t="n">
        <v>0.3080808080808081</v>
      </c>
      <c r="I388" s="37" t="n">
        <v>0.3021077283372365</v>
      </c>
      <c r="J388" s="37" t="n">
        <v>0.310740354535975</v>
      </c>
      <c r="K388" s="37" t="n">
        <v>0.5891472868217055</v>
      </c>
      <c r="L388" s="37" t="n">
        <v>0.5891472868217055</v>
      </c>
      <c r="M388" s="37" t="n">
        <v>0.9906204906204906</v>
      </c>
      <c r="N388" s="37" t="n">
        <v>0.1565656565656566</v>
      </c>
      <c r="O388" s="36" t="n">
        <v>0</v>
      </c>
      <c r="P388" s="36" t="n">
        <v>3.33</v>
      </c>
      <c r="Q388" s="36" t="n">
        <v>14.71</v>
      </c>
      <c r="R388" s="36" t="n">
        <v>20.99</v>
      </c>
      <c r="S388" s="36" t="n">
        <v>0</v>
      </c>
      <c r="T388" s="37" t="n">
        <v>0.1966341895482728</v>
      </c>
      <c r="U388" s="37" t="n">
        <v>0.1672077922077922</v>
      </c>
      <c r="V388" s="37" t="n">
        <v>0.2577065351418003</v>
      </c>
      <c r="W388" s="37" t="n">
        <v>0.6456310679611651</v>
      </c>
    </row>
    <row r="389">
      <c r="A389" s="53" t="n">
        <v>45820</v>
      </c>
      <c r="B389" t="inlineStr">
        <is>
          <t>R02_Sumbagsel</t>
        </is>
      </c>
      <c r="C389" t="inlineStr">
        <is>
          <t>NOP LAMPUNG</t>
        </is>
      </c>
      <c r="D389" s="36" t="n">
        <v>5</v>
      </c>
      <c r="E389" s="36" t="n">
        <v>3.59</v>
      </c>
      <c r="F389" s="36" t="n">
        <v>3.24</v>
      </c>
      <c r="G389" s="36" t="n">
        <v>3.51</v>
      </c>
      <c r="H389" s="37" t="n">
        <v>0.5460526315789473</v>
      </c>
      <c r="I389" s="37" t="n">
        <v>0.76</v>
      </c>
      <c r="J389" s="37" t="n">
        <v>0.4859550561797753</v>
      </c>
      <c r="K389" s="37" t="n">
        <v>0.8289473684210527</v>
      </c>
      <c r="L389" s="37" t="n">
        <v>0.8266666666666667</v>
      </c>
      <c r="M389" s="37" t="n">
        <v>0.9890350877192983</v>
      </c>
      <c r="N389" s="37" t="n">
        <v>0.4364035087719298</v>
      </c>
      <c r="O389" s="36" t="n">
        <v>0.04</v>
      </c>
      <c r="P389" s="36" t="n">
        <v>12.62</v>
      </c>
      <c r="Q389" s="36" t="n">
        <v>4.07</v>
      </c>
      <c r="R389" s="36" t="n">
        <v>38.76</v>
      </c>
      <c r="S389" s="36" t="n">
        <v>0</v>
      </c>
      <c r="T389" s="37" t="n">
        <v>0.9069767441860465</v>
      </c>
      <c r="U389" s="37" t="n">
        <v>0.8806584362139918</v>
      </c>
      <c r="V389" s="37" t="n">
        <v>0.9276974416017798</v>
      </c>
      <c r="W389" s="37" t="n">
        <v>0.8878504672897196</v>
      </c>
    </row>
    <row r="390">
      <c r="A390" s="53" t="n">
        <v>45820</v>
      </c>
      <c r="B390" t="inlineStr">
        <is>
          <t>R02_Sumbagsel</t>
        </is>
      </c>
      <c r="C390" t="inlineStr">
        <is>
          <t>NOP MUARA ENIM</t>
        </is>
      </c>
      <c r="D390" s="36" t="n">
        <v>3.76</v>
      </c>
      <c r="E390" s="36" t="n">
        <v>4.06</v>
      </c>
      <c r="F390" s="36" t="n">
        <v>4.18</v>
      </c>
      <c r="G390" s="36" t="n">
        <v>5.43</v>
      </c>
      <c r="H390" s="37" t="n">
        <v>0.3193675889328063</v>
      </c>
      <c r="I390" s="37" t="n">
        <v>0.4264705882352941</v>
      </c>
      <c r="J390" s="37" t="n">
        <v>0.2987747408105561</v>
      </c>
      <c r="K390" s="37" t="n">
        <v>0.7011494252873564</v>
      </c>
      <c r="L390" s="37" t="n">
        <v>0.7176470588235294</v>
      </c>
      <c r="M390" s="37" t="n">
        <v>0.9802371541501976</v>
      </c>
      <c r="N390" s="37" t="n">
        <v>0.1723320158102767</v>
      </c>
      <c r="O390" s="36" t="n">
        <v>0</v>
      </c>
      <c r="P390" s="36" t="n">
        <v>20.49</v>
      </c>
      <c r="Q390" s="36" t="n">
        <v>11.69</v>
      </c>
      <c r="R390" s="36" t="n">
        <v>5.86</v>
      </c>
      <c r="S390" s="36" t="n">
        <v>0</v>
      </c>
      <c r="T390" s="37" t="n">
        <v>0.5461220743460303</v>
      </c>
      <c r="U390" s="37" t="n">
        <v>0.4692556634304207</v>
      </c>
      <c r="V390" s="37" t="n">
        <v>0.6303571428571428</v>
      </c>
      <c r="W390" s="37" t="n">
        <v>0.7724137931034483</v>
      </c>
    </row>
    <row r="391">
      <c r="A391" s="53" t="n">
        <v>45820</v>
      </c>
      <c r="B391" t="inlineStr">
        <is>
          <t>R02_Sumbagsel</t>
        </is>
      </c>
      <c r="C391" t="inlineStr">
        <is>
          <t>NOP PALEMBANG</t>
        </is>
      </c>
      <c r="D391" s="36" t="n">
        <v>3.47</v>
      </c>
      <c r="E391" s="36" t="n">
        <v>3.66</v>
      </c>
      <c r="F391" s="36" t="n">
        <v>5.39</v>
      </c>
      <c r="G391" s="36" t="n">
        <v>6.48</v>
      </c>
      <c r="H391" s="37" t="n">
        <v>0.2557251908396946</v>
      </c>
      <c r="I391" s="37" t="n">
        <v>0.2162162162162162</v>
      </c>
      <c r="J391" s="37" t="n">
        <v>0.2609949531362653</v>
      </c>
      <c r="K391" s="37" t="n">
        <v>0.475</v>
      </c>
      <c r="L391" s="37" t="n">
        <v>0.475</v>
      </c>
      <c r="M391" s="37" t="n">
        <v>1</v>
      </c>
      <c r="N391" s="37" t="n">
        <v>0.1138676844783715</v>
      </c>
      <c r="O391" s="36" t="n">
        <v>0</v>
      </c>
      <c r="P391" s="36" t="n">
        <v>3.1</v>
      </c>
      <c r="Q391" s="36" t="n">
        <v>9.73</v>
      </c>
      <c r="R391" s="36" t="n">
        <v>19.74</v>
      </c>
      <c r="S391" s="36" t="n">
        <v>0</v>
      </c>
      <c r="T391" s="37" t="n">
        <v>0.1323459149546106</v>
      </c>
      <c r="U391" s="37" t="n">
        <v>0.110732538330494</v>
      </c>
      <c r="V391" s="37" t="n">
        <v>0.2091690544412607</v>
      </c>
      <c r="W391" s="37" t="n">
        <v>0.6384615384615384</v>
      </c>
    </row>
    <row r="392">
      <c r="A392" s="53" t="n">
        <v>45820</v>
      </c>
      <c r="B392" t="inlineStr">
        <is>
          <t>R02_Sumbagsel</t>
        </is>
      </c>
      <c r="C392" t="inlineStr">
        <is>
          <t>NOP PANGKAL PINANG</t>
        </is>
      </c>
      <c r="D392" s="36" t="n">
        <v>0</v>
      </c>
      <c r="E392" s="36" t="n">
        <v>3.61</v>
      </c>
      <c r="F392" s="36" t="n">
        <v>5.47</v>
      </c>
      <c r="G392" s="36" t="n">
        <v>5.7</v>
      </c>
      <c r="H392" s="37" t="n">
        <v>0.7741935483870968</v>
      </c>
      <c r="I392" s="37" t="n">
        <v>0.7272727272727273</v>
      </c>
      <c r="J392" s="37" t="n">
        <v>0.7766990291262136</v>
      </c>
      <c r="K392" s="37" t="n">
        <v>0.625</v>
      </c>
      <c r="L392" s="37" t="n">
        <v>0.625</v>
      </c>
      <c r="M392" s="37" t="n">
        <v>1</v>
      </c>
      <c r="N392" s="37" t="n">
        <v>0.4976958525345622</v>
      </c>
      <c r="O392" s="36" t="n">
        <v>0</v>
      </c>
      <c r="P392" s="36" t="n">
        <v>4.78</v>
      </c>
      <c r="Q392" s="36" t="n">
        <v>6.71</v>
      </c>
      <c r="R392" s="36" t="n">
        <v>6.03</v>
      </c>
      <c r="S392" s="36" t="n">
        <v>0</v>
      </c>
      <c r="T392" s="37" t="n">
        <v>0.931113662456946</v>
      </c>
      <c r="U392" s="37" t="n">
        <v>0.9409282700421941</v>
      </c>
      <c r="V392" s="37" t="n">
        <v>0.9363484087102177</v>
      </c>
      <c r="W392" s="37" t="n">
        <v>0.8340807174887892</v>
      </c>
    </row>
    <row r="393">
      <c r="A393" s="53" t="n">
        <v>45820</v>
      </c>
      <c r="B393" t="inlineStr">
        <is>
          <t>R05_Jawa Tengah DIY</t>
        </is>
      </c>
      <c r="C393" t="inlineStr">
        <is>
          <t>NOP MAGELANG</t>
        </is>
      </c>
      <c r="D393" s="36" t="n">
        <v>3.83</v>
      </c>
      <c r="E393" s="36" t="n">
        <v>0</v>
      </c>
      <c r="F393" s="36" t="n">
        <v>2.45</v>
      </c>
      <c r="G393" s="36" t="n">
        <v>3.1</v>
      </c>
      <c r="H393" s="37" t="n">
        <v>0.7898089171974523</v>
      </c>
      <c r="I393" s="37" t="n">
        <v>0.8888888888888888</v>
      </c>
      <c r="J393" s="37" t="n">
        <v>0.7837837837837838</v>
      </c>
      <c r="K393" s="37" t="n">
        <v>1</v>
      </c>
      <c r="L393" s="37" t="n">
        <v>1</v>
      </c>
      <c r="M393" s="37" t="n">
        <v>1</v>
      </c>
      <c r="N393" s="37" t="n">
        <v>0.6496815286624203</v>
      </c>
      <c r="O393" s="36" t="n">
        <v>0</v>
      </c>
      <c r="P393" s="36" t="n">
        <v>2.32</v>
      </c>
      <c r="Q393" s="36" t="n">
        <v>5.29</v>
      </c>
      <c r="R393" s="36" t="n">
        <v>15.15</v>
      </c>
      <c r="S393" s="36" t="n">
        <v>0</v>
      </c>
      <c r="T393" s="37" t="n">
        <v>0.9314194577352473</v>
      </c>
      <c r="U393" s="37" t="n">
        <v>0.8666666666666667</v>
      </c>
      <c r="V393" s="37" t="n">
        <v>0.9422718808193669</v>
      </c>
      <c r="W393" s="37" t="n">
        <v>0.8974358974358975</v>
      </c>
    </row>
    <row r="394">
      <c r="A394" s="53" t="n">
        <v>45820</v>
      </c>
      <c r="B394" t="inlineStr">
        <is>
          <t>R05_Jawa Tengah DIY</t>
        </is>
      </c>
      <c r="C394" t="inlineStr">
        <is>
          <t>NOP PEKALONGAN</t>
        </is>
      </c>
      <c r="D394" s="36" t="n">
        <v>4.56</v>
      </c>
      <c r="E394" s="36" t="n">
        <v>0</v>
      </c>
      <c r="F394" s="36" t="n">
        <v>3.08</v>
      </c>
      <c r="G394" s="36" t="n">
        <v>7.67</v>
      </c>
      <c r="H394" s="37" t="n">
        <v>0.7372881355932204</v>
      </c>
      <c r="I394" s="37" t="n">
        <v>0.7692307692307693</v>
      </c>
      <c r="J394" s="37" t="n">
        <v>0.7333333333333333</v>
      </c>
      <c r="K394" s="37" t="n">
        <v>1</v>
      </c>
      <c r="L394" s="37" t="n">
        <v>1</v>
      </c>
      <c r="M394" s="37" t="n">
        <v>0.940677966101695</v>
      </c>
      <c r="N394" s="37" t="n">
        <v>0.559322033898305</v>
      </c>
      <c r="O394" s="36" t="n">
        <v>0</v>
      </c>
      <c r="P394" s="36" t="n">
        <v>3.21</v>
      </c>
      <c r="Q394" s="36" t="n">
        <v>9.029999999999999</v>
      </c>
      <c r="R394" s="36" t="n">
        <v>48.42</v>
      </c>
      <c r="S394" s="36" t="n">
        <v>0</v>
      </c>
      <c r="T394" s="37" t="n">
        <v>0.8490028490028491</v>
      </c>
      <c r="U394" s="37" t="n">
        <v>0.7580645161290323</v>
      </c>
      <c r="V394" s="37" t="n">
        <v>0.8685121107266436</v>
      </c>
      <c r="W394" s="37" t="n">
        <v>0.5319148936170213</v>
      </c>
    </row>
    <row r="395">
      <c r="A395" s="53" t="n">
        <v>45820</v>
      </c>
      <c r="B395" t="inlineStr">
        <is>
          <t>R05_Jawa Tengah DIY</t>
        </is>
      </c>
      <c r="C395" t="inlineStr">
        <is>
          <t>NOP PURWOKERTO</t>
        </is>
      </c>
      <c r="D395" s="36" t="n">
        <v>4.18</v>
      </c>
      <c r="E395" s="36" t="n">
        <v>3.14</v>
      </c>
      <c r="F395" s="36" t="n">
        <v>2.54</v>
      </c>
      <c r="G395" s="36" t="n">
        <v>4.19</v>
      </c>
      <c r="H395" s="37" t="n">
        <v>0.6705202312138728</v>
      </c>
      <c r="I395" s="37" t="n">
        <v>0.875</v>
      </c>
      <c r="J395" s="37" t="n">
        <v>0.6496815286624203</v>
      </c>
      <c r="K395" s="37" t="n">
        <v>0.9285714285714286</v>
      </c>
      <c r="L395" s="37" t="n">
        <v>0.9285714285714286</v>
      </c>
      <c r="M395" s="37" t="n">
        <v>0.9826589595375722</v>
      </c>
      <c r="N395" s="37" t="n">
        <v>0.3930635838150289</v>
      </c>
      <c r="O395" s="36" t="n">
        <v>0.5</v>
      </c>
      <c r="P395" s="36" t="n">
        <v>5.28</v>
      </c>
      <c r="Q395" s="36" t="n">
        <v>7.8</v>
      </c>
      <c r="R395" s="36" t="n">
        <v>33.97</v>
      </c>
      <c r="S395" s="36" t="n">
        <v>0</v>
      </c>
      <c r="T395" s="37" t="n">
        <v>0.8446215139442231</v>
      </c>
      <c r="U395" s="37" t="n">
        <v>0.8292682926829268</v>
      </c>
      <c r="V395" s="37" t="n">
        <v>0.8520710059171598</v>
      </c>
      <c r="W395" s="37" t="n">
        <v>0.6323529411764706</v>
      </c>
    </row>
    <row r="396">
      <c r="A396" s="53" t="n">
        <v>45820</v>
      </c>
      <c r="B396" t="inlineStr">
        <is>
          <t>R05_Jawa Tengah DIY</t>
        </is>
      </c>
      <c r="C396" t="inlineStr">
        <is>
          <t>NOP SEMARANG</t>
        </is>
      </c>
      <c r="D396" s="36" t="n">
        <v>2.67</v>
      </c>
      <c r="E396" s="36" t="n">
        <v>2.57</v>
      </c>
      <c r="F396" s="36" t="n">
        <v>2.7</v>
      </c>
      <c r="G396" s="36" t="n">
        <v>3.6</v>
      </c>
      <c r="H396" s="37" t="n">
        <v>0.6791907514450867</v>
      </c>
      <c r="I396" s="37" t="n">
        <v>0.8620689655172413</v>
      </c>
      <c r="J396" s="37" t="n">
        <v>0.6624605678233438</v>
      </c>
      <c r="K396" s="37" t="n">
        <v>0.96</v>
      </c>
      <c r="L396" s="37" t="n">
        <v>0.96</v>
      </c>
      <c r="M396" s="37" t="n">
        <v>0.9508670520231214</v>
      </c>
      <c r="N396" s="37" t="n">
        <v>0.4566473988439306</v>
      </c>
      <c r="O396" s="36" t="n">
        <v>0.13</v>
      </c>
      <c r="P396" s="36" t="n">
        <v>7.38</v>
      </c>
      <c r="Q396" s="36" t="n">
        <v>6.18</v>
      </c>
      <c r="R396" s="36" t="n">
        <v>67.48</v>
      </c>
      <c r="S396" s="36" t="n">
        <v>0</v>
      </c>
      <c r="T396" s="37" t="n">
        <v>0.8811188811188811</v>
      </c>
      <c r="U396" s="37" t="n">
        <v>0.8128654970760234</v>
      </c>
      <c r="V396" s="37" t="n">
        <v>0.9263565891472868</v>
      </c>
      <c r="W396" s="37" t="n">
        <v>0.8705035971223022</v>
      </c>
    </row>
    <row r="397">
      <c r="A397" s="53" t="n">
        <v>45820</v>
      </c>
      <c r="B397" t="inlineStr">
        <is>
          <t>R05_Jawa Tengah DIY</t>
        </is>
      </c>
      <c r="C397" t="inlineStr">
        <is>
          <t>NOP SURAKARTA</t>
        </is>
      </c>
      <c r="D397" s="36" t="n">
        <v>1.92</v>
      </c>
      <c r="E397" s="36" t="n">
        <v>2.03</v>
      </c>
      <c r="F397" s="36" t="n">
        <v>3.16</v>
      </c>
      <c r="G397" s="36" t="n">
        <v>3.15</v>
      </c>
      <c r="H397" s="37" t="n">
        <v>0.7740963855421686</v>
      </c>
      <c r="I397" s="37" t="n">
        <v>0.7692307692307693</v>
      </c>
      <c r="J397" s="37" t="n">
        <v>0.7745098039215687</v>
      </c>
      <c r="K397" s="37" t="n">
        <v>0.8</v>
      </c>
      <c r="L397" s="37" t="n">
        <v>0.8</v>
      </c>
      <c r="M397" s="37" t="n">
        <v>0.9668674698795181</v>
      </c>
      <c r="N397" s="37" t="n">
        <v>0.5150602409638554</v>
      </c>
      <c r="O397" s="36" t="n">
        <v>0.24</v>
      </c>
      <c r="P397" s="36" t="n">
        <v>8.25</v>
      </c>
      <c r="Q397" s="36" t="n">
        <v>6.29</v>
      </c>
      <c r="R397" s="36" t="n">
        <v>58.13</v>
      </c>
      <c r="S397" s="36" t="n">
        <v>0</v>
      </c>
      <c r="T397" s="37" t="n">
        <v>0.8054919908466819</v>
      </c>
      <c r="U397" s="37" t="n">
        <v>0.6419753086419753</v>
      </c>
      <c r="V397" s="37" t="n">
        <v>0.9018181818181819</v>
      </c>
      <c r="W397" s="37" t="n">
        <v>0.6442307692307693</v>
      </c>
    </row>
    <row r="398">
      <c r="A398" s="53" t="n">
        <v>45820</v>
      </c>
      <c r="B398" t="inlineStr">
        <is>
          <t>R05_Jawa Tengah DIY</t>
        </is>
      </c>
      <c r="C398" t="inlineStr">
        <is>
          <t>NOP YOGYAKARTA</t>
        </is>
      </c>
      <c r="D398" s="36" t="n">
        <v>2.7</v>
      </c>
      <c r="E398" s="36" t="n">
        <v>0</v>
      </c>
      <c r="F398" s="36" t="n">
        <v>2.52</v>
      </c>
      <c r="G398" s="36" t="n">
        <v>3.26</v>
      </c>
      <c r="H398" s="37" t="n">
        <v>0.7472527472527473</v>
      </c>
      <c r="I398" s="37" t="n">
        <v>0.7777777777777778</v>
      </c>
      <c r="J398" s="37" t="n">
        <v>0.7456647398843931</v>
      </c>
      <c r="K398" s="37" t="n">
        <v>0.8571428571428571</v>
      </c>
      <c r="L398" s="37" t="n">
        <v>0.8571428571428571</v>
      </c>
      <c r="M398" s="37" t="n">
        <v>0.9890109890109891</v>
      </c>
      <c r="N398" s="37" t="n">
        <v>0.554945054945055</v>
      </c>
      <c r="O398" s="36" t="n">
        <v>0</v>
      </c>
      <c r="P398" s="36" t="n">
        <v>4.77</v>
      </c>
      <c r="Q398" s="36" t="n">
        <v>5.83</v>
      </c>
      <c r="R398" s="36" t="n">
        <v>35.4</v>
      </c>
      <c r="S398" s="36" t="n">
        <v>0</v>
      </c>
      <c r="T398" s="37" t="n">
        <v>0.9295454545454546</v>
      </c>
      <c r="U398" s="37" t="n">
        <v>0.917910447761194</v>
      </c>
      <c r="V398" s="37" t="n">
        <v>0.934640522875817</v>
      </c>
      <c r="W398" s="37" t="n">
        <v>0.967479674796748</v>
      </c>
    </row>
    <row r="399">
      <c r="A399" s="53" t="n">
        <v>45820</v>
      </c>
      <c r="B399" t="inlineStr">
        <is>
          <t>R06_Jawa Timur</t>
        </is>
      </c>
      <c r="C399" t="inlineStr">
        <is>
          <t>NOP JEMBER</t>
        </is>
      </c>
      <c r="D399" s="36" t="n">
        <v>4.37</v>
      </c>
      <c r="E399" s="36" t="n">
        <v>0.4</v>
      </c>
      <c r="F399" s="36" t="n">
        <v>2.94</v>
      </c>
      <c r="G399" s="36" t="n">
        <v>2.54</v>
      </c>
      <c r="H399" s="37" t="n">
        <v>0.7647058823529411</v>
      </c>
      <c r="I399" s="37" t="n">
        <v>0.8333333333333334</v>
      </c>
      <c r="J399" s="37" t="n">
        <v>0.759493670886076</v>
      </c>
      <c r="K399" s="37" t="n">
        <v>0.9</v>
      </c>
      <c r="L399" s="37" t="n">
        <v>0.9</v>
      </c>
      <c r="M399" s="37" t="n">
        <v>0.9882352941176471</v>
      </c>
      <c r="N399" s="37" t="n">
        <v>0.4823529411764706</v>
      </c>
      <c r="O399" s="36" t="n">
        <v>0</v>
      </c>
      <c r="P399" s="36" t="n">
        <v>2.4</v>
      </c>
      <c r="Q399" s="36" t="n">
        <v>7.73</v>
      </c>
      <c r="R399" s="36" t="n">
        <v>118.67</v>
      </c>
      <c r="S399" s="36" t="n">
        <v>0</v>
      </c>
      <c r="T399" s="37" t="n">
        <v>0.8115384615384615</v>
      </c>
      <c r="U399" s="37" t="n">
        <v>0.6842105263157895</v>
      </c>
      <c r="V399" s="37" t="n">
        <v>0.8641304347826086</v>
      </c>
      <c r="W399" s="37" t="n">
        <v>0.8653846153846154</v>
      </c>
    </row>
    <row r="400">
      <c r="A400" s="53" t="n">
        <v>45820</v>
      </c>
      <c r="B400" t="inlineStr">
        <is>
          <t>R06_Jawa Timur</t>
        </is>
      </c>
      <c r="C400" t="inlineStr">
        <is>
          <t>NOP KEDIRI</t>
        </is>
      </c>
      <c r="D400" s="36" t="n">
        <v>2.23</v>
      </c>
      <c r="E400" s="36" t="n">
        <v>0</v>
      </c>
      <c r="F400" s="36" t="n">
        <v>1.9</v>
      </c>
      <c r="G400" s="36" t="n">
        <v>2.7</v>
      </c>
      <c r="H400" s="37" t="n">
        <v>0.8504672897196262</v>
      </c>
      <c r="I400" s="37" t="n">
        <v>1</v>
      </c>
      <c r="J400" s="37" t="n">
        <v>0.8431372549019608</v>
      </c>
      <c r="K400" s="37" t="n">
        <v>0.8</v>
      </c>
      <c r="L400" s="37" t="n">
        <v>0.8</v>
      </c>
      <c r="M400" s="37" t="n">
        <v>1</v>
      </c>
      <c r="N400" s="37" t="n">
        <v>0.6448598130841121</v>
      </c>
      <c r="O400" s="36" t="n">
        <v>0</v>
      </c>
      <c r="P400" s="36" t="n">
        <v>2</v>
      </c>
      <c r="Q400" s="36" t="n">
        <v>5.53</v>
      </c>
      <c r="R400" s="36" t="n">
        <v>21.36</v>
      </c>
      <c r="S400" s="36" t="n">
        <v>0</v>
      </c>
      <c r="T400" s="37" t="n">
        <v>0.9419354838709677</v>
      </c>
      <c r="U400" s="37" t="n">
        <v>0.9047619047619048</v>
      </c>
      <c r="V400" s="37" t="n">
        <v>0.9557522123893806</v>
      </c>
      <c r="W400" s="37" t="n">
        <v>0.9210526315789473</v>
      </c>
    </row>
    <row r="401">
      <c r="A401" s="53" t="n">
        <v>45820</v>
      </c>
      <c r="B401" t="inlineStr">
        <is>
          <t>R06_Jawa Timur</t>
        </is>
      </c>
      <c r="C401" t="inlineStr">
        <is>
          <t>NOP LAMONGAN</t>
        </is>
      </c>
      <c r="D401" s="36" t="n">
        <v>3.14</v>
      </c>
      <c r="E401" s="36" t="n">
        <v>0</v>
      </c>
      <c r="F401" s="36" t="n">
        <v>3.24</v>
      </c>
      <c r="G401" s="36" t="n">
        <v>2.9</v>
      </c>
      <c r="H401" s="37" t="n">
        <v>0.9117647058823529</v>
      </c>
      <c r="I401" s="37" t="n">
        <v>0.8461538461538461</v>
      </c>
      <c r="J401" s="37" t="n">
        <v>0.9213483146067416</v>
      </c>
      <c r="K401" s="37" t="n">
        <v>1</v>
      </c>
      <c r="L401" s="37" t="n">
        <v>1</v>
      </c>
      <c r="M401" s="37" t="n">
        <v>1</v>
      </c>
      <c r="N401" s="37" t="n">
        <v>0.7647058823529411</v>
      </c>
      <c r="O401" s="36" t="n">
        <v>0</v>
      </c>
      <c r="P401" s="36" t="n">
        <v>3.06</v>
      </c>
      <c r="Q401" s="36" t="n">
        <v>9.380000000000001</v>
      </c>
      <c r="R401" s="36" t="n">
        <v>69.12</v>
      </c>
      <c r="S401" s="36" t="n">
        <v>0</v>
      </c>
      <c r="T401" s="37" t="n">
        <v>0.7410714285714286</v>
      </c>
      <c r="U401" s="37" t="n">
        <v>0.6065573770491803</v>
      </c>
      <c r="V401" s="37" t="n">
        <v>0.9019607843137255</v>
      </c>
      <c r="W401" s="37" t="n">
        <v>0.8378378378378378</v>
      </c>
    </row>
    <row r="402">
      <c r="A402" s="53" t="n">
        <v>45820</v>
      </c>
      <c r="B402" t="inlineStr">
        <is>
          <t>R06_Jawa Timur</t>
        </is>
      </c>
      <c r="C402" t="inlineStr">
        <is>
          <t>NOP MADIUN</t>
        </is>
      </c>
      <c r="D402" s="36" t="n">
        <v>0.89</v>
      </c>
      <c r="E402" s="36" t="n">
        <v>0</v>
      </c>
      <c r="F402" s="36" t="n">
        <v>2.63</v>
      </c>
      <c r="G402" s="36" t="n">
        <v>2.7</v>
      </c>
      <c r="H402" s="37" t="n">
        <v>0.6344827586206897</v>
      </c>
      <c r="I402" s="37" t="n">
        <v>1</v>
      </c>
      <c r="J402" s="37" t="n">
        <v>0.6267605633802817</v>
      </c>
      <c r="K402" s="37" t="n">
        <v>1</v>
      </c>
      <c r="L402" s="37" t="n">
        <v>1</v>
      </c>
      <c r="M402" s="37" t="n">
        <v>0.9241379310344827</v>
      </c>
      <c r="N402" s="37" t="n">
        <v>0.4</v>
      </c>
      <c r="O402" s="36" t="n">
        <v>0</v>
      </c>
      <c r="P402" s="36" t="n">
        <v>4.44</v>
      </c>
      <c r="Q402" s="36" t="n">
        <v>5.63</v>
      </c>
      <c r="R402" s="36" t="n">
        <v>29.82</v>
      </c>
      <c r="S402" s="36" t="n">
        <v>0</v>
      </c>
      <c r="T402" s="37" t="n">
        <v>0.7682403433476395</v>
      </c>
      <c r="U402" s="37" t="n">
        <v>0.7058823529411765</v>
      </c>
      <c r="V402" s="37" t="n">
        <v>0.7939393939393939</v>
      </c>
      <c r="W402" s="37" t="n">
        <v>0.8333333333333334</v>
      </c>
    </row>
    <row r="403">
      <c r="A403" s="53" t="n">
        <v>45820</v>
      </c>
      <c r="B403" t="inlineStr">
        <is>
          <t>R06_Jawa Timur</t>
        </is>
      </c>
      <c r="C403" t="inlineStr">
        <is>
          <t>NOP MALANG</t>
        </is>
      </c>
      <c r="D403" s="36" t="n">
        <v>0</v>
      </c>
      <c r="E403" s="36" t="n">
        <v>0</v>
      </c>
      <c r="F403" s="36" t="n">
        <v>2.43</v>
      </c>
      <c r="G403" s="36" t="n">
        <v>2.48</v>
      </c>
      <c r="H403" s="37" t="n">
        <v>0.8888888888888888</v>
      </c>
      <c r="I403" s="37" t="n">
        <v>0</v>
      </c>
      <c r="J403" s="37" t="n">
        <v>0.8888888888888888</v>
      </c>
      <c r="K403" s="37" t="n">
        <v>0</v>
      </c>
      <c r="L403" s="37" t="n">
        <v>0</v>
      </c>
      <c r="M403" s="37" t="n">
        <v>1</v>
      </c>
      <c r="N403" s="37" t="n">
        <v>0.9393939393939394</v>
      </c>
      <c r="O403" s="36" t="n">
        <v>0</v>
      </c>
      <c r="P403" s="36" t="n">
        <v>2.57</v>
      </c>
      <c r="Q403" s="36" t="n">
        <v>3.78</v>
      </c>
      <c r="R403" s="36" t="n">
        <v>35.6</v>
      </c>
      <c r="S403" s="36" t="n">
        <v>0</v>
      </c>
      <c r="T403" s="37" t="n">
        <v>0.8467153284671532</v>
      </c>
      <c r="U403" s="37" t="n">
        <v>0.7169811320754716</v>
      </c>
      <c r="V403" s="37" t="n">
        <v>0.9285714285714286</v>
      </c>
      <c r="W403" s="37" t="n">
        <v>0.8947368421052632</v>
      </c>
    </row>
    <row r="404">
      <c r="A404" s="53" t="n">
        <v>45820</v>
      </c>
      <c r="B404" t="inlineStr">
        <is>
          <t>R06_Jawa Timur</t>
        </is>
      </c>
      <c r="C404" t="inlineStr">
        <is>
          <t>NOP SIDOARJO</t>
        </is>
      </c>
      <c r="D404" s="36" t="n">
        <v>1.86</v>
      </c>
      <c r="E404" s="36" t="n">
        <v>0</v>
      </c>
      <c r="F404" s="36" t="n">
        <v>4.05</v>
      </c>
      <c r="G404" s="36" t="n">
        <v>5.12</v>
      </c>
      <c r="H404" s="37" t="n">
        <v>0.6902654867256637</v>
      </c>
      <c r="I404" s="37" t="n">
        <v>1</v>
      </c>
      <c r="J404" s="37" t="n">
        <v>0.6846846846846847</v>
      </c>
      <c r="K404" s="37" t="n">
        <v>0.5</v>
      </c>
      <c r="L404" s="37" t="n">
        <v>0.5</v>
      </c>
      <c r="M404" s="37" t="n">
        <v>0.9734513274336283</v>
      </c>
      <c r="N404" s="37" t="n">
        <v>0.495575221238938</v>
      </c>
      <c r="O404" s="36" t="n">
        <v>0.01</v>
      </c>
      <c r="P404" s="36" t="n">
        <v>2.97</v>
      </c>
      <c r="Q404" s="36" t="n">
        <v>9.91</v>
      </c>
      <c r="R404" s="36" t="n">
        <v>41.06</v>
      </c>
      <c r="S404" s="36" t="n">
        <v>0</v>
      </c>
      <c r="T404" s="37" t="n">
        <v>0.8481012658227848</v>
      </c>
      <c r="U404" s="37" t="n">
        <v>0.7083333333333334</v>
      </c>
      <c r="V404" s="37" t="n">
        <v>0.8731343283582089</v>
      </c>
      <c r="W404" s="37" t="n">
        <v>0.8235294117647058</v>
      </c>
    </row>
    <row r="405">
      <c r="A405" s="53" t="n">
        <v>45820</v>
      </c>
      <c r="B405" t="inlineStr">
        <is>
          <t>R06_Jawa Timur</t>
        </is>
      </c>
      <c r="C405" t="inlineStr">
        <is>
          <t>NOP SURABAYA</t>
        </is>
      </c>
      <c r="D405" s="36" t="n">
        <v>2.75</v>
      </c>
      <c r="E405" s="36" t="n">
        <v>0</v>
      </c>
      <c r="F405" s="36" t="n">
        <v>2.59</v>
      </c>
      <c r="G405" s="36" t="n">
        <v>3.43</v>
      </c>
      <c r="H405" s="37" t="n">
        <v>0.5283018867924528</v>
      </c>
      <c r="I405" s="37" t="n">
        <v>0.5294117647058824</v>
      </c>
      <c r="J405" s="37" t="n">
        <v>0.528169014084507</v>
      </c>
      <c r="K405" s="37" t="n">
        <v>0.8888888888888888</v>
      </c>
      <c r="L405" s="37" t="n">
        <v>0.8888888888888888</v>
      </c>
      <c r="M405" s="37" t="n">
        <v>0.89937106918239</v>
      </c>
      <c r="N405" s="37" t="n">
        <v>0.3773584905660378</v>
      </c>
      <c r="O405" s="36" t="n">
        <v>0.86</v>
      </c>
      <c r="P405" s="36" t="n">
        <v>3.36</v>
      </c>
      <c r="Q405" s="36" t="n">
        <v>6.92</v>
      </c>
      <c r="R405" s="36" t="n">
        <v>24.52</v>
      </c>
      <c r="S405" s="36" t="n">
        <v>0</v>
      </c>
      <c r="T405" s="37" t="n">
        <v>0.6114457831325302</v>
      </c>
      <c r="U405" s="37" t="n">
        <v>0.4029850746268657</v>
      </c>
      <c r="V405" s="37" t="n">
        <v>0.6641509433962264</v>
      </c>
      <c r="W405" s="37" t="n">
        <v>0.7407407407407407</v>
      </c>
    </row>
    <row r="406">
      <c r="A406" s="53" t="n">
        <v>45820</v>
      </c>
      <c r="B406" t="inlineStr">
        <is>
          <t>R07_Bali Nusra</t>
        </is>
      </c>
      <c r="C406" t="inlineStr">
        <is>
          <t>NOP DENPASAR</t>
        </is>
      </c>
      <c r="D406" s="36" t="n">
        <v>3.5</v>
      </c>
      <c r="E406" s="36" t="n">
        <v>7.47</v>
      </c>
      <c r="F406" s="36" t="n">
        <v>2.51</v>
      </c>
      <c r="G406" s="36" t="n">
        <v>2.34</v>
      </c>
      <c r="H406" s="37" t="n">
        <v>0.9076923076923077</v>
      </c>
      <c r="I406" s="37" t="n">
        <v>0.8888888888888888</v>
      </c>
      <c r="J406" s="37" t="n">
        <v>0.9107142857142857</v>
      </c>
      <c r="K406" s="37" t="n">
        <v>1</v>
      </c>
      <c r="L406" s="37" t="n">
        <v>1</v>
      </c>
      <c r="M406" s="37" t="n">
        <v>1</v>
      </c>
      <c r="N406" s="37" t="n">
        <v>0.9615384615384616</v>
      </c>
      <c r="O406" s="36" t="n">
        <v>0.01</v>
      </c>
      <c r="P406" s="36" t="n">
        <v>10.38</v>
      </c>
      <c r="Q406" s="36" t="n">
        <v>8.49</v>
      </c>
      <c r="R406" s="36" t="n">
        <v>23.06</v>
      </c>
      <c r="S406" s="36" t="n">
        <v>0</v>
      </c>
      <c r="T406" s="37" t="n">
        <v>0.8357664233576643</v>
      </c>
      <c r="U406" s="37" t="n">
        <v>0.8673469387755102</v>
      </c>
      <c r="V406" s="37" t="n">
        <v>0.8181818181818182</v>
      </c>
      <c r="W406" s="37" t="n">
        <v>0.6705882352941176</v>
      </c>
    </row>
    <row r="407">
      <c r="A407" s="53" t="n">
        <v>45820</v>
      </c>
      <c r="B407" t="inlineStr">
        <is>
          <t>R07_Bali Nusra</t>
        </is>
      </c>
      <c r="C407" t="inlineStr">
        <is>
          <t>NOP FLORES</t>
        </is>
      </c>
      <c r="D407" s="36" t="n">
        <v>3.09</v>
      </c>
      <c r="E407" s="36" t="n">
        <v>6.47</v>
      </c>
      <c r="F407" s="36" t="n">
        <v>7.43</v>
      </c>
      <c r="G407" s="36" t="n">
        <v>9.94</v>
      </c>
      <c r="H407" s="37" t="n">
        <v>0.3855855855855856</v>
      </c>
      <c r="I407" s="37" t="n">
        <v>0.675531914893617</v>
      </c>
      <c r="J407" s="37" t="n">
        <v>0.3264642082429501</v>
      </c>
      <c r="K407" s="37" t="n">
        <v>0.7244094488188977</v>
      </c>
      <c r="L407" s="37" t="n">
        <v>0.7244094488188977</v>
      </c>
      <c r="M407" s="37" t="n">
        <v>0.9738738738738739</v>
      </c>
      <c r="N407" s="37" t="n">
        <v>0.2540540540540541</v>
      </c>
      <c r="O407" s="36" t="n">
        <v>0.25</v>
      </c>
      <c r="P407" s="36" t="n">
        <v>9.25</v>
      </c>
      <c r="Q407" s="36" t="n">
        <v>11.39</v>
      </c>
      <c r="R407" s="36" t="n">
        <v>90.59999999999999</v>
      </c>
      <c r="S407" s="36" t="n">
        <v>0</v>
      </c>
      <c r="T407" s="37" t="n">
        <v>0.525875190258752</v>
      </c>
      <c r="U407" s="37" t="n">
        <v>0.550328227571116</v>
      </c>
      <c r="V407" s="37" t="n">
        <v>0.47</v>
      </c>
      <c r="W407" s="37" t="n">
        <v>0.8409542743538767</v>
      </c>
    </row>
    <row r="408">
      <c r="A408" s="53" t="n">
        <v>45820</v>
      </c>
      <c r="B408" t="inlineStr">
        <is>
          <t>R07_Bali Nusra</t>
        </is>
      </c>
      <c r="C408" t="inlineStr">
        <is>
          <t>NOP KUPANG</t>
        </is>
      </c>
      <c r="D408" s="36" t="n">
        <v>26.53</v>
      </c>
      <c r="E408" s="36" t="n">
        <v>7.01</v>
      </c>
      <c r="F408" s="36" t="n">
        <v>7.37</v>
      </c>
      <c r="G408" s="36" t="n">
        <v>7.69</v>
      </c>
      <c r="H408" s="37" t="n">
        <v>0.5825049701789264</v>
      </c>
      <c r="I408" s="37" t="n">
        <v>0.7117117117117117</v>
      </c>
      <c r="J408" s="37" t="n">
        <v>0.5459183673469388</v>
      </c>
      <c r="K408" s="37" t="n">
        <v>0.7721518987341772</v>
      </c>
      <c r="L408" s="37" t="n">
        <v>0.7721518987341772</v>
      </c>
      <c r="M408" s="37" t="n">
        <v>0.9761431411530815</v>
      </c>
      <c r="N408" s="37" t="n">
        <v>0.3439363817097416</v>
      </c>
      <c r="O408" s="36" t="n">
        <v>17.94</v>
      </c>
      <c r="P408" s="36" t="n">
        <v>9.029999999999999</v>
      </c>
      <c r="Q408" s="36" t="n">
        <v>19.73</v>
      </c>
      <c r="R408" s="36" t="n">
        <v>12.19</v>
      </c>
      <c r="S408" s="36" t="n">
        <v>0</v>
      </c>
      <c r="T408" s="37" t="n">
        <v>0.5248756218905473</v>
      </c>
      <c r="U408" s="37" t="n">
        <v>0.6167979002624672</v>
      </c>
      <c r="V408" s="37" t="n">
        <v>0.442080378250591</v>
      </c>
      <c r="W408" s="37" t="n">
        <v>0.676595744680851</v>
      </c>
    </row>
    <row r="409">
      <c r="A409" s="53" t="n">
        <v>45820</v>
      </c>
      <c r="B409" t="inlineStr">
        <is>
          <t>R07_Bali Nusra</t>
        </is>
      </c>
      <c r="C409" t="inlineStr">
        <is>
          <t>NOP MATARAM</t>
        </is>
      </c>
      <c r="D409" s="36" t="n">
        <v>1.79</v>
      </c>
      <c r="E409" s="36" t="n">
        <v>3.55</v>
      </c>
      <c r="F409" s="36" t="n">
        <v>3.91</v>
      </c>
      <c r="G409" s="36" t="n">
        <v>5.29</v>
      </c>
      <c r="H409" s="37" t="n">
        <v>0.6437908496732027</v>
      </c>
      <c r="I409" s="37" t="n">
        <v>0.5517241379310345</v>
      </c>
      <c r="J409" s="37" t="n">
        <v>0.6534296028880866</v>
      </c>
      <c r="K409" s="37" t="n">
        <v>0.6875</v>
      </c>
      <c r="L409" s="37" t="n">
        <v>0.6875</v>
      </c>
      <c r="M409" s="37" t="n">
        <v>0.9901960784313726</v>
      </c>
      <c r="N409" s="37" t="n">
        <v>0.4215686274509804</v>
      </c>
      <c r="O409" s="36" t="n">
        <v>6.6</v>
      </c>
      <c r="P409" s="36" t="n">
        <v>19.96</v>
      </c>
      <c r="Q409" s="36" t="n">
        <v>19.13</v>
      </c>
      <c r="R409" s="36" t="n">
        <v>42.65</v>
      </c>
      <c r="S409" s="36" t="n">
        <v>0</v>
      </c>
      <c r="T409" s="37" t="n">
        <v>0.4423076923076923</v>
      </c>
      <c r="U409" s="37" t="n">
        <v>0.418421052631579</v>
      </c>
      <c r="V409" s="37" t="n">
        <v>0.5071428571428571</v>
      </c>
      <c r="W409" s="37" t="n">
        <v>0.5157232704402516</v>
      </c>
    </row>
    <row r="410">
      <c r="A410" s="53" t="n">
        <v>45821</v>
      </c>
      <c r="B410" t="inlineStr">
        <is>
          <t>R01_Sumbagut</t>
        </is>
      </c>
      <c r="C410" t="inlineStr">
        <is>
          <t>NOP ACEH</t>
        </is>
      </c>
      <c r="D410" s="36" t="n">
        <v>3.05</v>
      </c>
      <c r="E410" s="36" t="n">
        <v>3.67</v>
      </c>
      <c r="F410" s="36" t="n">
        <v>4.7</v>
      </c>
      <c r="G410" s="36" t="n">
        <v>7.81</v>
      </c>
      <c r="H410" s="37" t="n">
        <v>0.8610557768924303</v>
      </c>
      <c r="I410" s="37" t="n">
        <v>0.8096514745308311</v>
      </c>
      <c r="J410" s="37" t="n">
        <v>0.872782874617737</v>
      </c>
      <c r="K410" s="37" t="n">
        <v>0.5298013245033113</v>
      </c>
      <c r="L410" s="37" t="n">
        <v>0.5261324041811847</v>
      </c>
      <c r="M410" s="37" t="n">
        <v>0.9960159362549801</v>
      </c>
      <c r="N410" s="37" t="n">
        <v>0.3625498007968128</v>
      </c>
      <c r="O410" s="36" t="n">
        <v>1.54</v>
      </c>
      <c r="P410" s="36" t="n">
        <v>4.03</v>
      </c>
      <c r="Q410" s="36" t="n">
        <v>58.06</v>
      </c>
      <c r="R410" s="36" t="n">
        <v>100.15</v>
      </c>
      <c r="S410" s="36" t="n">
        <v>0</v>
      </c>
      <c r="T410" s="37" t="n">
        <v>0.8400259067357513</v>
      </c>
      <c r="U410" s="37" t="n">
        <v>0.6593023255813953</v>
      </c>
      <c r="V410" s="37" t="n">
        <v>0.9109683340982102</v>
      </c>
      <c r="W410" s="37" t="n">
        <v>0.2804232804232804</v>
      </c>
    </row>
    <row r="411">
      <c r="A411" s="53" t="n">
        <v>45821</v>
      </c>
      <c r="B411" t="inlineStr">
        <is>
          <t>R01_Sumbagut</t>
        </is>
      </c>
      <c r="C411" t="inlineStr">
        <is>
          <t>NOP BINJAI</t>
        </is>
      </c>
      <c r="D411" s="36" t="n">
        <v>4.39</v>
      </c>
      <c r="E411" s="36" t="n">
        <v>5.38</v>
      </c>
      <c r="F411" s="36" t="n">
        <v>5.6</v>
      </c>
      <c r="G411" s="36" t="n">
        <v>6.54</v>
      </c>
      <c r="H411" s="37" t="n">
        <v>0.6063072227873856</v>
      </c>
      <c r="I411" s="37" t="n">
        <v>0.6507177033492823</v>
      </c>
      <c r="J411" s="37" t="n">
        <v>0.5943152454780362</v>
      </c>
      <c r="K411" s="37" t="n">
        <v>0.3970588235294117</v>
      </c>
      <c r="L411" s="37" t="n">
        <v>0.3970588235294117</v>
      </c>
      <c r="M411" s="37" t="n">
        <v>0.9928789420142421</v>
      </c>
      <c r="N411" s="37" t="n">
        <v>0.2604272634791455</v>
      </c>
      <c r="O411" s="36" t="n">
        <v>0.11</v>
      </c>
      <c r="P411" s="36" t="n">
        <v>3.89</v>
      </c>
      <c r="Q411" s="36" t="n">
        <v>40.85</v>
      </c>
      <c r="R411" s="36" t="n">
        <v>79.48</v>
      </c>
      <c r="S411" s="36" t="n">
        <v>0</v>
      </c>
      <c r="T411" s="37" t="n">
        <v>0.6997690531177829</v>
      </c>
      <c r="U411" s="37" t="n">
        <v>0.5740740740740741</v>
      </c>
      <c r="V411" s="37" t="n">
        <v>0.7732997481108312</v>
      </c>
      <c r="W411" s="37" t="n">
        <v>0.4516129032258064</v>
      </c>
    </row>
    <row r="412">
      <c r="A412" s="53" t="n">
        <v>45821</v>
      </c>
      <c r="B412" t="inlineStr">
        <is>
          <t>R01_Sumbagut</t>
        </is>
      </c>
      <c r="C412" t="inlineStr">
        <is>
          <t>NOP MEDAN</t>
        </is>
      </c>
      <c r="D412" s="36" t="n">
        <v>2.58</v>
      </c>
      <c r="E412" s="36" t="n">
        <v>5.36</v>
      </c>
      <c r="F412" s="36" t="n">
        <v>4.21</v>
      </c>
      <c r="G412" s="36" t="n">
        <v>7.96</v>
      </c>
      <c r="H412" s="37" t="n">
        <v>0.416572077185017</v>
      </c>
      <c r="I412" s="37" t="n">
        <v>0.484251968503937</v>
      </c>
      <c r="J412" s="37" t="n">
        <v>0.3891547049441786</v>
      </c>
      <c r="K412" s="37" t="n">
        <v>0.6666666666666666</v>
      </c>
      <c r="L412" s="37" t="n">
        <v>0.675</v>
      </c>
      <c r="M412" s="37" t="n">
        <v>0.9977298524404086</v>
      </c>
      <c r="N412" s="37" t="n">
        <v>0.228149829738933</v>
      </c>
      <c r="O412" s="36" t="n">
        <v>0</v>
      </c>
      <c r="P412" s="36" t="n">
        <v>5.04</v>
      </c>
      <c r="Q412" s="36" t="n">
        <v>17.07</v>
      </c>
      <c r="R412" s="36" t="n">
        <v>4.99</v>
      </c>
      <c r="S412" s="36" t="n">
        <v>0</v>
      </c>
      <c r="T412" s="37" t="n">
        <v>0.3349937733499377</v>
      </c>
      <c r="U412" s="37" t="n">
        <v>0.1674008810572687</v>
      </c>
      <c r="V412" s="37" t="n">
        <v>0.4266666666666667</v>
      </c>
      <c r="W412" s="37" t="n">
        <v>0.8157894736842105</v>
      </c>
    </row>
    <row r="413">
      <c r="A413" s="53" t="n">
        <v>45821</v>
      </c>
      <c r="B413" t="inlineStr">
        <is>
          <t>R01_Sumbagut</t>
        </is>
      </c>
      <c r="C413" t="inlineStr">
        <is>
          <t>NOP PADANG SIDEMPUAN</t>
        </is>
      </c>
      <c r="D413" s="36" t="n">
        <v>4.02</v>
      </c>
      <c r="E413" s="36" t="n">
        <v>6.12</v>
      </c>
      <c r="F413" s="36" t="n">
        <v>6.26</v>
      </c>
      <c r="G413" s="36" t="n">
        <v>7.5</v>
      </c>
      <c r="H413" s="37" t="n">
        <v>0.4278807413376309</v>
      </c>
      <c r="I413" s="37" t="n">
        <v>0.7</v>
      </c>
      <c r="J413" s="37" t="n">
        <v>0.3876040703052729</v>
      </c>
      <c r="K413" s="37" t="n">
        <v>0.4910714285714285</v>
      </c>
      <c r="L413" s="37" t="n">
        <v>0.5</v>
      </c>
      <c r="M413" s="37" t="n">
        <v>0.9871071716357775</v>
      </c>
      <c r="N413" s="37" t="n">
        <v>0.1651893634165995</v>
      </c>
      <c r="O413" s="36" t="n">
        <v>0.16</v>
      </c>
      <c r="P413" s="36" t="n">
        <v>3.26</v>
      </c>
      <c r="Q413" s="36" t="n">
        <v>9.960000000000001</v>
      </c>
      <c r="R413" s="36" t="n">
        <v>47.63</v>
      </c>
      <c r="S413" s="36" t="n">
        <v>0</v>
      </c>
      <c r="T413" s="37" t="n">
        <v>0.6657223796033994</v>
      </c>
      <c r="U413" s="37" t="n">
        <v>0.6528138528138528</v>
      </c>
      <c r="V413" s="37" t="n">
        <v>0.676791277258567</v>
      </c>
      <c r="W413" s="37" t="n">
        <v>0.5477453580901857</v>
      </c>
    </row>
    <row r="414">
      <c r="A414" s="53" t="n">
        <v>45821</v>
      </c>
      <c r="B414" t="inlineStr">
        <is>
          <t>R01_Sumbagut</t>
        </is>
      </c>
      <c r="C414" t="inlineStr">
        <is>
          <t>NOP PEMATANG SIANTAR</t>
        </is>
      </c>
      <c r="D414" s="36" t="n">
        <v>8.869999999999999</v>
      </c>
      <c r="E414" s="36" t="n">
        <v>5.58</v>
      </c>
      <c r="F414" s="36" t="n">
        <v>5.1</v>
      </c>
      <c r="G414" s="36" t="n">
        <v>7.17</v>
      </c>
      <c r="H414" s="37" t="n">
        <v>0.4997176736307171</v>
      </c>
      <c r="I414" s="37" t="n">
        <v>0.7561576354679803</v>
      </c>
      <c r="J414" s="37" t="n">
        <v>0.4234432234432234</v>
      </c>
      <c r="K414" s="37" t="n">
        <v>0.4039087947882736</v>
      </c>
      <c r="L414" s="37" t="n">
        <v>0.4060402684563759</v>
      </c>
      <c r="M414" s="37" t="n">
        <v>0.96386222473179</v>
      </c>
      <c r="N414" s="37" t="n">
        <v>0.2433653303218521</v>
      </c>
      <c r="O414" s="36" t="n">
        <v>2.35</v>
      </c>
      <c r="P414" s="36" t="n">
        <v>4.91</v>
      </c>
      <c r="Q414" s="36" t="n">
        <v>50.17</v>
      </c>
      <c r="R414" s="36" t="n">
        <v>75.37</v>
      </c>
      <c r="S414" s="36" t="n">
        <v>0</v>
      </c>
      <c r="T414" s="37" t="n">
        <v>0.6426348547717843</v>
      </c>
      <c r="U414" s="37" t="n">
        <v>0.6983729662077597</v>
      </c>
      <c r="V414" s="37" t="n">
        <v>0.6183574879227053</v>
      </c>
      <c r="W414" s="37" t="n">
        <v>0.5340501792114696</v>
      </c>
    </row>
    <row r="415">
      <c r="A415" s="53" t="n">
        <v>45821</v>
      </c>
      <c r="B415" t="inlineStr">
        <is>
          <t>R01_Sumbagut</t>
        </is>
      </c>
      <c r="C415" t="inlineStr">
        <is>
          <t>NOP RANTAU PRAPAT</t>
        </is>
      </c>
      <c r="D415" s="36" t="n">
        <v>3.94</v>
      </c>
      <c r="E415" s="36" t="n">
        <v>2.88</v>
      </c>
      <c r="F415" s="36" t="n">
        <v>3.74</v>
      </c>
      <c r="G415" s="36" t="n">
        <v>4.71</v>
      </c>
      <c r="H415" s="37" t="n">
        <v>0.4042672655811342</v>
      </c>
      <c r="I415" s="37" t="n">
        <v>0.3762057877813505</v>
      </c>
      <c r="J415" s="37" t="n">
        <v>0.410204081632653</v>
      </c>
      <c r="K415" s="37" t="n">
        <v>0.6239316239316239</v>
      </c>
      <c r="L415" s="37" t="n">
        <v>0.6239316239316239</v>
      </c>
      <c r="M415" s="37" t="n">
        <v>0.9842784952274003</v>
      </c>
      <c r="N415" s="37" t="n">
        <v>0.2290847838293094</v>
      </c>
      <c r="O415" s="36" t="n">
        <v>0.12</v>
      </c>
      <c r="P415" s="36" t="n">
        <v>3.62</v>
      </c>
      <c r="Q415" s="36" t="n">
        <v>25.6</v>
      </c>
      <c r="R415" s="36" t="n">
        <v>74.40000000000001</v>
      </c>
      <c r="S415" s="36" t="n">
        <v>0</v>
      </c>
      <c r="T415" s="37" t="n">
        <v>0.2112171837708831</v>
      </c>
      <c r="U415" s="37" t="n">
        <v>0.2686567164179104</v>
      </c>
      <c r="V415" s="37" t="n">
        <v>0.1875664187035069</v>
      </c>
      <c r="W415" s="37" t="n">
        <v>0.4791666666666667</v>
      </c>
    </row>
    <row r="416">
      <c r="A416" s="53" t="n">
        <v>45821</v>
      </c>
      <c r="B416" t="inlineStr">
        <is>
          <t>R10_Sumbagteng</t>
        </is>
      </c>
      <c r="C416" t="inlineStr">
        <is>
          <t>NOP BATAM</t>
        </is>
      </c>
      <c r="D416" s="36" t="n">
        <v>3.74</v>
      </c>
      <c r="E416" s="36" t="n">
        <v>7.9</v>
      </c>
      <c r="F416" s="36" t="n">
        <v>6.63</v>
      </c>
      <c r="G416" s="36" t="n">
        <v>8.710000000000001</v>
      </c>
      <c r="H416" s="37" t="n">
        <v>0.5416107382550336</v>
      </c>
      <c r="I416" s="37" t="n">
        <v>0.677536231884058</v>
      </c>
      <c r="J416" s="37" t="n">
        <v>0.5107084019769358</v>
      </c>
      <c r="K416" s="37" t="n">
        <v>0.7379679144385026</v>
      </c>
      <c r="L416" s="37" t="n">
        <v>0.7405405405405405</v>
      </c>
      <c r="M416" s="37" t="n">
        <v>0.9919463087248322</v>
      </c>
      <c r="N416" s="37" t="n">
        <v>0.3838926174496644</v>
      </c>
      <c r="O416" s="36" t="n">
        <v>0.71</v>
      </c>
      <c r="P416" s="36" t="n">
        <v>9.789999999999999</v>
      </c>
      <c r="Q416" s="36" t="n">
        <v>62.64</v>
      </c>
      <c r="R416" s="36" t="n">
        <v>99.20999999999999</v>
      </c>
      <c r="S416" s="36" t="n">
        <v>0</v>
      </c>
      <c r="T416" s="37" t="n">
        <v>0.323422159887798</v>
      </c>
      <c r="U416" s="37" t="n">
        <v>0.486652977412731</v>
      </c>
      <c r="V416" s="37" t="n">
        <v>0.2584050039093042</v>
      </c>
      <c r="W416" s="37" t="n">
        <v>0.8037974683544303</v>
      </c>
    </row>
    <row r="417">
      <c r="A417" s="53" t="n">
        <v>45821</v>
      </c>
      <c r="B417" t="inlineStr">
        <is>
          <t>R10_Sumbagteng</t>
        </is>
      </c>
      <c r="C417" t="inlineStr">
        <is>
          <t>NOP BUKITTINGGI</t>
        </is>
      </c>
      <c r="D417" s="36" t="n">
        <v>1.84</v>
      </c>
      <c r="E417" s="36" t="n">
        <v>3.83</v>
      </c>
      <c r="F417" s="36" t="n">
        <v>3.15</v>
      </c>
      <c r="G417" s="36" t="n">
        <v>4.31</v>
      </c>
      <c r="H417" s="37" t="n">
        <v>0.669882100750268</v>
      </c>
      <c r="I417" s="37" t="n">
        <v>0.8125</v>
      </c>
      <c r="J417" s="37" t="n">
        <v>0.6289655172413793</v>
      </c>
      <c r="K417" s="37" t="n">
        <v>0.6094674556213018</v>
      </c>
      <c r="L417" s="37" t="n">
        <v>0.6319018404907976</v>
      </c>
      <c r="M417" s="37" t="n">
        <v>0.9485530546623794</v>
      </c>
      <c r="N417" s="37" t="n">
        <v>0.3419078242229368</v>
      </c>
      <c r="O417" s="36" t="n">
        <v>0.93</v>
      </c>
      <c r="P417" s="36" t="n">
        <v>5.38</v>
      </c>
      <c r="Q417" s="36" t="n">
        <v>65.15000000000001</v>
      </c>
      <c r="R417" s="36" t="n">
        <v>94.20999999999999</v>
      </c>
      <c r="S417" s="36" t="n">
        <v>0</v>
      </c>
      <c r="T417" s="37" t="n">
        <v>0.5793103448275863</v>
      </c>
      <c r="U417" s="37" t="n">
        <v>0.7681159420289855</v>
      </c>
      <c r="V417" s="37" t="n">
        <v>0.5431519699812383</v>
      </c>
      <c r="W417" s="37" t="n">
        <v>0.5786163522012578</v>
      </c>
    </row>
    <row r="418">
      <c r="A418" s="53" t="n">
        <v>45821</v>
      </c>
      <c r="B418" t="inlineStr">
        <is>
          <t>R10_Sumbagteng</t>
        </is>
      </c>
      <c r="C418" t="inlineStr">
        <is>
          <t>NOP DUMAI</t>
        </is>
      </c>
      <c r="D418" s="36" t="n">
        <v>2.72</v>
      </c>
      <c r="E418" s="36" t="n">
        <v>5.3</v>
      </c>
      <c r="F418" s="36" t="n">
        <v>4.62</v>
      </c>
      <c r="G418" s="36" t="n">
        <v>6.1</v>
      </c>
      <c r="H418" s="37" t="n">
        <v>0.504492362982929</v>
      </c>
      <c r="I418" s="37" t="n">
        <v>0.6480541455160744</v>
      </c>
      <c r="J418" s="37" t="n">
        <v>0.4525993883792049</v>
      </c>
      <c r="K418" s="37" t="n">
        <v>0.7154046997389034</v>
      </c>
      <c r="L418" s="37" t="n">
        <v>0.7272727272727273</v>
      </c>
      <c r="M418" s="37" t="n">
        <v>0.9869721473495059</v>
      </c>
      <c r="N418" s="37" t="n">
        <v>0.2969451931716083</v>
      </c>
      <c r="O418" s="36" t="n">
        <v>0.1</v>
      </c>
      <c r="P418" s="36" t="n">
        <v>8.539999999999999</v>
      </c>
      <c r="Q418" s="36" t="n">
        <v>50.02</v>
      </c>
      <c r="R418" s="36" t="n">
        <v>95.70999999999999</v>
      </c>
      <c r="S418" s="36" t="n">
        <v>0</v>
      </c>
      <c r="T418" s="37" t="n">
        <v>0.2442237097819046</v>
      </c>
      <c r="U418" s="37" t="n">
        <v>0.3717371737173717</v>
      </c>
      <c r="V418" s="37" t="n">
        <v>0.204297994269341</v>
      </c>
      <c r="W418" s="37" t="n">
        <v>0.937046004842615</v>
      </c>
    </row>
    <row r="419">
      <c r="A419" s="53" t="n">
        <v>45821</v>
      </c>
      <c r="B419" t="inlineStr">
        <is>
          <t>R10_Sumbagteng</t>
        </is>
      </c>
      <c r="C419" t="inlineStr">
        <is>
          <t>NOP PADANG</t>
        </is>
      </c>
      <c r="D419" s="36" t="n">
        <v>1.51</v>
      </c>
      <c r="E419" s="36" t="n">
        <v>3.83</v>
      </c>
      <c r="F419" s="36" t="n">
        <v>4.75</v>
      </c>
      <c r="G419" s="36" t="n">
        <v>4.25</v>
      </c>
      <c r="H419" s="37" t="n">
        <v>0.6368038740920097</v>
      </c>
      <c r="I419" s="37" t="n">
        <v>0.6379310344827587</v>
      </c>
      <c r="J419" s="37" t="n">
        <v>0.63671875</v>
      </c>
      <c r="K419" s="37" t="n">
        <v>0.6486486486486487</v>
      </c>
      <c r="L419" s="37" t="n">
        <v>0.6486486486486487</v>
      </c>
      <c r="M419" s="37" t="n">
        <v>0.9539951573849879</v>
      </c>
      <c r="N419" s="37" t="n">
        <v>0.2893462469733656</v>
      </c>
      <c r="O419" s="36" t="n">
        <v>7.76</v>
      </c>
      <c r="P419" s="36" t="n">
        <v>5.41</v>
      </c>
      <c r="Q419" s="36" t="n">
        <v>55.62</v>
      </c>
      <c r="R419" s="36" t="n">
        <v>121.24</v>
      </c>
      <c r="S419" s="36" t="n">
        <v>0</v>
      </c>
      <c r="T419" s="37" t="n">
        <v>0.7988826815642458</v>
      </c>
      <c r="U419" s="37" t="n">
        <v>0.6422976501305483</v>
      </c>
      <c r="V419" s="37" t="n">
        <v>0.8661233993015134</v>
      </c>
      <c r="W419" s="37" t="n">
        <v>0.7276422764227642</v>
      </c>
    </row>
    <row r="420">
      <c r="A420" s="53" t="n">
        <v>45821</v>
      </c>
      <c r="B420" t="inlineStr">
        <is>
          <t>R10_Sumbagteng</t>
        </is>
      </c>
      <c r="C420" t="inlineStr">
        <is>
          <t>NOP PEKANBARU</t>
        </is>
      </c>
      <c r="D420" s="36" t="n">
        <v>3.52</v>
      </c>
      <c r="E420" s="36" t="n">
        <v>5.52</v>
      </c>
      <c r="F420" s="36" t="n">
        <v>4.24</v>
      </c>
      <c r="G420" s="36" t="n">
        <v>6.72</v>
      </c>
      <c r="H420" s="37" t="n">
        <v>0.4507971412864211</v>
      </c>
      <c r="I420" s="37" t="n">
        <v>0.4212218649517685</v>
      </c>
      <c r="J420" s="37" t="n">
        <v>0.456896551724138</v>
      </c>
      <c r="K420" s="37" t="n">
        <v>0.732824427480916</v>
      </c>
      <c r="L420" s="37" t="n">
        <v>0.7384615384615385</v>
      </c>
      <c r="M420" s="37" t="n">
        <v>0.9895547003848268</v>
      </c>
      <c r="N420" s="37" t="n">
        <v>0.2490379329301814</v>
      </c>
      <c r="O420" s="36" t="n">
        <v>0.33</v>
      </c>
      <c r="P420" s="36" t="n">
        <v>5.42</v>
      </c>
      <c r="Q420" s="36" t="n">
        <v>42.6</v>
      </c>
      <c r="R420" s="36" t="n">
        <v>64.42</v>
      </c>
      <c r="S420" s="36" t="n">
        <v>0</v>
      </c>
      <c r="T420" s="37" t="n">
        <v>0.304104998603742</v>
      </c>
      <c r="U420" s="37" t="n">
        <v>0.3615664845173042</v>
      </c>
      <c r="V420" s="37" t="n">
        <v>0.2758051197357556</v>
      </c>
      <c r="W420" s="37" t="n">
        <v>0.8312342569269522</v>
      </c>
    </row>
    <row r="421">
      <c r="A421" s="53" t="n">
        <v>45821</v>
      </c>
      <c r="B421" t="inlineStr">
        <is>
          <t>R02_Sumbagsel</t>
        </is>
      </c>
      <c r="C421" t="inlineStr">
        <is>
          <t>NOP BENGKULU</t>
        </is>
      </c>
      <c r="D421" s="36" t="n">
        <v>2.66</v>
      </c>
      <c r="E421" s="36" t="n">
        <v>5.62</v>
      </c>
      <c r="F421" s="36" t="n">
        <v>3.76</v>
      </c>
      <c r="G421" s="36" t="n">
        <v>5.91</v>
      </c>
      <c r="H421" s="37" t="n">
        <v>0.4524253731343283</v>
      </c>
      <c r="I421" s="37" t="n">
        <v>0.5128205128205128</v>
      </c>
      <c r="J421" s="37" t="n">
        <v>0.4317897371714643</v>
      </c>
      <c r="K421" s="37" t="n">
        <v>0.6642857142857143</v>
      </c>
      <c r="L421" s="37" t="n">
        <v>0.6642857142857143</v>
      </c>
      <c r="M421" s="37" t="n">
        <v>0.9916044776119403</v>
      </c>
      <c r="N421" s="37" t="n">
        <v>0.2882462686567164</v>
      </c>
      <c r="O421" s="36" t="n">
        <v>0</v>
      </c>
      <c r="P421" s="36" t="n">
        <v>4.86</v>
      </c>
      <c r="Q421" s="36" t="n">
        <v>8.380000000000001</v>
      </c>
      <c r="R421" s="36" t="n">
        <v>5.99</v>
      </c>
      <c r="S421" s="36" t="n">
        <v>0</v>
      </c>
      <c r="T421" s="37" t="n">
        <v>0.5163897620116749</v>
      </c>
      <c r="U421" s="37" t="n">
        <v>0.437874251497006</v>
      </c>
      <c r="V421" s="37" t="n">
        <v>0.6322147651006711</v>
      </c>
      <c r="W421" s="37" t="n">
        <v>0.8837606837606837</v>
      </c>
    </row>
    <row r="422">
      <c r="A422" s="53" t="n">
        <v>45821</v>
      </c>
      <c r="B422" t="inlineStr">
        <is>
          <t>R02_Sumbagsel</t>
        </is>
      </c>
      <c r="C422" t="inlineStr">
        <is>
          <t>NOP JAMBI</t>
        </is>
      </c>
      <c r="D422" s="36" t="n">
        <v>4.86</v>
      </c>
      <c r="E422" s="36" t="n">
        <v>4.49</v>
      </c>
      <c r="F422" s="36" t="n">
        <v>3.58</v>
      </c>
      <c r="G422" s="36" t="n">
        <v>5.3</v>
      </c>
      <c r="H422" s="37" t="n">
        <v>0.2990163934426229</v>
      </c>
      <c r="I422" s="37" t="n">
        <v>0.3046218487394958</v>
      </c>
      <c r="J422" s="37" t="n">
        <v>0.2964728312678742</v>
      </c>
      <c r="K422" s="37" t="n">
        <v>0.5862068965517241</v>
      </c>
      <c r="L422" s="37" t="n">
        <v>0.5862068965517241</v>
      </c>
      <c r="M422" s="37" t="n">
        <v>0.9914754098360655</v>
      </c>
      <c r="N422" s="37" t="n">
        <v>0.1521311475409836</v>
      </c>
      <c r="O422" s="36" t="n">
        <v>0</v>
      </c>
      <c r="P422" s="36" t="n">
        <v>3.45</v>
      </c>
      <c r="Q422" s="36" t="n">
        <v>14.18</v>
      </c>
      <c r="R422" s="36" t="n">
        <v>19.98</v>
      </c>
      <c r="S422" s="36" t="n">
        <v>0</v>
      </c>
      <c r="T422" s="37" t="n">
        <v>0.1942880128720837</v>
      </c>
      <c r="U422" s="37" t="n">
        <v>0.163716814159292</v>
      </c>
      <c r="V422" s="37" t="n">
        <v>0.2527839643652561</v>
      </c>
      <c r="W422" s="37" t="n">
        <v>0.6486486486486487</v>
      </c>
    </row>
    <row r="423">
      <c r="A423" s="53" t="n">
        <v>45821</v>
      </c>
      <c r="B423" t="inlineStr">
        <is>
          <t>R02_Sumbagsel</t>
        </is>
      </c>
      <c r="C423" t="inlineStr">
        <is>
          <t>NOP LAMPUNG</t>
        </is>
      </c>
      <c r="D423" s="36" t="n">
        <v>5</v>
      </c>
      <c r="E423" s="36" t="n">
        <v>2.95</v>
      </c>
      <c r="F423" s="36" t="n">
        <v>3.29</v>
      </c>
      <c r="G423" s="36" t="n">
        <v>3.48</v>
      </c>
      <c r="H423" s="37" t="n">
        <v>0.5421686746987951</v>
      </c>
      <c r="I423" s="37" t="n">
        <v>0.7543859649122807</v>
      </c>
      <c r="J423" s="37" t="n">
        <v>0.4791666666666667</v>
      </c>
      <c r="K423" s="37" t="n">
        <v>0.8023255813953488</v>
      </c>
      <c r="L423" s="37" t="n">
        <v>0.8</v>
      </c>
      <c r="M423" s="37" t="n">
        <v>0.9899598393574297</v>
      </c>
      <c r="N423" s="37" t="n">
        <v>0.429718875502008</v>
      </c>
      <c r="O423" s="36" t="n">
        <v>0.04</v>
      </c>
      <c r="P423" s="36" t="n">
        <v>10.92</v>
      </c>
      <c r="Q423" s="36" t="n">
        <v>4.05</v>
      </c>
      <c r="R423" s="36" t="n">
        <v>38.71</v>
      </c>
      <c r="S423" s="36" t="n">
        <v>0</v>
      </c>
      <c r="T423" s="37" t="n">
        <v>0.9019756838905775</v>
      </c>
      <c r="U423" s="37" t="n">
        <v>0.879245283018868</v>
      </c>
      <c r="V423" s="37" t="n">
        <v>0.9200404858299596</v>
      </c>
      <c r="W423" s="37" t="n">
        <v>0.8798283261802575</v>
      </c>
    </row>
    <row r="424">
      <c r="A424" s="53" t="n">
        <v>45821</v>
      </c>
      <c r="B424" t="inlineStr">
        <is>
          <t>R02_Sumbagsel</t>
        </is>
      </c>
      <c r="C424" t="inlineStr">
        <is>
          <t>NOP MUARA ENIM</t>
        </is>
      </c>
      <c r="D424" s="36" t="n">
        <v>3.96</v>
      </c>
      <c r="E424" s="36" t="n">
        <v>4.06</v>
      </c>
      <c r="F424" s="36" t="n">
        <v>4.09</v>
      </c>
      <c r="G424" s="36" t="n">
        <v>5.31</v>
      </c>
      <c r="H424" s="37" t="n">
        <v>0.3258088788562829</v>
      </c>
      <c r="I424" s="37" t="n">
        <v>0.4372093023255814</v>
      </c>
      <c r="J424" s="37" t="n">
        <v>0.3043087971274686</v>
      </c>
      <c r="K424" s="37" t="n">
        <v>0.6914893617021277</v>
      </c>
      <c r="L424" s="37" t="n">
        <v>0.7065217391304348</v>
      </c>
      <c r="M424" s="37" t="n">
        <v>0.9804364183596689</v>
      </c>
      <c r="N424" s="37" t="n">
        <v>0.1745673438675696</v>
      </c>
      <c r="O424" s="36" t="n">
        <v>0</v>
      </c>
      <c r="P424" s="36" t="n">
        <v>20.1</v>
      </c>
      <c r="Q424" s="36" t="n">
        <v>12.15</v>
      </c>
      <c r="R424" s="36" t="n">
        <v>5.98</v>
      </c>
      <c r="S424" s="36" t="n">
        <v>0</v>
      </c>
      <c r="T424" s="37" t="n">
        <v>0.5528764805414551</v>
      </c>
      <c r="U424" s="37" t="n">
        <v>0.4780876494023905</v>
      </c>
      <c r="V424" s="37" t="n">
        <v>0.6336065573770492</v>
      </c>
      <c r="W424" s="37" t="n">
        <v>0.7708333333333334</v>
      </c>
    </row>
    <row r="425">
      <c r="A425" s="53" t="n">
        <v>45821</v>
      </c>
      <c r="B425" t="inlineStr">
        <is>
          <t>R02_Sumbagsel</t>
        </is>
      </c>
      <c r="C425" t="inlineStr">
        <is>
          <t>NOP PALEMBANG</t>
        </is>
      </c>
      <c r="D425" s="36" t="n">
        <v>3.16</v>
      </c>
      <c r="E425" s="36" t="n">
        <v>3.66</v>
      </c>
      <c r="F425" s="36" t="n">
        <v>5.16</v>
      </c>
      <c r="G425" s="36" t="n">
        <v>6.5</v>
      </c>
      <c r="H425" s="37" t="n">
        <v>0.2602423542989036</v>
      </c>
      <c r="I425" s="37" t="n">
        <v>0.215</v>
      </c>
      <c r="J425" s="37" t="n">
        <v>0.2661448140900196</v>
      </c>
      <c r="K425" s="37" t="n">
        <v>0.4883720930232558</v>
      </c>
      <c r="L425" s="37" t="n">
        <v>0.4883720930232558</v>
      </c>
      <c r="M425" s="37" t="n">
        <v>1</v>
      </c>
      <c r="N425" s="37" t="n">
        <v>0.1171379111367571</v>
      </c>
      <c r="O425" s="36" t="n">
        <v>0</v>
      </c>
      <c r="P425" s="36" t="n">
        <v>3.1</v>
      </c>
      <c r="Q425" s="36" t="n">
        <v>9.73</v>
      </c>
      <c r="R425" s="36" t="n">
        <v>18.1</v>
      </c>
      <c r="S425" s="36" t="n">
        <v>0</v>
      </c>
      <c r="T425" s="37" t="n">
        <v>0.134739560912613</v>
      </c>
      <c r="U425" s="37" t="n">
        <v>0.111284046692607</v>
      </c>
      <c r="V425" s="37" t="n">
        <v>0.2088998763906057</v>
      </c>
      <c r="W425" s="37" t="n">
        <v>0.6573426573426573</v>
      </c>
    </row>
    <row r="426">
      <c r="A426" s="53" t="n">
        <v>45821</v>
      </c>
      <c r="B426" t="inlineStr">
        <is>
          <t>R02_Sumbagsel</t>
        </is>
      </c>
      <c r="C426" t="inlineStr">
        <is>
          <t>NOP PANGKAL PINANG</t>
        </is>
      </c>
      <c r="D426" s="36" t="n">
        <v>0</v>
      </c>
      <c r="E426" s="36" t="n">
        <v>3.54</v>
      </c>
      <c r="F426" s="36" t="n">
        <v>5.45</v>
      </c>
      <c r="G426" s="36" t="n">
        <v>5.3</v>
      </c>
      <c r="H426" s="37" t="n">
        <v>0.7758620689655172</v>
      </c>
      <c r="I426" s="37" t="n">
        <v>0.75</v>
      </c>
      <c r="J426" s="37" t="n">
        <v>0.7772727272727272</v>
      </c>
      <c r="K426" s="37" t="n">
        <v>0.5555555555555556</v>
      </c>
      <c r="L426" s="37" t="n">
        <v>0.5555555555555556</v>
      </c>
      <c r="M426" s="37" t="n">
        <v>1</v>
      </c>
      <c r="N426" s="37" t="n">
        <v>0.4913793103448276</v>
      </c>
      <c r="O426" s="36" t="n">
        <v>0</v>
      </c>
      <c r="P426" s="36" t="n">
        <v>4.41</v>
      </c>
      <c r="Q426" s="36" t="n">
        <v>7.46</v>
      </c>
      <c r="R426" s="36" t="n">
        <v>6.05</v>
      </c>
      <c r="S426" s="36" t="n">
        <v>0</v>
      </c>
      <c r="T426" s="37" t="n">
        <v>0.9327024185068349</v>
      </c>
      <c r="U426" s="37" t="n">
        <v>0.939622641509434</v>
      </c>
      <c r="V426" s="37" t="n">
        <v>0.938366718027735</v>
      </c>
      <c r="W426" s="37" t="n">
        <v>0.8273092369477911</v>
      </c>
    </row>
    <row r="427">
      <c r="A427" s="53" t="n">
        <v>45821</v>
      </c>
      <c r="B427" t="inlineStr">
        <is>
          <t>R05_Jawa Tengah DIY</t>
        </is>
      </c>
      <c r="C427" t="inlineStr">
        <is>
          <t>NOP MAGELANG</t>
        </is>
      </c>
      <c r="D427" s="36" t="n">
        <v>3.78</v>
      </c>
      <c r="E427" s="36" t="n">
        <v>0</v>
      </c>
      <c r="F427" s="36" t="n">
        <v>2.46</v>
      </c>
      <c r="G427" s="36" t="n">
        <v>3.08</v>
      </c>
      <c r="H427" s="37" t="n">
        <v>0.7891566265060241</v>
      </c>
      <c r="I427" s="37" t="n">
        <v>0.9</v>
      </c>
      <c r="J427" s="37" t="n">
        <v>0.782051282051282</v>
      </c>
      <c r="K427" s="37" t="n">
        <v>1</v>
      </c>
      <c r="L427" s="37" t="n">
        <v>1</v>
      </c>
      <c r="M427" s="37" t="n">
        <v>1</v>
      </c>
      <c r="N427" s="37" t="n">
        <v>0.6506024096385542</v>
      </c>
      <c r="O427" s="36" t="n">
        <v>0</v>
      </c>
      <c r="P427" s="36" t="n">
        <v>2.32</v>
      </c>
      <c r="Q427" s="36" t="n">
        <v>5.28</v>
      </c>
      <c r="R427" s="36" t="n">
        <v>15.01</v>
      </c>
      <c r="S427" s="36" t="n">
        <v>0</v>
      </c>
      <c r="T427" s="37" t="n">
        <v>0.9349112426035503</v>
      </c>
      <c r="U427" s="37" t="n">
        <v>0.865979381443299</v>
      </c>
      <c r="V427" s="37" t="n">
        <v>0.9464594127806563</v>
      </c>
      <c r="W427" s="37" t="n">
        <v>0.9047619047619048</v>
      </c>
    </row>
    <row r="428">
      <c r="A428" s="53" t="n">
        <v>45821</v>
      </c>
      <c r="B428" t="inlineStr">
        <is>
          <t>R05_Jawa Tengah DIY</t>
        </is>
      </c>
      <c r="C428" t="inlineStr">
        <is>
          <t>NOP PEKALONGAN</t>
        </is>
      </c>
      <c r="D428" s="36" t="n">
        <v>4.54</v>
      </c>
      <c r="E428" s="36" t="n">
        <v>0</v>
      </c>
      <c r="F428" s="36" t="n">
        <v>3.06</v>
      </c>
      <c r="G428" s="36" t="n">
        <v>7.49</v>
      </c>
      <c r="H428" s="37" t="n">
        <v>0.7338709677419355</v>
      </c>
      <c r="I428" s="37" t="n">
        <v>0.7142857142857143</v>
      </c>
      <c r="J428" s="37" t="n">
        <v>0.7363636363636363</v>
      </c>
      <c r="K428" s="37" t="n">
        <v>1</v>
      </c>
      <c r="L428" s="37" t="n">
        <v>1</v>
      </c>
      <c r="M428" s="37" t="n">
        <v>0.9354838709677419</v>
      </c>
      <c r="N428" s="37" t="n">
        <v>0.5483870967741935</v>
      </c>
      <c r="O428" s="36" t="n">
        <v>0</v>
      </c>
      <c r="P428" s="36" t="n">
        <v>3.31</v>
      </c>
      <c r="Q428" s="36" t="n">
        <v>7.2</v>
      </c>
      <c r="R428" s="36" t="n">
        <v>47.95</v>
      </c>
      <c r="S428" s="36" t="n">
        <v>0</v>
      </c>
      <c r="T428" s="37" t="n">
        <v>0.841025641025641</v>
      </c>
      <c r="U428" s="37" t="n">
        <v>0.7466666666666667</v>
      </c>
      <c r="V428" s="37" t="n">
        <v>0.8634920634920635</v>
      </c>
      <c r="W428" s="37" t="n">
        <v>0.5178571428571429</v>
      </c>
    </row>
    <row r="429">
      <c r="A429" s="53" t="n">
        <v>45821</v>
      </c>
      <c r="B429" t="inlineStr">
        <is>
          <t>R05_Jawa Tengah DIY</t>
        </is>
      </c>
      <c r="C429" t="inlineStr">
        <is>
          <t>NOP PURWOKERTO</t>
        </is>
      </c>
      <c r="D429" s="36" t="n">
        <v>4.12</v>
      </c>
      <c r="E429" s="36" t="n">
        <v>3.14</v>
      </c>
      <c r="F429" s="36" t="n">
        <v>2.53</v>
      </c>
      <c r="G429" s="36" t="n">
        <v>4.17</v>
      </c>
      <c r="H429" s="37" t="n">
        <v>0.6611111111111111</v>
      </c>
      <c r="I429" s="37" t="n">
        <v>0.8235294117647058</v>
      </c>
      <c r="J429" s="37" t="n">
        <v>0.6441717791411042</v>
      </c>
      <c r="K429" s="37" t="n">
        <v>0.9285714285714286</v>
      </c>
      <c r="L429" s="37" t="n">
        <v>0.9285714285714286</v>
      </c>
      <c r="M429" s="37" t="n">
        <v>0.9777777777777777</v>
      </c>
      <c r="N429" s="37" t="n">
        <v>0.3833333333333334</v>
      </c>
      <c r="O429" s="36" t="n">
        <v>0.47</v>
      </c>
      <c r="P429" s="36" t="n">
        <v>5.24</v>
      </c>
      <c r="Q429" s="36" t="n">
        <v>7.14</v>
      </c>
      <c r="R429" s="36" t="n">
        <v>29.61</v>
      </c>
      <c r="S429" s="36" t="n">
        <v>0</v>
      </c>
      <c r="T429" s="37" t="n">
        <v>0.8376383763837638</v>
      </c>
      <c r="U429" s="37" t="n">
        <v>0.8117647058823529</v>
      </c>
      <c r="V429" s="37" t="n">
        <v>0.8494623655913979</v>
      </c>
      <c r="W429" s="37" t="n">
        <v>0.6231884057971014</v>
      </c>
    </row>
    <row r="430">
      <c r="A430" s="53" t="n">
        <v>45821</v>
      </c>
      <c r="B430" t="inlineStr">
        <is>
          <t>R05_Jawa Tengah DIY</t>
        </is>
      </c>
      <c r="C430" t="inlineStr">
        <is>
          <t>NOP SEMARANG</t>
        </is>
      </c>
      <c r="D430" s="36" t="n">
        <v>2.58</v>
      </c>
      <c r="E430" s="36" t="n">
        <v>2.57</v>
      </c>
      <c r="F430" s="36" t="n">
        <v>2.64</v>
      </c>
      <c r="G430" s="36" t="n">
        <v>3.6</v>
      </c>
      <c r="H430" s="37" t="n">
        <v>0.6891891891891891</v>
      </c>
      <c r="I430" s="37" t="n">
        <v>0.8484848484848485</v>
      </c>
      <c r="J430" s="37" t="n">
        <v>0.6735905044510386</v>
      </c>
      <c r="K430" s="37" t="n">
        <v>0.9642857142857143</v>
      </c>
      <c r="L430" s="37" t="n">
        <v>0.9642857142857143</v>
      </c>
      <c r="M430" s="37" t="n">
        <v>0.9432432432432433</v>
      </c>
      <c r="N430" s="37" t="n">
        <v>0.472972972972973</v>
      </c>
      <c r="O430" s="36" t="n">
        <v>0.13</v>
      </c>
      <c r="P430" s="36" t="n">
        <v>6.78</v>
      </c>
      <c r="Q430" s="36" t="n">
        <v>6.18</v>
      </c>
      <c r="R430" s="36" t="n">
        <v>68.06999999999999</v>
      </c>
      <c r="S430" s="36" t="n">
        <v>0</v>
      </c>
      <c r="T430" s="37" t="n">
        <v>0.8819599109131403</v>
      </c>
      <c r="U430" s="37" t="n">
        <v>0.807909604519774</v>
      </c>
      <c r="V430" s="37" t="n">
        <v>0.9301470588235294</v>
      </c>
      <c r="W430" s="37" t="n">
        <v>0.8671328671328671</v>
      </c>
    </row>
    <row r="431">
      <c r="A431" s="53" t="n">
        <v>45821</v>
      </c>
      <c r="B431" t="inlineStr">
        <is>
          <t>R05_Jawa Tengah DIY</t>
        </is>
      </c>
      <c r="C431" t="inlineStr">
        <is>
          <t>NOP SURAKARTA</t>
        </is>
      </c>
      <c r="D431" s="36" t="n">
        <v>2.13</v>
      </c>
      <c r="E431" s="36" t="n">
        <v>2.03</v>
      </c>
      <c r="F431" s="36" t="n">
        <v>3.08</v>
      </c>
      <c r="G431" s="36" t="n">
        <v>3.14</v>
      </c>
      <c r="H431" s="37" t="n">
        <v>0.7720797720797721</v>
      </c>
      <c r="I431" s="37" t="n">
        <v>0.7666666666666667</v>
      </c>
      <c r="J431" s="37" t="n">
        <v>0.7725856697819314</v>
      </c>
      <c r="K431" s="37" t="n">
        <v>0.7826086956521739</v>
      </c>
      <c r="L431" s="37" t="n">
        <v>0.7826086956521739</v>
      </c>
      <c r="M431" s="37" t="n">
        <v>0.9658119658119658</v>
      </c>
      <c r="N431" s="37" t="n">
        <v>0.5185185185185185</v>
      </c>
      <c r="O431" s="36" t="n">
        <v>0.24</v>
      </c>
      <c r="P431" s="36" t="n">
        <v>8.220000000000001</v>
      </c>
      <c r="Q431" s="36" t="n">
        <v>6.38</v>
      </c>
      <c r="R431" s="36" t="n">
        <v>60.07</v>
      </c>
      <c r="S431" s="36" t="n">
        <v>0</v>
      </c>
      <c r="T431" s="37" t="n">
        <v>0.8042553191489362</v>
      </c>
      <c r="U431" s="37" t="n">
        <v>0.6309523809523809</v>
      </c>
      <c r="V431" s="37" t="n">
        <v>0.9006622516556292</v>
      </c>
      <c r="W431" s="37" t="n">
        <v>0.6320754716981132</v>
      </c>
    </row>
    <row r="432">
      <c r="A432" s="53" t="n">
        <v>45821</v>
      </c>
      <c r="B432" t="inlineStr">
        <is>
          <t>R05_Jawa Tengah DIY</t>
        </is>
      </c>
      <c r="C432" t="inlineStr">
        <is>
          <t>NOP YOGYAKARTA</t>
        </is>
      </c>
      <c r="D432" s="36" t="n">
        <v>2.97</v>
      </c>
      <c r="E432" s="36" t="n">
        <v>0</v>
      </c>
      <c r="F432" s="36" t="n">
        <v>2.48</v>
      </c>
      <c r="G432" s="36" t="n">
        <v>3.28</v>
      </c>
      <c r="H432" s="37" t="n">
        <v>0.7551020408163265</v>
      </c>
      <c r="I432" s="37" t="n">
        <v>0.8333333333333334</v>
      </c>
      <c r="J432" s="37" t="n">
        <v>0.75</v>
      </c>
      <c r="K432" s="37" t="n">
        <v>0.9</v>
      </c>
      <c r="L432" s="37" t="n">
        <v>0.9</v>
      </c>
      <c r="M432" s="37" t="n">
        <v>0.9897959183673469</v>
      </c>
      <c r="N432" s="37" t="n">
        <v>0.5561224489795918</v>
      </c>
      <c r="O432" s="36" t="n">
        <v>0</v>
      </c>
      <c r="P432" s="36" t="n">
        <v>4.76</v>
      </c>
      <c r="Q432" s="36" t="n">
        <v>5.85</v>
      </c>
      <c r="R432" s="36" t="n">
        <v>32.29</v>
      </c>
      <c r="S432" s="36" t="n">
        <v>0</v>
      </c>
      <c r="T432" s="37" t="n">
        <v>0.9344608879492601</v>
      </c>
      <c r="U432" s="37" t="n">
        <v>0.9241379310344827</v>
      </c>
      <c r="V432" s="37" t="n">
        <v>0.9390243902439024</v>
      </c>
      <c r="W432" s="37" t="n">
        <v>0.9552238805970149</v>
      </c>
    </row>
    <row r="433">
      <c r="A433" s="53" t="n">
        <v>45821</v>
      </c>
      <c r="B433" t="inlineStr">
        <is>
          <t>R06_Jawa Timur</t>
        </is>
      </c>
      <c r="C433" t="inlineStr">
        <is>
          <t>NOP JEMBER</t>
        </is>
      </c>
      <c r="D433" s="36" t="n">
        <v>2.09</v>
      </c>
      <c r="E433" s="36" t="n">
        <v>0.4</v>
      </c>
      <c r="F433" s="36" t="n">
        <v>2.92</v>
      </c>
      <c r="G433" s="36" t="n">
        <v>2.48</v>
      </c>
      <c r="H433" s="37" t="n">
        <v>0.7666666666666667</v>
      </c>
      <c r="I433" s="37" t="n">
        <v>0.8461538461538461</v>
      </c>
      <c r="J433" s="37" t="n">
        <v>0.7604790419161677</v>
      </c>
      <c r="K433" s="37" t="n">
        <v>0.9090909090909091</v>
      </c>
      <c r="L433" s="37" t="n">
        <v>0.9090909090909091</v>
      </c>
      <c r="M433" s="37" t="n">
        <v>0.9888888888888889</v>
      </c>
      <c r="N433" s="37" t="n">
        <v>0.4777777777777778</v>
      </c>
      <c r="O433" s="36" t="n">
        <v>0</v>
      </c>
      <c r="P433" s="36" t="n">
        <v>2.59</v>
      </c>
      <c r="Q433" s="36" t="n">
        <v>7.65</v>
      </c>
      <c r="R433" s="36" t="n">
        <v>110.53</v>
      </c>
      <c r="S433" s="36" t="n">
        <v>0</v>
      </c>
      <c r="T433" s="37" t="n">
        <v>0.8181818181818182</v>
      </c>
      <c r="U433" s="37" t="n">
        <v>0.7159090909090909</v>
      </c>
      <c r="V433" s="37" t="n">
        <v>0.8636363636363636</v>
      </c>
      <c r="W433" s="37" t="n">
        <v>0.873015873015873</v>
      </c>
    </row>
    <row r="434">
      <c r="A434" s="53" t="n">
        <v>45821</v>
      </c>
      <c r="B434" t="inlineStr">
        <is>
          <t>R06_Jawa Timur</t>
        </is>
      </c>
      <c r="C434" t="inlineStr">
        <is>
          <t>NOP KEDIRI</t>
        </is>
      </c>
      <c r="D434" s="36" t="n">
        <v>2.23</v>
      </c>
      <c r="E434" s="36" t="n">
        <v>0</v>
      </c>
      <c r="F434" s="36" t="n">
        <v>1.84</v>
      </c>
      <c r="G434" s="36" t="n">
        <v>2.66</v>
      </c>
      <c r="H434" s="37" t="n">
        <v>0.8608695652173913</v>
      </c>
      <c r="I434" s="37" t="n">
        <v>1</v>
      </c>
      <c r="J434" s="37" t="n">
        <v>0.8545454545454545</v>
      </c>
      <c r="K434" s="37" t="n">
        <v>0.8</v>
      </c>
      <c r="L434" s="37" t="n">
        <v>0.8</v>
      </c>
      <c r="M434" s="37" t="n">
        <v>1</v>
      </c>
      <c r="N434" s="37" t="n">
        <v>0.6521739130434783</v>
      </c>
      <c r="O434" s="36" t="n">
        <v>0</v>
      </c>
      <c r="P434" s="36" t="n">
        <v>2.11</v>
      </c>
      <c r="Q434" s="36" t="n">
        <v>5.04</v>
      </c>
      <c r="R434" s="36" t="n">
        <v>21.36</v>
      </c>
      <c r="S434" s="36" t="n">
        <v>0</v>
      </c>
      <c r="T434" s="37" t="n">
        <v>0.9454545454545454</v>
      </c>
      <c r="U434" s="37" t="n">
        <v>0.9069767441860465</v>
      </c>
      <c r="V434" s="37" t="n">
        <v>0.9590163934426229</v>
      </c>
      <c r="W434" s="37" t="n">
        <v>0.9230769230769231</v>
      </c>
    </row>
    <row r="435">
      <c r="A435" s="53" t="n">
        <v>45821</v>
      </c>
      <c r="B435" t="inlineStr">
        <is>
          <t>R06_Jawa Timur</t>
        </is>
      </c>
      <c r="C435" t="inlineStr">
        <is>
          <t>NOP LAMONGAN</t>
        </is>
      </c>
      <c r="D435" s="36" t="n">
        <v>2.99</v>
      </c>
      <c r="E435" s="36" t="n">
        <v>0</v>
      </c>
      <c r="F435" s="36" t="n">
        <v>3.24</v>
      </c>
      <c r="G435" s="36" t="n">
        <v>2.83</v>
      </c>
      <c r="H435" s="37" t="n">
        <v>0.8888888888888888</v>
      </c>
      <c r="I435" s="37" t="n">
        <v>0.8666666666666667</v>
      </c>
      <c r="J435" s="37" t="n">
        <v>0.8924731182795699</v>
      </c>
      <c r="K435" s="37" t="n">
        <v>1</v>
      </c>
      <c r="L435" s="37" t="n">
        <v>1</v>
      </c>
      <c r="M435" s="37" t="n">
        <v>1</v>
      </c>
      <c r="N435" s="37" t="n">
        <v>0.7407407407407407</v>
      </c>
      <c r="O435" s="36" t="n">
        <v>0</v>
      </c>
      <c r="P435" s="36" t="n">
        <v>3.04</v>
      </c>
      <c r="Q435" s="36" t="n">
        <v>8.609999999999999</v>
      </c>
      <c r="R435" s="36" t="n">
        <v>69.12</v>
      </c>
      <c r="S435" s="36" t="n">
        <v>0</v>
      </c>
      <c r="T435" s="37" t="n">
        <v>0.7304347826086957</v>
      </c>
      <c r="U435" s="37" t="n">
        <v>0.5967741935483871</v>
      </c>
      <c r="V435" s="37" t="n">
        <v>0.8867924528301887</v>
      </c>
      <c r="W435" s="37" t="n">
        <v>0.8378378378378378</v>
      </c>
    </row>
    <row r="436">
      <c r="A436" s="53" t="n">
        <v>45821</v>
      </c>
      <c r="B436" t="inlineStr">
        <is>
          <t>R06_Jawa Timur</t>
        </is>
      </c>
      <c r="C436" t="inlineStr">
        <is>
          <t>NOP MADIUN</t>
        </is>
      </c>
      <c r="D436" s="36" t="n">
        <v>0.89</v>
      </c>
      <c r="E436" s="36" t="n">
        <v>0</v>
      </c>
      <c r="F436" s="36" t="n">
        <v>2.63</v>
      </c>
      <c r="G436" s="36" t="n">
        <v>2.7</v>
      </c>
      <c r="H436" s="37" t="n">
        <v>0.6301369863013698</v>
      </c>
      <c r="I436" s="37" t="n">
        <v>1</v>
      </c>
      <c r="J436" s="37" t="n">
        <v>0.6223776223776224</v>
      </c>
      <c r="K436" s="37" t="n">
        <v>1</v>
      </c>
      <c r="L436" s="37" t="n">
        <v>1</v>
      </c>
      <c r="M436" s="37" t="n">
        <v>0.9246575342465754</v>
      </c>
      <c r="N436" s="37" t="n">
        <v>0.3972602739726027</v>
      </c>
      <c r="O436" s="36" t="n">
        <v>0</v>
      </c>
      <c r="P436" s="36" t="n">
        <v>4.37</v>
      </c>
      <c r="Q436" s="36" t="n">
        <v>6.85</v>
      </c>
      <c r="R436" s="36" t="n">
        <v>29.56</v>
      </c>
      <c r="S436" s="36" t="n">
        <v>0</v>
      </c>
      <c r="T436" s="37" t="n">
        <v>0.7673469387755102</v>
      </c>
      <c r="U436" s="37" t="n">
        <v>0.7</v>
      </c>
      <c r="V436" s="37" t="n">
        <v>0.7942857142857143</v>
      </c>
      <c r="W436" s="37" t="n">
        <v>0.8367346938775511</v>
      </c>
    </row>
    <row r="437">
      <c r="A437" s="53" t="n">
        <v>45821</v>
      </c>
      <c r="B437" t="inlineStr">
        <is>
          <t>R06_Jawa Timur</t>
        </is>
      </c>
      <c r="C437" t="inlineStr">
        <is>
          <t>NOP MALANG</t>
        </is>
      </c>
      <c r="D437" s="36" t="n">
        <v>0</v>
      </c>
      <c r="E437" s="36" t="n">
        <v>0</v>
      </c>
      <c r="F437" s="36" t="n">
        <v>2.37</v>
      </c>
      <c r="G437" s="36" t="n">
        <v>2.73</v>
      </c>
      <c r="H437" s="37" t="n">
        <v>0.8962264150943396</v>
      </c>
      <c r="I437" s="37" t="n">
        <v>0</v>
      </c>
      <c r="J437" s="37" t="n">
        <v>0.8962264150943396</v>
      </c>
      <c r="K437" s="37" t="n">
        <v>0</v>
      </c>
      <c r="L437" s="37" t="n">
        <v>0</v>
      </c>
      <c r="M437" s="37" t="n">
        <v>1</v>
      </c>
      <c r="N437" s="37" t="n">
        <v>0.9433962264150944</v>
      </c>
      <c r="O437" s="36" t="n">
        <v>0</v>
      </c>
      <c r="P437" s="36" t="n">
        <v>2.56</v>
      </c>
      <c r="Q437" s="36" t="n">
        <v>4.16</v>
      </c>
      <c r="R437" s="36" t="n">
        <v>31.6</v>
      </c>
      <c r="S437" s="36" t="n">
        <v>0</v>
      </c>
      <c r="T437" s="37" t="n">
        <v>0.8322147651006712</v>
      </c>
      <c r="U437" s="37" t="n">
        <v>0.7090909090909091</v>
      </c>
      <c r="V437" s="37" t="n">
        <v>0.9042553191489362</v>
      </c>
      <c r="W437" s="37" t="n">
        <v>0.8974358974358975</v>
      </c>
    </row>
    <row r="438">
      <c r="A438" s="53" t="n">
        <v>45821</v>
      </c>
      <c r="B438" t="inlineStr">
        <is>
          <t>R06_Jawa Timur</t>
        </is>
      </c>
      <c r="C438" t="inlineStr">
        <is>
          <t>NOP SIDOARJO</t>
        </is>
      </c>
      <c r="D438" s="36" t="n">
        <v>1.86</v>
      </c>
      <c r="E438" s="36" t="n">
        <v>0</v>
      </c>
      <c r="F438" s="36" t="n">
        <v>4.01</v>
      </c>
      <c r="G438" s="36" t="n">
        <v>5.12</v>
      </c>
      <c r="H438" s="37" t="n">
        <v>0.6929824561403509</v>
      </c>
      <c r="I438" s="37" t="n">
        <v>1</v>
      </c>
      <c r="J438" s="37" t="n">
        <v>0.6875</v>
      </c>
      <c r="K438" s="37" t="n">
        <v>0.5</v>
      </c>
      <c r="L438" s="37" t="n">
        <v>0.5</v>
      </c>
      <c r="M438" s="37" t="n">
        <v>0.9736842105263158</v>
      </c>
      <c r="N438" s="37" t="n">
        <v>0.5</v>
      </c>
      <c r="O438" s="36" t="n">
        <v>0.01</v>
      </c>
      <c r="P438" s="36" t="n">
        <v>2.87</v>
      </c>
      <c r="Q438" s="36" t="n">
        <v>9.82</v>
      </c>
      <c r="R438" s="36" t="n">
        <v>41.06</v>
      </c>
      <c r="S438" s="36" t="n">
        <v>0</v>
      </c>
      <c r="T438" s="37" t="n">
        <v>0.8475609756097561</v>
      </c>
      <c r="U438" s="37" t="n">
        <v>0.7037037037037037</v>
      </c>
      <c r="V438" s="37" t="n">
        <v>0.8759124087591241</v>
      </c>
      <c r="W438" s="37" t="n">
        <v>0.7894736842105263</v>
      </c>
    </row>
    <row r="439">
      <c r="A439" s="53" t="n">
        <v>45821</v>
      </c>
      <c r="B439" t="inlineStr">
        <is>
          <t>R06_Jawa Timur</t>
        </is>
      </c>
      <c r="C439" t="inlineStr">
        <is>
          <t>NOP SURABAYA</t>
        </is>
      </c>
      <c r="D439" s="36" t="n">
        <v>2.34</v>
      </c>
      <c r="E439" s="36" t="n">
        <v>1.58</v>
      </c>
      <c r="F439" s="36" t="n">
        <v>3.1</v>
      </c>
      <c r="G439" s="36" t="n">
        <v>3.4</v>
      </c>
      <c r="H439" s="37" t="n">
        <v>0.5317919075144508</v>
      </c>
      <c r="I439" s="37" t="n">
        <v>0.5416666666666666</v>
      </c>
      <c r="J439" s="37" t="n">
        <v>0.5302013422818792</v>
      </c>
      <c r="K439" s="37" t="n">
        <v>0.9230769230769231</v>
      </c>
      <c r="L439" s="37" t="n">
        <v>0.9230769230769231</v>
      </c>
      <c r="M439" s="37" t="n">
        <v>0.8786127167630058</v>
      </c>
      <c r="N439" s="37" t="n">
        <v>0.3872832369942196</v>
      </c>
      <c r="O439" s="36" t="n">
        <v>0.86</v>
      </c>
      <c r="P439" s="36" t="n">
        <v>4.61</v>
      </c>
      <c r="Q439" s="36" t="n">
        <v>6.91</v>
      </c>
      <c r="R439" s="36" t="n">
        <v>24.52</v>
      </c>
      <c r="S439" s="36" t="n">
        <v>0</v>
      </c>
      <c r="T439" s="37" t="n">
        <v>0.5972602739726027</v>
      </c>
      <c r="U439" s="37" t="n">
        <v>0.3766233766233766</v>
      </c>
      <c r="V439" s="37" t="n">
        <v>0.65625</v>
      </c>
      <c r="W439" s="37" t="n">
        <v>0.6896551724137931</v>
      </c>
    </row>
    <row r="440">
      <c r="A440" s="53" t="n">
        <v>45821</v>
      </c>
      <c r="B440" t="inlineStr">
        <is>
          <t>R07_Bali Nusra</t>
        </is>
      </c>
      <c r="C440" t="inlineStr">
        <is>
          <t>NOP DENPASAR</t>
        </is>
      </c>
      <c r="D440" s="36" t="n">
        <v>3.18</v>
      </c>
      <c r="E440" s="36" t="n">
        <v>7.47</v>
      </c>
      <c r="F440" s="36" t="n">
        <v>2.5</v>
      </c>
      <c r="G440" s="36" t="n">
        <v>2.3</v>
      </c>
      <c r="H440" s="37" t="n">
        <v>0.9178082191780822</v>
      </c>
      <c r="I440" s="37" t="n">
        <v>0.9</v>
      </c>
      <c r="J440" s="37" t="n">
        <v>0.9206349206349206</v>
      </c>
      <c r="K440" s="37" t="n">
        <v>1</v>
      </c>
      <c r="L440" s="37" t="n">
        <v>1</v>
      </c>
      <c r="M440" s="37" t="n">
        <v>1</v>
      </c>
      <c r="N440" s="37" t="n">
        <v>0.952054794520548</v>
      </c>
      <c r="O440" s="36" t="n">
        <v>0.01</v>
      </c>
      <c r="P440" s="36" t="n">
        <v>10.61</v>
      </c>
      <c r="Q440" s="36" t="n">
        <v>8.640000000000001</v>
      </c>
      <c r="R440" s="36" t="n">
        <v>23.5</v>
      </c>
      <c r="S440" s="36" t="n">
        <v>0</v>
      </c>
      <c r="T440" s="37" t="n">
        <v>0.8424657534246576</v>
      </c>
      <c r="U440" s="37" t="n">
        <v>0.8761904761904762</v>
      </c>
      <c r="V440" s="37" t="n">
        <v>0.8235294117647058</v>
      </c>
      <c r="W440" s="37" t="n">
        <v>0.6739130434782609</v>
      </c>
    </row>
    <row r="441">
      <c r="A441" s="53" t="n">
        <v>45821</v>
      </c>
      <c r="B441" t="inlineStr">
        <is>
          <t>R07_Bali Nusra</t>
        </is>
      </c>
      <c r="C441" t="inlineStr">
        <is>
          <t>NOP FLORES</t>
        </is>
      </c>
      <c r="D441" s="36" t="n">
        <v>3.09</v>
      </c>
      <c r="E441" s="36" t="n">
        <v>6.85</v>
      </c>
      <c r="F441" s="36" t="n">
        <v>8.890000000000001</v>
      </c>
      <c r="G441" s="36" t="n">
        <v>10.54</v>
      </c>
      <c r="H441" s="37" t="n">
        <v>0.3800515907136716</v>
      </c>
      <c r="I441" s="37" t="n">
        <v>0.6616161616161617</v>
      </c>
      <c r="J441" s="37" t="n">
        <v>0.322279792746114</v>
      </c>
      <c r="K441" s="37" t="n">
        <v>0.732824427480916</v>
      </c>
      <c r="L441" s="37" t="n">
        <v>0.732824427480916</v>
      </c>
      <c r="M441" s="37" t="n">
        <v>0.9750644883920895</v>
      </c>
      <c r="N441" s="37" t="n">
        <v>0.2536543422184007</v>
      </c>
      <c r="O441" s="36" t="n">
        <v>0.25</v>
      </c>
      <c r="P441" s="36" t="n">
        <v>9.720000000000001</v>
      </c>
      <c r="Q441" s="36" t="n">
        <v>11.4</v>
      </c>
      <c r="R441" s="36" t="n">
        <v>85.14</v>
      </c>
      <c r="S441" s="36" t="n">
        <v>0</v>
      </c>
      <c r="T441" s="37" t="n">
        <v>0.5257142857142857</v>
      </c>
      <c r="U441" s="37" t="n">
        <v>0.5493387589013224</v>
      </c>
      <c r="V441" s="37" t="n">
        <v>0.4700239808153477</v>
      </c>
      <c r="W441" s="37" t="n">
        <v>0.8462962962962963</v>
      </c>
    </row>
    <row r="442">
      <c r="A442" s="53" t="n">
        <v>45821</v>
      </c>
      <c r="B442" t="inlineStr">
        <is>
          <t>R07_Bali Nusra</t>
        </is>
      </c>
      <c r="C442" t="inlineStr">
        <is>
          <t>NOP KUPANG</t>
        </is>
      </c>
      <c r="D442" s="36" t="n">
        <v>26.53</v>
      </c>
      <c r="E442" s="36" t="n">
        <v>6.28</v>
      </c>
      <c r="F442" s="36" t="n">
        <v>7.26</v>
      </c>
      <c r="G442" s="36" t="n">
        <v>7.8</v>
      </c>
      <c r="H442" s="37" t="n">
        <v>0.5553571428571429</v>
      </c>
      <c r="I442" s="37" t="n">
        <v>0.71900826446281</v>
      </c>
      <c r="J442" s="37" t="n">
        <v>0.510250569476082</v>
      </c>
      <c r="K442" s="37" t="n">
        <v>0.7701149425287356</v>
      </c>
      <c r="L442" s="37" t="n">
        <v>0.7701149425287356</v>
      </c>
      <c r="M442" s="37" t="n">
        <v>0.9785714285714285</v>
      </c>
      <c r="N442" s="37" t="n">
        <v>0.3375</v>
      </c>
      <c r="O442" s="36" t="n">
        <v>17.94</v>
      </c>
      <c r="P442" s="36" t="n">
        <v>9.279999999999999</v>
      </c>
      <c r="Q442" s="36" t="n">
        <v>19.73</v>
      </c>
      <c r="R442" s="36" t="n">
        <v>14.15</v>
      </c>
      <c r="S442" s="36" t="n">
        <v>0</v>
      </c>
      <c r="T442" s="37" t="n">
        <v>0.5287610619469026</v>
      </c>
      <c r="U442" s="37" t="n">
        <v>0.6173120728929385</v>
      </c>
      <c r="V442" s="37" t="n">
        <v>0.4451612903225807</v>
      </c>
      <c r="W442" s="37" t="n">
        <v>0.7084870848708487</v>
      </c>
    </row>
    <row r="443">
      <c r="A443" s="53" t="n">
        <v>45821</v>
      </c>
      <c r="B443" t="inlineStr">
        <is>
          <t>R07_Bali Nusra</t>
        </is>
      </c>
      <c r="C443" t="inlineStr">
        <is>
          <t>NOP MATARAM</t>
        </is>
      </c>
      <c r="D443" s="36" t="n">
        <v>1.79</v>
      </c>
      <c r="E443" s="36" t="n">
        <v>3.52</v>
      </c>
      <c r="F443" s="36" t="n">
        <v>3.63</v>
      </c>
      <c r="G443" s="36" t="n">
        <v>6.45</v>
      </c>
      <c r="H443" s="37" t="n">
        <v>0.6461988304093568</v>
      </c>
      <c r="I443" s="37" t="n">
        <v>0.5333333333333333</v>
      </c>
      <c r="J443" s="37" t="n">
        <v>0.657051282051282</v>
      </c>
      <c r="K443" s="37" t="n">
        <v>0.6875</v>
      </c>
      <c r="L443" s="37" t="n">
        <v>0.6875</v>
      </c>
      <c r="M443" s="37" t="n">
        <v>0.9912280701754386</v>
      </c>
      <c r="N443" s="37" t="n">
        <v>0.4298245614035088</v>
      </c>
      <c r="O443" s="36" t="n">
        <v>6.6</v>
      </c>
      <c r="P443" s="36" t="n">
        <v>18.95</v>
      </c>
      <c r="Q443" s="36" t="n">
        <v>19.21</v>
      </c>
      <c r="R443" s="36" t="n">
        <v>41.51</v>
      </c>
      <c r="S443" s="36" t="n">
        <v>0</v>
      </c>
      <c r="T443" s="37" t="n">
        <v>0.4442446043165468</v>
      </c>
      <c r="U443" s="37" t="n">
        <v>0.4211822660098522</v>
      </c>
      <c r="V443" s="37" t="n">
        <v>0.5066666666666667</v>
      </c>
      <c r="W443" s="37" t="n">
        <v>0.5146198830409356</v>
      </c>
    </row>
    <row r="444">
      <c r="A444" s="53" t="n">
        <v>45822</v>
      </c>
      <c r="B444" t="inlineStr">
        <is>
          <t>R01_Sumbagut</t>
        </is>
      </c>
      <c r="C444" t="inlineStr">
        <is>
          <t>NOP ACEH</t>
        </is>
      </c>
      <c r="D444" s="36" t="n">
        <v>3.05</v>
      </c>
      <c r="E444" s="36" t="n">
        <v>3.65</v>
      </c>
      <c r="F444" s="36" t="n">
        <v>4.69</v>
      </c>
      <c r="G444" s="36" t="n">
        <v>7.64</v>
      </c>
      <c r="H444" s="37" t="n">
        <v>0.86002886002886</v>
      </c>
      <c r="I444" s="37" t="n">
        <v>0.8165374677002584</v>
      </c>
      <c r="J444" s="37" t="n">
        <v>0.8699763593380615</v>
      </c>
      <c r="K444" s="37" t="n">
        <v>0.5221518987341772</v>
      </c>
      <c r="L444" s="37" t="n">
        <v>0.5182724252491694</v>
      </c>
      <c r="M444" s="37" t="n">
        <v>0.9951899951899952</v>
      </c>
      <c r="N444" s="37" t="n">
        <v>0.3588263588263588</v>
      </c>
      <c r="O444" s="36" t="n">
        <v>1.25</v>
      </c>
      <c r="P444" s="36" t="n">
        <v>4</v>
      </c>
      <c r="Q444" s="36" t="n">
        <v>54.92</v>
      </c>
      <c r="R444" s="36" t="n">
        <v>94.68000000000001</v>
      </c>
      <c r="S444" s="36" t="n">
        <v>0</v>
      </c>
      <c r="T444" s="37" t="n">
        <v>0.840024517315354</v>
      </c>
      <c r="U444" s="37" t="n">
        <v>0.6591676040494938</v>
      </c>
      <c r="V444" s="37" t="n">
        <v>0.9087386999569522</v>
      </c>
      <c r="W444" s="37" t="n">
        <v>0.2781569965870307</v>
      </c>
    </row>
    <row r="445">
      <c r="A445" s="53" t="n">
        <v>45822</v>
      </c>
      <c r="B445" t="inlineStr">
        <is>
          <t>R01_Sumbagut</t>
        </is>
      </c>
      <c r="C445" t="inlineStr">
        <is>
          <t>NOP BINJAI</t>
        </is>
      </c>
      <c r="D445" s="36" t="n">
        <v>3.67</v>
      </c>
      <c r="E445" s="36" t="n">
        <v>5.32</v>
      </c>
      <c r="F445" s="36" t="n">
        <v>5.54</v>
      </c>
      <c r="G445" s="36" t="n">
        <v>5.97</v>
      </c>
      <c r="H445" s="37" t="n">
        <v>0.608955223880597</v>
      </c>
      <c r="I445" s="37" t="n">
        <v>0.6525821596244131</v>
      </c>
      <c r="J445" s="37" t="n">
        <v>0.5972222222222222</v>
      </c>
      <c r="K445" s="37" t="n">
        <v>0.3956834532374101</v>
      </c>
      <c r="L445" s="37" t="n">
        <v>0.3956834532374101</v>
      </c>
      <c r="M445" s="37" t="n">
        <v>0.9900497512437811</v>
      </c>
      <c r="N445" s="37" t="n">
        <v>0.2626865671641791</v>
      </c>
      <c r="O445" s="36" t="n">
        <v>0.11</v>
      </c>
      <c r="P445" s="36" t="n">
        <v>3.61</v>
      </c>
      <c r="Q445" s="36" t="n">
        <v>37.57</v>
      </c>
      <c r="R445" s="36" t="n">
        <v>76.8</v>
      </c>
      <c r="S445" s="36" t="n">
        <v>0</v>
      </c>
      <c r="T445" s="37" t="n">
        <v>0.6956834532374101</v>
      </c>
      <c r="U445" s="37" t="n">
        <v>0.5708245243128964</v>
      </c>
      <c r="V445" s="37" t="n">
        <v>0.7726190476190476</v>
      </c>
      <c r="W445" s="37" t="n">
        <v>0.4444444444444444</v>
      </c>
    </row>
    <row r="446">
      <c r="A446" s="53" t="n">
        <v>45822</v>
      </c>
      <c r="B446" t="inlineStr">
        <is>
          <t>R01_Sumbagut</t>
        </is>
      </c>
      <c r="C446" t="inlineStr">
        <is>
          <t>NOP MEDAN</t>
        </is>
      </c>
      <c r="D446" s="36" t="n">
        <v>2.56</v>
      </c>
      <c r="E446" s="36" t="n">
        <v>5.3</v>
      </c>
      <c r="F446" s="36" t="n">
        <v>4.2</v>
      </c>
      <c r="G446" s="36" t="n">
        <v>7.95</v>
      </c>
      <c r="H446" s="37" t="n">
        <v>0.413716814159292</v>
      </c>
      <c r="I446" s="37" t="n">
        <v>0.4848484848484849</v>
      </c>
      <c r="J446" s="37" t="n">
        <v>0.384375</v>
      </c>
      <c r="K446" s="37" t="n">
        <v>0.6796875</v>
      </c>
      <c r="L446" s="37" t="n">
        <v>0.6879999999999999</v>
      </c>
      <c r="M446" s="37" t="n">
        <v>0.9966814159292036</v>
      </c>
      <c r="N446" s="37" t="n">
        <v>0.2289823008849557</v>
      </c>
      <c r="O446" s="36" t="n">
        <v>0</v>
      </c>
      <c r="P446" s="36" t="n">
        <v>4.89</v>
      </c>
      <c r="Q446" s="36" t="n">
        <v>16.9</v>
      </c>
      <c r="R446" s="36" t="n">
        <v>4.88</v>
      </c>
      <c r="S446" s="36" t="n">
        <v>0</v>
      </c>
      <c r="T446" s="37" t="n">
        <v>0.3317535545023697</v>
      </c>
      <c r="U446" s="37" t="n">
        <v>0.160337552742616</v>
      </c>
      <c r="V446" s="37" t="n">
        <v>0.4257246376811594</v>
      </c>
      <c r="W446" s="37" t="n">
        <v>0.8157894736842105</v>
      </c>
    </row>
    <row r="447">
      <c r="A447" s="53" t="n">
        <v>45822</v>
      </c>
      <c r="B447" t="inlineStr">
        <is>
          <t>R01_Sumbagut</t>
        </is>
      </c>
      <c r="C447" t="inlineStr">
        <is>
          <t>NOP PADANG SIDEMPUAN</t>
        </is>
      </c>
      <c r="D447" s="36" t="n">
        <v>4.02</v>
      </c>
      <c r="E447" s="36" t="n">
        <v>5.84</v>
      </c>
      <c r="F447" s="36" t="n">
        <v>6.2</v>
      </c>
      <c r="G447" s="36" t="n">
        <v>7.35</v>
      </c>
      <c r="H447" s="37" t="n">
        <v>0.4356287425149701</v>
      </c>
      <c r="I447" s="37" t="n">
        <v>0.7012195121951219</v>
      </c>
      <c r="J447" s="37" t="n">
        <v>0.3984641638225256</v>
      </c>
      <c r="K447" s="37" t="n">
        <v>0.4956521739130435</v>
      </c>
      <c r="L447" s="37" t="n">
        <v>0.504424778761062</v>
      </c>
      <c r="M447" s="37" t="n">
        <v>0.9880239520958084</v>
      </c>
      <c r="N447" s="37" t="n">
        <v>0.1661676646706587</v>
      </c>
      <c r="O447" s="36" t="n">
        <v>0.16</v>
      </c>
      <c r="P447" s="36" t="n">
        <v>3.28</v>
      </c>
      <c r="Q447" s="36" t="n">
        <v>10.33</v>
      </c>
      <c r="R447" s="36" t="n">
        <v>40.09</v>
      </c>
      <c r="S447" s="36" t="n">
        <v>0</v>
      </c>
      <c r="T447" s="37" t="n">
        <v>0.6712172923777019</v>
      </c>
      <c r="U447" s="37" t="n">
        <v>0.6604386677497969</v>
      </c>
      <c r="V447" s="37" t="n">
        <v>0.6814868804664723</v>
      </c>
      <c r="W447" s="37" t="n">
        <v>0.5473554735547356</v>
      </c>
    </row>
    <row r="448">
      <c r="A448" s="53" t="n">
        <v>45822</v>
      </c>
      <c r="B448" t="inlineStr">
        <is>
          <t>R01_Sumbagut</t>
        </is>
      </c>
      <c r="C448" t="inlineStr">
        <is>
          <t>NOP PEMATANG SIANTAR</t>
        </is>
      </c>
      <c r="D448" s="36" t="n">
        <v>8.609999999999999</v>
      </c>
      <c r="E448" s="36" t="n">
        <v>5.58</v>
      </c>
      <c r="F448" s="36" t="n">
        <v>5.1</v>
      </c>
      <c r="G448" s="36" t="n">
        <v>7.06</v>
      </c>
      <c r="H448" s="37" t="n">
        <v>0.5072933549432739</v>
      </c>
      <c r="I448" s="37" t="n">
        <v>0.7594339622641509</v>
      </c>
      <c r="J448" s="37" t="n">
        <v>0.432375613174492</v>
      </c>
      <c r="K448" s="37" t="n">
        <v>0.406832298136646</v>
      </c>
      <c r="L448" s="37" t="n">
        <v>0.4089456869009584</v>
      </c>
      <c r="M448" s="37" t="n">
        <v>0.9654240950837385</v>
      </c>
      <c r="N448" s="37" t="n">
        <v>0.255537547271745</v>
      </c>
      <c r="O448" s="36" t="n">
        <v>2.35</v>
      </c>
      <c r="P448" s="36" t="n">
        <v>4.89</v>
      </c>
      <c r="Q448" s="36" t="n">
        <v>45.45</v>
      </c>
      <c r="R448" s="36" t="n">
        <v>70.38</v>
      </c>
      <c r="S448" s="36" t="n">
        <v>0</v>
      </c>
      <c r="T448" s="37" t="n">
        <v>0.6435643564356436</v>
      </c>
      <c r="U448" s="37" t="n">
        <v>0.7025392986698912</v>
      </c>
      <c r="V448" s="37" t="n">
        <v>0.618698441796517</v>
      </c>
      <c r="W448" s="37" t="n">
        <v>0.5352839931153184</v>
      </c>
    </row>
    <row r="449">
      <c r="A449" s="53" t="n">
        <v>45822</v>
      </c>
      <c r="B449" t="inlineStr">
        <is>
          <t>R01_Sumbagut</t>
        </is>
      </c>
      <c r="C449" t="inlineStr">
        <is>
          <t>NOP RANTAU PRAPAT</t>
        </is>
      </c>
      <c r="D449" s="36" t="n">
        <v>4.02</v>
      </c>
      <c r="E449" s="36" t="n">
        <v>3.03</v>
      </c>
      <c r="F449" s="36" t="n">
        <v>3.85</v>
      </c>
      <c r="G449" s="36" t="n">
        <v>4.98</v>
      </c>
      <c r="H449" s="37" t="n">
        <v>0.4079014879425346</v>
      </c>
      <c r="I449" s="37" t="n">
        <v>0.3898809523809524</v>
      </c>
      <c r="J449" s="37" t="n">
        <v>0.4116553006819591</v>
      </c>
      <c r="K449" s="37" t="n">
        <v>0.6183206106870229</v>
      </c>
      <c r="L449" s="37" t="n">
        <v>0.6183206106870229</v>
      </c>
      <c r="M449" s="37" t="n">
        <v>0.9820420728578758</v>
      </c>
      <c r="N449" s="37" t="n">
        <v>0.2262698819907645</v>
      </c>
      <c r="O449" s="36" t="n">
        <v>0.11</v>
      </c>
      <c r="P449" s="36" t="n">
        <v>3.66</v>
      </c>
      <c r="Q449" s="36" t="n">
        <v>25.23</v>
      </c>
      <c r="R449" s="36" t="n">
        <v>67.5</v>
      </c>
      <c r="S449" s="36" t="n">
        <v>0</v>
      </c>
      <c r="T449" s="37" t="n">
        <v>0.2082413539367182</v>
      </c>
      <c r="U449" s="37" t="n">
        <v>0.2676056338028169</v>
      </c>
      <c r="V449" s="37" t="n">
        <v>0.1831949193942355</v>
      </c>
      <c r="W449" s="37" t="n">
        <v>0.4934210526315789</v>
      </c>
    </row>
    <row r="450">
      <c r="A450" s="53" t="n">
        <v>45822</v>
      </c>
      <c r="B450" t="inlineStr">
        <is>
          <t>R10_Sumbagteng</t>
        </is>
      </c>
      <c r="C450" t="inlineStr">
        <is>
          <t>NOP BATAM</t>
        </is>
      </c>
      <c r="D450" s="36" t="n">
        <v>3.74</v>
      </c>
      <c r="E450" s="36" t="n">
        <v>7.95</v>
      </c>
      <c r="F450" s="36" t="n">
        <v>6.51</v>
      </c>
      <c r="G450" s="36" t="n">
        <v>9</v>
      </c>
      <c r="H450" s="37" t="n">
        <v>0.5409631019387117</v>
      </c>
      <c r="I450" s="37" t="n">
        <v>0.6724738675958188</v>
      </c>
      <c r="J450" s="37" t="n">
        <v>0.5121951219512195</v>
      </c>
      <c r="K450" s="37" t="n">
        <v>0.7461139896373057</v>
      </c>
      <c r="L450" s="37" t="n">
        <v>0.7486910994764397</v>
      </c>
      <c r="M450" s="37" t="n">
        <v>0.9918699186991869</v>
      </c>
      <c r="N450" s="37" t="n">
        <v>0.3796122576610381</v>
      </c>
      <c r="O450" s="36" t="n">
        <v>0.71</v>
      </c>
      <c r="P450" s="36" t="n">
        <v>9.619999999999999</v>
      </c>
      <c r="Q450" s="36" t="n">
        <v>57.97</v>
      </c>
      <c r="R450" s="36" t="n">
        <v>97.56999999999999</v>
      </c>
      <c r="S450" s="36" t="n">
        <v>0</v>
      </c>
      <c r="T450" s="37" t="n">
        <v>0.3258602711157456</v>
      </c>
      <c r="U450" s="37" t="n">
        <v>0.4824074074074074</v>
      </c>
      <c r="V450" s="37" t="n">
        <v>0.2606617647058824</v>
      </c>
      <c r="W450" s="37" t="n">
        <v>0.817658349328215</v>
      </c>
    </row>
    <row r="451">
      <c r="A451" s="53" t="n">
        <v>45822</v>
      </c>
      <c r="B451" t="inlineStr">
        <is>
          <t>R10_Sumbagteng</t>
        </is>
      </c>
      <c r="C451" t="inlineStr">
        <is>
          <t>NOP BUKITTINGGI</t>
        </is>
      </c>
      <c r="D451" s="36" t="n">
        <v>1.84</v>
      </c>
      <c r="E451" s="36" t="n">
        <v>3.77</v>
      </c>
      <c r="F451" s="36" t="n">
        <v>3.14</v>
      </c>
      <c r="G451" s="36" t="n">
        <v>4.2</v>
      </c>
      <c r="H451" s="37" t="n">
        <v>0.671120246659815</v>
      </c>
      <c r="I451" s="37" t="n">
        <v>0.815668202764977</v>
      </c>
      <c r="J451" s="37" t="n">
        <v>0.6296296296296297</v>
      </c>
      <c r="K451" s="37" t="n">
        <v>0.615819209039548</v>
      </c>
      <c r="L451" s="37" t="n">
        <v>0.6374269005847953</v>
      </c>
      <c r="M451" s="37" t="n">
        <v>0.947584789311408</v>
      </c>
      <c r="N451" s="37" t="n">
        <v>0.3453237410071943</v>
      </c>
      <c r="O451" s="36" t="n">
        <v>0.93</v>
      </c>
      <c r="P451" s="36" t="n">
        <v>5.15</v>
      </c>
      <c r="Q451" s="36" t="n">
        <v>62.02</v>
      </c>
      <c r="R451" s="36" t="n">
        <v>81.37</v>
      </c>
      <c r="S451" s="36" t="n">
        <v>0</v>
      </c>
      <c r="T451" s="37" t="n">
        <v>0.5677009873060649</v>
      </c>
      <c r="U451" s="37" t="n">
        <v>0.7831858407079646</v>
      </c>
      <c r="V451" s="37" t="n">
        <v>0.526361279170268</v>
      </c>
      <c r="W451" s="37" t="n">
        <v>0.5875706214689266</v>
      </c>
    </row>
    <row r="452">
      <c r="A452" s="53" t="n">
        <v>45822</v>
      </c>
      <c r="B452" t="inlineStr">
        <is>
          <t>R10_Sumbagteng</t>
        </is>
      </c>
      <c r="C452" t="inlineStr">
        <is>
          <t>NOP DUMAI</t>
        </is>
      </c>
      <c r="D452" s="36" t="n">
        <v>2.71</v>
      </c>
      <c r="E452" s="36" t="n">
        <v>5.27</v>
      </c>
      <c r="F452" s="36" t="n">
        <v>4.56</v>
      </c>
      <c r="G452" s="36" t="n">
        <v>6</v>
      </c>
      <c r="H452" s="37" t="n">
        <v>0.5106117353308365</v>
      </c>
      <c r="I452" s="37" t="n">
        <v>0.6527777777777778</v>
      </c>
      <c r="J452" s="37" t="n">
        <v>0.4581196581196581</v>
      </c>
      <c r="K452" s="37" t="n">
        <v>0.706855791962175</v>
      </c>
      <c r="L452" s="37" t="n">
        <v>0.7173913043478261</v>
      </c>
      <c r="M452" s="37" t="n">
        <v>0.9829379941739492</v>
      </c>
      <c r="N452" s="37" t="n">
        <v>0.2921348314606741</v>
      </c>
      <c r="O452" s="36" t="n">
        <v>0.1</v>
      </c>
      <c r="P452" s="36" t="n">
        <v>8.51</v>
      </c>
      <c r="Q452" s="36" t="n">
        <v>49.24</v>
      </c>
      <c r="R452" s="36" t="n">
        <v>93.89</v>
      </c>
      <c r="S452" s="36" t="n">
        <v>0</v>
      </c>
      <c r="T452" s="37" t="n">
        <v>0.2470612079448723</v>
      </c>
      <c r="U452" s="37" t="n">
        <v>0.3741721854304636</v>
      </c>
      <c r="V452" s="37" t="n">
        <v>0.2059539918809202</v>
      </c>
      <c r="W452" s="37" t="n">
        <v>0.9247787610619469</v>
      </c>
    </row>
    <row r="453">
      <c r="A453" s="53" t="n">
        <v>45822</v>
      </c>
      <c r="B453" t="inlineStr">
        <is>
          <t>R10_Sumbagteng</t>
        </is>
      </c>
      <c r="C453" t="inlineStr">
        <is>
          <t>NOP PADANG</t>
        </is>
      </c>
      <c r="D453" s="36" t="n">
        <v>1.51</v>
      </c>
      <c r="E453" s="36" t="n">
        <v>4.16</v>
      </c>
      <c r="F453" s="36" t="n">
        <v>4.46</v>
      </c>
      <c r="G453" s="36" t="n">
        <v>4.27</v>
      </c>
      <c r="H453" s="37" t="n">
        <v>0.6286043829296425</v>
      </c>
      <c r="I453" s="37" t="n">
        <v>0.6349206349206349</v>
      </c>
      <c r="J453" s="37" t="n">
        <v>0.6281094527363185</v>
      </c>
      <c r="K453" s="37" t="n">
        <v>0.675</v>
      </c>
      <c r="L453" s="37" t="n">
        <v>0.675</v>
      </c>
      <c r="M453" s="37" t="n">
        <v>0.9561707035755479</v>
      </c>
      <c r="N453" s="37" t="n">
        <v>0.2860438292964245</v>
      </c>
      <c r="O453" s="36" t="n">
        <v>7.76</v>
      </c>
      <c r="P453" s="36" t="n">
        <v>5.72</v>
      </c>
      <c r="Q453" s="36" t="n">
        <v>53.06</v>
      </c>
      <c r="R453" s="36" t="n">
        <v>105.46</v>
      </c>
      <c r="S453" s="36" t="n">
        <v>0</v>
      </c>
      <c r="T453" s="37" t="n">
        <v>0.793591654247392</v>
      </c>
      <c r="U453" s="37" t="n">
        <v>0.628361858190709</v>
      </c>
      <c r="V453" s="37" t="n">
        <v>0.8653637350705755</v>
      </c>
      <c r="W453" s="37" t="n">
        <v>0.7276264591439688</v>
      </c>
    </row>
    <row r="454">
      <c r="A454" s="53" t="n">
        <v>45822</v>
      </c>
      <c r="B454" t="inlineStr">
        <is>
          <t>R10_Sumbagteng</t>
        </is>
      </c>
      <c r="C454" t="inlineStr">
        <is>
          <t>NOP PEKANBARU</t>
        </is>
      </c>
      <c r="D454" s="36" t="n">
        <v>3.5</v>
      </c>
      <c r="E454" s="36" t="n">
        <v>5.5</v>
      </c>
      <c r="F454" s="36" t="n">
        <v>4.28</v>
      </c>
      <c r="G454" s="36" t="n">
        <v>6.73</v>
      </c>
      <c r="H454" s="37" t="n">
        <v>0.4392947103274559</v>
      </c>
      <c r="I454" s="37" t="n">
        <v>0.4224137931034483</v>
      </c>
      <c r="J454" s="37" t="n">
        <v>0.4428833231521075</v>
      </c>
      <c r="K454" s="37" t="n">
        <v>0.7278911564625851</v>
      </c>
      <c r="L454" s="37" t="n">
        <v>0.7328767123287672</v>
      </c>
      <c r="M454" s="37" t="n">
        <v>0.985390428211587</v>
      </c>
      <c r="N454" s="37" t="n">
        <v>0.2418136020151133</v>
      </c>
      <c r="O454" s="36" t="n">
        <v>0.59</v>
      </c>
      <c r="P454" s="36" t="n">
        <v>5.44</v>
      </c>
      <c r="Q454" s="36" t="n">
        <v>42.3</v>
      </c>
      <c r="R454" s="36" t="n">
        <v>62.07</v>
      </c>
      <c r="S454" s="36" t="n">
        <v>0</v>
      </c>
      <c r="T454" s="37" t="n">
        <v>0.3013202174475796</v>
      </c>
      <c r="U454" s="37" t="n">
        <v>0.363481228668942</v>
      </c>
      <c r="V454" s="37" t="n">
        <v>0.2718964204112719</v>
      </c>
      <c r="W454" s="37" t="n">
        <v>0.8356807511737089</v>
      </c>
    </row>
    <row r="455">
      <c r="A455" s="53" t="n">
        <v>45822</v>
      </c>
      <c r="B455" t="inlineStr">
        <is>
          <t>R02_Sumbagsel</t>
        </is>
      </c>
      <c r="C455" t="inlineStr">
        <is>
          <t>NOP BENGKULU</t>
        </is>
      </c>
      <c r="D455" s="36" t="n">
        <v>3.64</v>
      </c>
      <c r="E455" s="36" t="n">
        <v>5.78</v>
      </c>
      <c r="F455" s="36" t="n">
        <v>4.76</v>
      </c>
      <c r="G455" s="36" t="n">
        <v>6.14</v>
      </c>
      <c r="H455" s="37" t="n">
        <v>0.4578512396694215</v>
      </c>
      <c r="I455" s="37" t="n">
        <v>0.5246913580246914</v>
      </c>
      <c r="J455" s="37" t="n">
        <v>0.4334085778781038</v>
      </c>
      <c r="K455" s="37" t="n">
        <v>0.6882352941176471</v>
      </c>
      <c r="L455" s="37" t="n">
        <v>0.6882352941176471</v>
      </c>
      <c r="M455" s="37" t="n">
        <v>0.9925619834710744</v>
      </c>
      <c r="N455" s="37" t="n">
        <v>0.2942148760330578</v>
      </c>
      <c r="O455" s="36" t="n">
        <v>0</v>
      </c>
      <c r="P455" s="36" t="n">
        <v>4.94</v>
      </c>
      <c r="Q455" s="36" t="n">
        <v>8.289999999999999</v>
      </c>
      <c r="R455" s="36" t="n">
        <v>5.99</v>
      </c>
      <c r="S455" s="36" t="n">
        <v>0</v>
      </c>
      <c r="T455" s="37" t="n">
        <v>0.5145508224377899</v>
      </c>
      <c r="U455" s="37" t="n">
        <v>0.4457662701189643</v>
      </c>
      <c r="V455" s="37" t="n">
        <v>0.6177215189873417</v>
      </c>
      <c r="W455" s="37" t="n">
        <v>0.8854003139717426</v>
      </c>
    </row>
    <row r="456">
      <c r="A456" s="53" t="n">
        <v>45822</v>
      </c>
      <c r="B456" t="inlineStr">
        <is>
          <t>R02_Sumbagsel</t>
        </is>
      </c>
      <c r="C456" t="inlineStr">
        <is>
          <t>NOP JAMBI</t>
        </is>
      </c>
      <c r="D456" s="36" t="n">
        <v>4.86</v>
      </c>
      <c r="E456" s="36" t="n">
        <v>4.77</v>
      </c>
      <c r="F456" s="36" t="n">
        <v>4.15</v>
      </c>
      <c r="G456" s="36" t="n">
        <v>5.36</v>
      </c>
      <c r="H456" s="37" t="n">
        <v>0.3165680473372781</v>
      </c>
      <c r="I456" s="37" t="n">
        <v>0.3229571984435798</v>
      </c>
      <c r="J456" s="37" t="n">
        <v>0.3137755102040816</v>
      </c>
      <c r="K456" s="37" t="n">
        <v>0.6144578313253012</v>
      </c>
      <c r="L456" s="37" t="n">
        <v>0.6144578313253012</v>
      </c>
      <c r="M456" s="37" t="n">
        <v>0.9923076923076923</v>
      </c>
      <c r="N456" s="37" t="n">
        <v>0.1621301775147929</v>
      </c>
      <c r="O456" s="36" t="n">
        <v>0</v>
      </c>
      <c r="P456" s="36" t="n">
        <v>3.63</v>
      </c>
      <c r="Q456" s="36" t="n">
        <v>12.47</v>
      </c>
      <c r="R456" s="36" t="n">
        <v>19.76</v>
      </c>
      <c r="S456" s="36" t="n">
        <v>0</v>
      </c>
      <c r="T456" s="37" t="n">
        <v>0.1901355421686747</v>
      </c>
      <c r="U456" s="37" t="n">
        <v>0.1584433634468381</v>
      </c>
      <c r="V456" s="37" t="n">
        <v>0.247167868177137</v>
      </c>
      <c r="W456" s="37" t="n">
        <v>0.6447368421052632</v>
      </c>
    </row>
    <row r="457">
      <c r="A457" s="53" t="n">
        <v>45822</v>
      </c>
      <c r="B457" t="inlineStr">
        <is>
          <t>R02_Sumbagsel</t>
        </is>
      </c>
      <c r="C457" t="inlineStr">
        <is>
          <t>NOP LAMPUNG</t>
        </is>
      </c>
      <c r="D457" s="36" t="n">
        <v>4.97</v>
      </c>
      <c r="E457" s="36" t="n">
        <v>2.72</v>
      </c>
      <c r="F457" s="36" t="n">
        <v>3.48</v>
      </c>
      <c r="G457" s="36" t="n">
        <v>4.12</v>
      </c>
      <c r="H457" s="37" t="n">
        <v>0.5323308270676692</v>
      </c>
      <c r="I457" s="37" t="n">
        <v>0.7808219178082192</v>
      </c>
      <c r="J457" s="37" t="n">
        <v>0.4624277456647399</v>
      </c>
      <c r="K457" s="37" t="n">
        <v>0.7543859649122807</v>
      </c>
      <c r="L457" s="37" t="n">
        <v>0.7522123893805309</v>
      </c>
      <c r="M457" s="37" t="n">
        <v>0.9894736842105263</v>
      </c>
      <c r="N457" s="37" t="n">
        <v>0.3909774436090225</v>
      </c>
      <c r="O457" s="36" t="n">
        <v>0.04</v>
      </c>
      <c r="P457" s="36" t="n">
        <v>10.19</v>
      </c>
      <c r="Q457" s="36" t="n">
        <v>4.05</v>
      </c>
      <c r="R457" s="36" t="n">
        <v>38.74</v>
      </c>
      <c r="S457" s="36" t="n">
        <v>0</v>
      </c>
      <c r="T457" s="37" t="n">
        <v>0.898976109215017</v>
      </c>
      <c r="U457" s="37" t="n">
        <v>0.8851963746223565</v>
      </c>
      <c r="V457" s="37" t="n">
        <v>0.9138576779026217</v>
      </c>
      <c r="W457" s="37" t="n">
        <v>0.8668941979522184</v>
      </c>
    </row>
    <row r="458">
      <c r="A458" s="53" t="n">
        <v>45822</v>
      </c>
      <c r="B458" t="inlineStr">
        <is>
          <t>R02_Sumbagsel</t>
        </is>
      </c>
      <c r="C458" t="inlineStr">
        <is>
          <t>NOP MUARA ENIM</t>
        </is>
      </c>
      <c r="D458" s="36" t="n">
        <v>3.93</v>
      </c>
      <c r="E458" s="36" t="n">
        <v>4.08</v>
      </c>
      <c r="F458" s="36" t="n">
        <v>4.28</v>
      </c>
      <c r="G458" s="36" t="n">
        <v>5.51</v>
      </c>
      <c r="H458" s="37" t="n">
        <v>0.3421905379131562</v>
      </c>
      <c r="I458" s="37" t="n">
        <v>0.4508196721311475</v>
      </c>
      <c r="J458" s="37" t="n">
        <v>0.3217859892224788</v>
      </c>
      <c r="K458" s="37" t="n">
        <v>0.6818181818181818</v>
      </c>
      <c r="L458" s="37" t="n">
        <v>0.7009345794392523</v>
      </c>
      <c r="M458" s="37" t="n">
        <v>0.9779650032404407</v>
      </c>
      <c r="N458" s="37" t="n">
        <v>0.1762799740764744</v>
      </c>
      <c r="O458" s="36" t="n">
        <v>0</v>
      </c>
      <c r="P458" s="36" t="n">
        <v>19.64</v>
      </c>
      <c r="Q458" s="36" t="n">
        <v>11.87</v>
      </c>
      <c r="R458" s="36" t="n">
        <v>6</v>
      </c>
      <c r="S458" s="36" t="n">
        <v>0</v>
      </c>
      <c r="T458" s="37" t="n">
        <v>0.5360586193598149</v>
      </c>
      <c r="U458" s="37" t="n">
        <v>0.4580759046778464</v>
      </c>
      <c r="V458" s="37" t="n">
        <v>0.6192660550458715</v>
      </c>
      <c r="W458" s="37" t="n">
        <v>0.7745664739884393</v>
      </c>
    </row>
    <row r="459">
      <c r="A459" s="53" t="n">
        <v>45822</v>
      </c>
      <c r="B459" t="inlineStr">
        <is>
          <t>R02_Sumbagsel</t>
        </is>
      </c>
      <c r="C459" t="inlineStr">
        <is>
          <t>NOP PALEMBANG</t>
        </is>
      </c>
      <c r="D459" s="36" t="n">
        <v>2.82</v>
      </c>
      <c r="E459" s="36" t="n">
        <v>3.95</v>
      </c>
      <c r="F459" s="36" t="n">
        <v>5.24</v>
      </c>
      <c r="G459" s="36" t="n">
        <v>6.58</v>
      </c>
      <c r="H459" s="37" t="n">
        <v>0.2798941798941799</v>
      </c>
      <c r="I459" s="37" t="n">
        <v>0.2325581395348837</v>
      </c>
      <c r="J459" s="37" t="n">
        <v>0.2859701492537313</v>
      </c>
      <c r="K459" s="37" t="n">
        <v>0.48</v>
      </c>
      <c r="L459" s="37" t="n">
        <v>0.48</v>
      </c>
      <c r="M459" s="37" t="n">
        <v>0.9989417989417989</v>
      </c>
      <c r="N459" s="37" t="n">
        <v>0.1148148148148148</v>
      </c>
      <c r="O459" s="36" t="n">
        <v>0</v>
      </c>
      <c r="P459" s="36" t="n">
        <v>3.1</v>
      </c>
      <c r="Q459" s="36" t="n">
        <v>9.73</v>
      </c>
      <c r="R459" s="36" t="n">
        <v>18.3</v>
      </c>
      <c r="S459" s="36" t="n">
        <v>0</v>
      </c>
      <c r="T459" s="37" t="n">
        <v>0.139618138424821</v>
      </c>
      <c r="U459" s="37" t="n">
        <v>0.1156905278380333</v>
      </c>
      <c r="V459" s="37" t="n">
        <v>0.2125279642058165</v>
      </c>
      <c r="W459" s="37" t="n">
        <v>0.65</v>
      </c>
    </row>
    <row r="460">
      <c r="A460" s="53" t="n">
        <v>45822</v>
      </c>
      <c r="B460" t="inlineStr">
        <is>
          <t>R02_Sumbagsel</t>
        </is>
      </c>
      <c r="C460" t="inlineStr">
        <is>
          <t>NOP PANGKAL PINANG</t>
        </is>
      </c>
      <c r="D460" s="36" t="n">
        <v>0</v>
      </c>
      <c r="E460" s="36" t="n">
        <v>3.54</v>
      </c>
      <c r="F460" s="36" t="n">
        <v>5.35</v>
      </c>
      <c r="G460" s="36" t="n">
        <v>5.08</v>
      </c>
      <c r="H460" s="37" t="n">
        <v>0.7591836734693878</v>
      </c>
      <c r="I460" s="37" t="n">
        <v>0.75</v>
      </c>
      <c r="J460" s="37" t="n">
        <v>0.7596566523605151</v>
      </c>
      <c r="K460" s="37" t="n">
        <v>0.5555555555555556</v>
      </c>
      <c r="L460" s="37" t="n">
        <v>0.5555555555555556</v>
      </c>
      <c r="M460" s="37" t="n">
        <v>1</v>
      </c>
      <c r="N460" s="37" t="n">
        <v>0.4734693877551021</v>
      </c>
      <c r="O460" s="36" t="n">
        <v>0</v>
      </c>
      <c r="P460" s="36" t="n">
        <v>4.27</v>
      </c>
      <c r="Q460" s="36" t="n">
        <v>6.77</v>
      </c>
      <c r="R460" s="36" t="n">
        <v>6.39</v>
      </c>
      <c r="S460" s="36" t="n">
        <v>0</v>
      </c>
      <c r="T460" s="37" t="n">
        <v>0.9315738025415444</v>
      </c>
      <c r="U460" s="37" t="n">
        <v>0.9355932203389831</v>
      </c>
      <c r="V460" s="37" t="n">
        <v>0.9391304347826087</v>
      </c>
      <c r="W460" s="37" t="n">
        <v>0.822463768115942</v>
      </c>
    </row>
    <row r="461">
      <c r="A461" s="53" t="n">
        <v>45822</v>
      </c>
      <c r="B461" t="inlineStr">
        <is>
          <t>R05_Jawa Tengah DIY</t>
        </is>
      </c>
      <c r="C461" t="inlineStr">
        <is>
          <t>NOP MAGELANG</t>
        </is>
      </c>
      <c r="D461" s="36" t="n">
        <v>3.78</v>
      </c>
      <c r="E461" s="36" t="n">
        <v>0</v>
      </c>
      <c r="F461" s="36" t="n">
        <v>2.45</v>
      </c>
      <c r="G461" s="36" t="n">
        <v>3.07</v>
      </c>
      <c r="H461" s="37" t="n">
        <v>0.8105263157894737</v>
      </c>
      <c r="I461" s="37" t="n">
        <v>0.9</v>
      </c>
      <c r="J461" s="37" t="n">
        <v>0.8055555555555556</v>
      </c>
      <c r="K461" s="37" t="n">
        <v>1</v>
      </c>
      <c r="L461" s="37" t="n">
        <v>1</v>
      </c>
      <c r="M461" s="37" t="n">
        <v>1</v>
      </c>
      <c r="N461" s="37" t="n">
        <v>0.6789473684210526</v>
      </c>
      <c r="O461" s="36" t="n">
        <v>0</v>
      </c>
      <c r="P461" s="36" t="n">
        <v>2.3</v>
      </c>
      <c r="Q461" s="36" t="n">
        <v>5.45</v>
      </c>
      <c r="R461" s="36" t="n">
        <v>14.88</v>
      </c>
      <c r="S461" s="36" t="n">
        <v>0</v>
      </c>
      <c r="T461" s="37" t="n">
        <v>0.9389920424403183</v>
      </c>
      <c r="U461" s="37" t="n">
        <v>0.8771929824561403</v>
      </c>
      <c r="V461" s="37" t="n">
        <v>0.95</v>
      </c>
      <c r="W461" s="37" t="n">
        <v>0.92</v>
      </c>
    </row>
    <row r="462">
      <c r="A462" s="53" t="n">
        <v>45822</v>
      </c>
      <c r="B462" t="inlineStr">
        <is>
          <t>R05_Jawa Tengah DIY</t>
        </is>
      </c>
      <c r="C462" t="inlineStr">
        <is>
          <t>NOP PEKALONGAN</t>
        </is>
      </c>
      <c r="D462" s="36" t="n">
        <v>4.54</v>
      </c>
      <c r="E462" s="36" t="n">
        <v>0</v>
      </c>
      <c r="F462" s="36" t="n">
        <v>2.96</v>
      </c>
      <c r="G462" s="36" t="n">
        <v>7.36</v>
      </c>
      <c r="H462" s="37" t="n">
        <v>0.7348484848484849</v>
      </c>
      <c r="I462" s="37" t="n">
        <v>0.7142857142857143</v>
      </c>
      <c r="J462" s="37" t="n">
        <v>0.7372881355932204</v>
      </c>
      <c r="K462" s="37" t="n">
        <v>1</v>
      </c>
      <c r="L462" s="37" t="n">
        <v>1</v>
      </c>
      <c r="M462" s="37" t="n">
        <v>0.9393939393939394</v>
      </c>
      <c r="N462" s="37" t="n">
        <v>0.5681818181818182</v>
      </c>
      <c r="O462" s="36" t="n">
        <v>0.12</v>
      </c>
      <c r="P462" s="36" t="n">
        <v>3.36</v>
      </c>
      <c r="Q462" s="36" t="n">
        <v>7.13</v>
      </c>
      <c r="R462" s="36" t="n">
        <v>48.35</v>
      </c>
      <c r="S462" s="36" t="n">
        <v>0</v>
      </c>
      <c r="T462" s="37" t="n">
        <v>0.8408551068883611</v>
      </c>
      <c r="U462" s="37" t="n">
        <v>0.7444444444444445</v>
      </c>
      <c r="V462" s="37" t="n">
        <v>0.8670694864048338</v>
      </c>
      <c r="W462" s="37" t="n">
        <v>0.5223880597014925</v>
      </c>
    </row>
    <row r="463">
      <c r="A463" s="53" t="n">
        <v>45822</v>
      </c>
      <c r="B463" t="inlineStr">
        <is>
          <t>R05_Jawa Tengah DIY</t>
        </is>
      </c>
      <c r="C463" t="inlineStr">
        <is>
          <t>NOP PURWOKERTO</t>
        </is>
      </c>
      <c r="D463" s="36" t="n">
        <v>3.95</v>
      </c>
      <c r="E463" s="36" t="n">
        <v>3.14</v>
      </c>
      <c r="F463" s="36" t="n">
        <v>2.71</v>
      </c>
      <c r="G463" s="36" t="n">
        <v>3.83</v>
      </c>
      <c r="H463" s="37" t="n">
        <v>0.6441441441441441</v>
      </c>
      <c r="I463" s="37" t="n">
        <v>0.85</v>
      </c>
      <c r="J463" s="37" t="n">
        <v>0.6237623762376238</v>
      </c>
      <c r="K463" s="37" t="n">
        <v>0.8823529411764706</v>
      </c>
      <c r="L463" s="37" t="n">
        <v>0.8823529411764706</v>
      </c>
      <c r="M463" s="37" t="n">
        <v>0.9819819819819819</v>
      </c>
      <c r="N463" s="37" t="n">
        <v>0.3603603603603603</v>
      </c>
      <c r="O463" s="36" t="n">
        <v>0.51</v>
      </c>
      <c r="P463" s="36" t="n">
        <v>5.11</v>
      </c>
      <c r="Q463" s="36" t="n">
        <v>6.87</v>
      </c>
      <c r="R463" s="36" t="n">
        <v>27.41</v>
      </c>
      <c r="S463" s="36" t="n">
        <v>0</v>
      </c>
      <c r="T463" s="37" t="n">
        <v>0.8516129032258064</v>
      </c>
      <c r="U463" s="37" t="n">
        <v>0.8349514563106796</v>
      </c>
      <c r="V463" s="37" t="n">
        <v>0.8599033816425121</v>
      </c>
      <c r="W463" s="37" t="n">
        <v>0.6046511627906976</v>
      </c>
    </row>
    <row r="464">
      <c r="A464" s="53" t="n">
        <v>45822</v>
      </c>
      <c r="B464" t="inlineStr">
        <is>
          <t>R05_Jawa Tengah DIY</t>
        </is>
      </c>
      <c r="C464" t="inlineStr">
        <is>
          <t>NOP SEMARANG</t>
        </is>
      </c>
      <c r="D464" s="36" t="n">
        <v>2.61</v>
      </c>
      <c r="E464" s="36" t="n">
        <v>2.57</v>
      </c>
      <c r="F464" s="36" t="n">
        <v>3.33</v>
      </c>
      <c r="G464" s="36" t="n">
        <v>3.6</v>
      </c>
      <c r="H464" s="37" t="n">
        <v>0.7527881040892194</v>
      </c>
      <c r="I464" s="37" t="n">
        <v>0.8604651162790697</v>
      </c>
      <c r="J464" s="37" t="n">
        <v>0.7434343434343434</v>
      </c>
      <c r="K464" s="37" t="n">
        <v>0.9459459459459459</v>
      </c>
      <c r="L464" s="37" t="n">
        <v>0.9459459459459459</v>
      </c>
      <c r="M464" s="37" t="n">
        <v>0.9591078066914498</v>
      </c>
      <c r="N464" s="37" t="n">
        <v>0.5130111524163569</v>
      </c>
      <c r="O464" s="36" t="n">
        <v>2.51</v>
      </c>
      <c r="P464" s="36" t="n">
        <v>5.46</v>
      </c>
      <c r="Q464" s="36" t="n">
        <v>5.93</v>
      </c>
      <c r="R464" s="36" t="n">
        <v>56.63</v>
      </c>
      <c r="S464" s="36" t="n">
        <v>0</v>
      </c>
      <c r="T464" s="37" t="n">
        <v>0.892925430210325</v>
      </c>
      <c r="U464" s="37" t="n">
        <v>0.8317307692307693</v>
      </c>
      <c r="V464" s="37" t="n">
        <v>0.9333333333333333</v>
      </c>
      <c r="W464" s="37" t="n">
        <v>0.8497109826589595</v>
      </c>
    </row>
    <row r="465">
      <c r="A465" s="53" t="n">
        <v>45822</v>
      </c>
      <c r="B465" t="inlineStr">
        <is>
          <t>R05_Jawa Tengah DIY</t>
        </is>
      </c>
      <c r="C465" t="inlineStr">
        <is>
          <t>NOP SURAKARTA</t>
        </is>
      </c>
      <c r="D465" s="36" t="n">
        <v>1.87</v>
      </c>
      <c r="E465" s="36" t="n">
        <v>2.03</v>
      </c>
      <c r="F465" s="36" t="n">
        <v>3.39</v>
      </c>
      <c r="G465" s="36" t="n">
        <v>3.13</v>
      </c>
      <c r="H465" s="37" t="n">
        <v>0.789010989010989</v>
      </c>
      <c r="I465" s="37" t="n">
        <v>0.8157894736842105</v>
      </c>
      <c r="J465" s="37" t="n">
        <v>0.7865707434052758</v>
      </c>
      <c r="K465" s="37" t="n">
        <v>0.8387096774193549</v>
      </c>
      <c r="L465" s="37" t="n">
        <v>0.8387096774193549</v>
      </c>
      <c r="M465" s="37" t="n">
        <v>0.9714285714285714</v>
      </c>
      <c r="N465" s="37" t="n">
        <v>0.5428571428571428</v>
      </c>
      <c r="O465" s="36" t="n">
        <v>0.24</v>
      </c>
      <c r="P465" s="36" t="n">
        <v>6.24</v>
      </c>
      <c r="Q465" s="36" t="n">
        <v>5.39</v>
      </c>
      <c r="R465" s="36" t="n">
        <v>55.35</v>
      </c>
      <c r="S465" s="36" t="n">
        <v>0</v>
      </c>
      <c r="T465" s="37" t="n">
        <v>0.7993079584775087</v>
      </c>
      <c r="U465" s="37" t="n">
        <v>0.6650943396226415</v>
      </c>
      <c r="V465" s="37" t="n">
        <v>0.8770491803278688</v>
      </c>
      <c r="W465" s="37" t="n">
        <v>0.6382978723404256</v>
      </c>
    </row>
    <row r="466">
      <c r="A466" s="53" t="n">
        <v>45822</v>
      </c>
      <c r="B466" t="inlineStr">
        <is>
          <t>R05_Jawa Tengah DIY</t>
        </is>
      </c>
      <c r="C466" t="inlineStr">
        <is>
          <t>NOP YOGYAKARTA</t>
        </is>
      </c>
      <c r="D466" s="36" t="n">
        <v>2.97</v>
      </c>
      <c r="E466" s="36" t="n">
        <v>0</v>
      </c>
      <c r="F466" s="36" t="n">
        <v>2.83</v>
      </c>
      <c r="G466" s="36" t="n">
        <v>3.6</v>
      </c>
      <c r="H466" s="37" t="n">
        <v>0.7362204724409449</v>
      </c>
      <c r="I466" s="37" t="n">
        <v>0.8333333333333334</v>
      </c>
      <c r="J466" s="37" t="n">
        <v>0.731404958677686</v>
      </c>
      <c r="K466" s="37" t="n">
        <v>0.9</v>
      </c>
      <c r="L466" s="37" t="n">
        <v>0.9</v>
      </c>
      <c r="M466" s="37" t="n">
        <v>0.9881889763779528</v>
      </c>
      <c r="N466" s="37" t="n">
        <v>0.5275590551181102</v>
      </c>
      <c r="O466" s="36" t="n">
        <v>0</v>
      </c>
      <c r="P466" s="36" t="n">
        <v>4.73</v>
      </c>
      <c r="Q466" s="36" t="n">
        <v>5.85</v>
      </c>
      <c r="R466" s="36" t="n">
        <v>37.27</v>
      </c>
      <c r="S466" s="36" t="n">
        <v>0</v>
      </c>
      <c r="T466" s="37" t="n">
        <v>0.9342359767891683</v>
      </c>
      <c r="U466" s="37" t="n">
        <v>0.9235668789808917</v>
      </c>
      <c r="V466" s="37" t="n">
        <v>0.9388888888888889</v>
      </c>
      <c r="W466" s="37" t="n">
        <v>0.9586206896551724</v>
      </c>
    </row>
    <row r="467">
      <c r="A467" s="53" t="n">
        <v>45822</v>
      </c>
      <c r="B467" t="inlineStr">
        <is>
          <t>R06_Jawa Timur</t>
        </is>
      </c>
      <c r="C467" t="inlineStr">
        <is>
          <t>NOP JEMBER</t>
        </is>
      </c>
      <c r="D467" s="36" t="n">
        <v>2.09</v>
      </c>
      <c r="E467" s="36" t="n">
        <v>0.4</v>
      </c>
      <c r="F467" s="36" t="n">
        <v>2.88</v>
      </c>
      <c r="G467" s="36" t="n">
        <v>2.5</v>
      </c>
      <c r="H467" s="37" t="n">
        <v>0.7680412371134021</v>
      </c>
      <c r="I467" s="37" t="n">
        <v>0.8461538461538461</v>
      </c>
      <c r="J467" s="37" t="n">
        <v>0.7624309392265194</v>
      </c>
      <c r="K467" s="37" t="n">
        <v>0.9090909090909091</v>
      </c>
      <c r="L467" s="37" t="n">
        <v>0.9090909090909091</v>
      </c>
      <c r="M467" s="37" t="n">
        <v>0.9896907216494846</v>
      </c>
      <c r="N467" s="37" t="n">
        <v>0.4690721649484536</v>
      </c>
      <c r="O467" s="36" t="n">
        <v>0</v>
      </c>
      <c r="P467" s="36" t="n">
        <v>2.62</v>
      </c>
      <c r="Q467" s="36" t="n">
        <v>6.52</v>
      </c>
      <c r="R467" s="36" t="n">
        <v>98.33</v>
      </c>
      <c r="S467" s="36" t="n">
        <v>0</v>
      </c>
      <c r="T467" s="37" t="n">
        <v>0.8242811501597445</v>
      </c>
      <c r="U467" s="37" t="n">
        <v>0.7291666666666666</v>
      </c>
      <c r="V467" s="37" t="n">
        <v>0.8663594470046083</v>
      </c>
      <c r="W467" s="37" t="n">
        <v>0.8285714285714286</v>
      </c>
    </row>
    <row r="468">
      <c r="A468" s="53" t="n">
        <v>45822</v>
      </c>
      <c r="B468" t="inlineStr">
        <is>
          <t>R06_Jawa Timur</t>
        </is>
      </c>
      <c r="C468" t="inlineStr">
        <is>
          <t>NOP KEDIRI</t>
        </is>
      </c>
      <c r="D468" s="36" t="n">
        <v>2.13</v>
      </c>
      <c r="E468" s="36" t="n">
        <v>0</v>
      </c>
      <c r="F468" s="36" t="n">
        <v>2.12</v>
      </c>
      <c r="G468" s="36" t="n">
        <v>2.8</v>
      </c>
      <c r="H468" s="37" t="n">
        <v>0.8391608391608392</v>
      </c>
      <c r="I468" s="37" t="n">
        <v>1</v>
      </c>
      <c r="J468" s="37" t="n">
        <v>0.8321167883211679</v>
      </c>
      <c r="K468" s="37" t="n">
        <v>0.8333333333333334</v>
      </c>
      <c r="L468" s="37" t="n">
        <v>0.8333333333333334</v>
      </c>
      <c r="M468" s="37" t="n">
        <v>0.993006993006993</v>
      </c>
      <c r="N468" s="37" t="n">
        <v>0.6713286713286714</v>
      </c>
      <c r="O468" s="36" t="n">
        <v>0</v>
      </c>
      <c r="P468" s="36" t="n">
        <v>2.1</v>
      </c>
      <c r="Q468" s="36" t="n">
        <v>4.49</v>
      </c>
      <c r="R468" s="36" t="n">
        <v>20.65</v>
      </c>
      <c r="S468" s="36" t="n">
        <v>0</v>
      </c>
      <c r="T468" s="37" t="n">
        <v>0.9560975609756097</v>
      </c>
      <c r="U468" s="37" t="n">
        <v>0.9259259259259259</v>
      </c>
      <c r="V468" s="37" t="n">
        <v>0.9668874172185431</v>
      </c>
      <c r="W468" s="37" t="n">
        <v>0.9399999999999999</v>
      </c>
    </row>
    <row r="469">
      <c r="A469" s="53" t="n">
        <v>45822</v>
      </c>
      <c r="B469" t="inlineStr">
        <is>
          <t>R06_Jawa Timur</t>
        </is>
      </c>
      <c r="C469" t="inlineStr">
        <is>
          <t>NOP LAMONGAN</t>
        </is>
      </c>
      <c r="D469" s="36" t="n">
        <v>2.99</v>
      </c>
      <c r="E469" s="36" t="n">
        <v>0</v>
      </c>
      <c r="F469" s="36" t="n">
        <v>3.19</v>
      </c>
      <c r="G469" s="36" t="n">
        <v>2.94</v>
      </c>
      <c r="H469" s="37" t="n">
        <v>0.8938053097345132</v>
      </c>
      <c r="I469" s="37" t="n">
        <v>0.8666666666666667</v>
      </c>
      <c r="J469" s="37" t="n">
        <v>0.8979591836734694</v>
      </c>
      <c r="K469" s="37" t="n">
        <v>1</v>
      </c>
      <c r="L469" s="37" t="n">
        <v>1</v>
      </c>
      <c r="M469" s="37" t="n">
        <v>1</v>
      </c>
      <c r="N469" s="37" t="n">
        <v>0.7345132743362832</v>
      </c>
      <c r="O469" s="36" t="n">
        <v>0</v>
      </c>
      <c r="P469" s="36" t="n">
        <v>3.04</v>
      </c>
      <c r="Q469" s="36" t="n">
        <v>7.85</v>
      </c>
      <c r="R469" s="36" t="n">
        <v>61.91</v>
      </c>
      <c r="S469" s="36" t="n">
        <v>0</v>
      </c>
      <c r="T469" s="37" t="n">
        <v>0.7288135593220338</v>
      </c>
      <c r="U469" s="37" t="n">
        <v>0.5967741935483871</v>
      </c>
      <c r="V469" s="37" t="n">
        <v>0.875</v>
      </c>
      <c r="W469" s="37" t="n">
        <v>0.8378378378378378</v>
      </c>
    </row>
    <row r="470">
      <c r="A470" s="53" t="n">
        <v>45822</v>
      </c>
      <c r="B470" t="inlineStr">
        <is>
          <t>R06_Jawa Timur</t>
        </is>
      </c>
      <c r="C470" t="inlineStr">
        <is>
          <t>NOP MADIUN</t>
        </is>
      </c>
      <c r="D470" s="36" t="n">
        <v>0.89</v>
      </c>
      <c r="E470" s="36" t="n">
        <v>0</v>
      </c>
      <c r="F470" s="36" t="n">
        <v>2.8</v>
      </c>
      <c r="G470" s="36" t="n">
        <v>3.02</v>
      </c>
      <c r="H470" s="37" t="n">
        <v>0.6055555555555555</v>
      </c>
      <c r="I470" s="37" t="n">
        <v>1</v>
      </c>
      <c r="J470" s="37" t="n">
        <v>0.5988700564971752</v>
      </c>
      <c r="K470" s="37" t="n">
        <v>1</v>
      </c>
      <c r="L470" s="37" t="n">
        <v>1</v>
      </c>
      <c r="M470" s="37" t="n">
        <v>0.9333333333333333</v>
      </c>
      <c r="N470" s="37" t="n">
        <v>0.3833333333333334</v>
      </c>
      <c r="O470" s="36" t="n">
        <v>0</v>
      </c>
      <c r="P470" s="36" t="n">
        <v>4.14</v>
      </c>
      <c r="Q470" s="36" t="n">
        <v>6.21</v>
      </c>
      <c r="R470" s="36" t="n">
        <v>29.44</v>
      </c>
      <c r="S470" s="36" t="n">
        <v>0</v>
      </c>
      <c r="T470" s="37" t="n">
        <v>0.7661870503597122</v>
      </c>
      <c r="U470" s="37" t="n">
        <v>0.7215189873417721</v>
      </c>
      <c r="V470" s="37" t="n">
        <v>0.7839195979899497</v>
      </c>
      <c r="W470" s="37" t="n">
        <v>0.8070175438596491</v>
      </c>
    </row>
    <row r="471">
      <c r="A471" s="53" t="n">
        <v>45822</v>
      </c>
      <c r="B471" t="inlineStr">
        <is>
          <t>R06_Jawa Timur</t>
        </is>
      </c>
      <c r="C471" t="inlineStr">
        <is>
          <t>NOP MALANG</t>
        </is>
      </c>
      <c r="D471" s="36" t="n">
        <v>0</v>
      </c>
      <c r="E471" s="36" t="n">
        <v>0</v>
      </c>
      <c r="F471" s="36" t="n">
        <v>2.66</v>
      </c>
      <c r="G471" s="36" t="n">
        <v>2.44</v>
      </c>
      <c r="H471" s="37" t="n">
        <v>0.896</v>
      </c>
      <c r="I471" s="37" t="n">
        <v>0</v>
      </c>
      <c r="J471" s="37" t="n">
        <v>0.896</v>
      </c>
      <c r="K471" s="37" t="n">
        <v>0</v>
      </c>
      <c r="L471" s="37" t="n">
        <v>0</v>
      </c>
      <c r="M471" s="37" t="n">
        <v>1</v>
      </c>
      <c r="N471" s="37" t="n">
        <v>0.912</v>
      </c>
      <c r="O471" s="36" t="n">
        <v>0</v>
      </c>
      <c r="P471" s="36" t="n">
        <v>2.57</v>
      </c>
      <c r="Q471" s="36" t="n">
        <v>7.63</v>
      </c>
      <c r="R471" s="36" t="n">
        <v>29.8</v>
      </c>
      <c r="S471" s="36" t="n">
        <v>0</v>
      </c>
      <c r="T471" s="37" t="n">
        <v>0.8452380952380952</v>
      </c>
      <c r="U471" s="37" t="n">
        <v>0.7258064516129032</v>
      </c>
      <c r="V471" s="37" t="n">
        <v>0.9150943396226415</v>
      </c>
      <c r="W471" s="37" t="n">
        <v>0.8666666666666667</v>
      </c>
    </row>
    <row r="472">
      <c r="A472" s="53" t="n">
        <v>45822</v>
      </c>
      <c r="B472" t="inlineStr">
        <is>
          <t>R06_Jawa Timur</t>
        </is>
      </c>
      <c r="C472" t="inlineStr">
        <is>
          <t>NOP SIDOARJO</t>
        </is>
      </c>
      <c r="D472" s="36" t="n">
        <v>1.69</v>
      </c>
      <c r="E472" s="36" t="n">
        <v>0</v>
      </c>
      <c r="F472" s="36" t="n">
        <v>3.92</v>
      </c>
      <c r="G472" s="36" t="n">
        <v>4.97</v>
      </c>
      <c r="H472" s="37" t="n">
        <v>0.680672268907563</v>
      </c>
      <c r="I472" s="37" t="n">
        <v>0.6666666666666666</v>
      </c>
      <c r="J472" s="37" t="n">
        <v>0.6810344827586207</v>
      </c>
      <c r="K472" s="37" t="n">
        <v>0.5</v>
      </c>
      <c r="L472" s="37" t="n">
        <v>0.5</v>
      </c>
      <c r="M472" s="37" t="n">
        <v>0.9663865546218487</v>
      </c>
      <c r="N472" s="37" t="n">
        <v>0.4957983193277311</v>
      </c>
      <c r="O472" s="36" t="n">
        <v>0.01</v>
      </c>
      <c r="P472" s="36" t="n">
        <v>2.66</v>
      </c>
      <c r="Q472" s="36" t="n">
        <v>9.85</v>
      </c>
      <c r="R472" s="36" t="n">
        <v>41.06</v>
      </c>
      <c r="S472" s="36" t="n">
        <v>0</v>
      </c>
      <c r="T472" s="37" t="n">
        <v>0.8435754189944135</v>
      </c>
      <c r="U472" s="37" t="n">
        <v>0.696969696969697</v>
      </c>
      <c r="V472" s="37" t="n">
        <v>0.8767123287671232</v>
      </c>
      <c r="W472" s="37" t="n">
        <v>0.7826086956521739</v>
      </c>
    </row>
    <row r="473">
      <c r="A473" s="53" t="n">
        <v>45822</v>
      </c>
      <c r="B473" t="inlineStr">
        <is>
          <t>R06_Jawa Timur</t>
        </is>
      </c>
      <c r="C473" t="inlineStr">
        <is>
          <t>NOP SURABAYA</t>
        </is>
      </c>
      <c r="D473" s="36" t="n">
        <v>2.33</v>
      </c>
      <c r="E473" s="36" t="n">
        <v>1.58</v>
      </c>
      <c r="F473" s="36" t="n">
        <v>3.18</v>
      </c>
      <c r="G473" s="36" t="n">
        <v>3.82</v>
      </c>
      <c r="H473" s="37" t="n">
        <v>0.5359116022099447</v>
      </c>
      <c r="I473" s="37" t="n">
        <v>0.5600000000000001</v>
      </c>
      <c r="J473" s="37" t="n">
        <v>0.532051282051282</v>
      </c>
      <c r="K473" s="37" t="n">
        <v>0.8571428571428571</v>
      </c>
      <c r="L473" s="37" t="n">
        <v>0.8571428571428571</v>
      </c>
      <c r="M473" s="37" t="n">
        <v>0.8729281767955801</v>
      </c>
      <c r="N473" s="37" t="n">
        <v>0.3922651933701657</v>
      </c>
      <c r="O473" s="36" t="n">
        <v>12.2</v>
      </c>
      <c r="P473" s="36" t="n">
        <v>4.59</v>
      </c>
      <c r="Q473" s="36" t="n">
        <v>7.5</v>
      </c>
      <c r="R473" s="36" t="n">
        <v>24.49</v>
      </c>
      <c r="S473" s="36" t="n">
        <v>0</v>
      </c>
      <c r="T473" s="37" t="n">
        <v>0.6133004926108374</v>
      </c>
      <c r="U473" s="37" t="n">
        <v>0.4</v>
      </c>
      <c r="V473" s="37" t="n">
        <v>0.6697819314641744</v>
      </c>
      <c r="W473" s="37" t="n">
        <v>0.7352941176470589</v>
      </c>
    </row>
    <row r="474">
      <c r="A474" s="53" t="n">
        <v>45822</v>
      </c>
      <c r="B474" t="inlineStr">
        <is>
          <t>R07_Bali Nusra</t>
        </is>
      </c>
      <c r="C474" t="inlineStr">
        <is>
          <t>NOP DENPASAR</t>
        </is>
      </c>
      <c r="D474" s="36" t="n">
        <v>4.66</v>
      </c>
      <c r="E474" s="36" t="n">
        <v>7.47</v>
      </c>
      <c r="F474" s="36" t="n">
        <v>2.63</v>
      </c>
      <c r="G474" s="36" t="n">
        <v>2.24</v>
      </c>
      <c r="H474" s="37" t="n">
        <v>0.9177215189873418</v>
      </c>
      <c r="I474" s="37" t="n">
        <v>0.9090909090909091</v>
      </c>
      <c r="J474" s="37" t="n">
        <v>0.9191176470588235</v>
      </c>
      <c r="K474" s="37" t="n">
        <v>1</v>
      </c>
      <c r="L474" s="37" t="n">
        <v>1</v>
      </c>
      <c r="M474" s="37" t="n">
        <v>0.9936708860759493</v>
      </c>
      <c r="N474" s="37" t="n">
        <v>0.9367088607594937</v>
      </c>
      <c r="O474" s="36" t="n">
        <v>0.01</v>
      </c>
      <c r="P474" s="36" t="n">
        <v>10.4</v>
      </c>
      <c r="Q474" s="36" t="n">
        <v>8.49</v>
      </c>
      <c r="R474" s="36" t="n">
        <v>23.25</v>
      </c>
      <c r="S474" s="36" t="n">
        <v>0</v>
      </c>
      <c r="T474" s="37" t="n">
        <v>0.8375</v>
      </c>
      <c r="U474" s="37" t="n">
        <v>0.8717948717948718</v>
      </c>
      <c r="V474" s="37" t="n">
        <v>0.8177339901477833</v>
      </c>
      <c r="W474" s="37" t="n">
        <v>0.6568627450980392</v>
      </c>
    </row>
    <row r="475">
      <c r="A475" s="53" t="n">
        <v>45822</v>
      </c>
      <c r="B475" t="inlineStr">
        <is>
          <t>R07_Bali Nusra</t>
        </is>
      </c>
      <c r="C475" t="inlineStr">
        <is>
          <t>NOP FLORES</t>
        </is>
      </c>
      <c r="D475" s="36" t="n">
        <v>3.89</v>
      </c>
      <c r="E475" s="36" t="n">
        <v>6.51</v>
      </c>
      <c r="F475" s="36" t="n">
        <v>8.890000000000001</v>
      </c>
      <c r="G475" s="36" t="n">
        <v>10.75</v>
      </c>
      <c r="H475" s="37" t="n">
        <v>0.3899521531100478</v>
      </c>
      <c r="I475" s="37" t="n">
        <v>0.6425531914893617</v>
      </c>
      <c r="J475" s="37" t="n">
        <v>0.3316977428851816</v>
      </c>
      <c r="K475" s="37" t="n">
        <v>0.7152317880794702</v>
      </c>
      <c r="L475" s="37" t="n">
        <v>0.7152317880794702</v>
      </c>
      <c r="M475" s="37" t="n">
        <v>0.9712918660287081</v>
      </c>
      <c r="N475" s="37" t="n">
        <v>0.2559808612440191</v>
      </c>
      <c r="O475" s="36" t="n">
        <v>0.25</v>
      </c>
      <c r="P475" s="36" t="n">
        <v>12.39</v>
      </c>
      <c r="Q475" s="36" t="n">
        <v>11.31</v>
      </c>
      <c r="R475" s="36" t="n">
        <v>52.42</v>
      </c>
      <c r="S475" s="36" t="n">
        <v>0</v>
      </c>
      <c r="T475" s="37" t="n">
        <v>0.5282051282051282</v>
      </c>
      <c r="U475" s="37" t="n">
        <v>0.5565693430656934</v>
      </c>
      <c r="V475" s="37" t="n">
        <v>0.4612068965517241</v>
      </c>
      <c r="W475" s="37" t="n">
        <v>0.8524590163934426</v>
      </c>
    </row>
    <row r="476">
      <c r="A476" s="53" t="n">
        <v>45822</v>
      </c>
      <c r="B476" t="inlineStr">
        <is>
          <t>R07_Bali Nusra</t>
        </is>
      </c>
      <c r="C476" t="inlineStr">
        <is>
          <t>NOP KUPANG</t>
        </is>
      </c>
      <c r="D476" s="36" t="n">
        <v>26.53</v>
      </c>
      <c r="E476" s="36" t="n">
        <v>6.53</v>
      </c>
      <c r="F476" s="36" t="n">
        <v>7.11</v>
      </c>
      <c r="G476" s="36" t="n">
        <v>7.64</v>
      </c>
      <c r="H476" s="37" t="n">
        <v>0.553125</v>
      </c>
      <c r="I476" s="37" t="n">
        <v>0.7445255474452555</v>
      </c>
      <c r="J476" s="37" t="n">
        <v>0.5009940357852882</v>
      </c>
      <c r="K476" s="37" t="n">
        <v>0.803921568627451</v>
      </c>
      <c r="L476" s="37" t="n">
        <v>0.803921568627451</v>
      </c>
      <c r="M476" s="37" t="n">
        <v>0.98125</v>
      </c>
      <c r="N476" s="37" t="n">
        <v>0.33125</v>
      </c>
      <c r="O476" s="36" t="n">
        <v>17.94</v>
      </c>
      <c r="P476" s="36" t="n">
        <v>9.539999999999999</v>
      </c>
      <c r="Q476" s="36" t="n">
        <v>19.63</v>
      </c>
      <c r="R476" s="36" t="n">
        <v>14.98</v>
      </c>
      <c r="S476" s="36" t="n">
        <v>0</v>
      </c>
      <c r="T476" s="37" t="n">
        <v>0.5321756894790602</v>
      </c>
      <c r="U476" s="37" t="n">
        <v>0.602880658436214</v>
      </c>
      <c r="V476" s="37" t="n">
        <v>0.462474645030426</v>
      </c>
      <c r="W476" s="37" t="n">
        <v>0.7201365187713311</v>
      </c>
    </row>
    <row r="477">
      <c r="A477" s="53" t="n">
        <v>45822</v>
      </c>
      <c r="B477" t="inlineStr">
        <is>
          <t>R07_Bali Nusra</t>
        </is>
      </c>
      <c r="C477" t="inlineStr">
        <is>
          <t>NOP MATARAM</t>
        </is>
      </c>
      <c r="D477" s="36" t="n">
        <v>0.91</v>
      </c>
      <c r="E477" s="36" t="n">
        <v>3.52</v>
      </c>
      <c r="F477" s="36" t="n">
        <v>3.63</v>
      </c>
      <c r="G477" s="36" t="n">
        <v>5.38</v>
      </c>
      <c r="H477" s="37" t="n">
        <v>0.6432432432432432</v>
      </c>
      <c r="I477" s="37" t="n">
        <v>0.5882352941176471</v>
      </c>
      <c r="J477" s="37" t="n">
        <v>0.6488095238095238</v>
      </c>
      <c r="K477" s="37" t="n">
        <v>0.75</v>
      </c>
      <c r="L477" s="37" t="n">
        <v>0.75</v>
      </c>
      <c r="M477" s="37" t="n">
        <v>0.9918918918918919</v>
      </c>
      <c r="N477" s="37" t="n">
        <v>0.4243243243243243</v>
      </c>
      <c r="O477" s="36" t="n">
        <v>9.24</v>
      </c>
      <c r="P477" s="36" t="n">
        <v>18.15</v>
      </c>
      <c r="Q477" s="36" t="n">
        <v>19.13</v>
      </c>
      <c r="R477" s="36" t="n">
        <v>35.81</v>
      </c>
      <c r="S477" s="36" t="n">
        <v>0</v>
      </c>
      <c r="T477" s="37" t="n">
        <v>0.4504950495049505</v>
      </c>
      <c r="U477" s="37" t="n">
        <v>0.4295454545454546</v>
      </c>
      <c r="V477" s="37" t="n">
        <v>0.5060240963855421</v>
      </c>
      <c r="W477" s="37" t="n">
        <v>0.5079365079365079</v>
      </c>
    </row>
    <row r="478">
      <c r="A478" s="53" t="n">
        <v>45823</v>
      </c>
      <c r="B478" t="inlineStr">
        <is>
          <t>R01_Sumbagut</t>
        </is>
      </c>
      <c r="C478" t="inlineStr">
        <is>
          <t>NOP ACEH</t>
        </is>
      </c>
      <c r="D478" s="36" t="n">
        <v>3.05</v>
      </c>
      <c r="E478" s="36" t="n">
        <v>3.61</v>
      </c>
      <c r="F478" s="36" t="n">
        <v>4.68</v>
      </c>
      <c r="G478" s="36" t="n">
        <v>7.6</v>
      </c>
      <c r="H478" s="37" t="n">
        <v>0.8638694638694638</v>
      </c>
      <c r="I478" s="37" t="n">
        <v>0.8190954773869347</v>
      </c>
      <c r="J478" s="37" t="n">
        <v>0.8740698340011448</v>
      </c>
      <c r="K478" s="37" t="n">
        <v>0.5184049079754601</v>
      </c>
      <c r="L478" s="37" t="n">
        <v>0.5144694533762058</v>
      </c>
      <c r="M478" s="37" t="n">
        <v>0.9953379953379954</v>
      </c>
      <c r="N478" s="37" t="n">
        <v>0.3552447552447552</v>
      </c>
      <c r="O478" s="36" t="n">
        <v>1.25</v>
      </c>
      <c r="P478" s="36" t="n">
        <v>4.18</v>
      </c>
      <c r="Q478" s="36" t="n">
        <v>53.08</v>
      </c>
      <c r="R478" s="36" t="n">
        <v>85.26000000000001</v>
      </c>
      <c r="S478" s="36" t="n">
        <v>0</v>
      </c>
      <c r="T478" s="37" t="n">
        <v>0.8434081750143926</v>
      </c>
      <c r="U478" s="37" t="n">
        <v>0.664876476906552</v>
      </c>
      <c r="V478" s="37" t="n">
        <v>0.9095659163987139</v>
      </c>
      <c r="W478" s="37" t="n">
        <v>0.2665589660743134</v>
      </c>
    </row>
    <row r="479">
      <c r="A479" s="53" t="n">
        <v>45823</v>
      </c>
      <c r="B479" t="inlineStr">
        <is>
          <t>R01_Sumbagut</t>
        </is>
      </c>
      <c r="C479" t="inlineStr">
        <is>
          <t>NOP BINJAI</t>
        </is>
      </c>
      <c r="D479" s="36" t="n">
        <v>3.67</v>
      </c>
      <c r="E479" s="36" t="n">
        <v>4.72</v>
      </c>
      <c r="F479" s="36" t="n">
        <v>5.51</v>
      </c>
      <c r="G479" s="36" t="n">
        <v>5.9</v>
      </c>
      <c r="H479" s="37" t="n">
        <v>0.5961722488038278</v>
      </c>
      <c r="I479" s="37" t="n">
        <v>0.6383928571428571</v>
      </c>
      <c r="J479" s="37" t="n">
        <v>0.584652862362972</v>
      </c>
      <c r="K479" s="37" t="n">
        <v>0.4055944055944056</v>
      </c>
      <c r="L479" s="37" t="n">
        <v>0.4055944055944056</v>
      </c>
      <c r="M479" s="37" t="n">
        <v>0.9904306220095693</v>
      </c>
      <c r="N479" s="37" t="n">
        <v>0.2583732057416268</v>
      </c>
      <c r="O479" s="36" t="n">
        <v>0.14</v>
      </c>
      <c r="P479" s="36" t="n">
        <v>3.5</v>
      </c>
      <c r="Q479" s="36" t="n">
        <v>35.85</v>
      </c>
      <c r="R479" s="36" t="n">
        <v>66.90000000000001</v>
      </c>
      <c r="S479" s="36" t="n">
        <v>0</v>
      </c>
      <c r="T479" s="37" t="n">
        <v>0.6895622895622896</v>
      </c>
      <c r="U479" s="37" t="n">
        <v>0.5581854043392505</v>
      </c>
      <c r="V479" s="37" t="n">
        <v>0.770345596432553</v>
      </c>
      <c r="W479" s="37" t="n">
        <v>0.4346289752650176</v>
      </c>
    </row>
    <row r="480">
      <c r="A480" s="53" t="n">
        <v>45823</v>
      </c>
      <c r="B480" t="inlineStr">
        <is>
          <t>R01_Sumbagut</t>
        </is>
      </c>
      <c r="C480" t="inlineStr">
        <is>
          <t>NOP MEDAN</t>
        </is>
      </c>
      <c r="D480" s="36" t="n">
        <v>2.68</v>
      </c>
      <c r="E480" s="36" t="n">
        <v>5.12</v>
      </c>
      <c r="F480" s="36" t="n">
        <v>4.2</v>
      </c>
      <c r="G480" s="36" t="n">
        <v>8.039999999999999</v>
      </c>
      <c r="H480" s="37" t="n">
        <v>0.4229957805907173</v>
      </c>
      <c r="I480" s="37" t="n">
        <v>0.5084175084175084</v>
      </c>
      <c r="J480" s="37" t="n">
        <v>0.3840245775729647</v>
      </c>
      <c r="K480" s="37" t="n">
        <v>0.7086092715231788</v>
      </c>
      <c r="L480" s="37" t="n">
        <v>0.7162162162162162</v>
      </c>
      <c r="M480" s="37" t="n">
        <v>0.990506329113924</v>
      </c>
      <c r="N480" s="37" t="n">
        <v>0.2436708860759494</v>
      </c>
      <c r="O480" s="36" t="n">
        <v>0</v>
      </c>
      <c r="P480" s="36" t="n">
        <v>5.06</v>
      </c>
      <c r="Q480" s="36" t="n">
        <v>16.75</v>
      </c>
      <c r="R480" s="36" t="n">
        <v>4.7</v>
      </c>
      <c r="S480" s="36" t="n">
        <v>0</v>
      </c>
      <c r="T480" s="37" t="n">
        <v>0.3221850613154961</v>
      </c>
      <c r="U480" s="37" t="n">
        <v>0.1603053435114504</v>
      </c>
      <c r="V480" s="37" t="n">
        <v>0.4137931034482759</v>
      </c>
      <c r="W480" s="37" t="n">
        <v>0.8333333333333334</v>
      </c>
    </row>
    <row r="481">
      <c r="A481" s="53" t="n">
        <v>45823</v>
      </c>
      <c r="B481" t="inlineStr">
        <is>
          <t>R01_Sumbagut</t>
        </is>
      </c>
      <c r="C481" t="inlineStr">
        <is>
          <t>NOP PADANG SIDEMPUAN</t>
        </is>
      </c>
      <c r="D481" s="36" t="n">
        <v>3.85</v>
      </c>
      <c r="E481" s="36" t="n">
        <v>5.84</v>
      </c>
      <c r="F481" s="36" t="n">
        <v>6.18</v>
      </c>
      <c r="G481" s="36" t="n">
        <v>7.3</v>
      </c>
      <c r="H481" s="37" t="n">
        <v>0.4374110953058322</v>
      </c>
      <c r="I481" s="37" t="n">
        <v>0.7005988023952096</v>
      </c>
      <c r="J481" s="37" t="n">
        <v>0.4019370460048426</v>
      </c>
      <c r="K481" s="37" t="n">
        <v>0.4957264957264957</v>
      </c>
      <c r="L481" s="37" t="n">
        <v>0.5043478260869565</v>
      </c>
      <c r="M481" s="37" t="n">
        <v>0.9886201991465149</v>
      </c>
      <c r="N481" s="37" t="n">
        <v>0.1671408250355619</v>
      </c>
      <c r="O481" s="36" t="n">
        <v>0.16</v>
      </c>
      <c r="P481" s="36" t="n">
        <v>3.15</v>
      </c>
      <c r="Q481" s="36" t="n">
        <v>10.11</v>
      </c>
      <c r="R481" s="36" t="n">
        <v>36.9</v>
      </c>
      <c r="S481" s="36" t="n">
        <v>0</v>
      </c>
      <c r="T481" s="37" t="n">
        <v>0.6671333566678334</v>
      </c>
      <c r="U481" s="37" t="n">
        <v>0.655713218820015</v>
      </c>
      <c r="V481" s="37" t="n">
        <v>0.6774847870182555</v>
      </c>
      <c r="W481" s="37" t="n">
        <v>0.5398633257403189</v>
      </c>
    </row>
    <row r="482">
      <c r="A482" s="53" t="n">
        <v>45823</v>
      </c>
      <c r="B482" t="inlineStr">
        <is>
          <t>R01_Sumbagut</t>
        </is>
      </c>
      <c r="C482" t="inlineStr">
        <is>
          <t>NOP PEMATANG SIANTAR</t>
        </is>
      </c>
      <c r="D482" s="36" t="n">
        <v>8.26</v>
      </c>
      <c r="E482" s="36" t="n">
        <v>5.54</v>
      </c>
      <c r="F482" s="36" t="n">
        <v>5.05</v>
      </c>
      <c r="G482" s="36" t="n">
        <v>7.19</v>
      </c>
      <c r="H482" s="37" t="n">
        <v>0.503426462836057</v>
      </c>
      <c r="I482" s="37" t="n">
        <v>0.7517241379310344</v>
      </c>
      <c r="J482" s="37" t="n">
        <v>0.4295485636114911</v>
      </c>
      <c r="K482" s="37" t="n">
        <v>0.4067278287461774</v>
      </c>
      <c r="L482" s="37" t="n">
        <v>0.4088050314465409</v>
      </c>
      <c r="M482" s="37" t="n">
        <v>0.9657353716394307</v>
      </c>
      <c r="N482" s="37" t="n">
        <v>0.253558249868213</v>
      </c>
      <c r="O482" s="36" t="n">
        <v>2.35</v>
      </c>
      <c r="P482" s="36" t="n">
        <v>4.7</v>
      </c>
      <c r="Q482" s="36" t="n">
        <v>44.55</v>
      </c>
      <c r="R482" s="36" t="n">
        <v>68.87</v>
      </c>
      <c r="S482" s="36" t="n">
        <v>0</v>
      </c>
      <c r="T482" s="37" t="n">
        <v>0.6416075650118204</v>
      </c>
      <c r="U482" s="37" t="n">
        <v>0.6976744186046512</v>
      </c>
      <c r="V482" s="37" t="n">
        <v>0.6194613379669852</v>
      </c>
      <c r="W482" s="37" t="n">
        <v>0.5366666666666666</v>
      </c>
    </row>
    <row r="483">
      <c r="A483" s="53" t="n">
        <v>45823</v>
      </c>
      <c r="B483" t="inlineStr">
        <is>
          <t>R01_Sumbagut</t>
        </is>
      </c>
      <c r="C483" t="inlineStr">
        <is>
          <t>NOP RANTAU PRAPAT</t>
        </is>
      </c>
      <c r="D483" s="36" t="n">
        <v>4.02</v>
      </c>
      <c r="E483" s="36" t="n">
        <v>3.07</v>
      </c>
      <c r="F483" s="36" t="n">
        <v>3.85</v>
      </c>
      <c r="G483" s="36" t="n">
        <v>4.93</v>
      </c>
      <c r="H483" s="37" t="n">
        <v>0.4099654662062161</v>
      </c>
      <c r="I483" s="37" t="n">
        <v>0.3937677053824363</v>
      </c>
      <c r="J483" s="37" t="n">
        <v>0.4133811230585424</v>
      </c>
      <c r="K483" s="37" t="n">
        <v>0.6258992805755396</v>
      </c>
      <c r="L483" s="37" t="n">
        <v>0.6258992805755396</v>
      </c>
      <c r="M483" s="37" t="n">
        <v>0.9812530833744449</v>
      </c>
      <c r="N483" s="37" t="n">
        <v>0.2308830784410459</v>
      </c>
      <c r="O483" s="36" t="n">
        <v>0.11</v>
      </c>
      <c r="P483" s="36" t="n">
        <v>3.64</v>
      </c>
      <c r="Q483" s="36" t="n">
        <v>24.7</v>
      </c>
      <c r="R483" s="36" t="n">
        <v>66.62</v>
      </c>
      <c r="S483" s="36" t="n">
        <v>0</v>
      </c>
      <c r="T483" s="37" t="n">
        <v>0.2063047285464098</v>
      </c>
      <c r="U483" s="37" t="n">
        <v>0.2670068027210885</v>
      </c>
      <c r="V483" s="37" t="n">
        <v>0.1814814814814815</v>
      </c>
      <c r="W483" s="37" t="n">
        <v>0.5031847133757962</v>
      </c>
    </row>
    <row r="484">
      <c r="A484" s="53" t="n">
        <v>45823</v>
      </c>
      <c r="B484" t="inlineStr">
        <is>
          <t>R10_Sumbagteng</t>
        </is>
      </c>
      <c r="C484" t="inlineStr">
        <is>
          <t>NOP BATAM</t>
        </is>
      </c>
      <c r="D484" s="36" t="n">
        <v>3.74</v>
      </c>
      <c r="E484" s="36" t="n">
        <v>8.01</v>
      </c>
      <c r="F484" s="36" t="n">
        <v>6.64</v>
      </c>
      <c r="G484" s="36" t="n">
        <v>9.050000000000001</v>
      </c>
      <c r="H484" s="37" t="n">
        <v>0.5272292040694195</v>
      </c>
      <c r="I484" s="37" t="n">
        <v>0.6711864406779661</v>
      </c>
      <c r="J484" s="37" t="n">
        <v>0.4963662790697674</v>
      </c>
      <c r="K484" s="37" t="n">
        <v>0.7525252525252525</v>
      </c>
      <c r="L484" s="37" t="n">
        <v>0.7551020408163265</v>
      </c>
      <c r="M484" s="37" t="n">
        <v>0.9916217833632556</v>
      </c>
      <c r="N484" s="37" t="n">
        <v>0.3710353081986834</v>
      </c>
      <c r="O484" s="36" t="n">
        <v>0.71</v>
      </c>
      <c r="P484" s="36" t="n">
        <v>9.56</v>
      </c>
      <c r="Q484" s="36" t="n">
        <v>53.52</v>
      </c>
      <c r="R484" s="36" t="n">
        <v>97.02</v>
      </c>
      <c r="S484" s="36" t="n">
        <v>0</v>
      </c>
      <c r="T484" s="37" t="n">
        <v>0.3179926560587515</v>
      </c>
      <c r="U484" s="37" t="n">
        <v>0.4666666666666667</v>
      </c>
      <c r="V484" s="37" t="n">
        <v>0.2545201668984701</v>
      </c>
      <c r="W484" s="37" t="n">
        <v>0.8205128205128205</v>
      </c>
    </row>
    <row r="485">
      <c r="A485" s="53" t="n">
        <v>45823</v>
      </c>
      <c r="B485" t="inlineStr">
        <is>
          <t>R10_Sumbagteng</t>
        </is>
      </c>
      <c r="C485" t="inlineStr">
        <is>
          <t>NOP BUKITTINGGI</t>
        </is>
      </c>
      <c r="D485" s="36" t="n">
        <v>1.84</v>
      </c>
      <c r="E485" s="36" t="n">
        <v>3.72</v>
      </c>
      <c r="F485" s="36" t="n">
        <v>3.14</v>
      </c>
      <c r="G485" s="36" t="n">
        <v>4.5</v>
      </c>
      <c r="H485" s="37" t="n">
        <v>0.6705314009661836</v>
      </c>
      <c r="I485" s="37" t="n">
        <v>0.8157894736842105</v>
      </c>
      <c r="J485" s="37" t="n">
        <v>0.6294919454770755</v>
      </c>
      <c r="K485" s="37" t="n">
        <v>0.6129032258064516</v>
      </c>
      <c r="L485" s="37" t="n">
        <v>0.6333333333333333</v>
      </c>
      <c r="M485" s="37" t="n">
        <v>0.9458937198067633</v>
      </c>
      <c r="N485" s="37" t="n">
        <v>0.3439613526570048</v>
      </c>
      <c r="O485" s="36" t="n">
        <v>0.93</v>
      </c>
      <c r="P485" s="36" t="n">
        <v>5.01</v>
      </c>
      <c r="Q485" s="36" t="n">
        <v>61.06</v>
      </c>
      <c r="R485" s="36" t="n">
        <v>76.47</v>
      </c>
      <c r="S485" s="36" t="n">
        <v>0</v>
      </c>
      <c r="T485" s="37" t="n">
        <v>0.5714285714285714</v>
      </c>
      <c r="U485" s="37" t="n">
        <v>0.7863247863247863</v>
      </c>
      <c r="V485" s="37" t="n">
        <v>0.5310734463276836</v>
      </c>
      <c r="W485" s="37" t="n">
        <v>0.6032608695652174</v>
      </c>
    </row>
    <row r="486">
      <c r="A486" s="53" t="n">
        <v>45823</v>
      </c>
      <c r="B486" t="inlineStr">
        <is>
          <t>R10_Sumbagteng</t>
        </is>
      </c>
      <c r="C486" t="inlineStr">
        <is>
          <t>NOP DUMAI</t>
        </is>
      </c>
      <c r="D486" s="36" t="n">
        <v>2.7</v>
      </c>
      <c r="E486" s="36" t="n">
        <v>5.27</v>
      </c>
      <c r="F486" s="36" t="n">
        <v>4.57</v>
      </c>
      <c r="G486" s="36" t="n">
        <v>5.98</v>
      </c>
      <c r="H486" s="37" t="n">
        <v>0.5113863363963244</v>
      </c>
      <c r="I486" s="37" t="n">
        <v>0.648729446935725</v>
      </c>
      <c r="J486" s="37" t="n">
        <v>0.4612868047982552</v>
      </c>
      <c r="K486" s="37" t="n">
        <v>0.7073732718894009</v>
      </c>
      <c r="L486" s="37" t="n">
        <v>0.7176470588235294</v>
      </c>
      <c r="M486" s="37" t="n">
        <v>0.9824210946863764</v>
      </c>
      <c r="N486" s="37" t="n">
        <v>0.2932481022772673</v>
      </c>
      <c r="O486" s="36" t="n">
        <v>0.11</v>
      </c>
      <c r="P486" s="36" t="n">
        <v>8.77</v>
      </c>
      <c r="Q486" s="36" t="n">
        <v>48.16</v>
      </c>
      <c r="R486" s="36" t="n">
        <v>90.45999999999999</v>
      </c>
      <c r="S486" s="36" t="n">
        <v>0</v>
      </c>
      <c r="T486" s="37" t="n">
        <v>0.250241173065792</v>
      </c>
      <c r="U486" s="37" t="n">
        <v>0.3873239436619718</v>
      </c>
      <c r="V486" s="37" t="n">
        <v>0.2055254324812807</v>
      </c>
      <c r="W486" s="37" t="n">
        <v>0.9131313131313131</v>
      </c>
    </row>
    <row r="487">
      <c r="A487" s="53" t="n">
        <v>45823</v>
      </c>
      <c r="B487" t="inlineStr">
        <is>
          <t>R10_Sumbagteng</t>
        </is>
      </c>
      <c r="C487" t="inlineStr">
        <is>
          <t>NOP PADANG</t>
        </is>
      </c>
      <c r="D487" s="36" t="n">
        <v>1.51</v>
      </c>
      <c r="E487" s="36" t="n">
        <v>4.12</v>
      </c>
      <c r="F487" s="36" t="n">
        <v>4.46</v>
      </c>
      <c r="G487" s="36" t="n">
        <v>4.59</v>
      </c>
      <c r="H487" s="37" t="n">
        <v>0.6351351351351351</v>
      </c>
      <c r="I487" s="37" t="n">
        <v>0.6461538461538462</v>
      </c>
      <c r="J487" s="37" t="n">
        <v>0.6342648845686513</v>
      </c>
      <c r="K487" s="37" t="n">
        <v>0.6666666666666666</v>
      </c>
      <c r="L487" s="37" t="n">
        <v>0.6666666666666666</v>
      </c>
      <c r="M487" s="37" t="n">
        <v>0.9572072072072072</v>
      </c>
      <c r="N487" s="37" t="n">
        <v>0.2871621621621622</v>
      </c>
      <c r="O487" s="36" t="n">
        <v>7.45</v>
      </c>
      <c r="P487" s="36" t="n">
        <v>5.58</v>
      </c>
      <c r="Q487" s="36" t="n">
        <v>50.69</v>
      </c>
      <c r="R487" s="36" t="n">
        <v>96.44</v>
      </c>
      <c r="S487" s="36" t="n">
        <v>0</v>
      </c>
      <c r="T487" s="37" t="n">
        <v>0.7970401691331924</v>
      </c>
      <c r="U487" s="37" t="n">
        <v>0.6351039260969977</v>
      </c>
      <c r="V487" s="37" t="n">
        <v>0.8672839506172839</v>
      </c>
      <c r="W487" s="37" t="n">
        <v>0.730909090909091</v>
      </c>
    </row>
    <row r="488">
      <c r="A488" s="53" t="n">
        <v>45823</v>
      </c>
      <c r="B488" t="inlineStr">
        <is>
          <t>R10_Sumbagteng</t>
        </is>
      </c>
      <c r="C488" t="inlineStr">
        <is>
          <t>NOP PEKANBARU</t>
        </is>
      </c>
      <c r="D488" s="36" t="n">
        <v>3.5</v>
      </c>
      <c r="E488" s="36" t="n">
        <v>5.5</v>
      </c>
      <c r="F488" s="36" t="n">
        <v>4.28</v>
      </c>
      <c r="G488" s="36" t="n">
        <v>6.75</v>
      </c>
      <c r="H488" s="37" t="n">
        <v>0.4422802850356294</v>
      </c>
      <c r="I488" s="37" t="n">
        <v>0.4289693593314763</v>
      </c>
      <c r="J488" s="37" t="n">
        <v>0.4450171821305842</v>
      </c>
      <c r="K488" s="37" t="n">
        <v>0.7272727272727273</v>
      </c>
      <c r="L488" s="37" t="n">
        <v>0.7320261437908496</v>
      </c>
      <c r="M488" s="37" t="n">
        <v>0.9843230403800475</v>
      </c>
      <c r="N488" s="37" t="n">
        <v>0.2437054631828979</v>
      </c>
      <c r="O488" s="36" t="n">
        <v>0.46</v>
      </c>
      <c r="P488" s="36" t="n">
        <v>5.48</v>
      </c>
      <c r="Q488" s="36" t="n">
        <v>40.84</v>
      </c>
      <c r="R488" s="36" t="n">
        <v>59.64</v>
      </c>
      <c r="S488" s="36" t="n">
        <v>0</v>
      </c>
      <c r="T488" s="37" t="n">
        <v>0.2967726280029119</v>
      </c>
      <c r="U488" s="37" t="n">
        <v>0.3616</v>
      </c>
      <c r="V488" s="37" t="n">
        <v>0.2661434177666785</v>
      </c>
      <c r="W488" s="37" t="n">
        <v>0.8407079646017699</v>
      </c>
    </row>
    <row r="489">
      <c r="A489" s="53" t="n">
        <v>45823</v>
      </c>
      <c r="B489" t="inlineStr">
        <is>
          <t>R02_Sumbagsel</t>
        </is>
      </c>
      <c r="C489" t="inlineStr">
        <is>
          <t>NOP BENGKULU</t>
        </is>
      </c>
      <c r="D489" s="36" t="n">
        <v>3.73</v>
      </c>
      <c r="E489" s="36" t="n">
        <v>5.69</v>
      </c>
      <c r="F489" s="36" t="n">
        <v>4.7</v>
      </c>
      <c r="G489" s="36" t="n">
        <v>6.16</v>
      </c>
      <c r="H489" s="37" t="n">
        <v>0.4494909945184025</v>
      </c>
      <c r="I489" s="37" t="n">
        <v>0.5100864553314121</v>
      </c>
      <c r="J489" s="37" t="n">
        <v>0.4268817204301075</v>
      </c>
      <c r="K489" s="37" t="n">
        <v>0.6892655367231638</v>
      </c>
      <c r="L489" s="37" t="n">
        <v>0.6892655367231638</v>
      </c>
      <c r="M489" s="37" t="n">
        <v>0.9929522317932654</v>
      </c>
      <c r="N489" s="37" t="n">
        <v>0.2905246671887236</v>
      </c>
      <c r="O489" s="36" t="n">
        <v>0</v>
      </c>
      <c r="P489" s="36" t="n">
        <v>4.94</v>
      </c>
      <c r="Q489" s="36" t="n">
        <v>7.56</v>
      </c>
      <c r="R489" s="36" t="n">
        <v>5.79</v>
      </c>
      <c r="S489" s="36" t="n">
        <v>0</v>
      </c>
      <c r="T489" s="37" t="n">
        <v>0.5156188216686437</v>
      </c>
      <c r="U489" s="37" t="n">
        <v>0.4525974025974026</v>
      </c>
      <c r="V489" s="37" t="n">
        <v>0.6124401913875598</v>
      </c>
      <c r="W489" s="37" t="n">
        <v>0.8766140602582496</v>
      </c>
    </row>
    <row r="490">
      <c r="A490" s="53" t="n">
        <v>45823</v>
      </c>
      <c r="B490" t="inlineStr">
        <is>
          <t>R02_Sumbagsel</t>
        </is>
      </c>
      <c r="C490" t="inlineStr">
        <is>
          <t>NOP JAMBI</t>
        </is>
      </c>
      <c r="D490" s="36" t="n">
        <v>4.86</v>
      </c>
      <c r="E490" s="36" t="n">
        <v>4.48</v>
      </c>
      <c r="F490" s="36" t="n">
        <v>4.17</v>
      </c>
      <c r="G490" s="36" t="n">
        <v>5.48</v>
      </c>
      <c r="H490" s="37" t="n">
        <v>0.3100483610961848</v>
      </c>
      <c r="I490" s="37" t="n">
        <v>0.3215547703180212</v>
      </c>
      <c r="J490" s="37" t="n">
        <v>0.305019305019305</v>
      </c>
      <c r="K490" s="37" t="n">
        <v>0.5824175824175825</v>
      </c>
      <c r="L490" s="37" t="n">
        <v>0.5921787709497207</v>
      </c>
      <c r="M490" s="37" t="n">
        <v>0.9897904352498657</v>
      </c>
      <c r="N490" s="37" t="n">
        <v>0.154218162278345</v>
      </c>
      <c r="O490" s="36" t="n">
        <v>0</v>
      </c>
      <c r="P490" s="36" t="n">
        <v>3.76</v>
      </c>
      <c r="Q490" s="36" t="n">
        <v>11.01</v>
      </c>
      <c r="R490" s="36" t="n">
        <v>19.09</v>
      </c>
      <c r="S490" s="36" t="n">
        <v>0</v>
      </c>
      <c r="T490" s="37" t="n">
        <v>0.1857241857241857</v>
      </c>
      <c r="U490" s="37" t="n">
        <v>0.1547169811320755</v>
      </c>
      <c r="V490" s="37" t="n">
        <v>0.2410800385728062</v>
      </c>
      <c r="W490" s="37" t="n">
        <v>0.6544715447154471</v>
      </c>
    </row>
    <row r="491">
      <c r="A491" s="53" t="n">
        <v>45823</v>
      </c>
      <c r="B491" t="inlineStr">
        <is>
          <t>R02_Sumbagsel</t>
        </is>
      </c>
      <c r="C491" t="inlineStr">
        <is>
          <t>NOP LAMPUNG</t>
        </is>
      </c>
      <c r="D491" s="36" t="n">
        <v>4.97</v>
      </c>
      <c r="E491" s="36" t="n">
        <v>3.16</v>
      </c>
      <c r="F491" s="36" t="n">
        <v>3.39</v>
      </c>
      <c r="G491" s="36" t="n">
        <v>4.23</v>
      </c>
      <c r="H491" s="37" t="n">
        <v>0.5346260387811634</v>
      </c>
      <c r="I491" s="37" t="n">
        <v>0.7735849056603774</v>
      </c>
      <c r="J491" s="37" t="n">
        <v>0.4671403197158082</v>
      </c>
      <c r="K491" s="37" t="n">
        <v>0.7723577235772358</v>
      </c>
      <c r="L491" s="37" t="n">
        <v>0.7704918032786885</v>
      </c>
      <c r="M491" s="37" t="n">
        <v>0.9889196675900277</v>
      </c>
      <c r="N491" s="37" t="n">
        <v>0.3933518005540166</v>
      </c>
      <c r="O491" s="36" t="n">
        <v>0.04</v>
      </c>
      <c r="P491" s="36" t="n">
        <v>7.19</v>
      </c>
      <c r="Q491" s="36" t="n">
        <v>4</v>
      </c>
      <c r="R491" s="36" t="n">
        <v>37.65</v>
      </c>
      <c r="S491" s="36" t="n">
        <v>0</v>
      </c>
      <c r="T491" s="37" t="n">
        <v>0.8973008558262014</v>
      </c>
      <c r="U491" s="37" t="n">
        <v>0.88</v>
      </c>
      <c r="V491" s="37" t="n">
        <v>0.9129646418857661</v>
      </c>
      <c r="W491" s="37" t="n">
        <v>0.8668831168831169</v>
      </c>
    </row>
    <row r="492">
      <c r="A492" s="53" t="n">
        <v>45823</v>
      </c>
      <c r="B492" t="inlineStr">
        <is>
          <t>R02_Sumbagsel</t>
        </is>
      </c>
      <c r="C492" t="inlineStr">
        <is>
          <t>NOP MUARA ENIM</t>
        </is>
      </c>
      <c r="D492" s="36" t="n">
        <v>3.96</v>
      </c>
      <c r="E492" s="36" t="n">
        <v>4.06</v>
      </c>
      <c r="F492" s="36" t="n">
        <v>4.25</v>
      </c>
      <c r="G492" s="36" t="n">
        <v>5.92</v>
      </c>
      <c r="H492" s="37" t="n">
        <v>0.3421217827997489</v>
      </c>
      <c r="I492" s="37" t="n">
        <v>0.4404761904761905</v>
      </c>
      <c r="J492" s="37" t="n">
        <v>0.3236390753169276</v>
      </c>
      <c r="K492" s="37" t="n">
        <v>0.6846846846846847</v>
      </c>
      <c r="L492" s="37" t="n">
        <v>0.7037037037037037</v>
      </c>
      <c r="M492" s="37" t="n">
        <v>0.9780288763339611</v>
      </c>
      <c r="N492" s="37" t="n">
        <v>0.1763967357187696</v>
      </c>
      <c r="O492" s="36" t="n">
        <v>0</v>
      </c>
      <c r="P492" s="36" t="n">
        <v>19.45</v>
      </c>
      <c r="Q492" s="36" t="n">
        <v>12.11</v>
      </c>
      <c r="R492" s="36" t="n">
        <v>6</v>
      </c>
      <c r="S492" s="36" t="n">
        <v>0</v>
      </c>
      <c r="T492" s="37" t="n">
        <v>0.5377599416271434</v>
      </c>
      <c r="U492" s="37" t="n">
        <v>0.4620573355817875</v>
      </c>
      <c r="V492" s="37" t="n">
        <v>0.6177523264137438</v>
      </c>
      <c r="W492" s="37" t="n">
        <v>0.7664233576642335</v>
      </c>
    </row>
    <row r="493">
      <c r="A493" s="53" t="n">
        <v>45823</v>
      </c>
      <c r="B493" t="inlineStr">
        <is>
          <t>R02_Sumbagsel</t>
        </is>
      </c>
      <c r="C493" t="inlineStr">
        <is>
          <t>NOP PALEMBANG</t>
        </is>
      </c>
      <c r="D493" s="36" t="n">
        <v>2.82</v>
      </c>
      <c r="E493" s="36" t="n">
        <v>3.96</v>
      </c>
      <c r="F493" s="36" t="n">
        <v>5.3</v>
      </c>
      <c r="G493" s="36" t="n">
        <v>6.54</v>
      </c>
      <c r="H493" s="37" t="n">
        <v>0.2801833927661742</v>
      </c>
      <c r="I493" s="37" t="n">
        <v>0.2317596566523605</v>
      </c>
      <c r="J493" s="37" t="n">
        <v>0.2867052023121388</v>
      </c>
      <c r="K493" s="37" t="n">
        <v>0.5</v>
      </c>
      <c r="L493" s="37" t="n">
        <v>0.5</v>
      </c>
      <c r="M493" s="37" t="n">
        <v>0.9974528782475802</v>
      </c>
      <c r="N493" s="37" t="n">
        <v>0.1161487519103413</v>
      </c>
      <c r="O493" s="36" t="n">
        <v>0</v>
      </c>
      <c r="P493" s="36" t="n">
        <v>3.1</v>
      </c>
      <c r="Q493" s="36" t="n">
        <v>9.73</v>
      </c>
      <c r="R493" s="36" t="n">
        <v>18</v>
      </c>
      <c r="S493" s="36" t="n">
        <v>0</v>
      </c>
      <c r="T493" s="37" t="n">
        <v>0.1419427710843373</v>
      </c>
      <c r="U493" s="37" t="n">
        <v>0.1191460055096419</v>
      </c>
      <c r="V493" s="37" t="n">
        <v>0.2105809128630705</v>
      </c>
      <c r="W493" s="37" t="n">
        <v>0.653179190751445</v>
      </c>
    </row>
    <row r="494">
      <c r="A494" s="53" t="n">
        <v>45823</v>
      </c>
      <c r="B494" t="inlineStr">
        <is>
          <t>R02_Sumbagsel</t>
        </is>
      </c>
      <c r="C494" t="inlineStr">
        <is>
          <t>NOP PANGKAL PINANG</t>
        </is>
      </c>
      <c r="D494" s="36" t="n">
        <v>0</v>
      </c>
      <c r="E494" s="36" t="n">
        <v>3.54</v>
      </c>
      <c r="F494" s="36" t="n">
        <v>5.19</v>
      </c>
      <c r="G494" s="36" t="n">
        <v>5</v>
      </c>
      <c r="H494" s="37" t="n">
        <v>0.7481203007518797</v>
      </c>
      <c r="I494" s="37" t="n">
        <v>0.75</v>
      </c>
      <c r="J494" s="37" t="n">
        <v>0.7480314960629921</v>
      </c>
      <c r="K494" s="37" t="n">
        <v>0.5555555555555556</v>
      </c>
      <c r="L494" s="37" t="n">
        <v>0.5555555555555556</v>
      </c>
      <c r="M494" s="37" t="n">
        <v>1</v>
      </c>
      <c r="N494" s="37" t="n">
        <v>0.4699248120300752</v>
      </c>
      <c r="O494" s="36" t="n">
        <v>0</v>
      </c>
      <c r="P494" s="36" t="n">
        <v>4.1</v>
      </c>
      <c r="Q494" s="36" t="n">
        <v>7.6</v>
      </c>
      <c r="R494" s="36" t="n">
        <v>6.36</v>
      </c>
      <c r="S494" s="36" t="n">
        <v>0</v>
      </c>
      <c r="T494" s="37" t="n">
        <v>0.9309090909090909</v>
      </c>
      <c r="U494" s="37" t="n">
        <v>0.9333333333333333</v>
      </c>
      <c r="V494" s="37" t="n">
        <v>0.9395604395604396</v>
      </c>
      <c r="W494" s="37" t="n">
        <v>0.8246753246753247</v>
      </c>
    </row>
    <row r="495">
      <c r="A495" s="53" t="n">
        <v>45823</v>
      </c>
      <c r="B495" t="inlineStr">
        <is>
          <t>R05_Jawa Tengah DIY</t>
        </is>
      </c>
      <c r="C495" t="inlineStr">
        <is>
          <t>NOP MAGELANG</t>
        </is>
      </c>
      <c r="D495" s="36" t="n">
        <v>3.72</v>
      </c>
      <c r="E495" s="36" t="n">
        <v>0</v>
      </c>
      <c r="F495" s="36" t="n">
        <v>2.45</v>
      </c>
      <c r="G495" s="36" t="n">
        <v>3.08</v>
      </c>
      <c r="H495" s="37" t="n">
        <v>0.8151658767772512</v>
      </c>
      <c r="I495" s="37" t="n">
        <v>0.9090909090909091</v>
      </c>
      <c r="J495" s="37" t="n">
        <v>0.8100000000000001</v>
      </c>
      <c r="K495" s="37" t="n">
        <v>1</v>
      </c>
      <c r="L495" s="37" t="n">
        <v>1</v>
      </c>
      <c r="M495" s="37" t="n">
        <v>1</v>
      </c>
      <c r="N495" s="37" t="n">
        <v>0.6682464454976303</v>
      </c>
      <c r="O495" s="36" t="n">
        <v>0</v>
      </c>
      <c r="P495" s="36" t="n">
        <v>2.23</v>
      </c>
      <c r="Q495" s="36" t="n">
        <v>5.43</v>
      </c>
      <c r="R495" s="36" t="n">
        <v>14.42</v>
      </c>
      <c r="S495" s="36" t="n">
        <v>0</v>
      </c>
      <c r="T495" s="37" t="n">
        <v>0.9437652811735942</v>
      </c>
      <c r="U495" s="37" t="n">
        <v>0.8888888888888888</v>
      </c>
      <c r="V495" s="37" t="n">
        <v>0.953757225433526</v>
      </c>
      <c r="W495" s="37" t="n">
        <v>0.9285714285714286</v>
      </c>
    </row>
    <row r="496">
      <c r="A496" s="53" t="n">
        <v>45823</v>
      </c>
      <c r="B496" t="inlineStr">
        <is>
          <t>R05_Jawa Tengah DIY</t>
        </is>
      </c>
      <c r="C496" t="inlineStr">
        <is>
          <t>NOP PEKALONGAN</t>
        </is>
      </c>
      <c r="D496" s="36" t="n">
        <v>4.51</v>
      </c>
      <c r="E496" s="36" t="n">
        <v>0</v>
      </c>
      <c r="F496" s="36" t="n">
        <v>3.14</v>
      </c>
      <c r="G496" s="36" t="n">
        <v>6.28</v>
      </c>
      <c r="H496" s="37" t="n">
        <v>0.743421052631579</v>
      </c>
      <c r="I496" s="37" t="n">
        <v>0.7333333333333333</v>
      </c>
      <c r="J496" s="37" t="n">
        <v>0.7445255474452555</v>
      </c>
      <c r="K496" s="37" t="n">
        <v>1</v>
      </c>
      <c r="L496" s="37" t="n">
        <v>1</v>
      </c>
      <c r="M496" s="37" t="n">
        <v>0.9407894736842105</v>
      </c>
      <c r="N496" s="37" t="n">
        <v>0.5789473684210527</v>
      </c>
      <c r="O496" s="36" t="n">
        <v>0.12</v>
      </c>
      <c r="P496" s="36" t="n">
        <v>3.37</v>
      </c>
      <c r="Q496" s="36" t="n">
        <v>7.06</v>
      </c>
      <c r="R496" s="36" t="n">
        <v>48.06</v>
      </c>
      <c r="S496" s="36" t="n">
        <v>0</v>
      </c>
      <c r="T496" s="37" t="n">
        <v>0.843956043956044</v>
      </c>
      <c r="U496" s="37" t="n">
        <v>0.7524752475247525</v>
      </c>
      <c r="V496" s="37" t="n">
        <v>0.8700564971751412</v>
      </c>
      <c r="W496" s="37" t="n">
        <v>0.5263157894736842</v>
      </c>
    </row>
    <row r="497">
      <c r="A497" s="53" t="n">
        <v>45823</v>
      </c>
      <c r="B497" t="inlineStr">
        <is>
          <t>R05_Jawa Tengah DIY</t>
        </is>
      </c>
      <c r="C497" t="inlineStr">
        <is>
          <t>NOP PURWOKERTO</t>
        </is>
      </c>
      <c r="D497" s="36" t="n">
        <v>3.78</v>
      </c>
      <c r="E497" s="36" t="n">
        <v>3.14</v>
      </c>
      <c r="F497" s="36" t="n">
        <v>2.81</v>
      </c>
      <c r="G497" s="36" t="n">
        <v>3.73</v>
      </c>
      <c r="H497" s="37" t="n">
        <v>0.6508620689655172</v>
      </c>
      <c r="I497" s="37" t="n">
        <v>0.8260869565217391</v>
      </c>
      <c r="J497" s="37" t="n">
        <v>0.631578947368421</v>
      </c>
      <c r="K497" s="37" t="n">
        <v>0.8947368421052632</v>
      </c>
      <c r="L497" s="37" t="n">
        <v>0.8947368421052632</v>
      </c>
      <c r="M497" s="37" t="n">
        <v>0.978448275862069</v>
      </c>
      <c r="N497" s="37" t="n">
        <v>0.375</v>
      </c>
      <c r="O497" s="36" t="n">
        <v>0.51</v>
      </c>
      <c r="P497" s="36" t="n">
        <v>5.11</v>
      </c>
      <c r="Q497" s="36" t="n">
        <v>6.96</v>
      </c>
      <c r="R497" s="36" t="n">
        <v>27.08</v>
      </c>
      <c r="S497" s="36" t="n">
        <v>0</v>
      </c>
      <c r="T497" s="37" t="n">
        <v>0.84375</v>
      </c>
      <c r="U497" s="37" t="n">
        <v>0.8349514563106796</v>
      </c>
      <c r="V497" s="37" t="n">
        <v>0.847926267281106</v>
      </c>
      <c r="W497" s="37" t="n">
        <v>0.6046511627906976</v>
      </c>
    </row>
    <row r="498">
      <c r="A498" s="53" t="n">
        <v>45823</v>
      </c>
      <c r="B498" t="inlineStr">
        <is>
          <t>R05_Jawa Tengah DIY</t>
        </is>
      </c>
      <c r="C498" t="inlineStr">
        <is>
          <t>NOP SEMARANG</t>
        </is>
      </c>
      <c r="D498" s="36" t="n">
        <v>2.61</v>
      </c>
      <c r="E498" s="36" t="n">
        <v>2.57</v>
      </c>
      <c r="F498" s="36" t="n">
        <v>3.33</v>
      </c>
      <c r="G498" s="36" t="n">
        <v>3.72</v>
      </c>
      <c r="H498" s="37" t="n">
        <v>0.7473118279569892</v>
      </c>
      <c r="I498" s="37" t="n">
        <v>0.8604651162790697</v>
      </c>
      <c r="J498" s="37" t="n">
        <v>0.7378640776699029</v>
      </c>
      <c r="K498" s="37" t="n">
        <v>0.9459459459459459</v>
      </c>
      <c r="L498" s="37" t="n">
        <v>0.9459459459459459</v>
      </c>
      <c r="M498" s="37" t="n">
        <v>0.9587813620071685</v>
      </c>
      <c r="N498" s="37" t="n">
        <v>0.510752688172043</v>
      </c>
      <c r="O498" s="36" t="n">
        <v>2.51</v>
      </c>
      <c r="P498" s="36" t="n">
        <v>6.36</v>
      </c>
      <c r="Q498" s="36" t="n">
        <v>6.09</v>
      </c>
      <c r="R498" s="36" t="n">
        <v>53.83</v>
      </c>
      <c r="S498" s="36" t="n">
        <v>0</v>
      </c>
      <c r="T498" s="37" t="n">
        <v>0.8908765652951699</v>
      </c>
      <c r="U498" s="37" t="n">
        <v>0.8340807174887892</v>
      </c>
      <c r="V498" s="37" t="n">
        <v>0.9285714285714286</v>
      </c>
      <c r="W498" s="37" t="n">
        <v>0.8602150537634409</v>
      </c>
    </row>
    <row r="499">
      <c r="A499" s="53" t="n">
        <v>45823</v>
      </c>
      <c r="B499" t="inlineStr">
        <is>
          <t>R05_Jawa Tengah DIY</t>
        </is>
      </c>
      <c r="C499" t="inlineStr">
        <is>
          <t>NOP SURAKARTA</t>
        </is>
      </c>
      <c r="D499" s="36" t="n">
        <v>1.84</v>
      </c>
      <c r="E499" s="36" t="n">
        <v>2.03</v>
      </c>
      <c r="F499" s="36" t="n">
        <v>3.38</v>
      </c>
      <c r="G499" s="36" t="n">
        <v>3.14</v>
      </c>
      <c r="H499" s="37" t="n">
        <v>0.7717842323651453</v>
      </c>
      <c r="I499" s="37" t="n">
        <v>0.8205128205128205</v>
      </c>
      <c r="J499" s="37" t="n">
        <v>0.7674943566591422</v>
      </c>
      <c r="K499" s="37" t="n">
        <v>0.84375</v>
      </c>
      <c r="L499" s="37" t="n">
        <v>0.84375</v>
      </c>
      <c r="M499" s="37" t="n">
        <v>0.9730290456431535</v>
      </c>
      <c r="N499" s="37" t="n">
        <v>0.5269709543568465</v>
      </c>
      <c r="O499" s="36" t="n">
        <v>0.24</v>
      </c>
      <c r="P499" s="36" t="n">
        <v>6.83</v>
      </c>
      <c r="Q499" s="36" t="n">
        <v>5.47</v>
      </c>
      <c r="R499" s="36" t="n">
        <v>52.13</v>
      </c>
      <c r="S499" s="36" t="n">
        <v>0</v>
      </c>
      <c r="T499" s="37" t="n">
        <v>0.8029315960912052</v>
      </c>
      <c r="U499" s="37" t="n">
        <v>0.6724890829694323</v>
      </c>
      <c r="V499" s="37" t="n">
        <v>0.8805194805194805</v>
      </c>
      <c r="W499" s="37" t="n">
        <v>0.6233766233766234</v>
      </c>
    </row>
    <row r="500">
      <c r="A500" s="53" t="n">
        <v>45823</v>
      </c>
      <c r="B500" t="inlineStr">
        <is>
          <t>R05_Jawa Tengah DIY</t>
        </is>
      </c>
      <c r="C500" t="inlineStr">
        <is>
          <t>NOP YOGYAKARTA</t>
        </is>
      </c>
      <c r="D500" s="36" t="n">
        <v>3.24</v>
      </c>
      <c r="E500" s="36" t="n">
        <v>0</v>
      </c>
      <c r="F500" s="36" t="n">
        <v>2.8</v>
      </c>
      <c r="G500" s="36" t="n">
        <v>3.38</v>
      </c>
      <c r="H500" s="37" t="n">
        <v>0.7362637362637363</v>
      </c>
      <c r="I500" s="37" t="n">
        <v>0.875</v>
      </c>
      <c r="J500" s="37" t="n">
        <v>0.7276264591439688</v>
      </c>
      <c r="K500" s="37" t="n">
        <v>0.9285714285714286</v>
      </c>
      <c r="L500" s="37" t="n">
        <v>0.9285714285714286</v>
      </c>
      <c r="M500" s="37" t="n">
        <v>0.9890109890109891</v>
      </c>
      <c r="N500" s="37" t="n">
        <v>0.5238095238095238</v>
      </c>
      <c r="O500" s="36" t="n">
        <v>0</v>
      </c>
      <c r="P500" s="36" t="n">
        <v>5.01</v>
      </c>
      <c r="Q500" s="36" t="n">
        <v>6.65</v>
      </c>
      <c r="R500" s="36" t="n">
        <v>30.7</v>
      </c>
      <c r="S500" s="36" t="n">
        <v>0</v>
      </c>
      <c r="T500" s="37" t="n">
        <v>0.9371633752244165</v>
      </c>
      <c r="U500" s="37" t="n">
        <v>0.9221556886227545</v>
      </c>
      <c r="V500" s="37" t="n">
        <v>0.9435897435897436</v>
      </c>
      <c r="W500" s="37" t="n">
        <v>0.948051948051948</v>
      </c>
    </row>
    <row r="501">
      <c r="A501" s="53" t="n">
        <v>45823</v>
      </c>
      <c r="B501" t="inlineStr">
        <is>
          <t>R06_Jawa Timur</t>
        </is>
      </c>
      <c r="C501" t="inlineStr">
        <is>
          <t>NOP JEMBER</t>
        </is>
      </c>
      <c r="D501" s="36" t="n">
        <v>2.09</v>
      </c>
      <c r="E501" s="36" t="n">
        <v>0.4</v>
      </c>
      <c r="F501" s="36" t="n">
        <v>2.87</v>
      </c>
      <c r="G501" s="36" t="n">
        <v>2.5</v>
      </c>
      <c r="H501" s="37" t="n">
        <v>0.780952380952381</v>
      </c>
      <c r="I501" s="37" t="n">
        <v>0.8461538461538461</v>
      </c>
      <c r="J501" s="37" t="n">
        <v>0.7766497461928934</v>
      </c>
      <c r="K501" s="37" t="n">
        <v>0.9090909090909091</v>
      </c>
      <c r="L501" s="37" t="n">
        <v>0.9090909090909091</v>
      </c>
      <c r="M501" s="37" t="n">
        <v>0.9904761904761905</v>
      </c>
      <c r="N501" s="37" t="n">
        <v>0.4761904761904762</v>
      </c>
      <c r="O501" s="36" t="n">
        <v>0</v>
      </c>
      <c r="P501" s="36" t="n">
        <v>2.54</v>
      </c>
      <c r="Q501" s="36" t="n">
        <v>5.83</v>
      </c>
      <c r="R501" s="36" t="n">
        <v>77.98999999999999</v>
      </c>
      <c r="S501" s="36" t="n">
        <v>0</v>
      </c>
      <c r="T501" s="37" t="n">
        <v>0.8224852071005917</v>
      </c>
      <c r="U501" s="37" t="n">
        <v>0.7254901960784313</v>
      </c>
      <c r="V501" s="37" t="n">
        <v>0.864406779661017</v>
      </c>
      <c r="W501" s="37" t="n">
        <v>0.8108108108108109</v>
      </c>
    </row>
    <row r="502">
      <c r="A502" s="53" t="n">
        <v>45823</v>
      </c>
      <c r="B502" t="inlineStr">
        <is>
          <t>R06_Jawa Timur</t>
        </is>
      </c>
      <c r="C502" t="inlineStr">
        <is>
          <t>NOP KEDIRI</t>
        </is>
      </c>
      <c r="D502" s="36" t="n">
        <v>2.13</v>
      </c>
      <c r="E502" s="36" t="n">
        <v>0</v>
      </c>
      <c r="F502" s="36" t="n">
        <v>2.2</v>
      </c>
      <c r="G502" s="36" t="n">
        <v>2.76</v>
      </c>
      <c r="H502" s="37" t="n">
        <v>0.8366013071895425</v>
      </c>
      <c r="I502" s="37" t="n">
        <v>1</v>
      </c>
      <c r="J502" s="37" t="n">
        <v>0.8299319727891157</v>
      </c>
      <c r="K502" s="37" t="n">
        <v>0.8333333333333334</v>
      </c>
      <c r="L502" s="37" t="n">
        <v>0.8333333333333334</v>
      </c>
      <c r="M502" s="37" t="n">
        <v>0.9934640522875817</v>
      </c>
      <c r="N502" s="37" t="n">
        <v>0.6666666666666666</v>
      </c>
      <c r="O502" s="36" t="n">
        <v>0</v>
      </c>
      <c r="P502" s="36" t="n">
        <v>2.1</v>
      </c>
      <c r="Q502" s="36" t="n">
        <v>3.84</v>
      </c>
      <c r="R502" s="36" t="n">
        <v>20.65</v>
      </c>
      <c r="S502" s="36" t="n">
        <v>0</v>
      </c>
      <c r="T502" s="37" t="n">
        <v>0.9581395348837209</v>
      </c>
      <c r="U502" s="37" t="n">
        <v>0.9259259259259259</v>
      </c>
      <c r="V502" s="37" t="n">
        <v>0.968944099378882</v>
      </c>
      <c r="W502" s="37" t="n">
        <v>0.9399999999999999</v>
      </c>
    </row>
    <row r="503">
      <c r="A503" s="53" t="n">
        <v>45823</v>
      </c>
      <c r="B503" t="inlineStr">
        <is>
          <t>R06_Jawa Timur</t>
        </is>
      </c>
      <c r="C503" t="inlineStr">
        <is>
          <t>NOP LAMONGAN</t>
        </is>
      </c>
      <c r="D503" s="36" t="n">
        <v>2.99</v>
      </c>
      <c r="E503" s="36" t="n">
        <v>0</v>
      </c>
      <c r="F503" s="36" t="n">
        <v>3.06</v>
      </c>
      <c r="G503" s="36" t="n">
        <v>2.92</v>
      </c>
      <c r="H503" s="37" t="n">
        <v>0.8974358974358975</v>
      </c>
      <c r="I503" s="37" t="n">
        <v>0.8666666666666667</v>
      </c>
      <c r="J503" s="37" t="n">
        <v>0.9019607843137255</v>
      </c>
      <c r="K503" s="37" t="n">
        <v>1</v>
      </c>
      <c r="L503" s="37" t="n">
        <v>1</v>
      </c>
      <c r="M503" s="37" t="n">
        <v>1</v>
      </c>
      <c r="N503" s="37" t="n">
        <v>0.7435897435897436</v>
      </c>
      <c r="O503" s="36" t="n">
        <v>0</v>
      </c>
      <c r="P503" s="36" t="n">
        <v>3.01</v>
      </c>
      <c r="Q503" s="36" t="n">
        <v>10.94</v>
      </c>
      <c r="R503" s="36" t="n">
        <v>47.48</v>
      </c>
      <c r="S503" s="36" t="n">
        <v>0</v>
      </c>
      <c r="T503" s="37" t="n">
        <v>0.732824427480916</v>
      </c>
      <c r="U503" s="37" t="n">
        <v>0.6212121212121212</v>
      </c>
      <c r="V503" s="37" t="n">
        <v>0.8461538461538461</v>
      </c>
      <c r="W503" s="37" t="n">
        <v>0.8292682926829268</v>
      </c>
    </row>
    <row r="504">
      <c r="A504" s="53" t="n">
        <v>45823</v>
      </c>
      <c r="B504" t="inlineStr">
        <is>
          <t>R06_Jawa Timur</t>
        </is>
      </c>
      <c r="C504" t="inlineStr">
        <is>
          <t>NOP MADIUN</t>
        </is>
      </c>
      <c r="D504" s="36" t="n">
        <v>0.89</v>
      </c>
      <c r="E504" s="36" t="n">
        <v>0</v>
      </c>
      <c r="F504" s="36" t="n">
        <v>2.79</v>
      </c>
      <c r="G504" s="36" t="n">
        <v>3.1</v>
      </c>
      <c r="H504" s="37" t="n">
        <v>0.5916230366492147</v>
      </c>
      <c r="I504" s="37" t="n">
        <v>1</v>
      </c>
      <c r="J504" s="37" t="n">
        <v>0.5851063829787234</v>
      </c>
      <c r="K504" s="37" t="n">
        <v>1</v>
      </c>
      <c r="L504" s="37" t="n">
        <v>1</v>
      </c>
      <c r="M504" s="37" t="n">
        <v>0.9319371727748691</v>
      </c>
      <c r="N504" s="37" t="n">
        <v>0.3717277486910995</v>
      </c>
      <c r="O504" s="36" t="n">
        <v>0</v>
      </c>
      <c r="P504" s="36" t="n">
        <v>4.47</v>
      </c>
      <c r="Q504" s="36" t="n">
        <v>5.6</v>
      </c>
      <c r="R504" s="36" t="n">
        <v>29.18</v>
      </c>
      <c r="S504" s="36" t="n">
        <v>0</v>
      </c>
      <c r="T504" s="37" t="n">
        <v>0.7658862876254181</v>
      </c>
      <c r="U504" s="37" t="n">
        <v>0.7011494252873564</v>
      </c>
      <c r="V504" s="37" t="n">
        <v>0.7924528301886793</v>
      </c>
      <c r="W504" s="37" t="n">
        <v>0.8032786885245902</v>
      </c>
    </row>
    <row r="505">
      <c r="A505" s="53" t="n">
        <v>45823</v>
      </c>
      <c r="B505" t="inlineStr">
        <is>
          <t>R06_Jawa Timur</t>
        </is>
      </c>
      <c r="C505" t="inlineStr">
        <is>
          <t>NOP MALANG</t>
        </is>
      </c>
      <c r="D505" s="36" t="n">
        <v>0</v>
      </c>
      <c r="E505" s="36" t="n">
        <v>0</v>
      </c>
      <c r="F505" s="36" t="n">
        <v>2.69</v>
      </c>
      <c r="G505" s="36" t="n">
        <v>2.36</v>
      </c>
      <c r="H505" s="37" t="n">
        <v>0.8897058823529411</v>
      </c>
      <c r="I505" s="37" t="n">
        <v>0</v>
      </c>
      <c r="J505" s="37" t="n">
        <v>0.8897058823529411</v>
      </c>
      <c r="K505" s="37" t="n">
        <v>0</v>
      </c>
      <c r="L505" s="37" t="n">
        <v>0</v>
      </c>
      <c r="M505" s="37" t="n">
        <v>1</v>
      </c>
      <c r="N505" s="37" t="n">
        <v>0.9044117647058824</v>
      </c>
      <c r="O505" s="36" t="n">
        <v>0</v>
      </c>
      <c r="P505" s="36" t="n">
        <v>2.52</v>
      </c>
      <c r="Q505" s="36" t="n">
        <v>4.59</v>
      </c>
      <c r="R505" s="36" t="n">
        <v>31.73</v>
      </c>
      <c r="S505" s="36" t="n">
        <v>0</v>
      </c>
      <c r="T505" s="37" t="n">
        <v>0.8556701030927835</v>
      </c>
      <c r="U505" s="37" t="n">
        <v>0.7605633802816901</v>
      </c>
      <c r="V505" s="37" t="n">
        <v>0.9105691056910569</v>
      </c>
      <c r="W505" s="37" t="n">
        <v>0.8148148148148148</v>
      </c>
    </row>
    <row r="506">
      <c r="A506" s="53" t="n">
        <v>45823</v>
      </c>
      <c r="B506" t="inlineStr">
        <is>
          <t>R06_Jawa Timur</t>
        </is>
      </c>
      <c r="C506" t="inlineStr">
        <is>
          <t>NOP SIDOARJO</t>
        </is>
      </c>
      <c r="D506" s="36" t="n">
        <v>1.69</v>
      </c>
      <c r="E506" s="36" t="n">
        <v>0</v>
      </c>
      <c r="F506" s="36" t="n">
        <v>3.79</v>
      </c>
      <c r="G506" s="36" t="n">
        <v>5.72</v>
      </c>
      <c r="H506" s="37" t="n">
        <v>0.6796875</v>
      </c>
      <c r="I506" s="37" t="n">
        <v>0.6666666666666666</v>
      </c>
      <c r="J506" s="37" t="n">
        <v>0.68</v>
      </c>
      <c r="K506" s="37" t="n">
        <v>0.5</v>
      </c>
      <c r="L506" s="37" t="n">
        <v>0.5</v>
      </c>
      <c r="M506" s="37" t="n">
        <v>0.9609375</v>
      </c>
      <c r="N506" s="37" t="n">
        <v>0.5</v>
      </c>
      <c r="O506" s="36" t="n">
        <v>0.01</v>
      </c>
      <c r="P506" s="36" t="n">
        <v>2.54</v>
      </c>
      <c r="Q506" s="36" t="n">
        <v>9.539999999999999</v>
      </c>
      <c r="R506" s="36" t="n">
        <v>41.06</v>
      </c>
      <c r="S506" s="36" t="n">
        <v>0</v>
      </c>
      <c r="T506" s="37" t="n">
        <v>0.8350515463917526</v>
      </c>
      <c r="U506" s="37" t="n">
        <v>0.6666666666666666</v>
      </c>
      <c r="V506" s="37" t="n">
        <v>0.8774193548387097</v>
      </c>
      <c r="W506" s="37" t="n">
        <v>0.7692307692307693</v>
      </c>
    </row>
    <row r="507">
      <c r="A507" s="53" t="n">
        <v>45823</v>
      </c>
      <c r="B507" t="inlineStr">
        <is>
          <t>R06_Jawa Timur</t>
        </is>
      </c>
      <c r="C507" t="inlineStr">
        <is>
          <t>NOP SURABAYA</t>
        </is>
      </c>
      <c r="D507" s="36" t="n">
        <v>2.34</v>
      </c>
      <c r="E507" s="36" t="n">
        <v>1.58</v>
      </c>
      <c r="F507" s="36" t="n">
        <v>3.29</v>
      </c>
      <c r="G507" s="36" t="n">
        <v>3.71</v>
      </c>
      <c r="H507" s="37" t="n">
        <v>0.5408163265306123</v>
      </c>
      <c r="I507" s="37" t="n">
        <v>0.5882352941176471</v>
      </c>
      <c r="J507" s="37" t="n">
        <v>0.5308641975308642</v>
      </c>
      <c r="K507" s="37" t="n">
        <v>0.85</v>
      </c>
      <c r="L507" s="37" t="n">
        <v>0.85</v>
      </c>
      <c r="M507" s="37" t="n">
        <v>0.8367346938775511</v>
      </c>
      <c r="N507" s="37" t="n">
        <v>0.3928571428571428</v>
      </c>
      <c r="O507" s="36" t="n">
        <v>12.2</v>
      </c>
      <c r="P507" s="36" t="n">
        <v>4.61</v>
      </c>
      <c r="Q507" s="36" t="n">
        <v>7.6</v>
      </c>
      <c r="R507" s="36" t="n">
        <v>24.46</v>
      </c>
      <c r="S507" s="36" t="n">
        <v>0</v>
      </c>
      <c r="T507" s="37" t="n">
        <v>0.6056338028169014</v>
      </c>
      <c r="U507" s="37" t="n">
        <v>0.3977272727272727</v>
      </c>
      <c r="V507" s="37" t="n">
        <v>0.6597633136094675</v>
      </c>
      <c r="W507" s="37" t="n">
        <v>0.7142857142857143</v>
      </c>
    </row>
    <row r="508">
      <c r="A508" s="53" t="n">
        <v>45823</v>
      </c>
      <c r="B508" t="inlineStr">
        <is>
          <t>R07_Bali Nusra</t>
        </is>
      </c>
      <c r="C508" t="inlineStr">
        <is>
          <t>NOP DENPASAR</t>
        </is>
      </c>
      <c r="D508" s="36" t="n">
        <v>4.66</v>
      </c>
      <c r="E508" s="36" t="n">
        <v>7.47</v>
      </c>
      <c r="F508" s="36" t="n">
        <v>2.63</v>
      </c>
      <c r="G508" s="36" t="n">
        <v>2.45</v>
      </c>
      <c r="H508" s="37" t="n">
        <v>0.91875</v>
      </c>
      <c r="I508" s="37" t="n">
        <v>0.9090909090909091</v>
      </c>
      <c r="J508" s="37" t="n">
        <v>0.9202898550724637</v>
      </c>
      <c r="K508" s="37" t="n">
        <v>1</v>
      </c>
      <c r="L508" s="37" t="n">
        <v>1</v>
      </c>
      <c r="M508" s="37" t="n">
        <v>0.99375</v>
      </c>
      <c r="N508" s="37" t="n">
        <v>0.9375</v>
      </c>
      <c r="O508" s="36" t="n">
        <v>0.01</v>
      </c>
      <c r="P508" s="36" t="n">
        <v>10.31</v>
      </c>
      <c r="Q508" s="36" t="n">
        <v>8.35</v>
      </c>
      <c r="R508" s="36" t="n">
        <v>23.66</v>
      </c>
      <c r="S508" s="36" t="n">
        <v>0</v>
      </c>
      <c r="T508" s="37" t="n">
        <v>0.8393939393939394</v>
      </c>
      <c r="U508" s="37" t="n">
        <v>0.8688524590163934</v>
      </c>
      <c r="V508" s="37" t="n">
        <v>0.8221153846153846</v>
      </c>
      <c r="W508" s="37" t="n">
        <v>0.660377358490566</v>
      </c>
    </row>
    <row r="509">
      <c r="A509" s="53" t="n">
        <v>45823</v>
      </c>
      <c r="B509" t="inlineStr">
        <is>
          <t>R07_Bali Nusra</t>
        </is>
      </c>
      <c r="C509" t="inlineStr">
        <is>
          <t>NOP FLORES</t>
        </is>
      </c>
      <c r="D509" s="36" t="n">
        <v>3.78</v>
      </c>
      <c r="E509" s="36" t="n">
        <v>6.4</v>
      </c>
      <c r="F509" s="36" t="n">
        <v>8.07</v>
      </c>
      <c r="G509" s="36" t="n">
        <v>10.75</v>
      </c>
      <c r="H509" s="37" t="n">
        <v>0.3742469879518072</v>
      </c>
      <c r="I509" s="37" t="n">
        <v>0.61328125</v>
      </c>
      <c r="J509" s="37" t="n">
        <v>0.3171641791044776</v>
      </c>
      <c r="K509" s="37" t="n">
        <v>0.7197452229299363</v>
      </c>
      <c r="L509" s="37" t="n">
        <v>0.7197452229299363</v>
      </c>
      <c r="M509" s="37" t="n">
        <v>0.9676204819277109</v>
      </c>
      <c r="N509" s="37" t="n">
        <v>0.2469879518072289</v>
      </c>
      <c r="O509" s="36" t="n">
        <v>0.25</v>
      </c>
      <c r="P509" s="36" t="n">
        <v>18.27</v>
      </c>
      <c r="Q509" s="36" t="n">
        <v>11.37</v>
      </c>
      <c r="R509" s="36" t="n">
        <v>44.47</v>
      </c>
      <c r="S509" s="36" t="n">
        <v>0</v>
      </c>
      <c r="T509" s="37" t="n">
        <v>0.5340438129070456</v>
      </c>
      <c r="U509" s="37" t="n">
        <v>0.5658333333333333</v>
      </c>
      <c r="V509" s="37" t="n">
        <v>0.4560327198364008</v>
      </c>
      <c r="W509" s="37" t="n">
        <v>0.8571428571428571</v>
      </c>
    </row>
    <row r="510">
      <c r="A510" s="53" t="n">
        <v>45823</v>
      </c>
      <c r="B510" t="inlineStr">
        <is>
          <t>R07_Bali Nusra</t>
        </is>
      </c>
      <c r="C510" t="inlineStr">
        <is>
          <t>NOP KUPANG</t>
        </is>
      </c>
      <c r="D510" s="36" t="n">
        <v>26.53</v>
      </c>
      <c r="E510" s="36" t="n">
        <v>6.45</v>
      </c>
      <c r="F510" s="36" t="n">
        <v>7.28</v>
      </c>
      <c r="G510" s="36" t="n">
        <v>7.69</v>
      </c>
      <c r="H510" s="37" t="n">
        <v>0.536036036036036</v>
      </c>
      <c r="I510" s="37" t="n">
        <v>0.7391304347826086</v>
      </c>
      <c r="J510" s="37" t="n">
        <v>0.4829545454545455</v>
      </c>
      <c r="K510" s="37" t="n">
        <v>0.803921568627451</v>
      </c>
      <c r="L510" s="37" t="n">
        <v>0.803921568627451</v>
      </c>
      <c r="M510" s="37" t="n">
        <v>0.9684684684684685</v>
      </c>
      <c r="N510" s="37" t="n">
        <v>0.3228228228228228</v>
      </c>
      <c r="O510" s="36" t="n">
        <v>17.94</v>
      </c>
      <c r="P510" s="36" t="n">
        <v>11.72</v>
      </c>
      <c r="Q510" s="36" t="n">
        <v>19.47</v>
      </c>
      <c r="R510" s="36" t="n">
        <v>17.09</v>
      </c>
      <c r="S510" s="36" t="n">
        <v>0</v>
      </c>
      <c r="T510" s="37" t="n">
        <v>0.5302734375</v>
      </c>
      <c r="U510" s="37" t="n">
        <v>0.6071428571428571</v>
      </c>
      <c r="V510" s="37" t="n">
        <v>0.4557692307692308</v>
      </c>
      <c r="W510" s="37" t="n">
        <v>0.7254901960784313</v>
      </c>
    </row>
    <row r="511">
      <c r="A511" s="53" t="n">
        <v>45823</v>
      </c>
      <c r="B511" t="inlineStr">
        <is>
          <t>R07_Bali Nusra</t>
        </is>
      </c>
      <c r="C511" t="inlineStr">
        <is>
          <t>NOP MATARAM</t>
        </is>
      </c>
      <c r="D511" s="36" t="n">
        <v>0.91</v>
      </c>
      <c r="E511" s="36" t="n">
        <v>3.5</v>
      </c>
      <c r="F511" s="36" t="n">
        <v>3.6</v>
      </c>
      <c r="G511" s="36" t="n">
        <v>5.29</v>
      </c>
      <c r="H511" s="37" t="n">
        <v>0.6330749354005168</v>
      </c>
      <c r="I511" s="37" t="n">
        <v>0.6</v>
      </c>
      <c r="J511" s="37" t="n">
        <v>0.6363636363636364</v>
      </c>
      <c r="K511" s="37" t="n">
        <v>0.7142857142857143</v>
      </c>
      <c r="L511" s="37" t="n">
        <v>0.7142857142857143</v>
      </c>
      <c r="M511" s="37" t="n">
        <v>0.9896640826873385</v>
      </c>
      <c r="N511" s="37" t="n">
        <v>0.4186046511627907</v>
      </c>
      <c r="O511" s="36" t="n">
        <v>9.24</v>
      </c>
      <c r="P511" s="36" t="n">
        <v>18.46</v>
      </c>
      <c r="Q511" s="36" t="n">
        <v>18.95</v>
      </c>
      <c r="R511" s="36" t="n">
        <v>35.62</v>
      </c>
      <c r="S511" s="36" t="n">
        <v>0</v>
      </c>
      <c r="T511" s="37" t="n">
        <v>0.4477379095163806</v>
      </c>
      <c r="U511" s="37" t="n">
        <v>0.4323144104803494</v>
      </c>
      <c r="V511" s="37" t="n">
        <v>0.4863387978142076</v>
      </c>
      <c r="W511" s="37" t="n">
        <v>0.5101010101010101</v>
      </c>
    </row>
    <row r="512">
      <c r="A512" s="53" t="n">
        <v>45824</v>
      </c>
      <c r="B512" t="inlineStr">
        <is>
          <t>R01_Sumbagut</t>
        </is>
      </c>
      <c r="C512" t="inlineStr">
        <is>
          <t>NOP ACEH</t>
        </is>
      </c>
      <c r="D512" s="36" t="n">
        <v>3.05</v>
      </c>
      <c r="E512" s="36" t="n">
        <v>3.57</v>
      </c>
      <c r="F512" s="36" t="n">
        <v>4.68</v>
      </c>
      <c r="G512" s="36" t="n">
        <v>7.43</v>
      </c>
      <c r="H512" s="37" t="n">
        <v>0.8623024830699775</v>
      </c>
      <c r="I512" s="37" t="n">
        <v>0.8175355450236966</v>
      </c>
      <c r="J512" s="37" t="n">
        <v>0.8728388176240937</v>
      </c>
      <c r="K512" s="37" t="n">
        <v>0.4927536231884058</v>
      </c>
      <c r="L512" s="37" t="n">
        <v>0.4878787878787879</v>
      </c>
      <c r="M512" s="37" t="n">
        <v>0.9841986455981941</v>
      </c>
      <c r="N512" s="37" t="n">
        <v>0.3480812641083522</v>
      </c>
      <c r="O512" s="36" t="n">
        <v>1.25</v>
      </c>
      <c r="P512" s="36" t="n">
        <v>4.18</v>
      </c>
      <c r="Q512" s="36" t="n">
        <v>50.25</v>
      </c>
      <c r="R512" s="36" t="n">
        <v>81.25</v>
      </c>
      <c r="S512" s="36" t="n">
        <v>0</v>
      </c>
      <c r="T512" s="37" t="n">
        <v>0.8440771349862259</v>
      </c>
      <c r="U512" s="37" t="n">
        <v>0.6697626418988648</v>
      </c>
      <c r="V512" s="37" t="n">
        <v>0.9084615384615384</v>
      </c>
      <c r="W512" s="37" t="n">
        <v>0.2557781201848999</v>
      </c>
    </row>
    <row r="513">
      <c r="A513" s="53" t="n">
        <v>45824</v>
      </c>
      <c r="B513" t="inlineStr">
        <is>
          <t>R01_Sumbagut</t>
        </is>
      </c>
      <c r="C513" t="inlineStr">
        <is>
          <t>NOP BINJAI</t>
        </is>
      </c>
      <c r="D513" s="36" t="n">
        <v>3.67</v>
      </c>
      <c r="E513" s="36" t="n">
        <v>4.72</v>
      </c>
      <c r="F513" s="36" t="n">
        <v>5.46</v>
      </c>
      <c r="G513" s="36" t="n">
        <v>5.86</v>
      </c>
      <c r="H513" s="37" t="n">
        <v>0.6</v>
      </c>
      <c r="I513" s="37" t="n">
        <v>0.6367521367521367</v>
      </c>
      <c r="J513" s="37" t="n">
        <v>0.5898345153664303</v>
      </c>
      <c r="K513" s="37" t="n">
        <v>0.4093959731543624</v>
      </c>
      <c r="L513" s="37" t="n">
        <v>0.4093959731543624</v>
      </c>
      <c r="M513" s="37" t="n">
        <v>0.9879629629629629</v>
      </c>
      <c r="N513" s="37" t="n">
        <v>0.2638888888888889</v>
      </c>
      <c r="O513" s="36" t="n">
        <v>0.15</v>
      </c>
      <c r="P513" s="36" t="n">
        <v>3.41</v>
      </c>
      <c r="Q513" s="36" t="n">
        <v>35.28</v>
      </c>
      <c r="R513" s="36" t="n">
        <v>65.92</v>
      </c>
      <c r="S513" s="36" t="n">
        <v>0</v>
      </c>
      <c r="T513" s="37" t="n">
        <v>0.6907682375726275</v>
      </c>
      <c r="U513" s="37" t="n">
        <v>0.5570093457943925</v>
      </c>
      <c r="V513" s="37" t="n">
        <v>0.7738478027867095</v>
      </c>
      <c r="W513" s="37" t="n">
        <v>0.4429530201342282</v>
      </c>
    </row>
    <row r="514">
      <c r="A514" s="53" t="n">
        <v>45824</v>
      </c>
      <c r="B514" t="inlineStr">
        <is>
          <t>R01_Sumbagut</t>
        </is>
      </c>
      <c r="C514" t="inlineStr">
        <is>
          <t>NOP MEDAN</t>
        </is>
      </c>
      <c r="D514" s="36" t="n">
        <v>2.68</v>
      </c>
      <c r="E514" s="36" t="n">
        <v>5.24</v>
      </c>
      <c r="F514" s="36" t="n">
        <v>4.16</v>
      </c>
      <c r="G514" s="36" t="n">
        <v>7.95</v>
      </c>
      <c r="H514" s="37" t="n">
        <v>0.4114173228346457</v>
      </c>
      <c r="I514" s="37" t="n">
        <v>0.5096153846153846</v>
      </c>
      <c r="J514" s="37" t="n">
        <v>0.3678977272727273</v>
      </c>
      <c r="K514" s="37" t="n">
        <v>0.7232704402515723</v>
      </c>
      <c r="L514" s="37" t="n">
        <v>0.7307692307692307</v>
      </c>
      <c r="M514" s="37" t="n">
        <v>0.9783464566929134</v>
      </c>
      <c r="N514" s="37" t="n">
        <v>0.234251968503937</v>
      </c>
      <c r="O514" s="36" t="n">
        <v>0</v>
      </c>
      <c r="P514" s="36" t="n">
        <v>4.94</v>
      </c>
      <c r="Q514" s="36" t="n">
        <v>16.3</v>
      </c>
      <c r="R514" s="36" t="n">
        <v>4.74</v>
      </c>
      <c r="S514" s="36" t="n">
        <v>0</v>
      </c>
      <c r="T514" s="37" t="n">
        <v>0.3196300102774923</v>
      </c>
      <c r="U514" s="37" t="n">
        <v>0.1684210526315789</v>
      </c>
      <c r="V514" s="37" t="n">
        <v>0.4054054054054054</v>
      </c>
      <c r="W514" s="37" t="n">
        <v>0.8333333333333334</v>
      </c>
    </row>
    <row r="515">
      <c r="A515" s="53" t="n">
        <v>45824</v>
      </c>
      <c r="B515" t="inlineStr">
        <is>
          <t>R01_Sumbagut</t>
        </is>
      </c>
      <c r="C515" t="inlineStr">
        <is>
          <t>NOP PADANG SIDEMPUAN</t>
        </is>
      </c>
      <c r="D515" s="36" t="n">
        <v>3.85</v>
      </c>
      <c r="E515" s="36" t="n">
        <v>5.83</v>
      </c>
      <c r="F515" s="36" t="n">
        <v>6.08</v>
      </c>
      <c r="G515" s="36" t="n">
        <v>7.3</v>
      </c>
      <c r="H515" s="37" t="n">
        <v>0.4423076923076923</v>
      </c>
      <c r="I515" s="37" t="n">
        <v>0.7041420118343196</v>
      </c>
      <c r="J515" s="37" t="n">
        <v>0.4079254079254079</v>
      </c>
      <c r="K515" s="37" t="n">
        <v>0.4957983193277311</v>
      </c>
      <c r="L515" s="37" t="n">
        <v>0.5042735042735043</v>
      </c>
      <c r="M515" s="37" t="n">
        <v>0.9800824175824175</v>
      </c>
      <c r="N515" s="37" t="n">
        <v>0.1662087912087912</v>
      </c>
      <c r="O515" s="36" t="n">
        <v>0.16</v>
      </c>
      <c r="P515" s="36" t="n">
        <v>3.07</v>
      </c>
      <c r="Q515" s="36" t="n">
        <v>8.58</v>
      </c>
      <c r="R515" s="36" t="n">
        <v>35.06</v>
      </c>
      <c r="S515" s="36" t="n">
        <v>0</v>
      </c>
      <c r="T515" s="37" t="n">
        <v>0.6372670807453417</v>
      </c>
      <c r="U515" s="37" t="n">
        <v>0.6610761705101328</v>
      </c>
      <c r="V515" s="37" t="n">
        <v>0.6171428571428571</v>
      </c>
      <c r="W515" s="37" t="n">
        <v>0.5338266384778013</v>
      </c>
    </row>
    <row r="516">
      <c r="A516" s="53" t="n">
        <v>45824</v>
      </c>
      <c r="B516" t="inlineStr">
        <is>
          <t>R01_Sumbagut</t>
        </is>
      </c>
      <c r="C516" t="inlineStr">
        <is>
          <t>NOP PEMATANG SIANTAR</t>
        </is>
      </c>
      <c r="D516" s="36" t="n">
        <v>8.26</v>
      </c>
      <c r="E516" s="36" t="n">
        <v>5.55</v>
      </c>
      <c r="F516" s="36" t="n">
        <v>5</v>
      </c>
      <c r="G516" s="36" t="n">
        <v>7.18</v>
      </c>
      <c r="H516" s="37" t="n">
        <v>0.4980713596914175</v>
      </c>
      <c r="I516" s="37" t="n">
        <v>0.7422907488986784</v>
      </c>
      <c r="J516" s="37" t="n">
        <v>0.4296296296296296</v>
      </c>
      <c r="K516" s="37" t="n">
        <v>0.4065281899109792</v>
      </c>
      <c r="L516" s="37" t="n">
        <v>0.4085365853658536</v>
      </c>
      <c r="M516" s="37" t="n">
        <v>0.95274831243973</v>
      </c>
      <c r="N516" s="37" t="n">
        <v>0.2492767598842816</v>
      </c>
      <c r="O516" s="36" t="n">
        <v>2.35</v>
      </c>
      <c r="P516" s="36" t="n">
        <v>4.43</v>
      </c>
      <c r="Q516" s="36" t="n">
        <v>36.48</v>
      </c>
      <c r="R516" s="36" t="n">
        <v>60.34</v>
      </c>
      <c r="S516" s="36" t="n">
        <v>0</v>
      </c>
      <c r="T516" s="37" t="n">
        <v>0.6394957983193277</v>
      </c>
      <c r="U516" s="37" t="n">
        <v>0.7068230277185501</v>
      </c>
      <c r="V516" s="37" t="n">
        <v>0.6081081081081081</v>
      </c>
      <c r="W516" s="37" t="n">
        <v>0.5339366515837104</v>
      </c>
    </row>
    <row r="517">
      <c r="A517" s="53" t="n">
        <v>45824</v>
      </c>
      <c r="B517" t="inlineStr">
        <is>
          <t>R01_Sumbagut</t>
        </is>
      </c>
      <c r="C517" t="inlineStr">
        <is>
          <t>NOP RANTAU PRAPAT</t>
        </is>
      </c>
      <c r="D517" s="36" t="n">
        <v>4.13</v>
      </c>
      <c r="E517" s="36" t="n">
        <v>3.33</v>
      </c>
      <c r="F517" s="36" t="n">
        <v>4.45</v>
      </c>
      <c r="G517" s="36" t="n">
        <v>5.61</v>
      </c>
      <c r="H517" s="37" t="n">
        <v>0.4080867027928303</v>
      </c>
      <c r="I517" s="37" t="n">
        <v>0.410757946210269</v>
      </c>
      <c r="J517" s="37" t="n">
        <v>0.4075376884422111</v>
      </c>
      <c r="K517" s="37" t="n">
        <v>0.5952380952380952</v>
      </c>
      <c r="L517" s="37" t="n">
        <v>0.5952380952380952</v>
      </c>
      <c r="M517" s="37" t="n">
        <v>0.9566486035848271</v>
      </c>
      <c r="N517" s="37" t="n">
        <v>0.2130054189245519</v>
      </c>
      <c r="O517" s="36" t="n">
        <v>0.09</v>
      </c>
      <c r="P517" s="36" t="n">
        <v>3.9</v>
      </c>
      <c r="Q517" s="36" t="n">
        <v>23.4</v>
      </c>
      <c r="R517" s="36" t="n">
        <v>58.38</v>
      </c>
      <c r="S517" s="36" t="n">
        <v>0</v>
      </c>
      <c r="T517" s="37" t="n">
        <v>0.1953807740324594</v>
      </c>
      <c r="U517" s="37" t="n">
        <v>0.2690582959641256</v>
      </c>
      <c r="V517" s="37" t="n">
        <v>0.1663227404044573</v>
      </c>
      <c r="W517" s="37" t="n">
        <v>0.4944444444444445</v>
      </c>
    </row>
    <row r="518">
      <c r="A518" s="53" t="n">
        <v>45824</v>
      </c>
      <c r="B518" t="inlineStr">
        <is>
          <t>R10_Sumbagteng</t>
        </is>
      </c>
      <c r="C518" t="inlineStr">
        <is>
          <t>NOP BATAM</t>
        </is>
      </c>
      <c r="D518" s="36" t="n">
        <v>3.47</v>
      </c>
      <c r="E518" s="36" t="n">
        <v>8.17</v>
      </c>
      <c r="F518" s="36" t="n">
        <v>6.84</v>
      </c>
      <c r="G518" s="36" t="n">
        <v>8.710000000000001</v>
      </c>
      <c r="H518" s="37" t="n">
        <v>0.5317237507018528</v>
      </c>
      <c r="I518" s="37" t="n">
        <v>0.6645367412140575</v>
      </c>
      <c r="J518" s="37" t="n">
        <v>0.5034059945504087</v>
      </c>
      <c r="K518" s="37" t="n">
        <v>0.7548076923076923</v>
      </c>
      <c r="L518" s="37" t="n">
        <v>0.7572815533980582</v>
      </c>
      <c r="M518" s="37" t="n">
        <v>0.9803481190342505</v>
      </c>
      <c r="N518" s="37" t="n">
        <v>0.364963503649635</v>
      </c>
      <c r="O518" s="36" t="n">
        <v>0.71</v>
      </c>
      <c r="P518" s="36" t="n">
        <v>9.35</v>
      </c>
      <c r="Q518" s="36" t="n">
        <v>49.24</v>
      </c>
      <c r="R518" s="36" t="n">
        <v>94.59999999999999</v>
      </c>
      <c r="S518" s="36" t="n">
        <v>0</v>
      </c>
      <c r="T518" s="37" t="n">
        <v>0.3244557665585919</v>
      </c>
      <c r="U518" s="37" t="n">
        <v>0.4697712418300654</v>
      </c>
      <c r="V518" s="37" t="n">
        <v>0.2631233595800525</v>
      </c>
      <c r="W518" s="37" t="n">
        <v>0.8173913043478261</v>
      </c>
    </row>
    <row r="519">
      <c r="A519" s="53" t="n">
        <v>45824</v>
      </c>
      <c r="B519" t="inlineStr">
        <is>
          <t>R10_Sumbagteng</t>
        </is>
      </c>
      <c r="C519" t="inlineStr">
        <is>
          <t>NOP BUKITTINGGI</t>
        </is>
      </c>
      <c r="D519" s="36" t="n">
        <v>1.8</v>
      </c>
      <c r="E519" s="36" t="n">
        <v>3.53</v>
      </c>
      <c r="F519" s="36" t="n">
        <v>3.27</v>
      </c>
      <c r="G519" s="36" t="n">
        <v>4.37</v>
      </c>
      <c r="H519" s="37" t="n">
        <v>0.6733102253032929</v>
      </c>
      <c r="I519" s="37" t="n">
        <v>0.7768924302788844</v>
      </c>
      <c r="J519" s="37" t="n">
        <v>0.6445182724252492</v>
      </c>
      <c r="K519" s="37" t="n">
        <v>0.6051282051282051</v>
      </c>
      <c r="L519" s="37" t="n">
        <v>0.6243386243386243</v>
      </c>
      <c r="M519" s="37" t="n">
        <v>0.9176776429809359</v>
      </c>
      <c r="N519" s="37" t="n">
        <v>0.3336221837088388</v>
      </c>
      <c r="O519" s="36" t="n">
        <v>0.93</v>
      </c>
      <c r="P519" s="36" t="n">
        <v>4.73</v>
      </c>
      <c r="Q519" s="36" t="n">
        <v>60</v>
      </c>
      <c r="R519" s="36" t="n">
        <v>70.39</v>
      </c>
      <c r="S519" s="36" t="n">
        <v>0</v>
      </c>
      <c r="T519" s="37" t="n">
        <v>0.5705407085146054</v>
      </c>
      <c r="U519" s="37" t="n">
        <v>0.7826086956521739</v>
      </c>
      <c r="V519" s="37" t="n">
        <v>0.530441400304414</v>
      </c>
      <c r="W519" s="37" t="n">
        <v>0.5959595959595959</v>
      </c>
    </row>
    <row r="520">
      <c r="A520" s="53" t="n">
        <v>45824</v>
      </c>
      <c r="B520" t="inlineStr">
        <is>
          <t>R10_Sumbagteng</t>
        </is>
      </c>
      <c r="C520" t="inlineStr">
        <is>
          <t>NOP DUMAI</t>
        </is>
      </c>
      <c r="D520" s="36" t="n">
        <v>2.62</v>
      </c>
      <c r="E520" s="36" t="n">
        <v>5.73</v>
      </c>
      <c r="F520" s="36" t="n">
        <v>4.46</v>
      </c>
      <c r="G520" s="36" t="n">
        <v>6.11</v>
      </c>
      <c r="H520" s="37" t="n">
        <v>0.516306213525575</v>
      </c>
      <c r="I520" s="37" t="n">
        <v>0.6363636363636364</v>
      </c>
      <c r="J520" s="37" t="n">
        <v>0.4731684554363043</v>
      </c>
      <c r="K520" s="37" t="n">
        <v>0.7040816326530612</v>
      </c>
      <c r="L520" s="37" t="n">
        <v>0.7130977130977131</v>
      </c>
      <c r="M520" s="37" t="n">
        <v>0.9399244764847237</v>
      </c>
      <c r="N520" s="37" t="n">
        <v>0.2849296258153107</v>
      </c>
      <c r="O520" s="36" t="n">
        <v>0.14</v>
      </c>
      <c r="P520" s="36" t="n">
        <v>8.52</v>
      </c>
      <c r="Q520" s="36" t="n">
        <v>46.73</v>
      </c>
      <c r="R520" s="36" t="n">
        <v>84.97</v>
      </c>
      <c r="S520" s="36" t="n">
        <v>0</v>
      </c>
      <c r="T520" s="37" t="n">
        <v>0.2453835227272727</v>
      </c>
      <c r="U520" s="37" t="n">
        <v>0.3835227272727273</v>
      </c>
      <c r="V520" s="37" t="n">
        <v>0.1993791786055396</v>
      </c>
      <c r="W520" s="37" t="n">
        <v>0.9092592592592592</v>
      </c>
    </row>
    <row r="521">
      <c r="A521" s="53" t="n">
        <v>45824</v>
      </c>
      <c r="B521" t="inlineStr">
        <is>
          <t>R10_Sumbagteng</t>
        </is>
      </c>
      <c r="C521" t="inlineStr">
        <is>
          <t>NOP PADANG</t>
        </is>
      </c>
      <c r="D521" s="36" t="n">
        <v>1.51</v>
      </c>
      <c r="E521" s="36" t="n">
        <v>4.02</v>
      </c>
      <c r="F521" s="36" t="n">
        <v>4.18</v>
      </c>
      <c r="G521" s="36" t="n">
        <v>4.44</v>
      </c>
      <c r="H521" s="37" t="n">
        <v>0.6443298969072165</v>
      </c>
      <c r="I521" s="37" t="n">
        <v>0.6714285714285714</v>
      </c>
      <c r="J521" s="37" t="n">
        <v>0.6422222222222222</v>
      </c>
      <c r="K521" s="37" t="n">
        <v>0.7021276595744681</v>
      </c>
      <c r="L521" s="37" t="n">
        <v>0.7021276595744681</v>
      </c>
      <c r="M521" s="37" t="n">
        <v>0.9185567010309278</v>
      </c>
      <c r="N521" s="37" t="n">
        <v>0.2835051546391752</v>
      </c>
      <c r="O521" s="36" t="n">
        <v>6.8</v>
      </c>
      <c r="P521" s="36" t="n">
        <v>5.62</v>
      </c>
      <c r="Q521" s="36" t="n">
        <v>50.1</v>
      </c>
      <c r="R521" s="36" t="n">
        <v>92.62</v>
      </c>
      <c r="S521" s="36" t="n">
        <v>0</v>
      </c>
      <c r="T521" s="37" t="n">
        <v>0.7963085036255768</v>
      </c>
      <c r="U521" s="37" t="n">
        <v>0.62882096069869</v>
      </c>
      <c r="V521" s="37" t="n">
        <v>0.867816091954023</v>
      </c>
      <c r="W521" s="37" t="n">
        <v>0.71875</v>
      </c>
    </row>
    <row r="522">
      <c r="A522" s="53" t="n">
        <v>45824</v>
      </c>
      <c r="B522" t="inlineStr">
        <is>
          <t>R10_Sumbagteng</t>
        </is>
      </c>
      <c r="C522" t="inlineStr">
        <is>
          <t>NOP PEKANBARU</t>
        </is>
      </c>
      <c r="D522" s="36" t="n">
        <v>3.45</v>
      </c>
      <c r="E522" s="36" t="n">
        <v>5.49</v>
      </c>
      <c r="F522" s="36" t="n">
        <v>4.08</v>
      </c>
      <c r="G522" s="36" t="n">
        <v>6.68</v>
      </c>
      <c r="H522" s="37" t="n">
        <v>0.4514767932489451</v>
      </c>
      <c r="I522" s="37" t="n">
        <v>0.4336734693877551</v>
      </c>
      <c r="J522" s="37" t="n">
        <v>0.455005055611729</v>
      </c>
      <c r="K522" s="37" t="n">
        <v>0.7058823529411765</v>
      </c>
      <c r="L522" s="37" t="n">
        <v>0.7100591715976331</v>
      </c>
      <c r="M522" s="37" t="n">
        <v>0.9189873417721519</v>
      </c>
      <c r="N522" s="37" t="n">
        <v>0.2371308016877637</v>
      </c>
      <c r="O522" s="36" t="n">
        <v>0.13</v>
      </c>
      <c r="P522" s="36" t="n">
        <v>5.29</v>
      </c>
      <c r="Q522" s="36" t="n">
        <v>38.06</v>
      </c>
      <c r="R522" s="36" t="n">
        <v>59.38</v>
      </c>
      <c r="S522" s="36" t="n">
        <v>0</v>
      </c>
      <c r="T522" s="37" t="n">
        <v>0.2994579945799458</v>
      </c>
      <c r="U522" s="37" t="n">
        <v>0.3720414201183432</v>
      </c>
      <c r="V522" s="37" t="n">
        <v>0.26522462562396</v>
      </c>
      <c r="W522" s="37" t="n">
        <v>0.8230616302186878</v>
      </c>
    </row>
    <row r="523">
      <c r="A523" s="53" t="n">
        <v>45824</v>
      </c>
      <c r="B523" t="inlineStr">
        <is>
          <t>R02_Sumbagsel</t>
        </is>
      </c>
      <c r="C523" t="inlineStr">
        <is>
          <t>NOP BENGKULU</t>
        </is>
      </c>
      <c r="D523" s="36" t="n">
        <v>3.64</v>
      </c>
      <c r="E523" s="36" t="n">
        <v>5.67</v>
      </c>
      <c r="F523" s="36" t="n">
        <v>4.74</v>
      </c>
      <c r="G523" s="36" t="n">
        <v>6.33</v>
      </c>
      <c r="H523" s="37" t="n">
        <v>0.437413073713491</v>
      </c>
      <c r="I523" s="37" t="n">
        <v>0.4948453608247423</v>
      </c>
      <c r="J523" s="37" t="n">
        <v>0.4161904761904762</v>
      </c>
      <c r="K523" s="37" t="n">
        <v>0.6875</v>
      </c>
      <c r="L523" s="37" t="n">
        <v>0.6875</v>
      </c>
      <c r="M523" s="37" t="n">
        <v>0.9749652294853964</v>
      </c>
      <c r="N523" s="37" t="n">
        <v>0.2774687065368567</v>
      </c>
      <c r="O523" s="36" t="n">
        <v>0</v>
      </c>
      <c r="P523" s="36" t="n">
        <v>4.78</v>
      </c>
      <c r="Q523" s="36" t="n">
        <v>7.07</v>
      </c>
      <c r="R523" s="36" t="n">
        <v>5</v>
      </c>
      <c r="S523" s="36" t="n">
        <v>0</v>
      </c>
      <c r="T523" s="37" t="n">
        <v>0.5086145010768126</v>
      </c>
      <c r="U523" s="37" t="n">
        <v>0.4506792675723568</v>
      </c>
      <c r="V523" s="37" t="n">
        <v>0.592274678111588</v>
      </c>
      <c r="W523" s="37" t="n">
        <v>0.8636959370904325</v>
      </c>
    </row>
    <row r="524">
      <c r="A524" s="53" t="n">
        <v>45824</v>
      </c>
      <c r="B524" t="inlineStr">
        <is>
          <t>R02_Sumbagsel</t>
        </is>
      </c>
      <c r="C524" t="inlineStr">
        <is>
          <t>NOP JAMBI</t>
        </is>
      </c>
      <c r="D524" s="36" t="n">
        <v>4.86</v>
      </c>
      <c r="E524" s="36" t="n">
        <v>4.5</v>
      </c>
      <c r="F524" s="36" t="n">
        <v>4.16</v>
      </c>
      <c r="G524" s="36" t="n">
        <v>5.43</v>
      </c>
      <c r="H524" s="37" t="n">
        <v>0.2986404125644632</v>
      </c>
      <c r="I524" s="37" t="n">
        <v>0.321483771251932</v>
      </c>
      <c r="J524" s="37" t="n">
        <v>0.2886944818304172</v>
      </c>
      <c r="K524" s="37" t="n">
        <v>0.5432692307692307</v>
      </c>
      <c r="L524" s="37" t="n">
        <v>0.551219512195122</v>
      </c>
      <c r="M524" s="37" t="n">
        <v>0.9306141584622597</v>
      </c>
      <c r="N524" s="37" t="n">
        <v>0.142991092358181</v>
      </c>
      <c r="O524" s="36" t="n">
        <v>0</v>
      </c>
      <c r="P524" s="36" t="n">
        <v>3.75</v>
      </c>
      <c r="Q524" s="36" t="n">
        <v>9.630000000000001</v>
      </c>
      <c r="R524" s="36" t="n">
        <v>19.01</v>
      </c>
      <c r="S524" s="36" t="n">
        <v>0</v>
      </c>
      <c r="T524" s="37" t="n">
        <v>0.1881566380133715</v>
      </c>
      <c r="U524" s="37" t="n">
        <v>0.1553509781357883</v>
      </c>
      <c r="V524" s="37" t="n">
        <v>0.2437943262411348</v>
      </c>
      <c r="W524" s="37" t="n">
        <v>0.6407407407407407</v>
      </c>
    </row>
    <row r="525">
      <c r="A525" s="53" t="n">
        <v>45824</v>
      </c>
      <c r="B525" t="inlineStr">
        <is>
          <t>R02_Sumbagsel</t>
        </is>
      </c>
      <c r="C525" t="inlineStr">
        <is>
          <t>NOP LAMPUNG</t>
        </is>
      </c>
      <c r="D525" s="36" t="n">
        <v>4.97</v>
      </c>
      <c r="E525" s="36" t="n">
        <v>3.16</v>
      </c>
      <c r="F525" s="36" t="n">
        <v>4.06</v>
      </c>
      <c r="G525" s="36" t="n">
        <v>4.19</v>
      </c>
      <c r="H525" s="37" t="n">
        <v>0.5510204081632653</v>
      </c>
      <c r="I525" s="37" t="n">
        <v>0.7810650887573964</v>
      </c>
      <c r="J525" s="37" t="n">
        <v>0.4878048780487805</v>
      </c>
      <c r="K525" s="37" t="n">
        <v>0.7803030303030303</v>
      </c>
      <c r="L525" s="37" t="n">
        <v>0.7786259541984732</v>
      </c>
      <c r="M525" s="37" t="n">
        <v>0.9846938775510204</v>
      </c>
      <c r="N525" s="37" t="n">
        <v>0.4005102040816326</v>
      </c>
      <c r="O525" s="36" t="n">
        <v>0.04</v>
      </c>
      <c r="P525" s="36" t="n">
        <v>5.35</v>
      </c>
      <c r="Q525" s="36" t="n">
        <v>3.94</v>
      </c>
      <c r="R525" s="36" t="n">
        <v>31.81</v>
      </c>
      <c r="S525" s="36" t="n">
        <v>0</v>
      </c>
      <c r="T525" s="37" t="n">
        <v>0.8981086028065893</v>
      </c>
      <c r="U525" s="37" t="n">
        <v>0.8707124010554089</v>
      </c>
      <c r="V525" s="37" t="n">
        <v>0.9159663865546218</v>
      </c>
      <c r="W525" s="37" t="n">
        <v>0.8636363636363636</v>
      </c>
    </row>
    <row r="526">
      <c r="A526" s="53" t="n">
        <v>45824</v>
      </c>
      <c r="B526" t="inlineStr">
        <is>
          <t>R02_Sumbagsel</t>
        </is>
      </c>
      <c r="C526" t="inlineStr">
        <is>
          <t>NOP MUARA ENIM</t>
        </is>
      </c>
      <c r="D526" s="36" t="n">
        <v>3.96</v>
      </c>
      <c r="E526" s="36" t="n">
        <v>4.3</v>
      </c>
      <c r="F526" s="36" t="n">
        <v>4.48</v>
      </c>
      <c r="G526" s="36" t="n">
        <v>5.76</v>
      </c>
      <c r="H526" s="37" t="n">
        <v>0.3411501954215522</v>
      </c>
      <c r="I526" s="37" t="n">
        <v>0.4432234432234432</v>
      </c>
      <c r="J526" s="37" t="n">
        <v>0.3227931488801054</v>
      </c>
      <c r="K526" s="37" t="n">
        <v>0.6859504132231405</v>
      </c>
      <c r="L526" s="37" t="n">
        <v>0.7033898305084746</v>
      </c>
      <c r="M526" s="37" t="n">
        <v>0.9430485762144054</v>
      </c>
      <c r="N526" s="37" t="n">
        <v>0.1714126186487996</v>
      </c>
      <c r="O526" s="36" t="n">
        <v>0</v>
      </c>
      <c r="P526" s="36" t="n">
        <v>16.27</v>
      </c>
      <c r="Q526" s="36" t="n">
        <v>11.22</v>
      </c>
      <c r="R526" s="36" t="n">
        <v>6</v>
      </c>
      <c r="S526" s="36" t="n">
        <v>0</v>
      </c>
      <c r="T526" s="37" t="n">
        <v>0.5324763193504736</v>
      </c>
      <c r="U526" s="37" t="n">
        <v>0.4589147286821705</v>
      </c>
      <c r="V526" s="37" t="n">
        <v>0.6096256684491979</v>
      </c>
      <c r="W526" s="37" t="n">
        <v>0.7516891891891891</v>
      </c>
    </row>
    <row r="527">
      <c r="A527" s="53" t="n">
        <v>45824</v>
      </c>
      <c r="B527" t="inlineStr">
        <is>
          <t>R02_Sumbagsel</t>
        </is>
      </c>
      <c r="C527" t="inlineStr">
        <is>
          <t>NOP PALEMBANG</t>
        </is>
      </c>
      <c r="D527" s="36" t="n">
        <v>2.25</v>
      </c>
      <c r="E527" s="36" t="n">
        <v>3.71</v>
      </c>
      <c r="F527" s="36" t="n">
        <v>5.18</v>
      </c>
      <c r="G527" s="36" t="n">
        <v>6.39</v>
      </c>
      <c r="H527" s="37" t="n">
        <v>0.2807348092322186</v>
      </c>
      <c r="I527" s="37" t="n">
        <v>0.2380952380952381</v>
      </c>
      <c r="J527" s="37" t="n">
        <v>0.2864778193479423</v>
      </c>
      <c r="K527" s="37" t="n">
        <v>0.5</v>
      </c>
      <c r="L527" s="37" t="n">
        <v>0.5</v>
      </c>
      <c r="M527" s="37" t="n">
        <v>0.9792746113989638</v>
      </c>
      <c r="N527" s="37" t="n">
        <v>0.1106924163918983</v>
      </c>
      <c r="O527" s="36" t="n">
        <v>0</v>
      </c>
      <c r="P527" s="36" t="n">
        <v>3.13</v>
      </c>
      <c r="Q527" s="36" t="n">
        <v>9.44</v>
      </c>
      <c r="R527" s="36" t="n">
        <v>17.96</v>
      </c>
      <c r="S527" s="36" t="n">
        <v>0</v>
      </c>
      <c r="T527" s="37" t="n">
        <v>0.1419469026548673</v>
      </c>
      <c r="U527" s="37" t="n">
        <v>0.1204121056020605</v>
      </c>
      <c r="V527" s="37" t="n">
        <v>0.2074001947419669</v>
      </c>
      <c r="W527" s="37" t="n">
        <v>0.6363636363636364</v>
      </c>
    </row>
    <row r="528">
      <c r="A528" s="53" t="n">
        <v>45824</v>
      </c>
      <c r="B528" t="inlineStr">
        <is>
          <t>R02_Sumbagsel</t>
        </is>
      </c>
      <c r="C528" t="inlineStr">
        <is>
          <t>NOP PANGKAL PINANG</t>
        </is>
      </c>
      <c r="D528" s="36" t="n">
        <v>0</v>
      </c>
      <c r="E528" s="36" t="n">
        <v>3.54</v>
      </c>
      <c r="F528" s="36" t="n">
        <v>5.19</v>
      </c>
      <c r="G528" s="36" t="n">
        <v>4.99</v>
      </c>
      <c r="H528" s="37" t="n">
        <v>0.7594501718213058</v>
      </c>
      <c r="I528" s="37" t="n">
        <v>0.75</v>
      </c>
      <c r="J528" s="37" t="n">
        <v>0.7598566308243727</v>
      </c>
      <c r="K528" s="37" t="n">
        <v>0.5555555555555556</v>
      </c>
      <c r="L528" s="37" t="n">
        <v>0.5555555555555556</v>
      </c>
      <c r="M528" s="37" t="n">
        <v>0.9965635738831615</v>
      </c>
      <c r="N528" s="37" t="n">
        <v>0.4673539518900344</v>
      </c>
      <c r="O528" s="36" t="n">
        <v>0</v>
      </c>
      <c r="P528" s="36" t="n">
        <v>4.01</v>
      </c>
      <c r="Q528" s="36" t="n">
        <v>6.81</v>
      </c>
      <c r="R528" s="36" t="n">
        <v>6.06</v>
      </c>
      <c r="S528" s="36" t="n">
        <v>0</v>
      </c>
      <c r="T528" s="37" t="n">
        <v>0.9266441821247892</v>
      </c>
      <c r="U528" s="37" t="n">
        <v>0.9196675900277008</v>
      </c>
      <c r="V528" s="37" t="n">
        <v>0.9385403329065301</v>
      </c>
      <c r="W528" s="37" t="n">
        <v>0.7981927710843374</v>
      </c>
    </row>
    <row r="529">
      <c r="A529" s="53" t="n">
        <v>45824</v>
      </c>
      <c r="B529" t="inlineStr">
        <is>
          <t>R05_Jawa Tengah DIY</t>
        </is>
      </c>
      <c r="C529" t="inlineStr">
        <is>
          <t>NOP MAGELANG</t>
        </is>
      </c>
      <c r="D529" s="36" t="n">
        <v>3.72</v>
      </c>
      <c r="E529" s="36" t="n">
        <v>0</v>
      </c>
      <c r="F529" s="36" t="n">
        <v>2.5</v>
      </c>
      <c r="G529" s="36" t="n">
        <v>3.07</v>
      </c>
      <c r="H529" s="37" t="n">
        <v>0.8266666666666667</v>
      </c>
      <c r="I529" s="37" t="n">
        <v>0.9090909090909091</v>
      </c>
      <c r="J529" s="37" t="n">
        <v>0.8224299065420561</v>
      </c>
      <c r="K529" s="37" t="n">
        <v>1</v>
      </c>
      <c r="L529" s="37" t="n">
        <v>1</v>
      </c>
      <c r="M529" s="37" t="n">
        <v>1</v>
      </c>
      <c r="N529" s="37" t="n">
        <v>0.6711111111111111</v>
      </c>
      <c r="O529" s="36" t="n">
        <v>0</v>
      </c>
      <c r="P529" s="36" t="n">
        <v>2.21</v>
      </c>
      <c r="Q529" s="36" t="n">
        <v>5.38</v>
      </c>
      <c r="R529" s="36" t="n">
        <v>14.2</v>
      </c>
      <c r="S529" s="36" t="n">
        <v>0</v>
      </c>
      <c r="T529" s="37" t="n">
        <v>0.9459770114942528</v>
      </c>
      <c r="U529" s="37" t="n">
        <v>0.8880597014925373</v>
      </c>
      <c r="V529" s="37" t="n">
        <v>0.9565217391304348</v>
      </c>
      <c r="W529" s="37" t="n">
        <v>0.9327731092436975</v>
      </c>
    </row>
    <row r="530">
      <c r="A530" s="53" t="n">
        <v>45824</v>
      </c>
      <c r="B530" t="inlineStr">
        <is>
          <t>R05_Jawa Tengah DIY</t>
        </is>
      </c>
      <c r="C530" t="inlineStr">
        <is>
          <t>NOP PEKALONGAN</t>
        </is>
      </c>
      <c r="D530" s="36" t="n">
        <v>4.49</v>
      </c>
      <c r="E530" s="36" t="n">
        <v>0</v>
      </c>
      <c r="F530" s="36" t="n">
        <v>3.28</v>
      </c>
      <c r="G530" s="36" t="n">
        <v>5.78</v>
      </c>
      <c r="H530" s="37" t="n">
        <v>0.75</v>
      </c>
      <c r="I530" s="37" t="n">
        <v>0.75</v>
      </c>
      <c r="J530" s="37" t="n">
        <v>0.75</v>
      </c>
      <c r="K530" s="37" t="n">
        <v>1</v>
      </c>
      <c r="L530" s="37" t="n">
        <v>1</v>
      </c>
      <c r="M530" s="37" t="n">
        <v>0.9404761904761905</v>
      </c>
      <c r="N530" s="37" t="n">
        <v>0.5654761904761905</v>
      </c>
      <c r="O530" s="36" t="n">
        <v>0.12</v>
      </c>
      <c r="P530" s="36" t="n">
        <v>3.37</v>
      </c>
      <c r="Q530" s="36" t="n">
        <v>6.94</v>
      </c>
      <c r="R530" s="36" t="n">
        <v>47.54</v>
      </c>
      <c r="S530" s="36" t="n">
        <v>0</v>
      </c>
      <c r="T530" s="37" t="n">
        <v>0.8467583497053045</v>
      </c>
      <c r="U530" s="37" t="n">
        <v>0.7642276422764228</v>
      </c>
      <c r="V530" s="37" t="n">
        <v>0.8753246753246753</v>
      </c>
      <c r="W530" s="37" t="n">
        <v>0.5319148936170213</v>
      </c>
    </row>
    <row r="531">
      <c r="A531" s="53" t="n">
        <v>45824</v>
      </c>
      <c r="B531" t="inlineStr">
        <is>
          <t>R05_Jawa Tengah DIY</t>
        </is>
      </c>
      <c r="C531" t="inlineStr">
        <is>
          <t>NOP PURWOKERTO</t>
        </is>
      </c>
      <c r="D531" s="36" t="n">
        <v>3.65</v>
      </c>
      <c r="E531" s="36" t="n">
        <v>3.14</v>
      </c>
      <c r="F531" s="36" t="n">
        <v>2.9</v>
      </c>
      <c r="G531" s="36" t="n">
        <v>3.69</v>
      </c>
      <c r="H531" s="37" t="n">
        <v>0.6514522821576764</v>
      </c>
      <c r="I531" s="37" t="n">
        <v>0.8</v>
      </c>
      <c r="J531" s="37" t="n">
        <v>0.6342592592592593</v>
      </c>
      <c r="K531" s="37" t="n">
        <v>0.9</v>
      </c>
      <c r="L531" s="37" t="n">
        <v>0.9</v>
      </c>
      <c r="M531" s="37" t="n">
        <v>0.966804979253112</v>
      </c>
      <c r="N531" s="37" t="n">
        <v>0.3734439834024896</v>
      </c>
      <c r="O531" s="36" t="n">
        <v>1.03</v>
      </c>
      <c r="P531" s="36" t="n">
        <v>5.11</v>
      </c>
      <c r="Q531" s="36" t="n">
        <v>6.85</v>
      </c>
      <c r="R531" s="36" t="n">
        <v>26.49</v>
      </c>
      <c r="S531" s="36" t="n">
        <v>0</v>
      </c>
      <c r="T531" s="37" t="n">
        <v>0.8448275862068966</v>
      </c>
      <c r="U531" s="37" t="n">
        <v>0.8362068965517241</v>
      </c>
      <c r="V531" s="37" t="n">
        <v>0.8491379310344828</v>
      </c>
      <c r="W531" s="37" t="n">
        <v>0.6185567010309279</v>
      </c>
    </row>
    <row r="532">
      <c r="A532" s="53" t="n">
        <v>45824</v>
      </c>
      <c r="B532" t="inlineStr">
        <is>
          <t>R05_Jawa Tengah DIY</t>
        </is>
      </c>
      <c r="C532" t="inlineStr">
        <is>
          <t>NOP SEMARANG</t>
        </is>
      </c>
      <c r="D532" s="36" t="n">
        <v>2.59</v>
      </c>
      <c r="E532" s="36" t="n">
        <v>2.57</v>
      </c>
      <c r="F532" s="36" t="n">
        <v>3.35</v>
      </c>
      <c r="G532" s="36" t="n">
        <v>3.62</v>
      </c>
      <c r="H532" s="37" t="n">
        <v>0.7278797996661102</v>
      </c>
      <c r="I532" s="37" t="n">
        <v>0.88</v>
      </c>
      <c r="J532" s="37" t="n">
        <v>0.7140255009107468</v>
      </c>
      <c r="K532" s="37" t="n">
        <v>0.9090909090909091</v>
      </c>
      <c r="L532" s="37" t="n">
        <v>0.9090909090909091</v>
      </c>
      <c r="M532" s="37" t="n">
        <v>0.9315525876460768</v>
      </c>
      <c r="N532" s="37" t="n">
        <v>0.4958263772954925</v>
      </c>
      <c r="O532" s="36" t="n">
        <v>2.51</v>
      </c>
      <c r="P532" s="36" t="n">
        <v>6.6</v>
      </c>
      <c r="Q532" s="36" t="n">
        <v>5.94</v>
      </c>
      <c r="R532" s="36" t="n">
        <v>49.18</v>
      </c>
      <c r="S532" s="36" t="n">
        <v>0</v>
      </c>
      <c r="T532" s="37" t="n">
        <v>0.8896210873146623</v>
      </c>
      <c r="U532" s="37" t="n">
        <v>0.8319327731092437</v>
      </c>
      <c r="V532" s="37" t="n">
        <v>0.926829268292683</v>
      </c>
      <c r="W532" s="37" t="n">
        <v>0.8585858585858586</v>
      </c>
    </row>
    <row r="533">
      <c r="A533" s="53" t="n">
        <v>45824</v>
      </c>
      <c r="B533" t="inlineStr">
        <is>
          <t>R05_Jawa Tengah DIY</t>
        </is>
      </c>
      <c r="C533" t="inlineStr">
        <is>
          <t>NOP SURAKARTA</t>
        </is>
      </c>
      <c r="D533" s="36" t="n">
        <v>1.78</v>
      </c>
      <c r="E533" s="36" t="n">
        <v>2.03</v>
      </c>
      <c r="F533" s="36" t="n">
        <v>3.38</v>
      </c>
      <c r="G533" s="36" t="n">
        <v>3.18</v>
      </c>
      <c r="H533" s="37" t="n">
        <v>0.7734375</v>
      </c>
      <c r="I533" s="37" t="n">
        <v>0.8181818181818182</v>
      </c>
      <c r="J533" s="37" t="n">
        <v>0.7692307692307693</v>
      </c>
      <c r="K533" s="37" t="n">
        <v>0.8611111111111112</v>
      </c>
      <c r="L533" s="37" t="n">
        <v>0.8611111111111112</v>
      </c>
      <c r="M533" s="37" t="n">
        <v>0.962890625</v>
      </c>
      <c r="N533" s="37" t="n">
        <v>0.53515625</v>
      </c>
      <c r="O533" s="36" t="n">
        <v>0.23</v>
      </c>
      <c r="P533" s="36" t="n">
        <v>7.25</v>
      </c>
      <c r="Q533" s="36" t="n">
        <v>5.39</v>
      </c>
      <c r="R533" s="36" t="n">
        <v>49.99</v>
      </c>
      <c r="S533" s="36" t="n">
        <v>0</v>
      </c>
      <c r="T533" s="37" t="n">
        <v>0.8026905829596412</v>
      </c>
      <c r="U533" s="37" t="n">
        <v>0.6625</v>
      </c>
      <c r="V533" s="37" t="n">
        <v>0.8811188811188811</v>
      </c>
      <c r="W533" s="37" t="n">
        <v>0.6289308176100629</v>
      </c>
    </row>
    <row r="534">
      <c r="A534" s="53" t="n">
        <v>45824</v>
      </c>
      <c r="B534" t="inlineStr">
        <is>
          <t>R05_Jawa Tengah DIY</t>
        </is>
      </c>
      <c r="C534" t="inlineStr">
        <is>
          <t>NOP YOGYAKARTA</t>
        </is>
      </c>
      <c r="D534" s="36" t="n">
        <v>3.24</v>
      </c>
      <c r="E534" s="36" t="n">
        <v>0</v>
      </c>
      <c r="F534" s="36" t="n">
        <v>2.8</v>
      </c>
      <c r="G534" s="36" t="n">
        <v>3.28</v>
      </c>
      <c r="H534" s="37" t="n">
        <v>0.7292418772563177</v>
      </c>
      <c r="I534" s="37" t="n">
        <v>0.875</v>
      </c>
      <c r="J534" s="37" t="n">
        <v>0.7203065134099617</v>
      </c>
      <c r="K534" s="37" t="n">
        <v>0.9285714285714286</v>
      </c>
      <c r="L534" s="37" t="n">
        <v>0.9285714285714286</v>
      </c>
      <c r="M534" s="37" t="n">
        <v>0.9891696750902527</v>
      </c>
      <c r="N534" s="37" t="n">
        <v>0.51985559566787</v>
      </c>
      <c r="O534" s="36" t="n">
        <v>0</v>
      </c>
      <c r="P534" s="36" t="n">
        <v>4.93</v>
      </c>
      <c r="Q534" s="36" t="n">
        <v>6.62</v>
      </c>
      <c r="R534" s="36" t="n">
        <v>26.27</v>
      </c>
      <c r="S534" s="36" t="n">
        <v>0</v>
      </c>
      <c r="T534" s="37" t="n">
        <v>0.9336650082918739</v>
      </c>
      <c r="U534" s="37" t="n">
        <v>0.9162011173184358</v>
      </c>
      <c r="V534" s="37" t="n">
        <v>0.9410377358490566</v>
      </c>
      <c r="W534" s="37" t="n">
        <v>0.9512195121951219</v>
      </c>
    </row>
    <row r="535">
      <c r="A535" s="53" t="n">
        <v>45824</v>
      </c>
      <c r="B535" t="inlineStr">
        <is>
          <t>R06_Jawa Timur</t>
        </is>
      </c>
      <c r="C535" t="inlineStr">
        <is>
          <t>NOP JEMBER</t>
        </is>
      </c>
      <c r="D535" s="36" t="n">
        <v>2.02</v>
      </c>
      <c r="E535" s="36" t="n">
        <v>0.4</v>
      </c>
      <c r="F535" s="36" t="n">
        <v>2.79</v>
      </c>
      <c r="G535" s="36" t="n">
        <v>2.44</v>
      </c>
      <c r="H535" s="37" t="n">
        <v>0.7702702702702703</v>
      </c>
      <c r="I535" s="37" t="n">
        <v>0.8571428571428571</v>
      </c>
      <c r="J535" s="37" t="n">
        <v>0.7644230769230769</v>
      </c>
      <c r="K535" s="37" t="n">
        <v>0.8333333333333334</v>
      </c>
      <c r="L535" s="37" t="n">
        <v>0.8333333333333334</v>
      </c>
      <c r="M535" s="37" t="n">
        <v>0.990990990990991</v>
      </c>
      <c r="N535" s="37" t="n">
        <v>0.472972972972973</v>
      </c>
      <c r="O535" s="36" t="n">
        <v>0</v>
      </c>
      <c r="P535" s="36" t="n">
        <v>2.49</v>
      </c>
      <c r="Q535" s="36" t="n">
        <v>5.68</v>
      </c>
      <c r="R535" s="36" t="n">
        <v>77.98999999999999</v>
      </c>
      <c r="S535" s="36" t="n">
        <v>0</v>
      </c>
      <c r="T535" s="37" t="n">
        <v>0.8201634877384196</v>
      </c>
      <c r="U535" s="37" t="n">
        <v>0.7339449541284404</v>
      </c>
      <c r="V535" s="37" t="n">
        <v>0.8565891472868217</v>
      </c>
      <c r="W535" s="37" t="n">
        <v>0.8</v>
      </c>
    </row>
    <row r="536">
      <c r="A536" s="53" t="n">
        <v>45824</v>
      </c>
      <c r="B536" t="inlineStr">
        <is>
          <t>R06_Jawa Timur</t>
        </is>
      </c>
      <c r="C536" t="inlineStr">
        <is>
          <t>NOP KEDIRI</t>
        </is>
      </c>
      <c r="D536" s="36" t="n">
        <v>2.04</v>
      </c>
      <c r="E536" s="36" t="n">
        <v>0</v>
      </c>
      <c r="F536" s="36" t="n">
        <v>2.15</v>
      </c>
      <c r="G536" s="36" t="n">
        <v>2.7</v>
      </c>
      <c r="H536" s="37" t="n">
        <v>0.847953216374269</v>
      </c>
      <c r="I536" s="37" t="n">
        <v>1</v>
      </c>
      <c r="J536" s="37" t="n">
        <v>0.8414634146341463</v>
      </c>
      <c r="K536" s="37" t="n">
        <v>0.8571428571428571</v>
      </c>
      <c r="L536" s="37" t="n">
        <v>0.8571428571428571</v>
      </c>
      <c r="M536" s="37" t="n">
        <v>0.9707602339181286</v>
      </c>
      <c r="N536" s="37" t="n">
        <v>0.6432748538011696</v>
      </c>
      <c r="O536" s="36" t="n">
        <v>0</v>
      </c>
      <c r="P536" s="36" t="n">
        <v>2.1</v>
      </c>
      <c r="Q536" s="36" t="n">
        <v>3.54</v>
      </c>
      <c r="R536" s="36" t="n">
        <v>20.65</v>
      </c>
      <c r="S536" s="36" t="n">
        <v>0</v>
      </c>
      <c r="T536" s="37" t="n">
        <v>0.9608695652173913</v>
      </c>
      <c r="U536" s="37" t="n">
        <v>0.9259259259259259</v>
      </c>
      <c r="V536" s="37" t="n">
        <v>0.9715909090909091</v>
      </c>
      <c r="W536" s="37" t="n">
        <v>0.9399999999999999</v>
      </c>
    </row>
    <row r="537">
      <c r="A537" s="53" t="n">
        <v>45824</v>
      </c>
      <c r="B537" t="inlineStr">
        <is>
          <t>R06_Jawa Timur</t>
        </is>
      </c>
      <c r="C537" t="inlineStr">
        <is>
          <t>NOP LAMONGAN</t>
        </is>
      </c>
      <c r="D537" s="36" t="n">
        <v>2.85</v>
      </c>
      <c r="E537" s="36" t="n">
        <v>0</v>
      </c>
      <c r="F537" s="36" t="n">
        <v>2.93</v>
      </c>
      <c r="G537" s="36" t="n">
        <v>2.88</v>
      </c>
      <c r="H537" s="37" t="n">
        <v>0.9032258064516129</v>
      </c>
      <c r="I537" s="37" t="n">
        <v>0.8823529411764706</v>
      </c>
      <c r="J537" s="37" t="n">
        <v>0.9065420560747663</v>
      </c>
      <c r="K537" s="37" t="n">
        <v>1</v>
      </c>
      <c r="L537" s="37" t="n">
        <v>1</v>
      </c>
      <c r="M537" s="37" t="n">
        <v>0.9838709677419355</v>
      </c>
      <c r="N537" s="37" t="n">
        <v>0.75</v>
      </c>
      <c r="O537" s="36" t="n">
        <v>0</v>
      </c>
      <c r="P537" s="36" t="n">
        <v>2.98</v>
      </c>
      <c r="Q537" s="36" t="n">
        <v>10.44</v>
      </c>
      <c r="R537" s="36" t="n">
        <v>45.5</v>
      </c>
      <c r="S537" s="36" t="n">
        <v>0</v>
      </c>
      <c r="T537" s="37" t="n">
        <v>0.7291666666666666</v>
      </c>
      <c r="U537" s="37" t="n">
        <v>0.6376811594202898</v>
      </c>
      <c r="V537" s="37" t="n">
        <v>0.8133333333333334</v>
      </c>
      <c r="W537" s="37" t="n">
        <v>0.8409090909090909</v>
      </c>
    </row>
    <row r="538">
      <c r="A538" s="53" t="n">
        <v>45824</v>
      </c>
      <c r="B538" t="inlineStr">
        <is>
          <t>R06_Jawa Timur</t>
        </is>
      </c>
      <c r="C538" t="inlineStr">
        <is>
          <t>NOP MADIUN</t>
        </is>
      </c>
      <c r="D538" s="36" t="n">
        <v>0.89</v>
      </c>
      <c r="E538" s="36" t="n">
        <v>0</v>
      </c>
      <c r="F538" s="36" t="n">
        <v>2.79</v>
      </c>
      <c r="G538" s="36" t="n">
        <v>3.04</v>
      </c>
      <c r="H538" s="37" t="n">
        <v>0.5858585858585859</v>
      </c>
      <c r="I538" s="37" t="n">
        <v>1</v>
      </c>
      <c r="J538" s="37" t="n">
        <v>0.5794871794871795</v>
      </c>
      <c r="K538" s="37" t="n">
        <v>1</v>
      </c>
      <c r="L538" s="37" t="n">
        <v>1</v>
      </c>
      <c r="M538" s="37" t="n">
        <v>0.9292929292929293</v>
      </c>
      <c r="N538" s="37" t="n">
        <v>0.3636363636363636</v>
      </c>
      <c r="O538" s="36" t="n">
        <v>0</v>
      </c>
      <c r="P538" s="36" t="n">
        <v>4.37</v>
      </c>
      <c r="Q538" s="36" t="n">
        <v>5.11</v>
      </c>
      <c r="R538" s="36" t="n">
        <v>28.93</v>
      </c>
      <c r="S538" s="36" t="n">
        <v>0</v>
      </c>
      <c r="T538" s="37" t="n">
        <v>0.7632398753894081</v>
      </c>
      <c r="U538" s="37" t="n">
        <v>0.6888888888888889</v>
      </c>
      <c r="V538" s="37" t="n">
        <v>0.7922077922077922</v>
      </c>
      <c r="W538" s="37" t="n">
        <v>0.7903225806451613</v>
      </c>
    </row>
    <row r="539">
      <c r="A539" s="53" t="n">
        <v>45824</v>
      </c>
      <c r="B539" t="inlineStr">
        <is>
          <t>R06_Jawa Timur</t>
        </is>
      </c>
      <c r="C539" t="inlineStr">
        <is>
          <t>NOP MALANG</t>
        </is>
      </c>
      <c r="D539" s="36" t="n">
        <v>0</v>
      </c>
      <c r="E539" s="36" t="n">
        <v>0</v>
      </c>
      <c r="F539" s="36" t="n">
        <v>2.68</v>
      </c>
      <c r="G539" s="36" t="n">
        <v>2.33</v>
      </c>
      <c r="H539" s="37" t="n">
        <v>0.8928571428571429</v>
      </c>
      <c r="I539" s="37" t="n">
        <v>0</v>
      </c>
      <c r="J539" s="37" t="n">
        <v>0.8928571428571429</v>
      </c>
      <c r="K539" s="37" t="n">
        <v>0</v>
      </c>
      <c r="L539" s="37" t="n">
        <v>0</v>
      </c>
      <c r="M539" s="37" t="n">
        <v>0.9928571428571429</v>
      </c>
      <c r="N539" s="37" t="n">
        <v>0.9</v>
      </c>
      <c r="O539" s="36" t="n">
        <v>0</v>
      </c>
      <c r="P539" s="36" t="n">
        <v>2.47</v>
      </c>
      <c r="Q539" s="36" t="n">
        <v>4.55</v>
      </c>
      <c r="R539" s="36" t="n">
        <v>30.86</v>
      </c>
      <c r="S539" s="36" t="n">
        <v>0</v>
      </c>
      <c r="T539" s="37" t="n">
        <v>0.85</v>
      </c>
      <c r="U539" s="37" t="n">
        <v>0.7671232876712328</v>
      </c>
      <c r="V539" s="37" t="n">
        <v>0.8976377952755905</v>
      </c>
      <c r="W539" s="37" t="n">
        <v>0.7857142857142857</v>
      </c>
    </row>
    <row r="540">
      <c r="A540" s="53" t="n">
        <v>45824</v>
      </c>
      <c r="B540" t="inlineStr">
        <is>
          <t>R06_Jawa Timur</t>
        </is>
      </c>
      <c r="C540" t="inlineStr">
        <is>
          <t>NOP SIDOARJO</t>
        </is>
      </c>
      <c r="D540" s="36" t="n">
        <v>2.22</v>
      </c>
      <c r="E540" s="36" t="n">
        <v>0</v>
      </c>
      <c r="F540" s="36" t="n">
        <v>3.64</v>
      </c>
      <c r="G540" s="36" t="n">
        <v>5.27</v>
      </c>
      <c r="H540" s="37" t="n">
        <v>0.6950354609929078</v>
      </c>
      <c r="I540" s="37" t="n">
        <v>0.75</v>
      </c>
      <c r="J540" s="37" t="n">
        <v>0.6934306569343066</v>
      </c>
      <c r="K540" s="37" t="n">
        <v>0.6666666666666666</v>
      </c>
      <c r="L540" s="37" t="n">
        <v>0.6666666666666666</v>
      </c>
      <c r="M540" s="37" t="n">
        <v>0.8865248226950354</v>
      </c>
      <c r="N540" s="37" t="n">
        <v>0.4680851063829787</v>
      </c>
      <c r="O540" s="36" t="n">
        <v>0.01</v>
      </c>
      <c r="P540" s="36" t="n">
        <v>2.52</v>
      </c>
      <c r="Q540" s="36" t="n">
        <v>8.5</v>
      </c>
      <c r="R540" s="36" t="n">
        <v>40.77</v>
      </c>
      <c r="S540" s="36" t="n">
        <v>0</v>
      </c>
      <c r="T540" s="37" t="n">
        <v>0.8421052631578947</v>
      </c>
      <c r="U540" s="37" t="n">
        <v>0.675</v>
      </c>
      <c r="V540" s="37" t="n">
        <v>0.8816568047337278</v>
      </c>
      <c r="W540" s="37" t="n">
        <v>0.7777777777777778</v>
      </c>
    </row>
    <row r="541">
      <c r="A541" s="53" t="n">
        <v>45824</v>
      </c>
      <c r="B541" t="inlineStr">
        <is>
          <t>R06_Jawa Timur</t>
        </is>
      </c>
      <c r="C541" t="inlineStr">
        <is>
          <t>NOP SURABAYA</t>
        </is>
      </c>
      <c r="D541" s="36" t="n">
        <v>2.33</v>
      </c>
      <c r="E541" s="36" t="n">
        <v>2.27</v>
      </c>
      <c r="F541" s="36" t="n">
        <v>3.26</v>
      </c>
      <c r="G541" s="36" t="n">
        <v>4.34</v>
      </c>
      <c r="H541" s="37" t="n">
        <v>0.5384615384615384</v>
      </c>
      <c r="I541" s="37" t="n">
        <v>0.5675675675675675</v>
      </c>
      <c r="J541" s="37" t="n">
        <v>0.5321637426900585</v>
      </c>
      <c r="K541" s="37" t="n">
        <v>0.8571428571428571</v>
      </c>
      <c r="L541" s="37" t="n">
        <v>0.8571428571428571</v>
      </c>
      <c r="M541" s="37" t="n">
        <v>0.8173076923076923</v>
      </c>
      <c r="N541" s="37" t="n">
        <v>0.3894230769230769</v>
      </c>
      <c r="O541" s="36" t="n">
        <v>12.2</v>
      </c>
      <c r="P541" s="36" t="n">
        <v>4.92</v>
      </c>
      <c r="Q541" s="36" t="n">
        <v>7.2</v>
      </c>
      <c r="R541" s="36" t="n">
        <v>24.28</v>
      </c>
      <c r="S541" s="36" t="n">
        <v>0</v>
      </c>
      <c r="T541" s="37" t="n">
        <v>0.6127659574468085</v>
      </c>
      <c r="U541" s="37" t="n">
        <v>0.3932584269662922</v>
      </c>
      <c r="V541" s="37" t="n">
        <v>0.6640419947506562</v>
      </c>
      <c r="W541" s="37" t="n">
        <v>0.7142857142857143</v>
      </c>
    </row>
    <row r="542">
      <c r="A542" s="53" t="n">
        <v>45824</v>
      </c>
      <c r="B542" t="inlineStr">
        <is>
          <t>R07_Bali Nusra</t>
        </is>
      </c>
      <c r="C542" t="inlineStr">
        <is>
          <t>NOP DENPASAR</t>
        </is>
      </c>
      <c r="D542" s="36" t="n">
        <v>4.26</v>
      </c>
      <c r="E542" s="36" t="n">
        <v>7.47</v>
      </c>
      <c r="F542" s="36" t="n">
        <v>2.63</v>
      </c>
      <c r="G542" s="36" t="n">
        <v>2.64</v>
      </c>
      <c r="H542" s="37" t="n">
        <v>0.9005847953216374</v>
      </c>
      <c r="I542" s="37" t="n">
        <v>0.9166666666666666</v>
      </c>
      <c r="J542" s="37" t="n">
        <v>0.8979591836734694</v>
      </c>
      <c r="K542" s="37" t="n">
        <v>1</v>
      </c>
      <c r="L542" s="37" t="n">
        <v>1</v>
      </c>
      <c r="M542" s="37" t="n">
        <v>0.9707602339181286</v>
      </c>
      <c r="N542" s="37" t="n">
        <v>0.9298245614035088</v>
      </c>
      <c r="O542" s="36" t="n">
        <v>0.01</v>
      </c>
      <c r="P542" s="36" t="n">
        <v>10.23</v>
      </c>
      <c r="Q542" s="36" t="n">
        <v>8.220000000000001</v>
      </c>
      <c r="R542" s="36" t="n">
        <v>23.66</v>
      </c>
      <c r="S542" s="36" t="n">
        <v>0</v>
      </c>
      <c r="T542" s="37" t="n">
        <v>0.8439306358381503</v>
      </c>
      <c r="U542" s="37" t="n">
        <v>0.8740157480314961</v>
      </c>
      <c r="V542" s="37" t="n">
        <v>0.8264840182648402</v>
      </c>
      <c r="W542" s="37" t="n">
        <v>0.6486486486486487</v>
      </c>
    </row>
    <row r="543">
      <c r="A543" s="53" t="n">
        <v>45824</v>
      </c>
      <c r="B543" t="inlineStr">
        <is>
          <t>R07_Bali Nusra</t>
        </is>
      </c>
      <c r="C543" t="inlineStr">
        <is>
          <t>NOP FLORES</t>
        </is>
      </c>
      <c r="D543" s="36" t="n">
        <v>3.78</v>
      </c>
      <c r="E543" s="36" t="n">
        <v>6.18</v>
      </c>
      <c r="F543" s="36" t="n">
        <v>7.63</v>
      </c>
      <c r="G543" s="36" t="n">
        <v>10.45</v>
      </c>
      <c r="H543" s="37" t="n">
        <v>0.3698924731182796</v>
      </c>
      <c r="I543" s="37" t="n">
        <v>0.6045627376425855</v>
      </c>
      <c r="J543" s="37" t="n">
        <v>0.3153710247349824</v>
      </c>
      <c r="K543" s="37" t="n">
        <v>0.7169811320754716</v>
      </c>
      <c r="L543" s="37" t="n">
        <v>0.7169811320754716</v>
      </c>
      <c r="M543" s="37" t="n">
        <v>0.96415770609319</v>
      </c>
      <c r="N543" s="37" t="n">
        <v>0.2451612903225806</v>
      </c>
      <c r="O543" s="36" t="n">
        <v>0.25</v>
      </c>
      <c r="P543" s="36" t="n">
        <v>16.98</v>
      </c>
      <c r="Q543" s="36" t="n">
        <v>10.86</v>
      </c>
      <c r="R543" s="36" t="n">
        <v>41.97</v>
      </c>
      <c r="S543" s="36" t="n">
        <v>0</v>
      </c>
      <c r="T543" s="37" t="n">
        <v>0.5321151716500554</v>
      </c>
      <c r="U543" s="37" t="n">
        <v>0.5612403100775194</v>
      </c>
      <c r="V543" s="37" t="n">
        <v>0.4593023255813953</v>
      </c>
      <c r="W543" s="37" t="n">
        <v>0.8632596685082873</v>
      </c>
    </row>
    <row r="544">
      <c r="A544" s="53" t="n">
        <v>45824</v>
      </c>
      <c r="B544" t="inlineStr">
        <is>
          <t>R07_Bali Nusra</t>
        </is>
      </c>
      <c r="C544" t="inlineStr">
        <is>
          <t>NOP KUPANG</t>
        </is>
      </c>
      <c r="D544" s="36" t="n">
        <v>26.49</v>
      </c>
      <c r="E544" s="36" t="n">
        <v>6.27</v>
      </c>
      <c r="F544" s="36" t="n">
        <v>7.11</v>
      </c>
      <c r="G544" s="36" t="n">
        <v>7.59</v>
      </c>
      <c r="H544" s="37" t="n">
        <v>0.5551020408163265</v>
      </c>
      <c r="I544" s="37" t="n">
        <v>0.7628205128205128</v>
      </c>
      <c r="J544" s="37" t="n">
        <v>0.4991364421416235</v>
      </c>
      <c r="K544" s="37" t="n">
        <v>0.8235294117647058</v>
      </c>
      <c r="L544" s="37" t="n">
        <v>0.8189655172413793</v>
      </c>
      <c r="M544" s="37" t="n">
        <v>0.9619047619047619</v>
      </c>
      <c r="N544" s="37" t="n">
        <v>0.3360544217687075</v>
      </c>
      <c r="O544" s="36" t="n">
        <v>11.32</v>
      </c>
      <c r="P544" s="36" t="n">
        <v>9.529999999999999</v>
      </c>
      <c r="Q544" s="36" t="n">
        <v>18.75</v>
      </c>
      <c r="R544" s="36" t="n">
        <v>15.07</v>
      </c>
      <c r="S544" s="36" t="n">
        <v>0</v>
      </c>
      <c r="T544" s="37" t="n">
        <v>0.5329067641681902</v>
      </c>
      <c r="U544" s="37" t="n">
        <v>0.611214953271028</v>
      </c>
      <c r="V544" s="37" t="n">
        <v>0.4579606440071556</v>
      </c>
      <c r="W544" s="37" t="n">
        <v>0.7155963302752294</v>
      </c>
    </row>
    <row r="545">
      <c r="A545" s="53" t="n">
        <v>45824</v>
      </c>
      <c r="B545" t="inlineStr">
        <is>
          <t>R07_Bali Nusra</t>
        </is>
      </c>
      <c r="C545" t="inlineStr">
        <is>
          <t>NOP MATARAM</t>
        </is>
      </c>
      <c r="D545" s="36" t="n">
        <v>0.91</v>
      </c>
      <c r="E545" s="36" t="n">
        <v>3.49</v>
      </c>
      <c r="F545" s="36" t="n">
        <v>3.57</v>
      </c>
      <c r="G545" s="36" t="n">
        <v>8.93</v>
      </c>
      <c r="H545" s="37" t="n">
        <v>0.5743707093821511</v>
      </c>
      <c r="I545" s="37" t="n">
        <v>0.6111111111111112</v>
      </c>
      <c r="J545" s="37" t="n">
        <v>0.571072319201995</v>
      </c>
      <c r="K545" s="37" t="n">
        <v>0.6818181818181818</v>
      </c>
      <c r="L545" s="37" t="n">
        <v>0.6818181818181818</v>
      </c>
      <c r="M545" s="37" t="n">
        <v>0.9450800915331807</v>
      </c>
      <c r="N545" s="37" t="n">
        <v>0.4233409610983982</v>
      </c>
      <c r="O545" s="36" t="n">
        <v>9.24</v>
      </c>
      <c r="P545" s="36" t="n">
        <v>16.41</v>
      </c>
      <c r="Q545" s="36" t="n">
        <v>18.48</v>
      </c>
      <c r="R545" s="36" t="n">
        <v>35.51</v>
      </c>
      <c r="S545" s="36" t="n">
        <v>0</v>
      </c>
      <c r="T545" s="37" t="n">
        <v>0.4411764705882353</v>
      </c>
      <c r="U545" s="37" t="n">
        <v>0.4235537190082644</v>
      </c>
      <c r="V545" s="37" t="n">
        <v>0.4846938775510204</v>
      </c>
      <c r="W545" s="37" t="n">
        <v>0.5121951219512195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26B0A"/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0" customWidth="1" min="4" max="4"/>
    <col width="13" customWidth="1" min="5" max="5"/>
    <col width="21" customWidth="1" min="6" max="6"/>
    <col width="12" customWidth="1" min="7" max="7"/>
    <col width="15" customWidth="1" min="8" max="8"/>
    <col width="21" customWidth="1" min="9" max="9"/>
    <col width="11" customWidth="1" min="10" max="10"/>
    <col width="14" customWidth="1" min="11" max="11"/>
    <col width="21" customWidth="1" min="12" max="12"/>
    <col width="15" customWidth="1" min="13" max="13"/>
    <col width="20" customWidth="1" min="14" max="14"/>
    <col width="10" customWidth="1" min="15" max="15"/>
    <col width="13" customWidth="1" min="16" max="16"/>
    <col width="21" customWidth="1" min="17" max="17"/>
    <col width="12" customWidth="1" min="18" max="18"/>
    <col width="15" customWidth="1" min="19" max="19"/>
    <col width="21" customWidth="1" min="20" max="20"/>
    <col width="11" customWidth="1" min="21" max="21"/>
    <col width="14" customWidth="1" min="22" max="22"/>
    <col width="21" customWidth="1" min="23" max="23"/>
    <col width="15" customWidth="1" min="24" max="24"/>
    <col width="21" customWidth="1" min="25" max="25"/>
  </cols>
  <sheetData>
    <row r="1">
      <c r="A1" s="41" t="inlineStr">
        <is>
          <t>Regional</t>
        </is>
      </c>
      <c r="B1" s="41" t="inlineStr">
        <is>
          <t>NOP</t>
        </is>
      </c>
      <c r="C1" s="54" t="inlineStr">
        <is>
          <t>Total Tickets</t>
        </is>
      </c>
      <c r="D1" s="55" t="inlineStr">
        <is>
          <t>IM-Total</t>
        </is>
      </c>
      <c r="E1" s="55" t="inlineStr">
        <is>
          <t>IM-Takeover</t>
        </is>
      </c>
      <c r="F1" s="55" t="inlineStr">
        <is>
          <t>IM-%Takeover</t>
        </is>
      </c>
      <c r="G1" s="55" t="inlineStr">
        <is>
          <t>IM-TO-High</t>
        </is>
      </c>
      <c r="H1" s="55" t="inlineStr">
        <is>
          <t>Tiket-IM-High</t>
        </is>
      </c>
      <c r="I1" s="55" t="inlineStr">
        <is>
          <t>IM-High-%TO</t>
        </is>
      </c>
      <c r="J1" s="55" t="inlineStr">
        <is>
          <t>IM-TO-Low</t>
        </is>
      </c>
      <c r="K1" s="55" t="inlineStr">
        <is>
          <t>Tiket-IM-Low</t>
        </is>
      </c>
      <c r="L1" s="55" t="inlineStr">
        <is>
          <t>IM-Low-%TO</t>
        </is>
      </c>
      <c r="M1" s="55" t="inlineStr">
        <is>
          <t>IM-High-Visit</t>
        </is>
      </c>
      <c r="N1" s="55" t="inlineStr">
        <is>
          <t>IM-High-%Visit</t>
        </is>
      </c>
      <c r="O1" s="56" t="inlineStr">
        <is>
          <t>EM-Total</t>
        </is>
      </c>
      <c r="P1" s="56" t="inlineStr">
        <is>
          <t>EM-Takeover</t>
        </is>
      </c>
      <c r="Q1" s="56" t="inlineStr">
        <is>
          <t>EM-%Takeover</t>
        </is>
      </c>
      <c r="R1" s="56" t="inlineStr">
        <is>
          <t>EM-TO-High</t>
        </is>
      </c>
      <c r="S1" s="56" t="inlineStr">
        <is>
          <t>Tiket-EM-High</t>
        </is>
      </c>
      <c r="T1" s="56" t="inlineStr">
        <is>
          <t>EM-High-%TO</t>
        </is>
      </c>
      <c r="U1" s="56" t="inlineStr">
        <is>
          <t>EM-TO-Low</t>
        </is>
      </c>
      <c r="V1" s="56" t="inlineStr">
        <is>
          <t>Tiket-EM-Low</t>
        </is>
      </c>
      <c r="W1" s="56" t="inlineStr">
        <is>
          <t>EM-Low-%TO</t>
        </is>
      </c>
      <c r="X1" s="56" t="inlineStr">
        <is>
          <t>EM-High-Visit</t>
        </is>
      </c>
      <c r="Y1" s="56" t="inlineStr">
        <is>
          <t>EM-High-%Visit</t>
        </is>
      </c>
    </row>
    <row r="2">
      <c r="A2" t="inlineStr">
        <is>
          <t>R01_Sumbagut</t>
        </is>
      </c>
      <c r="B2" t="inlineStr">
        <is>
          <t>NOP ACEH</t>
        </is>
      </c>
      <c r="C2" s="36" t="n">
        <v>6015</v>
      </c>
      <c r="D2" s="36" t="n">
        <v>2385</v>
      </c>
      <c r="E2" s="36" t="n">
        <v>1889</v>
      </c>
      <c r="F2" s="37" t="n">
        <v>0.7920335429769392</v>
      </c>
      <c r="G2" s="36" t="n">
        <v>353</v>
      </c>
      <c r="H2" s="36" t="n">
        <v>458</v>
      </c>
      <c r="I2" s="37" t="n">
        <v>0.7707423580786026</v>
      </c>
      <c r="J2" s="36" t="n">
        <v>1536</v>
      </c>
      <c r="K2" s="36" t="n">
        <v>1927</v>
      </c>
      <c r="L2" s="37" t="n">
        <v>0.7970939283860924</v>
      </c>
      <c r="M2" s="36" t="n">
        <v>183</v>
      </c>
      <c r="N2" s="37" t="n">
        <v>0.5184135977337111</v>
      </c>
      <c r="O2" s="36" t="n">
        <v>3630</v>
      </c>
      <c r="P2" s="36" t="n">
        <v>3064</v>
      </c>
      <c r="Q2" s="37" t="n">
        <v>0.8440771349862259</v>
      </c>
      <c r="R2" s="36" t="n">
        <v>649</v>
      </c>
      <c r="S2" s="36" t="n">
        <v>969</v>
      </c>
      <c r="T2" s="37" t="n">
        <v>0.6697626418988648</v>
      </c>
      <c r="U2" s="36" t="n">
        <v>2362</v>
      </c>
      <c r="V2" s="36" t="n">
        <v>2600</v>
      </c>
      <c r="W2" s="37" t="n">
        <v>0.9084615384615384</v>
      </c>
      <c r="X2" s="36" t="n">
        <v>166</v>
      </c>
      <c r="Y2" s="37" t="n">
        <v>0.2557781201848999</v>
      </c>
    </row>
    <row r="3">
      <c r="A3" t="inlineStr">
        <is>
          <t>R01_Sumbagut</t>
        </is>
      </c>
      <c r="B3" t="inlineStr">
        <is>
          <t>NOP BINJAI</t>
        </is>
      </c>
      <c r="C3" s="36" t="n">
        <v>2728</v>
      </c>
      <c r="D3" s="36" t="n">
        <v>1179</v>
      </c>
      <c r="E3" s="36" t="n">
        <v>558</v>
      </c>
      <c r="F3" s="37" t="n">
        <v>0.4732824427480916</v>
      </c>
      <c r="G3" s="36" t="n">
        <v>157</v>
      </c>
      <c r="H3" s="36" t="n">
        <v>269</v>
      </c>
      <c r="I3" s="37" t="n">
        <v>0.5836431226765799</v>
      </c>
      <c r="J3" s="36" t="n">
        <v>401</v>
      </c>
      <c r="K3" s="36" t="n">
        <v>910</v>
      </c>
      <c r="L3" s="37" t="n">
        <v>0.4406593406593406</v>
      </c>
      <c r="M3" s="36" t="n">
        <v>69</v>
      </c>
      <c r="N3" s="37" t="n">
        <v>0.4394904458598726</v>
      </c>
      <c r="O3" s="36" t="n">
        <v>1549</v>
      </c>
      <c r="P3" s="36" t="n">
        <v>1070</v>
      </c>
      <c r="Q3" s="37" t="n">
        <v>0.6907682375726275</v>
      </c>
      <c r="R3" s="36" t="n">
        <v>298</v>
      </c>
      <c r="S3" s="36" t="n">
        <v>535</v>
      </c>
      <c r="T3" s="37" t="n">
        <v>0.5570093457943925</v>
      </c>
      <c r="U3" s="36" t="n">
        <v>722</v>
      </c>
      <c r="V3" s="36" t="n">
        <v>933</v>
      </c>
      <c r="W3" s="37" t="n">
        <v>0.7738478027867095</v>
      </c>
      <c r="X3" s="36" t="n">
        <v>132</v>
      </c>
      <c r="Y3" s="37" t="n">
        <v>0.4429530201342282</v>
      </c>
    </row>
    <row r="4">
      <c r="A4" t="inlineStr">
        <is>
          <t>R01_Sumbagut</t>
        </is>
      </c>
      <c r="B4" t="inlineStr">
        <is>
          <t>NOP MEDAN</t>
        </is>
      </c>
      <c r="C4" s="36" t="n">
        <v>2144</v>
      </c>
      <c r="D4" s="36" t="n">
        <v>1171</v>
      </c>
      <c r="E4" s="36" t="n">
        <v>316</v>
      </c>
      <c r="F4" s="37" t="n">
        <v>0.2698548249359522</v>
      </c>
      <c r="G4" s="36" t="n">
        <v>148</v>
      </c>
      <c r="H4" s="36" t="n">
        <v>371</v>
      </c>
      <c r="I4" s="37" t="n">
        <v>0.398921832884097</v>
      </c>
      <c r="J4" s="36" t="n">
        <v>168</v>
      </c>
      <c r="K4" s="36" t="n">
        <v>800</v>
      </c>
      <c r="L4" s="37" t="n">
        <v>0.21</v>
      </c>
      <c r="M4" s="36" t="n">
        <v>127</v>
      </c>
      <c r="N4" s="37" t="n">
        <v>0.8581081081081081</v>
      </c>
      <c r="O4" s="36" t="n">
        <v>973</v>
      </c>
      <c r="P4" s="36" t="n">
        <v>311</v>
      </c>
      <c r="Q4" s="37" t="n">
        <v>0.3196300102774923</v>
      </c>
      <c r="R4" s="36" t="n">
        <v>48</v>
      </c>
      <c r="S4" s="36" t="n">
        <v>285</v>
      </c>
      <c r="T4" s="37" t="n">
        <v>0.1684210526315789</v>
      </c>
      <c r="U4" s="36" t="n">
        <v>255</v>
      </c>
      <c r="V4" s="36" t="n">
        <v>629</v>
      </c>
      <c r="W4" s="37" t="n">
        <v>0.4054054054054054</v>
      </c>
      <c r="X4" s="36" t="n">
        <v>40</v>
      </c>
      <c r="Y4" s="37" t="n">
        <v>0.8333333333333334</v>
      </c>
    </row>
    <row r="5">
      <c r="A5" t="inlineStr">
        <is>
          <t>R01_Sumbagut</t>
        </is>
      </c>
      <c r="B5" t="inlineStr">
        <is>
          <t>NOP PADANG SIDEMPUAN</t>
        </is>
      </c>
      <c r="C5" s="36" t="n">
        <v>4814</v>
      </c>
      <c r="D5" s="36" t="n">
        <v>1594</v>
      </c>
      <c r="E5" s="36" t="n">
        <v>445</v>
      </c>
      <c r="F5" s="37" t="n">
        <v>0.2791718946047679</v>
      </c>
      <c r="G5" s="36" t="n">
        <v>112</v>
      </c>
      <c r="H5" s="36" t="n">
        <v>187</v>
      </c>
      <c r="I5" s="37" t="n">
        <v>0.5989304812834224</v>
      </c>
      <c r="J5" s="36" t="n">
        <v>333</v>
      </c>
      <c r="K5" s="36" t="n">
        <v>1407</v>
      </c>
      <c r="L5" s="37" t="n">
        <v>0.2366737739872068</v>
      </c>
      <c r="M5" s="36" t="n">
        <v>67</v>
      </c>
      <c r="N5" s="37" t="n">
        <v>0.5982142857142857</v>
      </c>
      <c r="O5" s="36" t="n">
        <v>3220</v>
      </c>
      <c r="P5" s="36" t="n">
        <v>2052</v>
      </c>
      <c r="Q5" s="37" t="n">
        <v>0.6372670807453417</v>
      </c>
      <c r="R5" s="36" t="n">
        <v>946</v>
      </c>
      <c r="S5" s="36" t="n">
        <v>1431</v>
      </c>
      <c r="T5" s="37" t="n">
        <v>0.6610761705101328</v>
      </c>
      <c r="U5" s="36" t="n">
        <v>1080</v>
      </c>
      <c r="V5" s="36" t="n">
        <v>1750</v>
      </c>
      <c r="W5" s="37" t="n">
        <v>0.6171428571428571</v>
      </c>
      <c r="X5" s="36" t="n">
        <v>505</v>
      </c>
      <c r="Y5" s="37" t="n">
        <v>0.5338266384778013</v>
      </c>
    </row>
    <row r="6">
      <c r="A6" t="inlineStr">
        <is>
          <t>R01_Sumbagut</t>
        </is>
      </c>
      <c r="B6" t="inlineStr">
        <is>
          <t>NOP PEMATANG SIANTAR</t>
        </is>
      </c>
      <c r="C6" s="36" t="n">
        <v>4619</v>
      </c>
      <c r="D6" s="36" t="n">
        <v>2239</v>
      </c>
      <c r="E6" s="36" t="n">
        <v>757</v>
      </c>
      <c r="F6" s="37" t="n">
        <v>0.3380973648950424</v>
      </c>
      <c r="G6" s="36" t="n">
        <v>319</v>
      </c>
      <c r="H6" s="36" t="n">
        <v>517</v>
      </c>
      <c r="I6" s="37" t="n">
        <v>0.6170212765957447</v>
      </c>
      <c r="J6" s="36" t="n">
        <v>438</v>
      </c>
      <c r="K6" s="36" t="n">
        <v>1722</v>
      </c>
      <c r="L6" s="37" t="n">
        <v>0.2543554006968641</v>
      </c>
      <c r="M6" s="36" t="n">
        <v>154</v>
      </c>
      <c r="N6" s="37" t="n">
        <v>0.4827586206896552</v>
      </c>
      <c r="O6" s="36" t="n">
        <v>2380</v>
      </c>
      <c r="P6" s="36" t="n">
        <v>1522</v>
      </c>
      <c r="Q6" s="37" t="n">
        <v>0.6394957983193277</v>
      </c>
      <c r="R6" s="36" t="n">
        <v>663</v>
      </c>
      <c r="S6" s="36" t="n">
        <v>938</v>
      </c>
      <c r="T6" s="37" t="n">
        <v>0.7068230277185501</v>
      </c>
      <c r="U6" s="36" t="n">
        <v>810</v>
      </c>
      <c r="V6" s="36" t="n">
        <v>1332</v>
      </c>
      <c r="W6" s="37" t="n">
        <v>0.6081081081081081</v>
      </c>
      <c r="X6" s="36" t="n">
        <v>354</v>
      </c>
      <c r="Y6" s="37" t="n">
        <v>0.5339366515837104</v>
      </c>
    </row>
    <row r="7">
      <c r="A7" t="inlineStr">
        <is>
          <t>R01_Sumbagut</t>
        </is>
      </c>
      <c r="B7" t="inlineStr">
        <is>
          <t>NOP RANTAU PRAPAT</t>
        </is>
      </c>
      <c r="C7" s="36" t="n">
        <v>5770</v>
      </c>
      <c r="D7" s="36" t="n">
        <v>2566</v>
      </c>
      <c r="E7" s="36" t="n">
        <v>618</v>
      </c>
      <c r="F7" s="37" t="n">
        <v>0.2408417770849571</v>
      </c>
      <c r="G7" s="36" t="n">
        <v>150</v>
      </c>
      <c r="H7" s="36" t="n">
        <v>481</v>
      </c>
      <c r="I7" s="37" t="n">
        <v>0.3118503118503119</v>
      </c>
      <c r="J7" s="36" t="n">
        <v>468</v>
      </c>
      <c r="K7" s="36" t="n">
        <v>2085</v>
      </c>
      <c r="L7" s="37" t="n">
        <v>0.2244604316546762</v>
      </c>
      <c r="M7" s="36" t="n">
        <v>104</v>
      </c>
      <c r="N7" s="37" t="n">
        <v>0.6933333333333334</v>
      </c>
      <c r="O7" s="36" t="n">
        <v>3204</v>
      </c>
      <c r="P7" s="36" t="n">
        <v>626</v>
      </c>
      <c r="Q7" s="37" t="n">
        <v>0.1953807740324594</v>
      </c>
      <c r="R7" s="36" t="n">
        <v>180</v>
      </c>
      <c r="S7" s="36" t="n">
        <v>669</v>
      </c>
      <c r="T7" s="37" t="n">
        <v>0.2690582959641256</v>
      </c>
      <c r="U7" s="36" t="n">
        <v>403</v>
      </c>
      <c r="V7" s="36" t="n">
        <v>2423</v>
      </c>
      <c r="W7" s="37" t="n">
        <v>0.1663227404044573</v>
      </c>
      <c r="X7" s="36" t="n">
        <v>89</v>
      </c>
      <c r="Y7" s="37" t="n">
        <v>0.4944444444444445</v>
      </c>
    </row>
    <row r="8">
      <c r="A8" t="inlineStr">
        <is>
          <t>R10_Sumbagteng</t>
        </is>
      </c>
      <c r="B8" t="inlineStr">
        <is>
          <t>NOP BATAM</t>
        </is>
      </c>
      <c r="C8" s="36" t="n">
        <v>6248</v>
      </c>
      <c r="D8" s="36" t="n">
        <v>1930</v>
      </c>
      <c r="E8" s="36" t="n">
        <v>859</v>
      </c>
      <c r="F8" s="37" t="n">
        <v>0.4450777202072539</v>
      </c>
      <c r="G8" s="36" t="n">
        <v>216</v>
      </c>
      <c r="H8" s="36" t="n">
        <v>391</v>
      </c>
      <c r="I8" s="37" t="n">
        <v>0.5524296675191815</v>
      </c>
      <c r="J8" s="36" t="n">
        <v>643</v>
      </c>
      <c r="K8" s="36" t="n">
        <v>1539</v>
      </c>
      <c r="L8" s="37" t="n">
        <v>0.4178037686809616</v>
      </c>
      <c r="M8" s="36" t="n">
        <v>184</v>
      </c>
      <c r="N8" s="37" t="n">
        <v>0.8518518518518519</v>
      </c>
      <c r="O8" s="36" t="n">
        <v>4318</v>
      </c>
      <c r="P8" s="36" t="n">
        <v>1401</v>
      </c>
      <c r="Q8" s="37" t="n">
        <v>0.3244557665585919</v>
      </c>
      <c r="R8" s="36" t="n">
        <v>575</v>
      </c>
      <c r="S8" s="36" t="n">
        <v>1224</v>
      </c>
      <c r="T8" s="37" t="n">
        <v>0.4697712418300654</v>
      </c>
      <c r="U8" s="36" t="n">
        <v>802</v>
      </c>
      <c r="V8" s="36" t="n">
        <v>3048</v>
      </c>
      <c r="W8" s="37" t="n">
        <v>0.2631233595800525</v>
      </c>
      <c r="X8" s="36" t="n">
        <v>470</v>
      </c>
      <c r="Y8" s="37" t="n">
        <v>0.8173913043478261</v>
      </c>
    </row>
    <row r="9">
      <c r="A9" t="inlineStr">
        <is>
          <t>R10_Sumbagteng</t>
        </is>
      </c>
      <c r="B9" t="inlineStr">
        <is>
          <t>NOP BUKITTINGGI</t>
        </is>
      </c>
      <c r="C9" s="36" t="n">
        <v>2949</v>
      </c>
      <c r="D9" s="36" t="n">
        <v>1340</v>
      </c>
      <c r="E9" s="36" t="n">
        <v>676</v>
      </c>
      <c r="F9" s="37" t="n">
        <v>0.5044776119402985</v>
      </c>
      <c r="G9" s="36" t="n">
        <v>194</v>
      </c>
      <c r="H9" s="36" t="n">
        <v>312</v>
      </c>
      <c r="I9" s="37" t="n">
        <v>0.6217948717948718</v>
      </c>
      <c r="J9" s="36" t="n">
        <v>482</v>
      </c>
      <c r="K9" s="36" t="n">
        <v>1028</v>
      </c>
      <c r="L9" s="37" t="n">
        <v>0.4688715953307393</v>
      </c>
      <c r="M9" s="36" t="n">
        <v>122</v>
      </c>
      <c r="N9" s="37" t="n">
        <v>0.6288659793814433</v>
      </c>
      <c r="O9" s="36" t="n">
        <v>1609</v>
      </c>
      <c r="P9" s="36" t="n">
        <v>918</v>
      </c>
      <c r="Q9" s="37" t="n">
        <v>0.5705407085146054</v>
      </c>
      <c r="R9" s="36" t="n">
        <v>198</v>
      </c>
      <c r="S9" s="36" t="n">
        <v>253</v>
      </c>
      <c r="T9" s="37" t="n">
        <v>0.7826086956521739</v>
      </c>
      <c r="U9" s="36" t="n">
        <v>697</v>
      </c>
      <c r="V9" s="36" t="n">
        <v>1314</v>
      </c>
      <c r="W9" s="37" t="n">
        <v>0.530441400304414</v>
      </c>
      <c r="X9" s="36" t="n">
        <v>118</v>
      </c>
      <c r="Y9" s="37" t="n">
        <v>0.5959595959595959</v>
      </c>
    </row>
    <row r="10">
      <c r="A10" t="inlineStr">
        <is>
          <t>R10_Sumbagteng</t>
        </is>
      </c>
      <c r="B10" t="inlineStr">
        <is>
          <t>NOP DUMAI</t>
        </is>
      </c>
      <c r="C10" s="36" t="n">
        <v>8807</v>
      </c>
      <c r="D10" s="36" t="n">
        <v>3174</v>
      </c>
      <c r="E10" s="36" t="n">
        <v>1081</v>
      </c>
      <c r="F10" s="37" t="n">
        <v>0.3405797101449275</v>
      </c>
      <c r="G10" s="36" t="n">
        <v>466</v>
      </c>
      <c r="H10" s="36" t="n">
        <v>869</v>
      </c>
      <c r="I10" s="37" t="n">
        <v>0.5362485615650172</v>
      </c>
      <c r="J10" s="36" t="n">
        <v>615</v>
      </c>
      <c r="K10" s="36" t="n">
        <v>2305</v>
      </c>
      <c r="L10" s="37" t="n">
        <v>0.2668112798264642</v>
      </c>
      <c r="M10" s="36" t="n">
        <v>386</v>
      </c>
      <c r="N10" s="37" t="n">
        <v>0.8283261802575107</v>
      </c>
      <c r="O10" s="36" t="n">
        <v>5633</v>
      </c>
      <c r="P10" s="36" t="n">
        <v>1383</v>
      </c>
      <c r="Q10" s="37" t="n">
        <v>0.2455174862417895</v>
      </c>
      <c r="R10" s="36" t="n">
        <v>540</v>
      </c>
      <c r="S10" s="36" t="n">
        <v>1408</v>
      </c>
      <c r="T10" s="37" t="n">
        <v>0.3835227272727273</v>
      </c>
      <c r="U10" s="36" t="n">
        <v>836</v>
      </c>
      <c r="V10" s="36" t="n">
        <v>4189</v>
      </c>
      <c r="W10" s="37" t="n">
        <v>0.1995703031749821</v>
      </c>
      <c r="X10" s="36" t="n">
        <v>491</v>
      </c>
      <c r="Y10" s="37" t="n">
        <v>0.9092592592592592</v>
      </c>
    </row>
    <row r="11">
      <c r="A11" t="inlineStr">
        <is>
          <t>R10_Sumbagteng</t>
        </is>
      </c>
      <c r="B11" t="inlineStr">
        <is>
          <t>NOP PADANG</t>
        </is>
      </c>
      <c r="C11" s="36" t="n">
        <v>2709</v>
      </c>
      <c r="D11" s="36" t="n">
        <v>1192</v>
      </c>
      <c r="E11" s="36" t="n">
        <v>628</v>
      </c>
      <c r="F11" s="37" t="n">
        <v>0.5268456375838926</v>
      </c>
      <c r="G11" s="36" t="n">
        <v>51</v>
      </c>
      <c r="H11" s="36" t="n">
        <v>116</v>
      </c>
      <c r="I11" s="37" t="n">
        <v>0.4396551724137931</v>
      </c>
      <c r="J11" s="36" t="n">
        <v>577</v>
      </c>
      <c r="K11" s="36" t="n">
        <v>1076</v>
      </c>
      <c r="L11" s="37" t="n">
        <v>0.5362453531598513</v>
      </c>
      <c r="M11" s="36" t="n">
        <v>36</v>
      </c>
      <c r="N11" s="37" t="n">
        <v>0.7058823529411765</v>
      </c>
      <c r="O11" s="36" t="n">
        <v>1517</v>
      </c>
      <c r="P11" s="36" t="n">
        <v>1208</v>
      </c>
      <c r="Q11" s="37" t="n">
        <v>0.7963085036255768</v>
      </c>
      <c r="R11" s="36" t="n">
        <v>288</v>
      </c>
      <c r="S11" s="36" t="n">
        <v>458</v>
      </c>
      <c r="T11" s="37" t="n">
        <v>0.62882096069869</v>
      </c>
      <c r="U11" s="36" t="n">
        <v>906</v>
      </c>
      <c r="V11" s="36" t="n">
        <v>1044</v>
      </c>
      <c r="W11" s="37" t="n">
        <v>0.867816091954023</v>
      </c>
      <c r="X11" s="36" t="n">
        <v>207</v>
      </c>
      <c r="Y11" s="37" t="n">
        <v>0.71875</v>
      </c>
    </row>
    <row r="12">
      <c r="A12" t="inlineStr">
        <is>
          <t>R10_Sumbagteng</t>
        </is>
      </c>
      <c r="B12" t="inlineStr">
        <is>
          <t>NOP PEKANBARU</t>
        </is>
      </c>
      <c r="C12" s="36" t="n">
        <v>7017</v>
      </c>
      <c r="D12" s="36" t="n">
        <v>2589</v>
      </c>
      <c r="E12" s="36" t="n">
        <v>728</v>
      </c>
      <c r="F12" s="37" t="n">
        <v>0.2811896485129394</v>
      </c>
      <c r="G12" s="36" t="n">
        <v>176</v>
      </c>
      <c r="H12" s="36" t="n">
        <v>463</v>
      </c>
      <c r="I12" s="37" t="n">
        <v>0.3801295896328294</v>
      </c>
      <c r="J12" s="36" t="n">
        <v>552</v>
      </c>
      <c r="K12" s="36" t="n">
        <v>2126</v>
      </c>
      <c r="L12" s="37" t="n">
        <v>0.2596425211665099</v>
      </c>
      <c r="M12" s="36" t="n">
        <v>135</v>
      </c>
      <c r="N12" s="37" t="n">
        <v>0.7670454545454546</v>
      </c>
      <c r="O12" s="36" t="n">
        <v>4428</v>
      </c>
      <c r="P12" s="36" t="n">
        <v>1326</v>
      </c>
      <c r="Q12" s="37" t="n">
        <v>0.2994579945799458</v>
      </c>
      <c r="R12" s="36" t="n">
        <v>503</v>
      </c>
      <c r="S12" s="36" t="n">
        <v>1352</v>
      </c>
      <c r="T12" s="37" t="n">
        <v>0.3720414201183432</v>
      </c>
      <c r="U12" s="36" t="n">
        <v>797</v>
      </c>
      <c r="V12" s="36" t="n">
        <v>3005</v>
      </c>
      <c r="W12" s="37" t="n">
        <v>0.26522462562396</v>
      </c>
      <c r="X12" s="36" t="n">
        <v>414</v>
      </c>
      <c r="Y12" s="37" t="n">
        <v>0.8230616302186878</v>
      </c>
    </row>
    <row r="13">
      <c r="A13" t="inlineStr">
        <is>
          <t>R02_Sumbagsel</t>
        </is>
      </c>
      <c r="B13" t="inlineStr">
        <is>
          <t>NOP BENGKULU</t>
        </is>
      </c>
      <c r="C13" s="36" t="n">
        <v>4333</v>
      </c>
      <c r="D13" s="36" t="n">
        <v>1543</v>
      </c>
      <c r="E13" s="36" t="n">
        <v>450</v>
      </c>
      <c r="F13" s="37" t="n">
        <v>0.2916396629941672</v>
      </c>
      <c r="G13" s="36" t="n">
        <v>159</v>
      </c>
      <c r="H13" s="36" t="n">
        <v>448</v>
      </c>
      <c r="I13" s="37" t="n">
        <v>0.3549107142857143</v>
      </c>
      <c r="J13" s="36" t="n">
        <v>291</v>
      </c>
      <c r="K13" s="36" t="n">
        <v>1095</v>
      </c>
      <c r="L13" s="37" t="n">
        <v>0.2657534246575343</v>
      </c>
      <c r="M13" s="36" t="n">
        <v>136</v>
      </c>
      <c r="N13" s="37" t="n">
        <v>0.8553459119496856</v>
      </c>
      <c r="O13" s="36" t="n">
        <v>2790</v>
      </c>
      <c r="P13" s="36" t="n">
        <v>1409</v>
      </c>
      <c r="Q13" s="37" t="n">
        <v>0.5050179211469534</v>
      </c>
      <c r="R13" s="36" t="n">
        <v>763</v>
      </c>
      <c r="S13" s="36" t="n">
        <v>1693</v>
      </c>
      <c r="T13" s="37" t="n">
        <v>0.4506792675723568</v>
      </c>
      <c r="U13" s="36" t="n">
        <v>547</v>
      </c>
      <c r="V13" s="36" t="n">
        <v>934</v>
      </c>
      <c r="W13" s="37" t="n">
        <v>0.5856531049250535</v>
      </c>
      <c r="X13" s="36" t="n">
        <v>659</v>
      </c>
      <c r="Y13" s="37" t="n">
        <v>0.8636959370904325</v>
      </c>
    </row>
    <row r="14">
      <c r="A14" t="inlineStr">
        <is>
          <t>R02_Sumbagsel</t>
        </is>
      </c>
      <c r="B14" t="inlineStr">
        <is>
          <t>NOP JAMBI</t>
        </is>
      </c>
      <c r="C14" s="36" t="n">
        <v>5631</v>
      </c>
      <c r="D14" s="36" t="n">
        <v>2490</v>
      </c>
      <c r="E14" s="36" t="n">
        <v>365</v>
      </c>
      <c r="F14" s="37" t="n">
        <v>0.1465863453815261</v>
      </c>
      <c r="G14" s="36" t="n">
        <v>161</v>
      </c>
      <c r="H14" s="36" t="n">
        <v>857</v>
      </c>
      <c r="I14" s="37" t="n">
        <v>0.1878646441073512</v>
      </c>
      <c r="J14" s="36" t="n">
        <v>204</v>
      </c>
      <c r="K14" s="36" t="n">
        <v>1633</v>
      </c>
      <c r="L14" s="37" t="n">
        <v>0.1249234537660747</v>
      </c>
      <c r="M14" s="36" t="n">
        <v>123</v>
      </c>
      <c r="N14" s="37" t="n">
        <v>0.7639751552795031</v>
      </c>
      <c r="O14" s="36" t="n">
        <v>3141</v>
      </c>
      <c r="P14" s="36" t="n">
        <v>583</v>
      </c>
      <c r="Q14" s="37" t="n">
        <v>0.1856096784463547</v>
      </c>
      <c r="R14" s="36" t="n">
        <v>270</v>
      </c>
      <c r="S14" s="36" t="n">
        <v>1738</v>
      </c>
      <c r="T14" s="37" t="n">
        <v>0.1553509781357883</v>
      </c>
      <c r="U14" s="36" t="n">
        <v>267</v>
      </c>
      <c r="V14" s="36" t="n">
        <v>1128</v>
      </c>
      <c r="W14" s="37" t="n">
        <v>0.2367021276595745</v>
      </c>
      <c r="X14" s="36" t="n">
        <v>173</v>
      </c>
      <c r="Y14" s="37" t="n">
        <v>0.6407407407407407</v>
      </c>
    </row>
    <row r="15">
      <c r="A15" t="inlineStr">
        <is>
          <t>R02_Sumbagsel</t>
        </is>
      </c>
      <c r="B15" t="inlineStr">
        <is>
          <t>NOP LAMPUNG</t>
        </is>
      </c>
      <c r="C15" s="36" t="n">
        <v>2715</v>
      </c>
      <c r="D15" s="36" t="n">
        <v>1074</v>
      </c>
      <c r="E15" s="36" t="n">
        <v>401</v>
      </c>
      <c r="F15" s="37" t="n">
        <v>0.3733705772811918</v>
      </c>
      <c r="G15" s="36" t="n">
        <v>162</v>
      </c>
      <c r="H15" s="36" t="n">
        <v>237</v>
      </c>
      <c r="I15" s="37" t="n">
        <v>0.6835443037974683</v>
      </c>
      <c r="J15" s="36" t="n">
        <v>239</v>
      </c>
      <c r="K15" s="36" t="n">
        <v>837</v>
      </c>
      <c r="L15" s="37" t="n">
        <v>0.2855436081242533</v>
      </c>
      <c r="M15" s="36" t="n">
        <v>135</v>
      </c>
      <c r="N15" s="37" t="n">
        <v>0.8333333333333334</v>
      </c>
      <c r="O15" s="36" t="n">
        <v>1641</v>
      </c>
      <c r="P15" s="36" t="n">
        <v>1473</v>
      </c>
      <c r="Q15" s="37" t="n">
        <v>0.8976234003656307</v>
      </c>
      <c r="R15" s="36" t="n">
        <v>330</v>
      </c>
      <c r="S15" s="36" t="n">
        <v>380</v>
      </c>
      <c r="T15" s="37" t="n">
        <v>0.868421052631579</v>
      </c>
      <c r="U15" s="36" t="n">
        <v>1091</v>
      </c>
      <c r="V15" s="36" t="n">
        <v>1191</v>
      </c>
      <c r="W15" s="37" t="n">
        <v>0.9160369437447523</v>
      </c>
      <c r="X15" s="36" t="n">
        <v>285</v>
      </c>
      <c r="Y15" s="37" t="n">
        <v>0.8636363636363636</v>
      </c>
    </row>
    <row r="16">
      <c r="A16" t="inlineStr">
        <is>
          <t>R02_Sumbagsel</t>
        </is>
      </c>
      <c r="B16" t="inlineStr">
        <is>
          <t>NOP MUARA ENIM</t>
        </is>
      </c>
      <c r="C16" s="36" t="n">
        <v>4877</v>
      </c>
      <c r="D16" s="36" t="n">
        <v>1921</v>
      </c>
      <c r="E16" s="36" t="n">
        <v>349</v>
      </c>
      <c r="F16" s="37" t="n">
        <v>0.1816762103071317</v>
      </c>
      <c r="G16" s="36" t="n">
        <v>96</v>
      </c>
      <c r="H16" s="36" t="n">
        <v>300</v>
      </c>
      <c r="I16" s="37" t="n">
        <v>0.32</v>
      </c>
      <c r="J16" s="36" t="n">
        <v>253</v>
      </c>
      <c r="K16" s="36" t="n">
        <v>1621</v>
      </c>
      <c r="L16" s="37" t="n">
        <v>0.1560764959901295</v>
      </c>
      <c r="M16" s="36" t="n">
        <v>88</v>
      </c>
      <c r="N16" s="37" t="n">
        <v>0.9166666666666666</v>
      </c>
      <c r="O16" s="36" t="n">
        <v>2956</v>
      </c>
      <c r="P16" s="36" t="n">
        <v>1567</v>
      </c>
      <c r="Q16" s="37" t="n">
        <v>0.5301082543978349</v>
      </c>
      <c r="R16" s="36" t="n">
        <v>592</v>
      </c>
      <c r="S16" s="36" t="n">
        <v>1290</v>
      </c>
      <c r="T16" s="37" t="n">
        <v>0.4589147286821705</v>
      </c>
      <c r="U16" s="36" t="n">
        <v>905</v>
      </c>
      <c r="V16" s="36" t="n">
        <v>1496</v>
      </c>
      <c r="W16" s="37" t="n">
        <v>0.6049465240641712</v>
      </c>
      <c r="X16" s="36" t="n">
        <v>445</v>
      </c>
      <c r="Y16" s="37" t="n">
        <v>0.7516891891891891</v>
      </c>
    </row>
    <row r="17">
      <c r="A17" t="inlineStr">
        <is>
          <t>R02_Sumbagsel</t>
        </is>
      </c>
      <c r="B17" t="inlineStr">
        <is>
          <t>NOP PALEMBANG</t>
        </is>
      </c>
      <c r="C17" s="36" t="n">
        <v>5434</v>
      </c>
      <c r="D17" s="36" t="n">
        <v>2609</v>
      </c>
      <c r="E17" s="36" t="n">
        <v>340</v>
      </c>
      <c r="F17" s="37" t="n">
        <v>0.1303181295515523</v>
      </c>
      <c r="G17" s="36" t="n">
        <v>48</v>
      </c>
      <c r="H17" s="36" t="n">
        <v>446</v>
      </c>
      <c r="I17" s="37" t="n">
        <v>0.1076233183856502</v>
      </c>
      <c r="J17" s="36" t="n">
        <v>292</v>
      </c>
      <c r="K17" s="36" t="n">
        <v>2163</v>
      </c>
      <c r="L17" s="37" t="n">
        <v>0.1349976883957466</v>
      </c>
      <c r="M17" s="36" t="n">
        <v>31</v>
      </c>
      <c r="N17" s="37" t="n">
        <v>0.6458333333333334</v>
      </c>
      <c r="O17" s="36" t="n">
        <v>2825</v>
      </c>
      <c r="P17" s="36" t="n">
        <v>401</v>
      </c>
      <c r="Q17" s="37" t="n">
        <v>0.1419469026548673</v>
      </c>
      <c r="R17" s="36" t="n">
        <v>187</v>
      </c>
      <c r="S17" s="36" t="n">
        <v>1553</v>
      </c>
      <c r="T17" s="37" t="n">
        <v>0.1204121056020605</v>
      </c>
      <c r="U17" s="36" t="n">
        <v>213</v>
      </c>
      <c r="V17" s="36" t="n">
        <v>1027</v>
      </c>
      <c r="W17" s="37" t="n">
        <v>0.2074001947419669</v>
      </c>
      <c r="X17" s="36" t="n">
        <v>119</v>
      </c>
      <c r="Y17" s="37" t="n">
        <v>0.6363636363636364</v>
      </c>
    </row>
    <row r="18">
      <c r="A18" t="inlineStr">
        <is>
          <t>R02_Sumbagsel</t>
        </is>
      </c>
      <c r="B18" t="inlineStr">
        <is>
          <t>NOP PANGKAL PINANG</t>
        </is>
      </c>
      <c r="C18" s="36" t="n">
        <v>1545</v>
      </c>
      <c r="D18" s="36" t="n">
        <v>359</v>
      </c>
      <c r="E18" s="36" t="n">
        <v>221</v>
      </c>
      <c r="F18" s="37" t="n">
        <v>0.6155988857938719</v>
      </c>
      <c r="G18" s="36" t="n">
        <v>12</v>
      </c>
      <c r="H18" s="36" t="n">
        <v>16</v>
      </c>
      <c r="I18" s="37" t="n">
        <v>0.75</v>
      </c>
      <c r="J18" s="36" t="n">
        <v>209</v>
      </c>
      <c r="K18" s="36" t="n">
        <v>343</v>
      </c>
      <c r="L18" s="37" t="n">
        <v>0.60932944606414</v>
      </c>
      <c r="M18" s="36" t="n">
        <v>7</v>
      </c>
      <c r="N18" s="37" t="n">
        <v>0.5833333333333334</v>
      </c>
      <c r="O18" s="36" t="n">
        <v>1186</v>
      </c>
      <c r="P18" s="36" t="n">
        <v>1099</v>
      </c>
      <c r="Q18" s="37" t="n">
        <v>0.9266441821247892</v>
      </c>
      <c r="R18" s="36" t="n">
        <v>332</v>
      </c>
      <c r="S18" s="36" t="n">
        <v>361</v>
      </c>
      <c r="T18" s="37" t="n">
        <v>0.9196675900277008</v>
      </c>
      <c r="U18" s="36" t="n">
        <v>733</v>
      </c>
      <c r="V18" s="36" t="n">
        <v>781</v>
      </c>
      <c r="W18" s="37" t="n">
        <v>0.9385403329065301</v>
      </c>
      <c r="X18" s="36" t="n">
        <v>265</v>
      </c>
      <c r="Y18" s="37" t="n">
        <v>0.7981927710843374</v>
      </c>
    </row>
    <row r="19">
      <c r="A19" t="inlineStr">
        <is>
          <t>R05_Jawa Tengah DIY</t>
        </is>
      </c>
      <c r="B19" t="inlineStr">
        <is>
          <t>NOP MAGELANG</t>
        </is>
      </c>
      <c r="C19" s="36" t="n">
        <v>1133</v>
      </c>
      <c r="D19" s="36" t="n">
        <v>263</v>
      </c>
      <c r="E19" s="36" t="n">
        <v>175</v>
      </c>
      <c r="F19" s="37" t="n">
        <v>0.6653992395437263</v>
      </c>
      <c r="G19" s="36" t="n">
        <v>11</v>
      </c>
      <c r="H19" s="36" t="n">
        <v>14</v>
      </c>
      <c r="I19" s="37" t="n">
        <v>0.7857142857142857</v>
      </c>
      <c r="J19" s="36" t="n">
        <v>164</v>
      </c>
      <c r="K19" s="36" t="n">
        <v>249</v>
      </c>
      <c r="L19" s="37" t="n">
        <v>0.6586345381526104</v>
      </c>
      <c r="M19" s="36" t="n">
        <v>10</v>
      </c>
      <c r="N19" s="37" t="n">
        <v>0.9090909090909091</v>
      </c>
      <c r="O19" s="36" t="n">
        <v>870</v>
      </c>
      <c r="P19" s="36" t="n">
        <v>823</v>
      </c>
      <c r="Q19" s="37" t="n">
        <v>0.9459770114942528</v>
      </c>
      <c r="R19" s="36" t="n">
        <v>119</v>
      </c>
      <c r="S19" s="36" t="n">
        <v>134</v>
      </c>
      <c r="T19" s="37" t="n">
        <v>0.8880597014925373</v>
      </c>
      <c r="U19" s="36" t="n">
        <v>704</v>
      </c>
      <c r="V19" s="36" t="n">
        <v>736</v>
      </c>
      <c r="W19" s="37" t="n">
        <v>0.9565217391304348</v>
      </c>
      <c r="X19" s="36" t="n">
        <v>111</v>
      </c>
      <c r="Y19" s="37" t="n">
        <v>0.9327731092436975</v>
      </c>
    </row>
    <row r="20">
      <c r="A20" t="inlineStr">
        <is>
          <t>R05_Jawa Tengah DIY</t>
        </is>
      </c>
      <c r="B20" t="inlineStr">
        <is>
          <t>NOP PEKALONGAN</t>
        </is>
      </c>
      <c r="C20" s="36" t="n">
        <v>712</v>
      </c>
      <c r="D20" s="36" t="n">
        <v>203</v>
      </c>
      <c r="E20" s="36" t="n">
        <v>129</v>
      </c>
      <c r="F20" s="37" t="n">
        <v>0.6354679802955665</v>
      </c>
      <c r="G20" s="36" t="n">
        <v>12</v>
      </c>
      <c r="H20" s="36" t="n">
        <v>23</v>
      </c>
      <c r="I20" s="37" t="n">
        <v>0.5217391304347826</v>
      </c>
      <c r="J20" s="36" t="n">
        <v>117</v>
      </c>
      <c r="K20" s="36" t="n">
        <v>180</v>
      </c>
      <c r="L20" s="37" t="n">
        <v>0.65</v>
      </c>
      <c r="M20" s="36" t="n">
        <v>12</v>
      </c>
      <c r="N20" s="37" t="n">
        <v>1</v>
      </c>
      <c r="O20" s="36" t="n">
        <v>509</v>
      </c>
      <c r="P20" s="36" t="n">
        <v>431</v>
      </c>
      <c r="Q20" s="37" t="n">
        <v>0.8467583497053045</v>
      </c>
      <c r="R20" s="36" t="n">
        <v>94</v>
      </c>
      <c r="S20" s="36" t="n">
        <v>123</v>
      </c>
      <c r="T20" s="37" t="n">
        <v>0.7642276422764228</v>
      </c>
      <c r="U20" s="36" t="n">
        <v>337</v>
      </c>
      <c r="V20" s="36" t="n">
        <v>385</v>
      </c>
      <c r="W20" s="37" t="n">
        <v>0.8753246753246753</v>
      </c>
      <c r="X20" s="36" t="n">
        <v>50</v>
      </c>
      <c r="Y20" s="37" t="n">
        <v>0.5319148936170213</v>
      </c>
    </row>
    <row r="21">
      <c r="A21" t="inlineStr">
        <is>
          <t>R05_Jawa Tengah DIY</t>
        </is>
      </c>
      <c r="B21" t="inlineStr">
        <is>
          <t>NOP PURWOKERTO</t>
        </is>
      </c>
      <c r="C21" s="36" t="n">
        <v>704</v>
      </c>
      <c r="D21" s="36" t="n">
        <v>356</v>
      </c>
      <c r="E21" s="36" t="n">
        <v>160</v>
      </c>
      <c r="F21" s="37" t="n">
        <v>0.449438202247191</v>
      </c>
      <c r="G21" s="36" t="n">
        <v>21</v>
      </c>
      <c r="H21" s="36" t="n">
        <v>75</v>
      </c>
      <c r="I21" s="37" t="n">
        <v>0.28</v>
      </c>
      <c r="J21" s="36" t="n">
        <v>139</v>
      </c>
      <c r="K21" s="36" t="n">
        <v>281</v>
      </c>
      <c r="L21" s="37" t="n">
        <v>0.4946619217081851</v>
      </c>
      <c r="M21" s="36" t="n">
        <v>19</v>
      </c>
      <c r="N21" s="37" t="n">
        <v>0.9047619047619048</v>
      </c>
      <c r="O21" s="36" t="n">
        <v>348</v>
      </c>
      <c r="P21" s="36" t="n">
        <v>294</v>
      </c>
      <c r="Q21" s="37" t="n">
        <v>0.8448275862068966</v>
      </c>
      <c r="R21" s="36" t="n">
        <v>97</v>
      </c>
      <c r="S21" s="36" t="n">
        <v>116</v>
      </c>
      <c r="T21" s="37" t="n">
        <v>0.8362068965517241</v>
      </c>
      <c r="U21" s="36" t="n">
        <v>197</v>
      </c>
      <c r="V21" s="36" t="n">
        <v>232</v>
      </c>
      <c r="W21" s="37" t="n">
        <v>0.8491379310344828</v>
      </c>
      <c r="X21" s="36" t="n">
        <v>60</v>
      </c>
      <c r="Y21" s="37" t="n">
        <v>0.6185567010309279</v>
      </c>
    </row>
    <row r="22">
      <c r="A22" t="inlineStr">
        <is>
          <t>R05_Jawa Tengah DIY</t>
        </is>
      </c>
      <c r="B22" t="inlineStr">
        <is>
          <t>NOP SEMARANG</t>
        </is>
      </c>
      <c r="C22" s="36" t="n">
        <v>1293</v>
      </c>
      <c r="D22" s="36" t="n">
        <v>686</v>
      </c>
      <c r="E22" s="36" t="n">
        <v>404</v>
      </c>
      <c r="F22" s="37" t="n">
        <v>0.5889212827988338</v>
      </c>
      <c r="G22" s="36" t="n">
        <v>50</v>
      </c>
      <c r="H22" s="36" t="n">
        <v>62</v>
      </c>
      <c r="I22" s="37" t="n">
        <v>0.8064516129032258</v>
      </c>
      <c r="J22" s="36" t="n">
        <v>354</v>
      </c>
      <c r="K22" s="36" t="n">
        <v>624</v>
      </c>
      <c r="L22" s="37" t="n">
        <v>0.5673076923076923</v>
      </c>
      <c r="M22" s="36" t="n">
        <v>43</v>
      </c>
      <c r="N22" s="37" t="n">
        <v>0.86</v>
      </c>
      <c r="O22" s="36" t="n">
        <v>607</v>
      </c>
      <c r="P22" s="36" t="n">
        <v>540</v>
      </c>
      <c r="Q22" s="37" t="n">
        <v>0.8896210873146623</v>
      </c>
      <c r="R22" s="36" t="n">
        <v>198</v>
      </c>
      <c r="S22" s="36" t="n">
        <v>238</v>
      </c>
      <c r="T22" s="37" t="n">
        <v>0.8319327731092437</v>
      </c>
      <c r="U22" s="36" t="n">
        <v>342</v>
      </c>
      <c r="V22" s="36" t="n">
        <v>369</v>
      </c>
      <c r="W22" s="37" t="n">
        <v>0.926829268292683</v>
      </c>
      <c r="X22" s="36" t="n">
        <v>170</v>
      </c>
      <c r="Y22" s="37" t="n">
        <v>0.8585858585858586</v>
      </c>
    </row>
    <row r="23">
      <c r="A23" t="inlineStr">
        <is>
          <t>R05_Jawa Tengah DIY</t>
        </is>
      </c>
      <c r="B23" t="inlineStr">
        <is>
          <t>NOP SURAKARTA</t>
        </is>
      </c>
      <c r="C23" s="36" t="n">
        <v>1253</v>
      </c>
      <c r="D23" s="36" t="n">
        <v>584</v>
      </c>
      <c r="E23" s="36" t="n">
        <v>387</v>
      </c>
      <c r="F23" s="37" t="n">
        <v>0.6626712328767124</v>
      </c>
      <c r="G23" s="36" t="n">
        <v>40</v>
      </c>
      <c r="H23" s="36" t="n">
        <v>54</v>
      </c>
      <c r="I23" s="37" t="n">
        <v>0.7407407407407407</v>
      </c>
      <c r="J23" s="36" t="n">
        <v>347</v>
      </c>
      <c r="K23" s="36" t="n">
        <v>530</v>
      </c>
      <c r="L23" s="37" t="n">
        <v>0.6547169811320754</v>
      </c>
      <c r="M23" s="36" t="n">
        <v>33</v>
      </c>
      <c r="N23" s="37" t="n">
        <v>0.825</v>
      </c>
      <c r="O23" s="36" t="n">
        <v>669</v>
      </c>
      <c r="P23" s="36" t="n">
        <v>537</v>
      </c>
      <c r="Q23" s="37" t="n">
        <v>0.8026905829596412</v>
      </c>
      <c r="R23" s="36" t="n">
        <v>159</v>
      </c>
      <c r="S23" s="36" t="n">
        <v>240</v>
      </c>
      <c r="T23" s="37" t="n">
        <v>0.6625</v>
      </c>
      <c r="U23" s="36" t="n">
        <v>378</v>
      </c>
      <c r="V23" s="36" t="n">
        <v>429</v>
      </c>
      <c r="W23" s="37" t="n">
        <v>0.8811188811188811</v>
      </c>
      <c r="X23" s="36" t="n">
        <v>100</v>
      </c>
      <c r="Y23" s="37" t="n">
        <v>0.6289308176100629</v>
      </c>
    </row>
    <row r="24">
      <c r="A24" t="inlineStr">
        <is>
          <t>R05_Jawa Tengah DIY</t>
        </is>
      </c>
      <c r="B24" t="inlineStr">
        <is>
          <t>NOP YOGYAKARTA</t>
        </is>
      </c>
      <c r="C24" s="36" t="n">
        <v>892</v>
      </c>
      <c r="D24" s="36" t="n">
        <v>289</v>
      </c>
      <c r="E24" s="36" t="n">
        <v>162</v>
      </c>
      <c r="F24" s="37" t="n">
        <v>0.5605536332179931</v>
      </c>
      <c r="G24" s="36" t="n">
        <v>14</v>
      </c>
      <c r="H24" s="36" t="n">
        <v>18</v>
      </c>
      <c r="I24" s="37" t="n">
        <v>0.7777777777777778</v>
      </c>
      <c r="J24" s="36" t="n">
        <v>148</v>
      </c>
      <c r="K24" s="36" t="n">
        <v>271</v>
      </c>
      <c r="L24" s="37" t="n">
        <v>0.5461254612546126</v>
      </c>
      <c r="M24" s="36" t="n">
        <v>13</v>
      </c>
      <c r="N24" s="37" t="n">
        <v>0.9285714285714286</v>
      </c>
      <c r="O24" s="36" t="n">
        <v>603</v>
      </c>
      <c r="P24" s="36" t="n">
        <v>563</v>
      </c>
      <c r="Q24" s="37" t="n">
        <v>0.9336650082918739</v>
      </c>
      <c r="R24" s="36" t="n">
        <v>164</v>
      </c>
      <c r="S24" s="36" t="n">
        <v>179</v>
      </c>
      <c r="T24" s="37" t="n">
        <v>0.9162011173184358</v>
      </c>
      <c r="U24" s="36" t="n">
        <v>399</v>
      </c>
      <c r="V24" s="36" t="n">
        <v>424</v>
      </c>
      <c r="W24" s="37" t="n">
        <v>0.9410377358490566</v>
      </c>
      <c r="X24" s="36" t="n">
        <v>156</v>
      </c>
      <c r="Y24" s="37" t="n">
        <v>0.9512195121951219</v>
      </c>
    </row>
    <row r="25">
      <c r="A25" t="inlineStr">
        <is>
          <t>R06_Jawa Timur</t>
        </is>
      </c>
      <c r="B25" t="inlineStr">
        <is>
          <t>NOP JEMBER</t>
        </is>
      </c>
      <c r="C25" s="36" t="n">
        <v>685</v>
      </c>
      <c r="D25" s="36" t="n">
        <v>318</v>
      </c>
      <c r="E25" s="36" t="n">
        <v>166</v>
      </c>
      <c r="F25" s="37" t="n">
        <v>0.5220125786163522</v>
      </c>
      <c r="G25" s="36" t="n">
        <v>15</v>
      </c>
      <c r="H25" s="36" t="n">
        <v>20</v>
      </c>
      <c r="I25" s="37" t="n">
        <v>0.75</v>
      </c>
      <c r="J25" s="36" t="n">
        <v>151</v>
      </c>
      <c r="K25" s="36" t="n">
        <v>298</v>
      </c>
      <c r="L25" s="37" t="n">
        <v>0.5067114093959731</v>
      </c>
      <c r="M25" s="36" t="n">
        <v>12</v>
      </c>
      <c r="N25" s="37" t="n">
        <v>0.8</v>
      </c>
      <c r="O25" s="36" t="n">
        <v>367</v>
      </c>
      <c r="P25" s="36" t="n">
        <v>301</v>
      </c>
      <c r="Q25" s="37" t="n">
        <v>0.8201634877384196</v>
      </c>
      <c r="R25" s="36" t="n">
        <v>80</v>
      </c>
      <c r="S25" s="36" t="n">
        <v>109</v>
      </c>
      <c r="T25" s="37" t="n">
        <v>0.7339449541284404</v>
      </c>
      <c r="U25" s="36" t="n">
        <v>221</v>
      </c>
      <c r="V25" s="36" t="n">
        <v>258</v>
      </c>
      <c r="W25" s="37" t="n">
        <v>0.8565891472868217</v>
      </c>
      <c r="X25" s="36" t="n">
        <v>64</v>
      </c>
      <c r="Y25" s="37" t="n">
        <v>0.8</v>
      </c>
    </row>
    <row r="26">
      <c r="A26" t="inlineStr">
        <is>
          <t>R06_Jawa Timur</t>
        </is>
      </c>
      <c r="B26" t="inlineStr">
        <is>
          <t>NOP KEDIRI</t>
        </is>
      </c>
      <c r="C26" s="36" t="n">
        <v>434</v>
      </c>
      <c r="D26" s="36" t="n">
        <v>204</v>
      </c>
      <c r="E26" s="36" t="n">
        <v>149</v>
      </c>
      <c r="F26" s="37" t="n">
        <v>0.7303921568627451</v>
      </c>
      <c r="G26" s="36" t="n">
        <v>8</v>
      </c>
      <c r="H26" s="36" t="n">
        <v>10</v>
      </c>
      <c r="I26" s="37" t="n">
        <v>0.8</v>
      </c>
      <c r="J26" s="36" t="n">
        <v>141</v>
      </c>
      <c r="K26" s="36" t="n">
        <v>194</v>
      </c>
      <c r="L26" s="37" t="n">
        <v>0.7268041237113402</v>
      </c>
      <c r="M26" s="36" t="n">
        <v>7</v>
      </c>
      <c r="N26" s="37" t="n">
        <v>0.875</v>
      </c>
      <c r="O26" s="36" t="n">
        <v>230</v>
      </c>
      <c r="P26" s="36" t="n">
        <v>221</v>
      </c>
      <c r="Q26" s="37" t="n">
        <v>0.9608695652173913</v>
      </c>
      <c r="R26" s="36" t="n">
        <v>50</v>
      </c>
      <c r="S26" s="36" t="n">
        <v>54</v>
      </c>
      <c r="T26" s="37" t="n">
        <v>0.9259259259259259</v>
      </c>
      <c r="U26" s="36" t="n">
        <v>171</v>
      </c>
      <c r="V26" s="36" t="n">
        <v>176</v>
      </c>
      <c r="W26" s="37" t="n">
        <v>0.9715909090909091</v>
      </c>
      <c r="X26" s="36" t="n">
        <v>47</v>
      </c>
      <c r="Y26" s="37" t="n">
        <v>0.9399999999999999</v>
      </c>
    </row>
    <row r="27">
      <c r="A27" t="inlineStr">
        <is>
          <t>R06_Jawa Timur</t>
        </is>
      </c>
      <c r="B27" t="inlineStr">
        <is>
          <t>NOP LAMONGAN</t>
        </is>
      </c>
      <c r="C27" s="36" t="n">
        <v>356</v>
      </c>
      <c r="D27" s="36" t="n">
        <v>212</v>
      </c>
      <c r="E27" s="36" t="n">
        <v>136</v>
      </c>
      <c r="F27" s="37" t="n">
        <v>0.6415094339622641</v>
      </c>
      <c r="G27" s="36" t="n">
        <v>19</v>
      </c>
      <c r="H27" s="36" t="n">
        <v>24</v>
      </c>
      <c r="I27" s="37" t="n">
        <v>0.7916666666666666</v>
      </c>
      <c r="J27" s="36" t="n">
        <v>117</v>
      </c>
      <c r="K27" s="36" t="n">
        <v>188</v>
      </c>
      <c r="L27" s="37" t="n">
        <v>0.6223404255319149</v>
      </c>
      <c r="M27" s="36" t="n">
        <v>19</v>
      </c>
      <c r="N27" s="37" t="n">
        <v>1</v>
      </c>
      <c r="O27" s="36" t="n">
        <v>144</v>
      </c>
      <c r="P27" s="36" t="n">
        <v>105</v>
      </c>
      <c r="Q27" s="37" t="n">
        <v>0.7291666666666666</v>
      </c>
      <c r="R27" s="36" t="n">
        <v>44</v>
      </c>
      <c r="S27" s="36" t="n">
        <v>69</v>
      </c>
      <c r="T27" s="37" t="n">
        <v>0.6376811594202898</v>
      </c>
      <c r="U27" s="36" t="n">
        <v>61</v>
      </c>
      <c r="V27" s="36" t="n">
        <v>75</v>
      </c>
      <c r="W27" s="37" t="n">
        <v>0.8133333333333334</v>
      </c>
      <c r="X27" s="36" t="n">
        <v>37</v>
      </c>
      <c r="Y27" s="37" t="n">
        <v>0.8409090909090909</v>
      </c>
    </row>
    <row r="28">
      <c r="A28" t="inlineStr">
        <is>
          <t>R06_Jawa Timur</t>
        </is>
      </c>
      <c r="B28" t="inlineStr">
        <is>
          <t>NOP MADIUN</t>
        </is>
      </c>
      <c r="C28" s="36" t="n">
        <v>597</v>
      </c>
      <c r="D28" s="36" t="n">
        <v>275</v>
      </c>
      <c r="E28" s="36" t="n">
        <v>105</v>
      </c>
      <c r="F28" s="37" t="n">
        <v>0.3818181818181818</v>
      </c>
      <c r="G28" s="36" t="n">
        <v>3</v>
      </c>
      <c r="H28" s="36" t="n">
        <v>3</v>
      </c>
      <c r="I28" s="37" t="n">
        <v>1</v>
      </c>
      <c r="J28" s="36" t="n">
        <v>102</v>
      </c>
      <c r="K28" s="36" t="n">
        <v>272</v>
      </c>
      <c r="L28" s="37" t="n">
        <v>0.375</v>
      </c>
      <c r="M28" s="36" t="n">
        <v>3</v>
      </c>
      <c r="N28" s="37" t="n">
        <v>1</v>
      </c>
      <c r="O28" s="36" t="n">
        <v>322</v>
      </c>
      <c r="P28" s="36" t="n">
        <v>246</v>
      </c>
      <c r="Q28" s="37" t="n">
        <v>0.7639751552795031</v>
      </c>
      <c r="R28" s="36" t="n">
        <v>62</v>
      </c>
      <c r="S28" s="36" t="n">
        <v>90</v>
      </c>
      <c r="T28" s="37" t="n">
        <v>0.6888888888888889</v>
      </c>
      <c r="U28" s="36" t="n">
        <v>184</v>
      </c>
      <c r="V28" s="36" t="n">
        <v>232</v>
      </c>
      <c r="W28" s="37" t="n">
        <v>0.7931034482758621</v>
      </c>
      <c r="X28" s="36" t="n">
        <v>49</v>
      </c>
      <c r="Y28" s="37" t="n">
        <v>0.7903225806451613</v>
      </c>
    </row>
    <row r="29">
      <c r="A29" t="inlineStr">
        <is>
          <t>R06_Jawa Timur</t>
        </is>
      </c>
      <c r="B29" t="inlineStr">
        <is>
          <t>NOP MALANG</t>
        </is>
      </c>
      <c r="C29" s="36" t="n">
        <v>407</v>
      </c>
      <c r="D29" s="36" t="n">
        <v>207</v>
      </c>
      <c r="E29" s="36" t="n">
        <v>143</v>
      </c>
      <c r="F29" s="37" t="n">
        <v>0.6908212560386473</v>
      </c>
      <c r="G29" s="36" t="n">
        <v>2</v>
      </c>
      <c r="H29" s="36" t="n">
        <v>12</v>
      </c>
      <c r="I29" s="37" t="n">
        <v>0.1666666666666667</v>
      </c>
      <c r="J29" s="36" t="n">
        <v>141</v>
      </c>
      <c r="K29" s="36" t="n">
        <v>195</v>
      </c>
      <c r="L29" s="37" t="n">
        <v>0.7230769230769231</v>
      </c>
      <c r="M29" s="36" t="n">
        <v>2</v>
      </c>
      <c r="N29" s="37" t="n">
        <v>1</v>
      </c>
      <c r="O29" s="36" t="n">
        <v>200</v>
      </c>
      <c r="P29" s="36" t="n">
        <v>170</v>
      </c>
      <c r="Q29" s="37" t="n">
        <v>0.85</v>
      </c>
      <c r="R29" s="36" t="n">
        <v>56</v>
      </c>
      <c r="S29" s="36" t="n">
        <v>73</v>
      </c>
      <c r="T29" s="37" t="n">
        <v>0.7671232876712328</v>
      </c>
      <c r="U29" s="36" t="n">
        <v>114</v>
      </c>
      <c r="V29" s="36" t="n">
        <v>127</v>
      </c>
      <c r="W29" s="37" t="n">
        <v>0.8976377952755905</v>
      </c>
      <c r="X29" s="36" t="n">
        <v>44</v>
      </c>
      <c r="Y29" s="37" t="n">
        <v>0.7857142857142857</v>
      </c>
    </row>
    <row r="30">
      <c r="A30" t="inlineStr">
        <is>
          <t>R06_Jawa Timur</t>
        </is>
      </c>
      <c r="B30" t="inlineStr">
        <is>
          <t>NOP SIDOARJO</t>
        </is>
      </c>
      <c r="C30" s="36" t="n">
        <v>374</v>
      </c>
      <c r="D30" s="36" t="n">
        <v>165</v>
      </c>
      <c r="E30" s="36" t="n">
        <v>96</v>
      </c>
      <c r="F30" s="37" t="n">
        <v>0.5818181818181818</v>
      </c>
      <c r="G30" s="36" t="n">
        <v>3</v>
      </c>
      <c r="H30" s="36" t="n">
        <v>7</v>
      </c>
      <c r="I30" s="37" t="n">
        <v>0.4285714285714285</v>
      </c>
      <c r="J30" s="36" t="n">
        <v>93</v>
      </c>
      <c r="K30" s="36" t="n">
        <v>158</v>
      </c>
      <c r="L30" s="37" t="n">
        <v>0.5886075949367089</v>
      </c>
      <c r="M30" s="36" t="n">
        <v>2</v>
      </c>
      <c r="N30" s="37" t="n">
        <v>0.6666666666666666</v>
      </c>
      <c r="O30" s="36" t="n">
        <v>209</v>
      </c>
      <c r="P30" s="36" t="n">
        <v>176</v>
      </c>
      <c r="Q30" s="37" t="n">
        <v>0.8421052631578947</v>
      </c>
      <c r="R30" s="36" t="n">
        <v>27</v>
      </c>
      <c r="S30" s="36" t="n">
        <v>40</v>
      </c>
      <c r="T30" s="37" t="n">
        <v>0.675</v>
      </c>
      <c r="U30" s="36" t="n">
        <v>149</v>
      </c>
      <c r="V30" s="36" t="n">
        <v>169</v>
      </c>
      <c r="W30" s="37" t="n">
        <v>0.8816568047337278</v>
      </c>
      <c r="X30" s="36" t="n">
        <v>21</v>
      </c>
      <c r="Y30" s="37" t="n">
        <v>0.7777777777777778</v>
      </c>
    </row>
    <row r="31">
      <c r="A31" t="inlineStr">
        <is>
          <t>R06_Jawa Timur</t>
        </is>
      </c>
      <c r="B31" t="inlineStr">
        <is>
          <t>NOP SURABAYA</t>
        </is>
      </c>
      <c r="C31" s="36" t="n">
        <v>763</v>
      </c>
      <c r="D31" s="36" t="n">
        <v>293</v>
      </c>
      <c r="E31" s="36" t="n">
        <v>151</v>
      </c>
      <c r="F31" s="37" t="n">
        <v>0.515358361774744</v>
      </c>
      <c r="G31" s="36" t="n">
        <v>24</v>
      </c>
      <c r="H31" s="36" t="n">
        <v>42</v>
      </c>
      <c r="I31" s="37" t="n">
        <v>0.5714285714285714</v>
      </c>
      <c r="J31" s="36" t="n">
        <v>127</v>
      </c>
      <c r="K31" s="36" t="n">
        <v>251</v>
      </c>
      <c r="L31" s="37" t="n">
        <v>0.5059760956175299</v>
      </c>
      <c r="M31" s="36" t="n">
        <v>21</v>
      </c>
      <c r="N31" s="37" t="n">
        <v>0.875</v>
      </c>
      <c r="O31" s="36" t="n">
        <v>470</v>
      </c>
      <c r="P31" s="36" t="n">
        <v>288</v>
      </c>
      <c r="Q31" s="37" t="n">
        <v>0.6127659574468085</v>
      </c>
      <c r="R31" s="36" t="n">
        <v>35</v>
      </c>
      <c r="S31" s="36" t="n">
        <v>89</v>
      </c>
      <c r="T31" s="37" t="n">
        <v>0.3932584269662922</v>
      </c>
      <c r="U31" s="36" t="n">
        <v>253</v>
      </c>
      <c r="V31" s="36" t="n">
        <v>381</v>
      </c>
      <c r="W31" s="37" t="n">
        <v>0.6640419947506562</v>
      </c>
      <c r="X31" s="36" t="n">
        <v>25</v>
      </c>
      <c r="Y31" s="37" t="n">
        <v>0.7142857142857143</v>
      </c>
    </row>
    <row r="32">
      <c r="A32" t="inlineStr">
        <is>
          <t>R07_Bali Nusra</t>
        </is>
      </c>
      <c r="B32" t="inlineStr">
        <is>
          <t>NOP DENPASAR</t>
        </is>
      </c>
      <c r="C32" s="36" t="n">
        <v>752</v>
      </c>
      <c r="D32" s="36" t="n">
        <v>406</v>
      </c>
      <c r="E32" s="36" t="n">
        <v>159</v>
      </c>
      <c r="F32" s="37" t="n">
        <v>0.3916256157635468</v>
      </c>
      <c r="G32" s="36" t="n">
        <v>24</v>
      </c>
      <c r="H32" s="36" t="n">
        <v>70</v>
      </c>
      <c r="I32" s="37" t="n">
        <v>0.3428571428571429</v>
      </c>
      <c r="J32" s="36" t="n">
        <v>135</v>
      </c>
      <c r="K32" s="36" t="n">
        <v>336</v>
      </c>
      <c r="L32" s="37" t="n">
        <v>0.4017857142857143</v>
      </c>
      <c r="M32" s="36" t="n">
        <v>24</v>
      </c>
      <c r="N32" s="37" t="n">
        <v>1</v>
      </c>
      <c r="O32" s="36" t="n">
        <v>346</v>
      </c>
      <c r="P32" s="36" t="n">
        <v>292</v>
      </c>
      <c r="Q32" s="37" t="n">
        <v>0.8439306358381503</v>
      </c>
      <c r="R32" s="36" t="n">
        <v>111</v>
      </c>
      <c r="S32" s="36" t="n">
        <v>127</v>
      </c>
      <c r="T32" s="37" t="n">
        <v>0.8740157480314961</v>
      </c>
      <c r="U32" s="36" t="n">
        <v>181</v>
      </c>
      <c r="V32" s="36" t="n">
        <v>219</v>
      </c>
      <c r="W32" s="37" t="n">
        <v>0.8264840182648402</v>
      </c>
      <c r="X32" s="36" t="n">
        <v>72</v>
      </c>
      <c r="Y32" s="37" t="n">
        <v>0.6486486486486487</v>
      </c>
    </row>
    <row r="33">
      <c r="A33" t="inlineStr">
        <is>
          <t>R07_Bali Nusra</t>
        </is>
      </c>
      <c r="B33" t="inlineStr">
        <is>
          <t>NOP FLORES</t>
        </is>
      </c>
      <c r="C33" s="36" t="n">
        <v>3282</v>
      </c>
      <c r="D33" s="36" t="n">
        <v>1476</v>
      </c>
      <c r="E33" s="36" t="n">
        <v>460</v>
      </c>
      <c r="F33" s="37" t="n">
        <v>0.3116531165311653</v>
      </c>
      <c r="G33" s="36" t="n">
        <v>152</v>
      </c>
      <c r="H33" s="36" t="n">
        <v>301</v>
      </c>
      <c r="I33" s="37" t="n">
        <v>0.5049833887043189</v>
      </c>
      <c r="J33" s="36" t="n">
        <v>308</v>
      </c>
      <c r="K33" s="36" t="n">
        <v>1175</v>
      </c>
      <c r="L33" s="37" t="n">
        <v>0.2621276595744681</v>
      </c>
      <c r="M33" s="36" t="n">
        <v>123</v>
      </c>
      <c r="N33" s="37" t="n">
        <v>0.8092105263157895</v>
      </c>
      <c r="O33" s="36" t="n">
        <v>1806</v>
      </c>
      <c r="P33" s="36" t="n">
        <v>961</v>
      </c>
      <c r="Q33" s="37" t="n">
        <v>0.5321151716500554</v>
      </c>
      <c r="R33" s="36" t="n">
        <v>724</v>
      </c>
      <c r="S33" s="36" t="n">
        <v>1290</v>
      </c>
      <c r="T33" s="37" t="n">
        <v>0.5612403100775194</v>
      </c>
      <c r="U33" s="36" t="n">
        <v>237</v>
      </c>
      <c r="V33" s="36" t="n">
        <v>516</v>
      </c>
      <c r="W33" s="37" t="n">
        <v>0.4593023255813953</v>
      </c>
      <c r="X33" s="36" t="n">
        <v>625</v>
      </c>
      <c r="Y33" s="37" t="n">
        <v>0.8632596685082873</v>
      </c>
    </row>
    <row r="34">
      <c r="A34" t="inlineStr">
        <is>
          <t>R07_Bali Nusra</t>
        </is>
      </c>
      <c r="B34" t="inlineStr">
        <is>
          <t>NOP KUPANG</t>
        </is>
      </c>
      <c r="C34" s="36" t="n">
        <v>1992</v>
      </c>
      <c r="D34" s="36" t="n">
        <v>898</v>
      </c>
      <c r="E34" s="36" t="n">
        <v>355</v>
      </c>
      <c r="F34" s="37" t="n">
        <v>0.3953229398663697</v>
      </c>
      <c r="G34" s="36" t="n">
        <v>119</v>
      </c>
      <c r="H34" s="36" t="n">
        <v>173</v>
      </c>
      <c r="I34" s="37" t="n">
        <v>0.6878612716763006</v>
      </c>
      <c r="J34" s="36" t="n">
        <v>236</v>
      </c>
      <c r="K34" s="36" t="n">
        <v>725</v>
      </c>
      <c r="L34" s="37" t="n">
        <v>0.3255172413793103</v>
      </c>
      <c r="M34" s="36" t="n">
        <v>101</v>
      </c>
      <c r="N34" s="37" t="n">
        <v>0.8487394957983193</v>
      </c>
      <c r="O34" s="36" t="n">
        <v>1094</v>
      </c>
      <c r="P34" s="36" t="n">
        <v>583</v>
      </c>
      <c r="Q34" s="37" t="n">
        <v>0.5329067641681902</v>
      </c>
      <c r="R34" s="36" t="n">
        <v>327</v>
      </c>
      <c r="S34" s="36" t="n">
        <v>535</v>
      </c>
      <c r="T34" s="37" t="n">
        <v>0.611214953271028</v>
      </c>
      <c r="U34" s="36" t="n">
        <v>256</v>
      </c>
      <c r="V34" s="36" t="n">
        <v>559</v>
      </c>
      <c r="W34" s="37" t="n">
        <v>0.4579606440071556</v>
      </c>
      <c r="X34" s="36" t="n">
        <v>234</v>
      </c>
      <c r="Y34" s="37" t="n">
        <v>0.7155963302752294</v>
      </c>
    </row>
    <row r="35">
      <c r="A35" t="inlineStr">
        <is>
          <t>R07_Bali Nusra</t>
        </is>
      </c>
      <c r="B35" t="inlineStr">
        <is>
          <t>NOP MATARAM</t>
        </is>
      </c>
      <c r="C35" s="36" t="n">
        <v>1221</v>
      </c>
      <c r="D35" s="36" t="n">
        <v>541</v>
      </c>
      <c r="E35" s="36" t="n">
        <v>264</v>
      </c>
      <c r="F35" s="37" t="n">
        <v>0.4879852125693161</v>
      </c>
      <c r="G35" s="36" t="n">
        <v>24</v>
      </c>
      <c r="H35" s="36" t="n">
        <v>45</v>
      </c>
      <c r="I35" s="37" t="n">
        <v>0.5333333333333333</v>
      </c>
      <c r="J35" s="36" t="n">
        <v>240</v>
      </c>
      <c r="K35" s="36" t="n">
        <v>496</v>
      </c>
      <c r="L35" s="37" t="n">
        <v>0.4838709677419355</v>
      </c>
      <c r="M35" s="36" t="n">
        <v>17</v>
      </c>
      <c r="N35" s="37" t="n">
        <v>0.7083333333333334</v>
      </c>
      <c r="O35" s="36" t="n">
        <v>680</v>
      </c>
      <c r="P35" s="36" t="n">
        <v>300</v>
      </c>
      <c r="Q35" s="37" t="n">
        <v>0.4411764705882353</v>
      </c>
      <c r="R35" s="36" t="n">
        <v>205</v>
      </c>
      <c r="S35" s="36" t="n">
        <v>484</v>
      </c>
      <c r="T35" s="37" t="n">
        <v>0.4235537190082644</v>
      </c>
      <c r="U35" s="36" t="n">
        <v>95</v>
      </c>
      <c r="V35" s="36" t="n">
        <v>196</v>
      </c>
      <c r="W35" s="37" t="n">
        <v>0.4846938775510204</v>
      </c>
      <c r="X35" s="36" t="n">
        <v>105</v>
      </c>
      <c r="Y35" s="37" t="n">
        <v>0.5121951219512195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2025-06-16T17:13:20Z</dcterms:created>
  <dcterms:modified xmlns:dcterms="http://purl.org/dc/terms/" xmlns:xsi="http://www.w3.org/2001/XMLSchema-instance" xsi:type="dcterms:W3CDTF">2025-06-16T17:13:22Z</dcterms:modified>
</cp:coreProperties>
</file>